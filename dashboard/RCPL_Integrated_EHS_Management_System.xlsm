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Master Data" sheetId="25" r:id="rId25"/>
    <sheet name="Settings" sheetId="26" r:id="rId26"/>
    <sheet name="Help" sheetId="27" r:id="rId27"/>
    <sheet name="Calculations" sheetId="28" r:id="rId28"/>
    <sheet name="Home" sheetId="29" r:id="rId29"/>
    <sheet name="Executive Dashboard" sheetId="30" r:id="rId30"/>
    <sheet name="Leadership Review" sheetId="31" r:id="rId31"/>
    <sheet name="Dash · Toolbox Talks" sheetId="32" r:id="rId32"/>
    <sheet name="Dash · JSA Risk Assessment" sheetId="33" r:id="rId33"/>
    <sheet name="Dash · Training" sheetId="34" r:id="rId34"/>
    <sheet name="Dash · HSE Observations" sheetId="35" r:id="rId35"/>
    <sheet name="Dash · Workplace Inspections" sheetId="36" r:id="rId36"/>
    <sheet name="Dash · Equipment Inspections" sheetId="37" r:id="rId37"/>
    <sheet name="Dash · Safety Walkthroughs" sheetId="38" r:id="rId38"/>
    <sheet name="Dash · Safety Meetings" sheetId="39" r:id="rId39"/>
    <sheet name="Dash · Safety Bulletins" sheetId="40" r:id="rId40"/>
    <sheet name="Dash · Emergency Drills" sheetId="41" r:id="rId41"/>
    <sheet name="Dash · Internal Audits" sheetId="42" r:id="rId42"/>
    <sheet name="Dash · External Audits" sheetId="43" r:id="rId43"/>
    <sheet name="Dash · Management Visits" sheetId="44" r:id="rId44"/>
    <sheet name="Dash · Management Reviews" sheetId="45" r:id="rId45"/>
    <sheet name="Dash · Disciplinary Actions" sheetId="46" r:id="rId46"/>
    <sheet name="Dash · Safety Awards" sheetId="47" r:id="rId47"/>
    <sheet name="Dash · Stop Work Authority" sheetId="48" r:id="rId48"/>
    <sheet name="Dash · Alcohol Tests" sheetId="49" r:id="rId49"/>
    <sheet name="Dash · PTW Audits" sheetId="50" r:id="rId50"/>
    <sheet name="Dash · Corrective Actions" sheetId="51" r:id="rId51"/>
    <sheet name="Dash · NC Management" sheetId="52" r:id="rId52"/>
    <sheet name="Dash · Unsafe Acts" sheetId="53" r:id="rId53"/>
    <sheet name="Dash · Unsafe Conditions" sheetId="54" r:id="rId54"/>
    <sheet name="Dash · Incident" sheetId="55" r:id="rId55"/>
  </sheets>
  <definedNames>
    <definedName name="AmberBand">Settings!$C$21</definedName>
    <definedName name="CAClosure">Calculations!$BX$57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lcoholPositive">Calculations!$CA$23</definedName>
    <definedName name="gdAlcoholTests">Calculations!$CA$53</definedName>
    <definedName name="gdBulletinReach">Calculations!$CA$40</definedName>
    <definedName name="gdCAClosure">Calculations!$CA$57</definedName>
    <definedName name="gdCorrectiveActions">Calculations!$CA$56</definedName>
    <definedName name="gdDisciplinary">Calculations!$CA$20</definedName>
    <definedName name="gdDrillParticipation">Calculations!$CA$42</definedName>
    <definedName name="gdEmergencyDrills">Calculations!$CA$41</definedName>
    <definedName name="gdEquipmentCriticalFindings">Calculations!$CA$35</definedName>
    <definedName name="gdEquipmentInspections">Calculations!$CA$34</definedName>
    <definedName name="gdExternalAuditNCs">Calculations!$CA$46</definedName>
    <definedName name="gdExternalAudits">Calculations!$CA$45</definedName>
    <definedName name="gdFirstAid">Calculations!$CA$18</definedName>
    <definedName name="gdHSEObservations">Calculations!$CA$30</definedName>
    <definedName name="gdInternalAuditNCs">Calculations!$CA$44</definedName>
    <definedName name="gdInternalAudits">Calculations!$CA$43</definedName>
    <definedName name="gdJSAApproved">Calculations!$CA$27</definedName>
    <definedName name="gdJSAAssessments">Calculations!$CA$26</definedName>
    <definedName name="gdLostDays">Calculations!$CA$19</definedName>
    <definedName name="gdLTIFatality">Calculations!$CA$16</definedName>
    <definedName name="gdLTIFR">Calculations!$CA$13</definedName>
    <definedName name="gdManagementReviews">Calculations!$CA$49</definedName>
    <definedName name="gdManagementVisits">Calculations!$CA$47</definedName>
    <definedName name="gdMeetingsCloseout">Calculations!$CA$38</definedName>
    <definedName name="gdMgmtReviewAttendance">Calculations!$CA$50</definedName>
    <definedName name="gdMgmtVisitCloseout">Calculations!$CA$48</definedName>
    <definedName name="gdNCClosure">Calculations!$CA$22</definedName>
    <definedName name="gdNearMiss">Calculations!$CA$17</definedName>
    <definedName name="gdObsClosure">Calculations!$CA$31</definedName>
    <definedName name="gdOpenNCs">Calculations!$CA$21</definedName>
    <definedName name="gdPTWAudits">Calculations!$CA$54</definedName>
    <definedName name="gdPTWCompliance">Calculations!$CA$55</definedName>
    <definedName name="gdRecordable">Calculations!$CA$15</definedName>
    <definedName name="gdSafetyAwards">Calculations!$CA$51</definedName>
    <definedName name="gdSafetyBulletins">Calculations!$CA$39</definedName>
    <definedName name="gdSafetyMeetings">Calculations!$CA$37</definedName>
    <definedName name="gdSafetyWalkthroughs">Calculations!$CA$36</definedName>
    <definedName name="gdStopWorkAuthority">Calculations!$CA$52</definedName>
    <definedName name="gdToolboxAvgAttendance">Calculations!$CA$25</definedName>
    <definedName name="gdToolboxTalks">Calculations!$CA$24</definedName>
    <definedName name="gdTotalIncidents">Calculations!$CA$14</definedName>
    <definedName name="gdTrainingCompliance">Calculations!$CA$29</definedName>
    <definedName name="gdTrainings">Calculations!$CA$28</definedName>
    <definedName name="gdTRIR">Calculations!$CA$12</definedName>
    <definedName name="gdUnsafeActClosure">Calculations!$CA$59</definedName>
    <definedName name="gdUnsafeActsReported">Calculations!$CA$58</definedName>
    <definedName name="gdUnsafeConditionClosure">Calculations!$CA$61</definedName>
    <definedName name="gdUnsafeConditionsReported">Calculations!$CA$60</definedName>
    <definedName name="gdWorkplaceInspClosure">Calculations!$CA$33</definedName>
    <definedName name="gdWorkplaceInspections">Calculations!$CA$32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Calculations!$BX$19</definedName>
    <definedName name="LTIfat">Calculations!$BX$16</definedName>
    <definedName name="LTIFR">Calculations!$BX$13</definedName>
    <definedName name="LTIFRmult">Settings!$C$14</definedName>
    <definedName name="Manhours">Settings!$C$12</definedName>
    <definedName name="mCrit">Calculations!$C$6</definedName>
    <definedName name="mCrit">IF(SelMonth="All","&lt;&gt;",SelMonth)</definedName>
    <definedName name="NearMiss">Calculations!$BX$17</definedName>
    <definedName name="ObsClosure">Calculations!$BX$31</definedName>
    <definedName name="PTWauditComp">Calculations!$BX$55</definedName>
    <definedName name="Recordable">Calculations!$BX$15</definedName>
    <definedName name="SelDept">'Executive Dashboard'!$G$12</definedName>
    <definedName name="SelMonth">'Executive Dashboard'!$K$12</definedName>
    <definedName name="SelPeriod">'Executive Dashboard'!$C$12</definedName>
    <definedName name="TgtCA">Settings!$C$19</definedName>
    <definedName name="TgtObs">Settings!$C$17</definedName>
    <definedName name="TgtTrain">Settings!$C$18</definedName>
    <definedName name="TgtTRIR">Settings!$C$20</definedName>
    <definedName name="TotalInc">Calculations!$BX$14</definedName>
    <definedName name="TrainCompliance">Calculations!$BX$29</definedName>
    <definedName name="TRIR">Calculations!$BX$12</definedName>
    <definedName name="TRIRmult">Settings!$C$13</definedName>
  </definedNames>
  <calcPr calcId="124519" fullCalcOnLoad="1"/>
</workbook>
</file>

<file path=xl/sharedStrings.xml><?xml version="1.0" encoding="utf-8"?>
<sst xmlns="http://schemas.openxmlformats.org/spreadsheetml/2006/main" count="14941" uniqueCount="2105">
  <si>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</si>
  <si>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</si>
  <si>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</si>
  <si>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</si>
  <si>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</si>
  <si>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</si>
  <si>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</si>
  <si>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</si>
  <si>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</si>
  <si>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</si>
  <si>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</si>
  <si>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</si>
  <si>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</si>
  <si>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</si>
  <si>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</si>
  <si>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</si>
  <si>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</si>
  <si>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</si>
  <si>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</si>
  <si>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</si>
  <si>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</si>
  <si>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</si>
  <si>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</si>
  <si>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</si>
  <si>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</si>
  <si>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</si>
  <si>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</si>
  <si>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</si>
  <si>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</si>
  <si>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</si>
  <si>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</si>
  <si>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</si>
  <si>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</si>
  <si>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</si>
  <si>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</si>
  <si>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</si>
  <si>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</si>
  <si>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</si>
  <si>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</si>
  <si>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</si>
  <si>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</si>
  <si>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</si>
  <si>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</si>
  <si>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</si>
  <si>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</si>
  <si>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</si>
  <si>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</si>
  <si>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</si>
  <si>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</si>
  <si>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</si>
  <si>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</si>
  <si>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</si>
  <si>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</si>
  <si>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</si>
  <si>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</si>
  <si>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</si>
  <si>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</si>
  <si>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</si>
  <si>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</si>
  <si>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</si>
  <si>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</si>
  <si>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</si>
  <si>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</si>
  <si>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</si>
  <si>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</si>
  <si>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</si>
  <si>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</si>
  <si>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</si>
  <si>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</si>
  <si>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</si>
  <si>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</si>
  <si>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</si>
  <si>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</si>
  <si>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</si>
  <si>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</si>
  <si>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</si>
  <si>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</si>
  <si>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</si>
  <si>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</si>
  <si>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</si>
  <si>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</si>
  <si>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</si>
  <si>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</si>
  <si>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</si>
  <si>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</si>
  <si>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</si>
  <si>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</si>
  <si>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</si>
  <si>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</si>
  <si>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</si>
  <si>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</si>
  <si>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</si>
  <si>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</si>
  <si>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</si>
  <si>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</si>
  <si>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</si>
  <si>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</si>
  <si>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</si>
  <si>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</si>
  <si>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</si>
  <si>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</si>
  <si>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</si>
  <si>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</si>
  <si>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</si>
  <si>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</si>
  <si>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</si>
  <si>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</si>
  <si>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</si>
  <si>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</si>
  <si>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</si>
  <si>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</si>
  <si>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</si>
  <si>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</si>
  <si>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</si>
  <si>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</si>
  <si>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</si>
  <si>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</si>
  <si>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</si>
  <si>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</si>
  <si>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</si>
  <si>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</si>
  <si>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</si>
  <si>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</si>
  <si>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</si>
  <si>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</si>
  <si>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</si>
  <si>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</si>
  <si>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</si>
  <si>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</si>
  <si>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</si>
  <si>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</si>
  <si>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</si>
  <si>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</si>
  <si>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</si>
  <si>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</si>
  <si>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</si>
  <si>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</si>
  <si>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</si>
  <si>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</si>
  <si>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</si>
  <si>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</si>
  <si>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JSA-1003</t>
  </si>
  <si>
    <t>Medium</t>
  </si>
  <si>
    <t>HIRA</t>
  </si>
  <si>
    <t>Pending Review</t>
  </si>
  <si>
    <t>Non-Compliant</t>
  </si>
  <si>
    <t>JSA-1013</t>
  </si>
  <si>
    <t>Rejected</t>
  </si>
  <si>
    <t>Partially Compliant</t>
  </si>
  <si>
    <t>JSA-1018</t>
  </si>
  <si>
    <t>HAZOP</t>
  </si>
  <si>
    <t>JSA-1001</t>
  </si>
  <si>
    <t>Approved</t>
  </si>
  <si>
    <t>JSA-1016</t>
  </si>
  <si>
    <t>Low</t>
  </si>
  <si>
    <t>Revision Required</t>
  </si>
  <si>
    <t>JSA-1019</t>
  </si>
  <si>
    <t>Bow Tie</t>
  </si>
  <si>
    <t>JSA-1023</t>
  </si>
  <si>
    <t>High</t>
  </si>
  <si>
    <t>Task RA</t>
  </si>
  <si>
    <t>JSA-1030</t>
  </si>
  <si>
    <t>Critical</t>
  </si>
  <si>
    <t>What-If</t>
  </si>
  <si>
    <t>JSA-1037</t>
  </si>
  <si>
    <t>Compliant</t>
  </si>
  <si>
    <t>JSA-1002</t>
  </si>
  <si>
    <t>JSA-1005</t>
  </si>
  <si>
    <t>JSA-1020</t>
  </si>
  <si>
    <t>JSA</t>
  </si>
  <si>
    <t>JSA-1027</t>
  </si>
  <si>
    <t>JSA-1041</t>
  </si>
  <si>
    <t>JSA-1033</t>
  </si>
  <si>
    <t>JSA-1012</t>
  </si>
  <si>
    <t>JSA-1029</t>
  </si>
  <si>
    <t>JSA-1009</t>
  </si>
  <si>
    <t>JSA-1017</t>
  </si>
  <si>
    <t>JSA-1025</t>
  </si>
  <si>
    <t>JSA-1038</t>
  </si>
  <si>
    <t>JSA-1006</t>
  </si>
  <si>
    <t>JSA-1031</t>
  </si>
  <si>
    <t>JSA-1046</t>
  </si>
  <si>
    <t>JSA-1032</t>
  </si>
  <si>
    <t>JSA-1034</t>
  </si>
  <si>
    <t>JSA-1045</t>
  </si>
  <si>
    <t>JSA-1007</t>
  </si>
  <si>
    <t>JSA-1011</t>
  </si>
  <si>
    <t>JSA-1024</t>
  </si>
  <si>
    <t>JSA-1040</t>
  </si>
  <si>
    <t>JSA-1004</t>
  </si>
  <si>
    <t>JSA-1008</t>
  </si>
  <si>
    <t>JSA-1010</t>
  </si>
  <si>
    <t>JSA-1014</t>
  </si>
  <si>
    <t>JSA-1015</t>
  </si>
  <si>
    <t>JSA-1021</t>
  </si>
  <si>
    <t>JSA-1043</t>
  </si>
  <si>
    <t>JSA-1044</t>
  </si>
  <si>
    <t>JSA-1047</t>
  </si>
  <si>
    <t>JSA-1022</t>
  </si>
  <si>
    <t>JSA-1026</t>
  </si>
  <si>
    <t>JSA-1028</t>
  </si>
  <si>
    <t>JSA-1035</t>
  </si>
  <si>
    <t>JSA-1036</t>
  </si>
  <si>
    <t>JSA-1039</t>
  </si>
  <si>
    <t>JSA-1042</t>
  </si>
  <si>
    <t>JSA-1048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</si>
  <si>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</si>
  <si>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</si>
  <si>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</si>
  <si>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</si>
  <si>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</si>
  <si>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</si>
  <si>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</si>
  <si>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</si>
  <si>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</si>
  <si>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</si>
  <si>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🎓  TRAINING — DATA ENTRY</t>
  </si>
  <si>
    <t>TRN-1019</t>
  </si>
  <si>
    <t>Competency</t>
  </si>
  <si>
    <t>Online</t>
  </si>
  <si>
    <t>Completed</t>
  </si>
  <si>
    <t>Pass</t>
  </si>
  <si>
    <t>TRN-1029</t>
  </si>
  <si>
    <t>Awareness</t>
  </si>
  <si>
    <t>On-the-Job</t>
  </si>
  <si>
    <t>N/A</t>
  </si>
  <si>
    <t>TRN-1031</t>
  </si>
  <si>
    <t>Internal</t>
  </si>
  <si>
    <t>Fail</t>
  </si>
  <si>
    <t>TRN-1047</t>
  </si>
  <si>
    <t>Advanced</t>
  </si>
  <si>
    <t>TRN-1004</t>
  </si>
  <si>
    <t>TRN-1007</t>
  </si>
  <si>
    <t>Refresher</t>
  </si>
  <si>
    <t>TRN-1016</t>
  </si>
  <si>
    <t>Scheduled</t>
  </si>
  <si>
    <t>TRN-1024</t>
  </si>
  <si>
    <t>Induction</t>
  </si>
  <si>
    <t>Overdue</t>
  </si>
  <si>
    <t>TRN-1041</t>
  </si>
  <si>
    <t>External</t>
  </si>
  <si>
    <t>TRN-1046</t>
  </si>
  <si>
    <t>TRN-1005</t>
  </si>
  <si>
    <t>TRN-1008</t>
  </si>
  <si>
    <t>TRN-1018</t>
  </si>
  <si>
    <t>TRN-1020</t>
  </si>
  <si>
    <t>TRN-1037</t>
  </si>
  <si>
    <t>TRN-1038</t>
  </si>
  <si>
    <t>TRN-1048</t>
  </si>
  <si>
    <t>TRN-1015</t>
  </si>
  <si>
    <t>TRN-1032</t>
  </si>
  <si>
    <t>TRN-1040</t>
  </si>
  <si>
    <t>TRN-1044</t>
  </si>
  <si>
    <t>TRN-1010</t>
  </si>
  <si>
    <t>In Progress</t>
  </si>
  <si>
    <t>TRN-1023</t>
  </si>
  <si>
    <t>TRN-1030</t>
  </si>
  <si>
    <t>TRN-1036</t>
  </si>
  <si>
    <t>TRN-1017</t>
  </si>
  <si>
    <t>TRN-1021</t>
  </si>
  <si>
    <t>TRN-1028</t>
  </si>
  <si>
    <t>TRN-1043</t>
  </si>
  <si>
    <t>TRN-1013</t>
  </si>
  <si>
    <t>TRN-1035</t>
  </si>
  <si>
    <t>TRN-1045</t>
  </si>
  <si>
    <t>TRN-1006</t>
  </si>
  <si>
    <t>TRN-1014</t>
  </si>
  <si>
    <t>TRN-1027</t>
  </si>
  <si>
    <t>TRN-1033</t>
  </si>
  <si>
    <t>TRN-1009</t>
  </si>
  <si>
    <t>TRN-1034</t>
  </si>
  <si>
    <t>TRN-1039</t>
  </si>
  <si>
    <t>TRN-1002</t>
  </si>
  <si>
    <t>TRN-1001</t>
  </si>
  <si>
    <t>TRN-1012</t>
  </si>
  <si>
    <t>TRN-1025</t>
  </si>
  <si>
    <t>TRN-1026</t>
  </si>
  <si>
    <t>TRN-1042</t>
  </si>
  <si>
    <t>TRN-1003</t>
  </si>
  <si>
    <t>TRN-1011</t>
  </si>
  <si>
    <t>TRN-1022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</si>
  <si>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</si>
  <si>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</si>
  <si>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</si>
  <si>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</si>
  <si>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</si>
  <si>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</si>
  <si>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</si>
  <si>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</si>
  <si>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</si>
  <si>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👁️  HSE OBSERVATIONS — DATA ENTRY</t>
  </si>
  <si>
    <t>OBS-1008</t>
  </si>
  <si>
    <t>Safe Act</t>
  </si>
  <si>
    <t>Closed</t>
  </si>
  <si>
    <t>Verbal Warning</t>
  </si>
  <si>
    <t>OBS-1016</t>
  </si>
  <si>
    <t>Unsafe Condition</t>
  </si>
  <si>
    <t>Open</t>
  </si>
  <si>
    <t>Written Warning</t>
  </si>
  <si>
    <t>OBS-1018</t>
  </si>
  <si>
    <t>Unsafe Act</t>
  </si>
  <si>
    <t>OBS-1021</t>
  </si>
  <si>
    <t>Safe Condition</t>
  </si>
  <si>
    <t>Fine</t>
  </si>
  <si>
    <t>OBS-1023</t>
  </si>
  <si>
    <t>OBS-1032</t>
  </si>
  <si>
    <t>OBS-1039</t>
  </si>
  <si>
    <t>OBS-1043</t>
  </si>
  <si>
    <t>OBS-1046</t>
  </si>
  <si>
    <t>OBS-1002</t>
  </si>
  <si>
    <t>Suspension</t>
  </si>
  <si>
    <t>OBS-1011</t>
  </si>
  <si>
    <t>OBS-1013</t>
  </si>
  <si>
    <t>Retraining</t>
  </si>
  <si>
    <t>OBS-1031</t>
  </si>
  <si>
    <t>OBS-1007</t>
  </si>
  <si>
    <t>OBS-1024</t>
  </si>
  <si>
    <t>OBS-1001</t>
  </si>
  <si>
    <t>OBS-1010</t>
  </si>
  <si>
    <t>OBS-1028</t>
  </si>
  <si>
    <t>OBS-1038</t>
  </si>
  <si>
    <t>OBS-1048</t>
  </si>
  <si>
    <t>OBS-1012</t>
  </si>
  <si>
    <t>OBS-1020</t>
  </si>
  <si>
    <t>OBS-1033</t>
  </si>
  <si>
    <t>OBS-1041</t>
  </si>
  <si>
    <t>OBS-1026</t>
  </si>
  <si>
    <t>OBS-1030</t>
  </si>
  <si>
    <t>OBS-1034</t>
  </si>
  <si>
    <t>OBS-1003</t>
  </si>
  <si>
    <t>OBS-1025</t>
  </si>
  <si>
    <t>OBS-1036</t>
  </si>
  <si>
    <t>OBS-1040</t>
  </si>
  <si>
    <t>OBS-1042</t>
  </si>
  <si>
    <t>OBS-1022</t>
  </si>
  <si>
    <t>OBS-1035</t>
  </si>
  <si>
    <t>OBS-1014</t>
  </si>
  <si>
    <t>OBS-1044</t>
  </si>
  <si>
    <t>OBS-1009</t>
  </si>
  <si>
    <t>OBS-1017</t>
  </si>
  <si>
    <t>OBS-1019</t>
  </si>
  <si>
    <t>OBS-1027</t>
  </si>
  <si>
    <t>OBS-1045</t>
  </si>
  <si>
    <t>OBS-1006</t>
  </si>
  <si>
    <t>OBS-1004</t>
  </si>
  <si>
    <t>OBS-1005</t>
  </si>
  <si>
    <t>OBS-1015</t>
  </si>
  <si>
    <t>OBS-1029</t>
  </si>
  <si>
    <t>OBS-1037</t>
  </si>
  <si>
    <t>OBS-1047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</si>
  <si>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</si>
  <si>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</si>
  <si>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</si>
  <si>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</si>
  <si>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</si>
  <si>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</si>
  <si>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</si>
  <si>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</si>
  <si>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</si>
  <si>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WPI-1023</t>
  </si>
  <si>
    <t>WPI-1020</t>
  </si>
  <si>
    <t>WPI-1021</t>
  </si>
  <si>
    <t>WPI-1036</t>
  </si>
  <si>
    <t>WPI-1038</t>
  </si>
  <si>
    <t>WPI-1046</t>
  </si>
  <si>
    <t>WPI-1003</t>
  </si>
  <si>
    <t>WPI-1029</t>
  </si>
  <si>
    <t>WPI-1039</t>
  </si>
  <si>
    <t>WPI-1040</t>
  </si>
  <si>
    <t>WPI-1043</t>
  </si>
  <si>
    <t>WPI-1001</t>
  </si>
  <si>
    <t>WPI-1034</t>
  </si>
  <si>
    <t>WPI-1044</t>
  </si>
  <si>
    <t>WPI-1013</t>
  </si>
  <si>
    <t>WPI-1035</t>
  </si>
  <si>
    <t>WPI-1011</t>
  </si>
  <si>
    <t>WPI-1017</t>
  </si>
  <si>
    <t>WPI-1022</t>
  </si>
  <si>
    <t>WPI-1032</t>
  </si>
  <si>
    <t>WPI-1037</t>
  </si>
  <si>
    <t>WPI-1045</t>
  </si>
  <si>
    <t>WPI-1048</t>
  </si>
  <si>
    <t>WPI-1007</t>
  </si>
  <si>
    <t>WPI-1009</t>
  </si>
  <si>
    <t>WPI-1010</t>
  </si>
  <si>
    <t>WPI-1016</t>
  </si>
  <si>
    <t>WPI-1026</t>
  </si>
  <si>
    <t>WPI-1005</t>
  </si>
  <si>
    <t>WPI-1019</t>
  </si>
  <si>
    <t>WPI-1030</t>
  </si>
  <si>
    <t>WPI-1042</t>
  </si>
  <si>
    <t>WPI-1047</t>
  </si>
  <si>
    <t>WPI-1014</t>
  </si>
  <si>
    <t>WPI-1015</t>
  </si>
  <si>
    <t>WPI-1027</t>
  </si>
  <si>
    <t>WPI-1028</t>
  </si>
  <si>
    <t>WPI-1033</t>
  </si>
  <si>
    <t>WPI-1041</t>
  </si>
  <si>
    <t>WPI-1002</t>
  </si>
  <si>
    <t>WPI-1025</t>
  </si>
  <si>
    <t>WPI-1031</t>
  </si>
  <si>
    <t>WPI-1004</t>
  </si>
  <si>
    <t>WPI-1012</t>
  </si>
  <si>
    <t>WPI-1018</t>
  </si>
  <si>
    <t>WPI-1024</t>
  </si>
  <si>
    <t>WPI-1006</t>
  </si>
  <si>
    <t>WPI-1008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</si>
  <si>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</si>
  <si>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</si>
  <si>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</si>
  <si>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</si>
  <si>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</si>
  <si>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</si>
  <si>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</si>
  <si>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</si>
  <si>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EQI-1022</t>
  </si>
  <si>
    <t>EQI-1026</t>
  </si>
  <si>
    <t>EQI-1029</t>
  </si>
  <si>
    <t>EQI-1034</t>
  </si>
  <si>
    <t>EQI-1037</t>
  </si>
  <si>
    <t>EQI-1009</t>
  </si>
  <si>
    <t>EQI-1030</t>
  </si>
  <si>
    <t>EQI-1036</t>
  </si>
  <si>
    <t>EQI-1046</t>
  </si>
  <si>
    <t>EQI-1047</t>
  </si>
  <si>
    <t>EQI-1004</t>
  </si>
  <si>
    <t>EQI-1011</t>
  </si>
  <si>
    <t>EQI-1024</t>
  </si>
  <si>
    <t>EQI-1031</t>
  </si>
  <si>
    <t>EQI-1014</t>
  </si>
  <si>
    <t>EQI-1027</t>
  </si>
  <si>
    <t>EQI-1043</t>
  </si>
  <si>
    <t>EQI-1015</t>
  </si>
  <si>
    <t>EQI-1017</t>
  </si>
  <si>
    <t>EQI-1032</t>
  </si>
  <si>
    <t>EQI-1006</t>
  </si>
  <si>
    <t>EQI-1023</t>
  </si>
  <si>
    <t>EQI-1035</t>
  </si>
  <si>
    <t>EQI-1042</t>
  </si>
  <si>
    <t>EQI-1005</t>
  </si>
  <si>
    <t>EQI-1008</t>
  </si>
  <si>
    <t>EQI-1010</t>
  </si>
  <si>
    <t>EQI-1012</t>
  </si>
  <si>
    <t>EQI-1016</t>
  </si>
  <si>
    <t>EQI-1018</t>
  </si>
  <si>
    <t>EQI-1033</t>
  </si>
  <si>
    <t>EQI-1039</t>
  </si>
  <si>
    <t>EQI-1044</t>
  </si>
  <si>
    <t>EQI-1007</t>
  </si>
  <si>
    <t>EQI-1003</t>
  </si>
  <si>
    <t>EQI-1019</t>
  </si>
  <si>
    <t>EQI-1021</t>
  </si>
  <si>
    <t>EQI-1045</t>
  </si>
  <si>
    <t>EQI-1001</t>
  </si>
  <si>
    <t>EQI-1013</t>
  </si>
  <si>
    <t>EQI-1020</t>
  </si>
  <si>
    <t>EQI-1038</t>
  </si>
  <si>
    <t>EQI-1041</t>
  </si>
  <si>
    <t>EQI-1002</t>
  </si>
  <si>
    <t>EQI-1025</t>
  </si>
  <si>
    <t>EQI-1028</t>
  </si>
  <si>
    <t>EQI-1040</t>
  </si>
  <si>
    <t>EQI-1048</t>
  </si>
  <si>
    <t>🚶  SAFETY WALKTHROUGHS — DATA ENTRY</t>
  </si>
  <si>
    <t>SW-1005</t>
  </si>
  <si>
    <t>SW-1009</t>
  </si>
  <si>
    <t>SW-1011</t>
  </si>
  <si>
    <t>SW-1033</t>
  </si>
  <si>
    <t>SW-1046</t>
  </si>
  <si>
    <t>SW-1028</t>
  </si>
  <si>
    <t>SW-1036</t>
  </si>
  <si>
    <t>SW-1047</t>
  </si>
  <si>
    <t>SW-1029</t>
  </si>
  <si>
    <t>SW-1042</t>
  </si>
  <si>
    <t>SW-1008</t>
  </si>
  <si>
    <t>SW-1014</t>
  </si>
  <si>
    <t>SW-1019</t>
  </si>
  <si>
    <t>SW-1022</t>
  </si>
  <si>
    <t>SW-1023</t>
  </si>
  <si>
    <t>SW-1048</t>
  </si>
  <si>
    <t>SW-1017</t>
  </si>
  <si>
    <t>SW-1026</t>
  </si>
  <si>
    <t>SW-1038</t>
  </si>
  <si>
    <t>SW-1040</t>
  </si>
  <si>
    <t>SW-1007</t>
  </si>
  <si>
    <t>SW-1031</t>
  </si>
  <si>
    <t>SW-1035</t>
  </si>
  <si>
    <t>SW-1037</t>
  </si>
  <si>
    <t>SW-1021</t>
  </si>
  <si>
    <t>SW-1024</t>
  </si>
  <si>
    <t>SW-1025</t>
  </si>
  <si>
    <t>SW-1032</t>
  </si>
  <si>
    <t>SW-1039</t>
  </si>
  <si>
    <t>SW-1045</t>
  </si>
  <si>
    <t>SW-1001</t>
  </si>
  <si>
    <t>SW-1006</t>
  </si>
  <si>
    <t>SW-1018</t>
  </si>
  <si>
    <t>SW-1043</t>
  </si>
  <si>
    <t>SW-1044</t>
  </si>
  <si>
    <t>SW-1003</t>
  </si>
  <si>
    <t>SW-1004</t>
  </si>
  <si>
    <t>SW-1027</t>
  </si>
  <si>
    <t>SW-1010</t>
  </si>
  <si>
    <t>SW-1015</t>
  </si>
  <si>
    <t>SW-1016</t>
  </si>
  <si>
    <t>SW-1002</t>
  </si>
  <si>
    <t>SW-1012</t>
  </si>
  <si>
    <t>SW-1013</t>
  </si>
  <si>
    <t>SW-1041</t>
  </si>
  <si>
    <t>SW-1020</t>
  </si>
  <si>
    <t>SW-1030</t>
  </si>
  <si>
    <t>SW-1034</t>
  </si>
  <si>
    <t>👥  SAFETY MEETINGS — DATA ENTRY</t>
  </si>
  <si>
    <t>SM-1001</t>
  </si>
  <si>
    <t>Weekly</t>
  </si>
  <si>
    <t>SM-1010</t>
  </si>
  <si>
    <t>Quarterly</t>
  </si>
  <si>
    <t>SM-1027</t>
  </si>
  <si>
    <t>Annual</t>
  </si>
  <si>
    <t>SM-1002</t>
  </si>
  <si>
    <t>SM-1004</t>
  </si>
  <si>
    <t>SM-1008</t>
  </si>
  <si>
    <t>SM-1011</t>
  </si>
  <si>
    <t>Monthly</t>
  </si>
  <si>
    <t>SM-1012</t>
  </si>
  <si>
    <t>SM-1030</t>
  </si>
  <si>
    <t>SM-1031</t>
  </si>
  <si>
    <t>SM-1043</t>
  </si>
  <si>
    <t>SM-1044</t>
  </si>
  <si>
    <t>SM-1045</t>
  </si>
  <si>
    <t>SM-1018</t>
  </si>
  <si>
    <t>SM-1022</t>
  </si>
  <si>
    <t>SM-1035</t>
  </si>
  <si>
    <t>SM-1038</t>
  </si>
  <si>
    <t>SM-1047</t>
  </si>
  <si>
    <t>SM-1017</t>
  </si>
  <si>
    <t>SM-1020</t>
  </si>
  <si>
    <t>SM-1025</t>
  </si>
  <si>
    <t>SM-1029</t>
  </si>
  <si>
    <t>SM-1033</t>
  </si>
  <si>
    <t>SM-1040</t>
  </si>
  <si>
    <t>SM-1042</t>
  </si>
  <si>
    <t>SM-1014</t>
  </si>
  <si>
    <t>SM-1024</t>
  </si>
  <si>
    <t>SM-1034</t>
  </si>
  <si>
    <t>SM-1023</t>
  </si>
  <si>
    <t>SM-1003</t>
  </si>
  <si>
    <t>SM-1013</t>
  </si>
  <si>
    <t>SM-1015</t>
  </si>
  <si>
    <t>SM-1021</t>
  </si>
  <si>
    <t>SM-1039</t>
  </si>
  <si>
    <t>SM-1016</t>
  </si>
  <si>
    <t>SM-1032</t>
  </si>
  <si>
    <t>SM-1007</t>
  </si>
  <si>
    <t>SM-1019</t>
  </si>
  <si>
    <t>SM-1028</t>
  </si>
  <si>
    <t>SM-1005</t>
  </si>
  <si>
    <t>SM-1009</t>
  </si>
  <si>
    <t>SM-1036</t>
  </si>
  <si>
    <t>SM-1041</t>
  </si>
  <si>
    <t>SM-1048</t>
  </si>
  <si>
    <t>SM-1006</t>
  </si>
  <si>
    <t>SM-1026</t>
  </si>
  <si>
    <t>SM-1037</t>
  </si>
  <si>
    <t>SM-1046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</si>
  <si>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</si>
  <si>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</si>
  <si>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</si>
  <si>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</si>
  <si>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</si>
  <si>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</si>
  <si>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</si>
  <si>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</si>
  <si>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</si>
  <si>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</si>
  <si>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</si>
  <si>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SB-1017</t>
  </si>
  <si>
    <t>Lesson Learned</t>
  </si>
  <si>
    <t>Notice Board</t>
  </si>
  <si>
    <t>SB-1020</t>
  </si>
  <si>
    <t>Best Practice</t>
  </si>
  <si>
    <t>App Notification</t>
  </si>
  <si>
    <t>SB-1032</t>
  </si>
  <si>
    <t>SB-1043</t>
  </si>
  <si>
    <t>Toolbox Topic</t>
  </si>
  <si>
    <t>All Channels</t>
  </si>
  <si>
    <t>SB-1038</t>
  </si>
  <si>
    <t>SB-1041</t>
  </si>
  <si>
    <t>Safety Alert</t>
  </si>
  <si>
    <t>SB-1044</t>
  </si>
  <si>
    <t>Advisory</t>
  </si>
  <si>
    <t>SB-1045</t>
  </si>
  <si>
    <t>SB-1047</t>
  </si>
  <si>
    <t>SB-1009</t>
  </si>
  <si>
    <t>Bulletin</t>
  </si>
  <si>
    <t>SB-1010</t>
  </si>
  <si>
    <t>SB-1012</t>
  </si>
  <si>
    <t>SB-1024</t>
  </si>
  <si>
    <t>SB-1029</t>
  </si>
  <si>
    <t>SB-1031</t>
  </si>
  <si>
    <t>SB-1040</t>
  </si>
  <si>
    <t>Email</t>
  </si>
  <si>
    <t>SB-1007</t>
  </si>
  <si>
    <t>SB-1008</t>
  </si>
  <si>
    <t>SB-1019</t>
  </si>
  <si>
    <t>SB-1021</t>
  </si>
  <si>
    <t>SB-1026</t>
  </si>
  <si>
    <t>SB-1027</t>
  </si>
  <si>
    <t>SB-1013</t>
  </si>
  <si>
    <t>SB-1018</t>
  </si>
  <si>
    <t>SB-1033</t>
  </si>
  <si>
    <t>SB-1036</t>
  </si>
  <si>
    <t>SB-1048</t>
  </si>
  <si>
    <t>SB-1046</t>
  </si>
  <si>
    <t>SB-1011</t>
  </si>
  <si>
    <t>SB-1014</t>
  </si>
  <si>
    <t>SB-1025</t>
  </si>
  <si>
    <t>SB-1035</t>
  </si>
  <si>
    <t>SB-1042</t>
  </si>
  <si>
    <t>SB-1001</t>
  </si>
  <si>
    <t>SB-1004</t>
  </si>
  <si>
    <t>SB-1005</t>
  </si>
  <si>
    <t>SB-1037</t>
  </si>
  <si>
    <t>SB-1002</t>
  </si>
  <si>
    <t>SB-1003</t>
  </si>
  <si>
    <t>SB-1006</t>
  </si>
  <si>
    <t>SB-1015</t>
  </si>
  <si>
    <t>SB-1016</t>
  </si>
  <si>
    <t>SB-1022</t>
  </si>
  <si>
    <t>SB-1023</t>
  </si>
  <si>
    <t>SB-1034</t>
  </si>
  <si>
    <t>SB-1039</t>
  </si>
  <si>
    <t>SB-1028</t>
  </si>
  <si>
    <t>SB-1030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</si>
  <si>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</si>
  <si>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</si>
  <si>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</si>
  <si>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</si>
  <si>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</si>
  <si>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</si>
  <si>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</si>
  <si>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</si>
  <si>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</si>
  <si>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</si>
  <si>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</si>
  <si>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</si>
  <si>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ED-1005</t>
  </si>
  <si>
    <t>Confined Space Rescue</t>
  </si>
  <si>
    <t>ED-1012</t>
  </si>
  <si>
    <t>Fire Evacuation</t>
  </si>
  <si>
    <t>ED-1014</t>
  </si>
  <si>
    <t>Gas Leak</t>
  </si>
  <si>
    <t>ED-1017</t>
  </si>
  <si>
    <t>ED-1045</t>
  </si>
  <si>
    <t>Medical Emergency</t>
  </si>
  <si>
    <t>ED-1006</t>
  </si>
  <si>
    <t>ED-1023</t>
  </si>
  <si>
    <t>Chemical Spill</t>
  </si>
  <si>
    <t>ED-1007</t>
  </si>
  <si>
    <t>Earthquake</t>
  </si>
  <si>
    <t>ED-1011</t>
  </si>
  <si>
    <t>ED-1020</t>
  </si>
  <si>
    <t>ED-1040</t>
  </si>
  <si>
    <t>ED-1043</t>
  </si>
  <si>
    <t>ED-1002</t>
  </si>
  <si>
    <t>ED-1025</t>
  </si>
  <si>
    <t>ED-1028</t>
  </si>
  <si>
    <t>ED-1034</t>
  </si>
  <si>
    <t>ED-1022</t>
  </si>
  <si>
    <t>ED-1026</t>
  </si>
  <si>
    <t>ED-1029</t>
  </si>
  <si>
    <t>ED-1036</t>
  </si>
  <si>
    <t>ED-1003</t>
  </si>
  <si>
    <t>ED-1018</t>
  </si>
  <si>
    <t>ED-1019</t>
  </si>
  <si>
    <t>ED-1024</t>
  </si>
  <si>
    <t>ED-1038</t>
  </si>
  <si>
    <t>ED-1042</t>
  </si>
  <si>
    <t>ED-1046</t>
  </si>
  <si>
    <t>ED-1009</t>
  </si>
  <si>
    <t>ED-1010</t>
  </si>
  <si>
    <t>ED-1047</t>
  </si>
  <si>
    <t>ED-1004</t>
  </si>
  <si>
    <t>ED-1021</t>
  </si>
  <si>
    <t>ED-1033</t>
  </si>
  <si>
    <t>ED-1037</t>
  </si>
  <si>
    <t>ED-1044</t>
  </si>
  <si>
    <t>ED-1001</t>
  </si>
  <si>
    <t>ED-1008</t>
  </si>
  <si>
    <t>ED-1013</t>
  </si>
  <si>
    <t>ED-1015</t>
  </si>
  <si>
    <t>ED-1032</t>
  </si>
  <si>
    <t>ED-1039</t>
  </si>
  <si>
    <t>ED-1048</t>
  </si>
  <si>
    <t>ED-1027</t>
  </si>
  <si>
    <t>ED-1030</t>
  </si>
  <si>
    <t>ED-1031</t>
  </si>
  <si>
    <t>ED-1035</t>
  </si>
  <si>
    <t>ED-1041</t>
  </si>
  <si>
    <t>ED-1016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</si>
  <si>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</si>
  <si>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</si>
  <si>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</si>
  <si>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</si>
  <si>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</si>
  <si>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</si>
  <si>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</si>
  <si>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</si>
  <si>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</si>
  <si>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</si>
  <si>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IA-1019</t>
  </si>
  <si>
    <t>Customer Audit</t>
  </si>
  <si>
    <t>IA-1021</t>
  </si>
  <si>
    <t>Regulatory Inspection</t>
  </si>
  <si>
    <t>IA-1027</t>
  </si>
  <si>
    <t>System Audit</t>
  </si>
  <si>
    <t>IA-1035</t>
  </si>
  <si>
    <t>Process Audit</t>
  </si>
  <si>
    <t>IA-1044</t>
  </si>
  <si>
    <t>IA-1015</t>
  </si>
  <si>
    <t>IA-1033</t>
  </si>
  <si>
    <t>IA-1034</t>
  </si>
  <si>
    <t>Surveillance</t>
  </si>
  <si>
    <t>IA-1038</t>
  </si>
  <si>
    <t>IA-1011</t>
  </si>
  <si>
    <t>IA-1016</t>
  </si>
  <si>
    <t>IA-1025</t>
  </si>
  <si>
    <t>IA-1036</t>
  </si>
  <si>
    <t>IA-1043</t>
  </si>
  <si>
    <t>IA-1007</t>
  </si>
  <si>
    <t>IA-1013</t>
  </si>
  <si>
    <t>IA-1017</t>
  </si>
  <si>
    <t>IA-1028</t>
  </si>
  <si>
    <t>IA-1046</t>
  </si>
  <si>
    <t>IA-1005</t>
  </si>
  <si>
    <t>IA-1010</t>
  </si>
  <si>
    <t>IA-1045</t>
  </si>
  <si>
    <t>IA-1008</t>
  </si>
  <si>
    <t>IA-1012</t>
  </si>
  <si>
    <t>IA-1018</t>
  </si>
  <si>
    <t>Compliance Audit</t>
  </si>
  <si>
    <t>IA-1032</t>
  </si>
  <si>
    <t>IA-1047</t>
  </si>
  <si>
    <t>IA-1026</t>
  </si>
  <si>
    <t>IA-1002</t>
  </si>
  <si>
    <t>IA-1003</t>
  </si>
  <si>
    <t>IA-1029</t>
  </si>
  <si>
    <t>IA-1030</t>
  </si>
  <si>
    <t>IA-1031</t>
  </si>
  <si>
    <t>IA-1037</t>
  </si>
  <si>
    <t>IA-1039</t>
  </si>
  <si>
    <t>IA-1042</t>
  </si>
  <si>
    <t>IA-1048</t>
  </si>
  <si>
    <t>IA-1020</t>
  </si>
  <si>
    <t>IA-1022</t>
  </si>
  <si>
    <t>IA-1024</t>
  </si>
  <si>
    <t>IA-1001</t>
  </si>
  <si>
    <t>IA-1004</t>
  </si>
  <si>
    <t>IA-1009</t>
  </si>
  <si>
    <t>IA-1014</t>
  </si>
  <si>
    <t>IA-1023</t>
  </si>
  <si>
    <t>IA-1040</t>
  </si>
  <si>
    <t>IA-1041</t>
  </si>
  <si>
    <t>IA-1006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</si>
  <si>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</si>
  <si>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</si>
  <si>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</si>
  <si>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</si>
  <si>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</si>
  <si>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</si>
  <si>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</si>
  <si>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</si>
  <si>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</si>
  <si>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</si>
  <si>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EA-1015</t>
  </si>
  <si>
    <t>EA-1023</t>
  </si>
  <si>
    <t>EA-1035</t>
  </si>
  <si>
    <t>EA-1043</t>
  </si>
  <si>
    <t>EA-1034</t>
  </si>
  <si>
    <t>EA-1037</t>
  </si>
  <si>
    <t>EA-1039</t>
  </si>
  <si>
    <t>EA-1026</t>
  </si>
  <si>
    <t>EA-1032</t>
  </si>
  <si>
    <t>EA-1041</t>
  </si>
  <si>
    <t>EA-1007</t>
  </si>
  <si>
    <t>EA-1019</t>
  </si>
  <si>
    <t>EA-1024</t>
  </si>
  <si>
    <t>EA-1046</t>
  </si>
  <si>
    <t>EA-1016</t>
  </si>
  <si>
    <t>EA-1021</t>
  </si>
  <si>
    <t>EA-1027</t>
  </si>
  <si>
    <t>EA-1033</t>
  </si>
  <si>
    <t>EA-1004</t>
  </si>
  <si>
    <t>EA-1005</t>
  </si>
  <si>
    <t>EA-1020</t>
  </si>
  <si>
    <t>EA-1025</t>
  </si>
  <si>
    <t>EA-1030</t>
  </si>
  <si>
    <t>EA-1040</t>
  </si>
  <si>
    <t>EA-1045</t>
  </si>
  <si>
    <t>EA-1047</t>
  </si>
  <si>
    <t>EA-1009</t>
  </si>
  <si>
    <t>EA-1011</t>
  </si>
  <si>
    <t>EA-1028</t>
  </si>
  <si>
    <t>EA-1008</t>
  </si>
  <si>
    <t>EA-1013</t>
  </si>
  <si>
    <t>EA-1003</t>
  </si>
  <si>
    <t>EA-1012</t>
  </si>
  <si>
    <t>EA-1031</t>
  </si>
  <si>
    <t>EA-1006</t>
  </si>
  <si>
    <t>EA-1010</t>
  </si>
  <si>
    <t>EA-1014</t>
  </si>
  <si>
    <t>EA-1018</t>
  </si>
  <si>
    <t>EA-1036</t>
  </si>
  <si>
    <t>EA-1001</t>
  </si>
  <si>
    <t>EA-1022</t>
  </si>
  <si>
    <t>EA-1029</t>
  </si>
  <si>
    <t>EA-1048</t>
  </si>
  <si>
    <t>EA-1002</t>
  </si>
  <si>
    <t>EA-1017</t>
  </si>
  <si>
    <t>EA-1038</t>
  </si>
  <si>
    <t>EA-1042</t>
  </si>
  <si>
    <t>EA-1044</t>
  </si>
  <si>
    <t>🤝  MANAGEMENT VISITS — DATA ENTRY</t>
  </si>
  <si>
    <t>MV-1015</t>
  </si>
  <si>
    <t>Site Walk</t>
  </si>
  <si>
    <t>MV-1040</t>
  </si>
  <si>
    <t>Safety Observation</t>
  </si>
  <si>
    <t>MV-1009</t>
  </si>
  <si>
    <t>MV-1012</t>
  </si>
  <si>
    <t>MV-1020</t>
  </si>
  <si>
    <t>MV-1024</t>
  </si>
  <si>
    <t>Plant Visit</t>
  </si>
  <si>
    <t>MV-1026</t>
  </si>
  <si>
    <t>MV-1034</t>
  </si>
  <si>
    <t>MV-1037</t>
  </si>
  <si>
    <t>MV-1038</t>
  </si>
  <si>
    <t>Project Visit</t>
  </si>
  <si>
    <t>MV-1036</t>
  </si>
  <si>
    <t>MV-1039</t>
  </si>
  <si>
    <t>MV-1046</t>
  </si>
  <si>
    <t>MV-1048</t>
  </si>
  <si>
    <t>MV-1004</t>
  </si>
  <si>
    <t>MV-1007</t>
  </si>
  <si>
    <t>MV-1010</t>
  </si>
  <si>
    <t>MV-1016</t>
  </si>
  <si>
    <t>MV-1027</t>
  </si>
  <si>
    <t>MV-1030</t>
  </si>
  <si>
    <t>MV-1032</t>
  </si>
  <si>
    <t>MV-1044</t>
  </si>
  <si>
    <t>MV-1001</t>
  </si>
  <si>
    <t>MV-1014</t>
  </si>
  <si>
    <t>MV-1008</t>
  </si>
  <si>
    <t>MV-1018</t>
  </si>
  <si>
    <t>MV-1031</t>
  </si>
  <si>
    <t>MV-1045</t>
  </si>
  <si>
    <t>MV-1047</t>
  </si>
  <si>
    <t>MV-1028</t>
  </si>
  <si>
    <t>MV-1033</t>
  </si>
  <si>
    <t>MV-1043</t>
  </si>
  <si>
    <t>MV-1003</t>
  </si>
  <si>
    <t>MV-1025</t>
  </si>
  <si>
    <t>MV-1029</t>
  </si>
  <si>
    <t>MV-1041</t>
  </si>
  <si>
    <t>MV-1005</t>
  </si>
  <si>
    <t>MV-1019</t>
  </si>
  <si>
    <t>MV-1042</t>
  </si>
  <si>
    <t>MV-1002</t>
  </si>
  <si>
    <t>MV-1011</t>
  </si>
  <si>
    <t>MV-1013</t>
  </si>
  <si>
    <t>MV-1035</t>
  </si>
  <si>
    <t>MV-1022</t>
  </si>
  <si>
    <t>MV-1006</t>
  </si>
  <si>
    <t>MV-1017</t>
  </si>
  <si>
    <t>MV-1021</t>
  </si>
  <si>
    <t>MV-1023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</si>
  <si>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</si>
  <si>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</si>
  <si>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</si>
  <si>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</si>
  <si>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</si>
  <si>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</si>
  <si>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MR-1003</t>
  </si>
  <si>
    <t>MR-1008</t>
  </si>
  <si>
    <t>MR-1018</t>
  </si>
  <si>
    <t>MR-1019</t>
  </si>
  <si>
    <t>MR-1026</t>
  </si>
  <si>
    <t>MR-1007</t>
  </si>
  <si>
    <t>MR-1012</t>
  </si>
  <si>
    <t>MR-1036</t>
  </si>
  <si>
    <t>MR-1038</t>
  </si>
  <si>
    <t>MR-1002</t>
  </si>
  <si>
    <t>MR-1013</t>
  </si>
  <si>
    <t>MR-1016</t>
  </si>
  <si>
    <t>MR-1037</t>
  </si>
  <si>
    <t>MR-1041</t>
  </si>
  <si>
    <t>MR-1047</t>
  </si>
  <si>
    <t>MR-1001</t>
  </si>
  <si>
    <t>MR-1017</t>
  </si>
  <si>
    <t>MR-1028</t>
  </si>
  <si>
    <t>MR-1046</t>
  </si>
  <si>
    <t>MR-1006</t>
  </si>
  <si>
    <t>MR-1011</t>
  </si>
  <si>
    <t>MR-1034</t>
  </si>
  <si>
    <t>MR-1023</t>
  </si>
  <si>
    <t>MR-1029</t>
  </si>
  <si>
    <t>MR-1044</t>
  </si>
  <si>
    <t>MR-1010</t>
  </si>
  <si>
    <t>MR-1027</t>
  </si>
  <si>
    <t>MR-1031</t>
  </si>
  <si>
    <t>MR-1004</t>
  </si>
  <si>
    <t>MR-1005</t>
  </si>
  <si>
    <t>MR-1024</t>
  </si>
  <si>
    <t>MR-1030</t>
  </si>
  <si>
    <t>MR-1035</t>
  </si>
  <si>
    <t>MR-1009</t>
  </si>
  <si>
    <t>MR-1020</t>
  </si>
  <si>
    <t>MR-1039</t>
  </si>
  <si>
    <t>MR-1014</t>
  </si>
  <si>
    <t>MR-1015</t>
  </si>
  <si>
    <t>MR-1022</t>
  </si>
  <si>
    <t>MR-1025</t>
  </si>
  <si>
    <t>MR-1032</t>
  </si>
  <si>
    <t>MR-1033</t>
  </si>
  <si>
    <t>MR-1040</t>
  </si>
  <si>
    <t>MR-1042</t>
  </si>
  <si>
    <t>MR-1043</t>
  </si>
  <si>
    <t>MR-1045</t>
  </si>
  <si>
    <t>MR-1021</t>
  </si>
  <si>
    <t>MR-1048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</si>
  <si>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</si>
  <si>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</si>
  <si>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</si>
  <si>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</si>
  <si>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</si>
  <si>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</si>
  <si>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</si>
  <si>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</si>
  <si>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DA-1006</t>
  </si>
  <si>
    <t>Permit Violation</t>
  </si>
  <si>
    <t>1st Offense</t>
  </si>
  <si>
    <t>DA-1009</t>
  </si>
  <si>
    <t>DA-1044</t>
  </si>
  <si>
    <t>PPE Violation</t>
  </si>
  <si>
    <t>DA-1004</t>
  </si>
  <si>
    <t>2nd Offense</t>
  </si>
  <si>
    <t>DA-1029</t>
  </si>
  <si>
    <t>Reckless Behavior</t>
  </si>
  <si>
    <t>3rd Offense</t>
  </si>
  <si>
    <t>DA-1002</t>
  </si>
  <si>
    <t>DA-1025</t>
  </si>
  <si>
    <t>DA-1032</t>
  </si>
  <si>
    <t>Safety Rule Breach</t>
  </si>
  <si>
    <t>DA-1010</t>
  </si>
  <si>
    <t>DA-1013</t>
  </si>
  <si>
    <t>Substance Abuse</t>
  </si>
  <si>
    <t>DA-1014</t>
  </si>
  <si>
    <t>DA-1022</t>
  </si>
  <si>
    <t>DA-1034</t>
  </si>
  <si>
    <t>Unauthorized Work</t>
  </si>
  <si>
    <t>DA-1037</t>
  </si>
  <si>
    <t>DA-1041</t>
  </si>
  <si>
    <t>DA-1043</t>
  </si>
  <si>
    <t>DA-1011</t>
  </si>
  <si>
    <t>DA-1012</t>
  </si>
  <si>
    <t>DA-1031</t>
  </si>
  <si>
    <t>DA-1047</t>
  </si>
  <si>
    <t>DA-1017</t>
  </si>
  <si>
    <t>DA-1021</t>
  </si>
  <si>
    <t>DA-1030</t>
  </si>
  <si>
    <t>DA-1003</t>
  </si>
  <si>
    <t>DA-1018</t>
  </si>
  <si>
    <t>DA-1023</t>
  </si>
  <si>
    <t>DA-1039</t>
  </si>
  <si>
    <t>DA-1045</t>
  </si>
  <si>
    <t>DA-1048</t>
  </si>
  <si>
    <t>DA-1019</t>
  </si>
  <si>
    <t>DA-1026</t>
  </si>
  <si>
    <t>DA-1028</t>
  </si>
  <si>
    <t>DA-1035</t>
  </si>
  <si>
    <t>DA-1038</t>
  </si>
  <si>
    <t>DA-1040</t>
  </si>
  <si>
    <t>DA-1001</t>
  </si>
  <si>
    <t>DA-1005</t>
  </si>
  <si>
    <t>DA-1007</t>
  </si>
  <si>
    <t>DA-1008</t>
  </si>
  <si>
    <t>DA-1020</t>
  </si>
  <si>
    <t>DA-1027</t>
  </si>
  <si>
    <t>DA-1042</t>
  </si>
  <si>
    <t>DA-1015</t>
  </si>
  <si>
    <t>DA-1033</t>
  </si>
  <si>
    <t>DA-1036</t>
  </si>
  <si>
    <t>DA-1046</t>
  </si>
  <si>
    <t>DA-1016</t>
  </si>
  <si>
    <t>DA-1024</t>
  </si>
  <si>
    <t>Case No.</t>
  </si>
  <si>
    <t>Violation Type</t>
  </si>
  <si>
    <t>Employee Name</t>
  </si>
  <si>
    <t>Offense Level</t>
  </si>
  <si>
    <t>🏆  SAFETY AWARDS — DATA ENTRY</t>
  </si>
  <si>
    <t>AW-1004</t>
  </si>
  <si>
    <t>Safety Innovation</t>
  </si>
  <si>
    <t>Gift Voucher</t>
  </si>
  <si>
    <t>AW-1021</t>
  </si>
  <si>
    <t>Zero Incident Award</t>
  </si>
  <si>
    <t>Trophy</t>
  </si>
  <si>
    <t>AW-1034</t>
  </si>
  <si>
    <t>Safe Worker of Month</t>
  </si>
  <si>
    <t>Cash Bonus</t>
  </si>
  <si>
    <t>AW-1008</t>
  </si>
  <si>
    <t>HSE Champion</t>
  </si>
  <si>
    <t>Recognition Letter</t>
  </si>
  <si>
    <t>AW-1014</t>
  </si>
  <si>
    <t>AW-1018</t>
  </si>
  <si>
    <t>AW-1024</t>
  </si>
  <si>
    <t>AW-1041</t>
  </si>
  <si>
    <t>Best Department</t>
  </si>
  <si>
    <t>AW-1020</t>
  </si>
  <si>
    <t>AW-1026</t>
  </si>
  <si>
    <t>AW-1028</t>
  </si>
  <si>
    <t>Best Safety Suggestion</t>
  </si>
  <si>
    <t>AW-1001</t>
  </si>
  <si>
    <t>AW-1013</t>
  </si>
  <si>
    <t>Certificate</t>
  </si>
  <si>
    <t>AW-1016</t>
  </si>
  <si>
    <t>AW-1019</t>
  </si>
  <si>
    <t>AW-1022</t>
  </si>
  <si>
    <t>AW-1035</t>
  </si>
  <si>
    <t>AW-1044</t>
  </si>
  <si>
    <t>AW-1003</t>
  </si>
  <si>
    <t>AW-1005</t>
  </si>
  <si>
    <t>AW-1038</t>
  </si>
  <si>
    <t>AW-1042</t>
  </si>
  <si>
    <t>AW-1006</t>
  </si>
  <si>
    <t>AW-1010</t>
  </si>
  <si>
    <t>AW-1017</t>
  </si>
  <si>
    <t>AW-1029</t>
  </si>
  <si>
    <t>AW-1032</t>
  </si>
  <si>
    <t>AW-1047</t>
  </si>
  <si>
    <t>AW-1007</t>
  </si>
  <si>
    <t>AW-1025</t>
  </si>
  <si>
    <t>AW-1027</t>
  </si>
  <si>
    <t>AW-1015</t>
  </si>
  <si>
    <t>AW-1040</t>
  </si>
  <si>
    <t>AW-1045</t>
  </si>
  <si>
    <t>AW-1048</t>
  </si>
  <si>
    <t>AW-1009</t>
  </si>
  <si>
    <t>AW-1039</t>
  </si>
  <si>
    <t>AW-1002</t>
  </si>
  <si>
    <t>AW-1030</t>
  </si>
  <si>
    <t>AW-1031</t>
  </si>
  <si>
    <t>AW-1033</t>
  </si>
  <si>
    <t>AW-1036</t>
  </si>
  <si>
    <t>AW-1037</t>
  </si>
  <si>
    <t>AW-1046</t>
  </si>
  <si>
    <t>AW-1011</t>
  </si>
  <si>
    <t>AW-1012</t>
  </si>
  <si>
    <t>AW-1023</t>
  </si>
  <si>
    <t>AW-1043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</si>
  <si>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</si>
  <si>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</si>
  <si>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</si>
  <si>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</si>
  <si>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</si>
  <si>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</si>
  <si>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SWA-1001</t>
  </si>
  <si>
    <t>Under Investigation</t>
  </si>
  <si>
    <t>SWA-1015</t>
  </si>
  <si>
    <t>Permanent Fix Applied</t>
  </si>
  <si>
    <t>SWA-1024</t>
  </si>
  <si>
    <t>SWA-1029</t>
  </si>
  <si>
    <t>Resolved</t>
  </si>
  <si>
    <t>SWA-1037</t>
  </si>
  <si>
    <t>SWA-1047</t>
  </si>
  <si>
    <t>SWA-1013</t>
  </si>
  <si>
    <t>SWA-1018</t>
  </si>
  <si>
    <t>SWA-1026</t>
  </si>
  <si>
    <t>SWA-1027</t>
  </si>
  <si>
    <t>SWA-1007</t>
  </si>
  <si>
    <t>SWA-1032</t>
  </si>
  <si>
    <t>SWA-1039</t>
  </si>
  <si>
    <t>SWA-1044</t>
  </si>
  <si>
    <t>SWA-1046</t>
  </si>
  <si>
    <t>SWA-1002</t>
  </si>
  <si>
    <t>SWA-1023</t>
  </si>
  <si>
    <t>SWA-1017</t>
  </si>
  <si>
    <t>SWA-1038</t>
  </si>
  <si>
    <t>SWA-1040</t>
  </si>
  <si>
    <t>SWA-1048</t>
  </si>
  <si>
    <t>SWA-1004</t>
  </si>
  <si>
    <t>SWA-1008</t>
  </si>
  <si>
    <t>SWA-1010</t>
  </si>
  <si>
    <t>SWA-1011</t>
  </si>
  <si>
    <t>SWA-1012</t>
  </si>
  <si>
    <t>SWA-1020</t>
  </si>
  <si>
    <t>SWA-1022</t>
  </si>
  <si>
    <t>SWA-1034</t>
  </si>
  <si>
    <t>SWA-1035</t>
  </si>
  <si>
    <t>SWA-1036</t>
  </si>
  <si>
    <t>SWA-1014</t>
  </si>
  <si>
    <t>SWA-1019</t>
  </si>
  <si>
    <t>SWA-1031</t>
  </si>
  <si>
    <t>SWA-1041</t>
  </si>
  <si>
    <t>SWA-1016</t>
  </si>
  <si>
    <t>SWA-1042</t>
  </si>
  <si>
    <t>SWA-1043</t>
  </si>
  <si>
    <t>SWA-1009</t>
  </si>
  <si>
    <t>SWA-1033</t>
  </si>
  <si>
    <t>SWA-1003</t>
  </si>
  <si>
    <t>SWA-1006</t>
  </si>
  <si>
    <t>SWA-1021</t>
  </si>
  <si>
    <t>SWA-1045</t>
  </si>
  <si>
    <t>SWA-1005</t>
  </si>
  <si>
    <t>SWA-1025</t>
  </si>
  <si>
    <t>SWA-1028</t>
  </si>
  <si>
    <t>SWA-1030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</si>
  <si>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</si>
  <si>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</si>
  <si>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</si>
  <si>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</si>
  <si>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</si>
  <si>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</si>
  <si>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</si>
  <si>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</si>
  <si>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</si>
  <si>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AT-1002</t>
  </si>
  <si>
    <t>Reasonable Suspicion</t>
  </si>
  <si>
    <t>Negative</t>
  </si>
  <si>
    <t>AT-1013</t>
  </si>
  <si>
    <t>Positive</t>
  </si>
  <si>
    <t>AT-1026</t>
  </si>
  <si>
    <t>Random</t>
  </si>
  <si>
    <t>AT-1003</t>
  </si>
  <si>
    <t>AT-1012</t>
  </si>
  <si>
    <t>Post-Incident</t>
  </si>
  <si>
    <t>AT-1014</t>
  </si>
  <si>
    <t>Pre-Shift</t>
  </si>
  <si>
    <t>AT-1040</t>
  </si>
  <si>
    <t>AT-1015</t>
  </si>
  <si>
    <t>AT-1018</t>
  </si>
  <si>
    <t>AT-1020</t>
  </si>
  <si>
    <t>AT-1007</t>
  </si>
  <si>
    <t>AT-1038</t>
  </si>
  <si>
    <t>AT-1044</t>
  </si>
  <si>
    <t>AT-1005</t>
  </si>
  <si>
    <t>AT-1010</t>
  </si>
  <si>
    <t>AT-1025</t>
  </si>
  <si>
    <t>AT-1027</t>
  </si>
  <si>
    <t>AT-1036</t>
  </si>
  <si>
    <t>AT-1039</t>
  </si>
  <si>
    <t>AT-1019</t>
  </si>
  <si>
    <t>AT-1037</t>
  </si>
  <si>
    <t>AT-1001</t>
  </si>
  <si>
    <t>AT-1009</t>
  </si>
  <si>
    <t>AT-1016</t>
  </si>
  <si>
    <t>AT-1030</t>
  </si>
  <si>
    <t>AT-1031</t>
  </si>
  <si>
    <t>AT-1048</t>
  </si>
  <si>
    <t>AT-1017</t>
  </si>
  <si>
    <t>AT-1028</t>
  </si>
  <si>
    <t>AT-1042</t>
  </si>
  <si>
    <t>AT-1008</t>
  </si>
  <si>
    <t>AT-1033</t>
  </si>
  <si>
    <t>AT-1046</t>
  </si>
  <si>
    <t>AT-1006</t>
  </si>
  <si>
    <t>AT-1011</t>
  </si>
  <si>
    <t>AT-1032</t>
  </si>
  <si>
    <t>AT-1034</t>
  </si>
  <si>
    <t>AT-1035</t>
  </si>
  <si>
    <t>AT-1041</t>
  </si>
  <si>
    <t>AT-1004</t>
  </si>
  <si>
    <t>AT-1029</t>
  </si>
  <si>
    <t>AT-1043</t>
  </si>
  <si>
    <t>AT-1045</t>
  </si>
  <si>
    <t>AT-1047</t>
  </si>
  <si>
    <t>AT-1021</t>
  </si>
  <si>
    <t>AT-1022</t>
  </si>
  <si>
    <t>AT-1023</t>
  </si>
  <si>
    <t>AT-1024</t>
  </si>
  <si>
    <t>Test ID</t>
  </si>
  <si>
    <t>Employee Tested</t>
  </si>
  <si>
    <t>Test Type</t>
  </si>
  <si>
    <t>Result</t>
  </si>
  <si>
    <t>Tested By</t>
  </si>
  <si>
    <t>📝  PTW AUDITS — DATA ENTRY</t>
  </si>
  <si>
    <t>PTA-1004</t>
  </si>
  <si>
    <t>Cold Work</t>
  </si>
  <si>
    <t>PTA-1029</t>
  </si>
  <si>
    <t>Lifting</t>
  </si>
  <si>
    <t>PTA-1044</t>
  </si>
  <si>
    <t>PTA-1026</t>
  </si>
  <si>
    <t>PTA-1031</t>
  </si>
  <si>
    <t>PTA-1048</t>
  </si>
  <si>
    <t>PTA-1019</t>
  </si>
  <si>
    <t>PTA-1034</t>
  </si>
  <si>
    <t>PTA-1001</t>
  </si>
  <si>
    <t>PTA-1002</t>
  </si>
  <si>
    <t>Working at Height</t>
  </si>
  <si>
    <t>PTA-1008</t>
  </si>
  <si>
    <t>PTA-1009</t>
  </si>
  <si>
    <t>PTA-1012</t>
  </si>
  <si>
    <t>PTA-1018</t>
  </si>
  <si>
    <t>PTA-1032</t>
  </si>
  <si>
    <t>Electrical</t>
  </si>
  <si>
    <t>PTA-1045</t>
  </si>
  <si>
    <t>PTA-1013</t>
  </si>
  <si>
    <t>Excavation</t>
  </si>
  <si>
    <t>PTA-1021</t>
  </si>
  <si>
    <t>PTA-1023</t>
  </si>
  <si>
    <t>PTA-1024</t>
  </si>
  <si>
    <t>PTA-1036</t>
  </si>
  <si>
    <t>PTA-1047</t>
  </si>
  <si>
    <t>PTA-1014</t>
  </si>
  <si>
    <t>PTA-1028</t>
  </si>
  <si>
    <t>PTA-1030</t>
  </si>
  <si>
    <t>PTA-1039</t>
  </si>
  <si>
    <t>PTA-1006</t>
  </si>
  <si>
    <t>PTA-1016</t>
  </si>
  <si>
    <t>PTA-1020</t>
  </si>
  <si>
    <t>PTA-1037</t>
  </si>
  <si>
    <t>PTA-1007</t>
  </si>
  <si>
    <t>PTA-1027</t>
  </si>
  <si>
    <t>PTA-1046</t>
  </si>
  <si>
    <t>PTA-1042</t>
  </si>
  <si>
    <t>PTA-1043</t>
  </si>
  <si>
    <t>PTA-1010</t>
  </si>
  <si>
    <t>PTA-1011</t>
  </si>
  <si>
    <t>PTA-1025</t>
  </si>
  <si>
    <t>PTA-1038</t>
  </si>
  <si>
    <t>PTA-1040</t>
  </si>
  <si>
    <t>PTA-1041</t>
  </si>
  <si>
    <t>PTA-1017</t>
  </si>
  <si>
    <t>PTA-1022</t>
  </si>
  <si>
    <t>PTA-1003</t>
  </si>
  <si>
    <t>PTA-1005</t>
  </si>
  <si>
    <t>PTA-1015</t>
  </si>
  <si>
    <t>PTA-1033</t>
  </si>
  <si>
    <t>PTA-1035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</si>
  <si>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</si>
  <si>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</si>
  <si>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</si>
  <si>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</si>
  <si>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</si>
  <si>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</si>
  <si>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</si>
  <si>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</si>
  <si>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CA-1013</t>
  </si>
  <si>
    <t>Observation</t>
  </si>
  <si>
    <t>CA-1015</t>
  </si>
  <si>
    <t>Drill Finding</t>
  </si>
  <si>
    <t>CA-1024</t>
  </si>
  <si>
    <t>Management Review</t>
  </si>
  <si>
    <t>CA-1030</t>
  </si>
  <si>
    <t>Audit Finding</t>
  </si>
  <si>
    <t>CA-1035</t>
  </si>
  <si>
    <t>Inspection Finding</t>
  </si>
  <si>
    <t>CA-1020</t>
  </si>
  <si>
    <t>CA-1039</t>
  </si>
  <si>
    <t>Incident Follow-up</t>
  </si>
  <si>
    <t>CA-1003</t>
  </si>
  <si>
    <t>CA-1012</t>
  </si>
  <si>
    <t>CA-1034</t>
  </si>
  <si>
    <t>CA-1038</t>
  </si>
  <si>
    <t>CA-1041</t>
  </si>
  <si>
    <t>CA-1042</t>
  </si>
  <si>
    <t>CA-1007</t>
  </si>
  <si>
    <t>CA-1011</t>
  </si>
  <si>
    <t>CA-1018</t>
  </si>
  <si>
    <t>CA-1044</t>
  </si>
  <si>
    <t>CA-1004</t>
  </si>
  <si>
    <t>CA-1005</t>
  </si>
  <si>
    <t>CA-1010</t>
  </si>
  <si>
    <t>CA-1021</t>
  </si>
  <si>
    <t>CA-1048</t>
  </si>
  <si>
    <t>CA-1002</t>
  </si>
  <si>
    <t>CA-1025</t>
  </si>
  <si>
    <t>CA-1027</t>
  </si>
  <si>
    <t>CA-1040</t>
  </si>
  <si>
    <t>CA-1006</t>
  </si>
  <si>
    <t>CA-1009</t>
  </si>
  <si>
    <t>CA-1022</t>
  </si>
  <si>
    <t>CA-1036</t>
  </si>
  <si>
    <t>CA-1047</t>
  </si>
  <si>
    <t>CA-1001</t>
  </si>
  <si>
    <t>CA-1043</t>
  </si>
  <si>
    <t>CA-1008</t>
  </si>
  <si>
    <t>CA-1014</t>
  </si>
  <si>
    <t>CA-1023</t>
  </si>
  <si>
    <t>CA-1026</t>
  </si>
  <si>
    <t>CA-1033</t>
  </si>
  <si>
    <t>CA-1031</t>
  </si>
  <si>
    <t>CA-1032</t>
  </si>
  <si>
    <t>CA-1037</t>
  </si>
  <si>
    <t>CA-1045</t>
  </si>
  <si>
    <t>CA-1017</t>
  </si>
  <si>
    <t>CA-1029</t>
  </si>
  <si>
    <t>CA-1016</t>
  </si>
  <si>
    <t>CA-1019</t>
  </si>
  <si>
    <t>CA-1028</t>
  </si>
  <si>
    <t>CA-1046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</si>
  <si>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</si>
  <si>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</si>
  <si>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</si>
  <si>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</si>
  <si>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</si>
  <si>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</si>
  <si>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</si>
  <si>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</si>
  <si>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NC-1022</t>
  </si>
  <si>
    <t>NC-1039</t>
  </si>
  <si>
    <t>NC-1041</t>
  </si>
  <si>
    <t>PPE Not Used</t>
  </si>
  <si>
    <t>NC-1003</t>
  </si>
  <si>
    <t>Poor Housekeeping</t>
  </si>
  <si>
    <t>NC-1007</t>
  </si>
  <si>
    <t>NC-1014</t>
  </si>
  <si>
    <t>Inadequate Procedure</t>
  </si>
  <si>
    <t>NC-1029</t>
  </si>
  <si>
    <t>NC-1027</t>
  </si>
  <si>
    <t>Human Error</t>
  </si>
  <si>
    <t>NC-1030</t>
  </si>
  <si>
    <t>NC-1043</t>
  </si>
  <si>
    <t>NC-1005</t>
  </si>
  <si>
    <t>NC-1012</t>
  </si>
  <si>
    <t>NC-1018</t>
  </si>
  <si>
    <t>NC-1020</t>
  </si>
  <si>
    <t>NC-1034</t>
  </si>
  <si>
    <t>NC-1038</t>
  </si>
  <si>
    <t>NC-1046</t>
  </si>
  <si>
    <t>NC-1011</t>
  </si>
  <si>
    <t>NC-1031</t>
  </si>
  <si>
    <t>Equipment Failure</t>
  </si>
  <si>
    <t>NC-1004</t>
  </si>
  <si>
    <t>NC-1010</t>
  </si>
  <si>
    <t>NC-1019</t>
  </si>
  <si>
    <t>NC-1036</t>
  </si>
  <si>
    <t>NC-1040</t>
  </si>
  <si>
    <t>NC-1017</t>
  </si>
  <si>
    <t>Lack of Training</t>
  </si>
  <si>
    <t>NC-1026</t>
  </si>
  <si>
    <t>NC-1047</t>
  </si>
  <si>
    <t>NC-1048</t>
  </si>
  <si>
    <t>NC-1002</t>
  </si>
  <si>
    <t>NC-1013</t>
  </si>
  <si>
    <t>NC-1016</t>
  </si>
  <si>
    <t>NC-1035</t>
  </si>
  <si>
    <t>NC-1042</t>
  </si>
  <si>
    <t>NC-1008</t>
  </si>
  <si>
    <t>NC-1023</t>
  </si>
  <si>
    <t>NC-1033</t>
  </si>
  <si>
    <t>NC-1037</t>
  </si>
  <si>
    <t>NC-1045</t>
  </si>
  <si>
    <t>NC-1006</t>
  </si>
  <si>
    <t>NC-1021</t>
  </si>
  <si>
    <t>NC-1024</t>
  </si>
  <si>
    <t>NC-1032</t>
  </si>
  <si>
    <t>NC-1009</t>
  </si>
  <si>
    <t>NC-1015</t>
  </si>
  <si>
    <t>NC-1044</t>
  </si>
  <si>
    <t>NC-1001</t>
  </si>
  <si>
    <t>NC-1025</t>
  </si>
  <si>
    <t>NC-1028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</si>
  <si>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</si>
  <si>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</si>
  <si>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</si>
  <si>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</si>
  <si>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</si>
  <si>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</si>
  <si>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UA-1011</t>
  </si>
  <si>
    <t>Operating Without Authorization</t>
  </si>
  <si>
    <t>UA-1014</t>
  </si>
  <si>
    <t>Improper Lifting Technique</t>
  </si>
  <si>
    <t>UA-1025</t>
  </si>
  <si>
    <t>Wrong Tool for the Job</t>
  </si>
  <si>
    <t>UA-1037</t>
  </si>
  <si>
    <t>UA-1001</t>
  </si>
  <si>
    <t>Horseplay</t>
  </si>
  <si>
    <t>UA-1022</t>
  </si>
  <si>
    <t>Not Using PPE</t>
  </si>
  <si>
    <t>UA-1036</t>
  </si>
  <si>
    <t>Bypassing Safety Device</t>
  </si>
  <si>
    <t>UA-1047</t>
  </si>
  <si>
    <t>Using Defective Equipment</t>
  </si>
  <si>
    <t>UA-1004</t>
  </si>
  <si>
    <t>UA-1016</t>
  </si>
  <si>
    <t>Working Without Permit</t>
  </si>
  <si>
    <t>UA-1018</t>
  </si>
  <si>
    <t>UA-1027</t>
  </si>
  <si>
    <t>UA-1028</t>
  </si>
  <si>
    <t>UA-1046</t>
  </si>
  <si>
    <t>UA-1002</t>
  </si>
  <si>
    <t>UA-1006</t>
  </si>
  <si>
    <t>UA-1009</t>
  </si>
  <si>
    <t>UA-1015</t>
  </si>
  <si>
    <t>UA-1024</t>
  </si>
  <si>
    <t>UA-1038</t>
  </si>
  <si>
    <t>LOTO Not Followed</t>
  </si>
  <si>
    <t>UA-1023</t>
  </si>
  <si>
    <t>UA-1040</t>
  </si>
  <si>
    <t>UA-1003</t>
  </si>
  <si>
    <t>UA-1013</t>
  </si>
  <si>
    <t>UA-1039</t>
  </si>
  <si>
    <t>UA-1021</t>
  </si>
  <si>
    <t>UA-1026</t>
  </si>
  <si>
    <t>UA-1034</t>
  </si>
  <si>
    <t>UA-1035</t>
  </si>
  <si>
    <t>UA-1007</t>
  </si>
  <si>
    <t>UA-1020</t>
  </si>
  <si>
    <t>UA-1030</t>
  </si>
  <si>
    <t>UA-1043</t>
  </si>
  <si>
    <t>UA-1005</t>
  </si>
  <si>
    <t>UA-1010</t>
  </si>
  <si>
    <t>Vehicle/Forklift Overspeeding</t>
  </si>
  <si>
    <t>UA-1012</t>
  </si>
  <si>
    <t>UA-1017</t>
  </si>
  <si>
    <t>UA-1032</t>
  </si>
  <si>
    <t>UA-1045</t>
  </si>
  <si>
    <t>UA-1048</t>
  </si>
  <si>
    <t>UA-1033</t>
  </si>
  <si>
    <t>UA-1044</t>
  </si>
  <si>
    <t>UA-1019</t>
  </si>
  <si>
    <t>UA-1029</t>
  </si>
  <si>
    <t>UA-1042</t>
  </si>
  <si>
    <t>UA-1008</t>
  </si>
  <si>
    <t>UA-1031</t>
  </si>
  <si>
    <t>UA-1041</t>
  </si>
  <si>
    <t>Report No.</t>
  </si>
  <si>
    <t>Reported By</t>
  </si>
  <si>
    <t>Immediate Action</t>
  </si>
  <si>
    <t>⛔  UNSAFE CONDITIONS — DATA ENTRY</t>
  </si>
  <si>
    <t>UC-1018</t>
  </si>
  <si>
    <t>Chemical Leak</t>
  </si>
  <si>
    <t>UC-1042</t>
  </si>
  <si>
    <t>Inadequate Lighting</t>
  </si>
  <si>
    <t>UC-1003</t>
  </si>
  <si>
    <t>Exposed Wiring</t>
  </si>
  <si>
    <t>UC-1034</t>
  </si>
  <si>
    <t>UC-1043</t>
  </si>
  <si>
    <t>Missing Signage</t>
  </si>
  <si>
    <t>UC-1045</t>
  </si>
  <si>
    <t>Slippery Floor</t>
  </si>
  <si>
    <t>UC-1009</t>
  </si>
  <si>
    <t>UC-1010</t>
  </si>
  <si>
    <t>UC-1019</t>
  </si>
  <si>
    <t>UC-1020</t>
  </si>
  <si>
    <t>UC-1005</t>
  </si>
  <si>
    <t>Blocked Walkway/Aisle</t>
  </si>
  <si>
    <t>UC-1007</t>
  </si>
  <si>
    <t>Faulty Ladder/Scaffold</t>
  </si>
  <si>
    <t>UC-1023</t>
  </si>
  <si>
    <t>Damaged Machine Guard</t>
  </si>
  <si>
    <t>UC-1026</t>
  </si>
  <si>
    <t>UC-1031</t>
  </si>
  <si>
    <t>Blocked Fire Exit</t>
  </si>
  <si>
    <t>UC-1024</t>
  </si>
  <si>
    <t>UC-1025</t>
  </si>
  <si>
    <t>UC-1028</t>
  </si>
  <si>
    <t>UC-1036</t>
  </si>
  <si>
    <t>UC-1004</t>
  </si>
  <si>
    <t>UC-1032</t>
  </si>
  <si>
    <t>UC-1039</t>
  </si>
  <si>
    <t>UC-1011</t>
  </si>
  <si>
    <t>UC-1012</t>
  </si>
  <si>
    <t>UC-1013</t>
  </si>
  <si>
    <t>UC-1021</t>
  </si>
  <si>
    <t>UC-1030</t>
  </si>
  <si>
    <t>UC-1037</t>
  </si>
  <si>
    <t>UC-1044</t>
  </si>
  <si>
    <t>UC-1017</t>
  </si>
  <si>
    <t>UC-1033</t>
  </si>
  <si>
    <t>UC-1035</t>
  </si>
  <si>
    <t>UC-1041</t>
  </si>
  <si>
    <t>UC-1048</t>
  </si>
  <si>
    <t>UC-1006</t>
  </si>
  <si>
    <t>UC-1022</t>
  </si>
  <si>
    <t>UC-1047</t>
  </si>
  <si>
    <t>UC-1002</t>
  </si>
  <si>
    <t>UC-1014</t>
  </si>
  <si>
    <t>UC-1029</t>
  </si>
  <si>
    <t>UC-1038</t>
  </si>
  <si>
    <t>UC-1040</t>
  </si>
  <si>
    <t>UC-1046</t>
  </si>
  <si>
    <t>UC-1008</t>
  </si>
  <si>
    <t>UC-1015</t>
  </si>
  <si>
    <t>UC-1001</t>
  </si>
  <si>
    <t>UC-1016</t>
  </si>
  <si>
    <t>UC-1027</t>
  </si>
  <si>
    <t>🔥  INCIDENT — DATA ENTRY</t>
  </si>
  <si>
    <t>INC-1003</t>
  </si>
  <si>
    <t>W4</t>
  </si>
  <si>
    <t>Q1</t>
  </si>
  <si>
    <t>FY2026-2027</t>
  </si>
  <si>
    <t>PET Line</t>
  </si>
  <si>
    <t>Shift C</t>
  </si>
  <si>
    <t>Vehicle</t>
  </si>
  <si>
    <t>Near Miss</t>
  </si>
  <si>
    <t>Employee</t>
  </si>
  <si>
    <t>Multiple</t>
  </si>
  <si>
    <t>INC-1023</t>
  </si>
  <si>
    <t>W1</t>
  </si>
  <si>
    <t>Line 3</t>
  </si>
  <si>
    <t>Environmental</t>
  </si>
  <si>
    <t>Visitor</t>
  </si>
  <si>
    <t>Foot/Leg</t>
  </si>
  <si>
    <t>INC-1024</t>
  </si>
  <si>
    <t>W3</t>
  </si>
  <si>
    <t>Line 4</t>
  </si>
  <si>
    <t>Injury/Illness</t>
  </si>
  <si>
    <t>First Aid</t>
  </si>
  <si>
    <t>Third Party</t>
  </si>
  <si>
    <t>INC-1009</t>
  </si>
  <si>
    <t>INC-1011</t>
  </si>
  <si>
    <t>Can Line</t>
  </si>
  <si>
    <t>Fire</t>
  </si>
  <si>
    <t>Torso</t>
  </si>
  <si>
    <t>INC-1013</t>
  </si>
  <si>
    <t>Property Damage</t>
  </si>
  <si>
    <t>INC-1017</t>
  </si>
  <si>
    <t>INC-1043</t>
  </si>
  <si>
    <t>W2</t>
  </si>
  <si>
    <t>Line 1</t>
  </si>
  <si>
    <t>Shift B</t>
  </si>
  <si>
    <t>Hand/Finger</t>
  </si>
  <si>
    <t>INC-1006</t>
  </si>
  <si>
    <t>Arm</t>
  </si>
  <si>
    <t>INC-1025</t>
  </si>
  <si>
    <t>INC-1030</t>
  </si>
  <si>
    <t>INC-1048</t>
  </si>
  <si>
    <t>INC-1020</t>
  </si>
  <si>
    <t>Q2</t>
  </si>
  <si>
    <t>Shift A</t>
  </si>
  <si>
    <t>INC-1027</t>
  </si>
  <si>
    <t>Medical Treatment</t>
  </si>
  <si>
    <t>INC-1039</t>
  </si>
  <si>
    <t>INC-1042</t>
  </si>
  <si>
    <t>Back</t>
  </si>
  <si>
    <t>INC-1007</t>
  </si>
  <si>
    <t>Restricted Work</t>
  </si>
  <si>
    <t>INC-1012</t>
  </si>
  <si>
    <t>Eye</t>
  </si>
  <si>
    <t>INC-1021</t>
  </si>
  <si>
    <t>INC-1029</t>
  </si>
  <si>
    <t>Line 2</t>
  </si>
  <si>
    <t>INC-1033</t>
  </si>
  <si>
    <t>INC-1035</t>
  </si>
  <si>
    <t>Fatality</t>
  </si>
  <si>
    <t>INC-1036</t>
  </si>
  <si>
    <t>INC-1038</t>
  </si>
  <si>
    <t>INC-1040</t>
  </si>
  <si>
    <t>INC-1044</t>
  </si>
  <si>
    <t>INC-1045</t>
  </si>
  <si>
    <t>INC-1002</t>
  </si>
  <si>
    <t>INC-1018</t>
  </si>
  <si>
    <t>INC-1026</t>
  </si>
  <si>
    <t>INC-1008</t>
  </si>
  <si>
    <t>Q3</t>
  </si>
  <si>
    <t>INC-1046</t>
  </si>
  <si>
    <t>INC-1005</t>
  </si>
  <si>
    <t>INC-1010</t>
  </si>
  <si>
    <t>INC-1037</t>
  </si>
  <si>
    <t>INC-1041</t>
  </si>
  <si>
    <t>INC-1004</t>
  </si>
  <si>
    <t>Head</t>
  </si>
  <si>
    <t>INC-1028</t>
  </si>
  <si>
    <t>INC-1031</t>
  </si>
  <si>
    <t>INC-1001</t>
  </si>
  <si>
    <t>Q4</t>
  </si>
  <si>
    <t>INC-1016</t>
  </si>
  <si>
    <t>INC-1014</t>
  </si>
  <si>
    <t>INC-1015</t>
  </si>
  <si>
    <t>INC-1019</t>
  </si>
  <si>
    <t>INC-1032</t>
  </si>
  <si>
    <t>INC-1034</t>
  </si>
  <si>
    <t>INC-1022</t>
  </si>
  <si>
    <t>Lost Time Injury</t>
  </si>
  <si>
    <t>INC-1047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</si>
  <si>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</si>
  <si>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</si>
  <si>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</si>
  <si>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</si>
  <si>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</si>
  <si>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</si>
  <si>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</si>
  <si>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</si>
  <si>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</si>
  <si>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</si>
  <si>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</si>
  <si>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</si>
  <si>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</si>
  <si>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</si>
  <si>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</si>
  <si>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</si>
  <si>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</si>
  <si>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</si>
  <si>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</si>
  <si>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</si>
  <si>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</si>
  <si>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</si>
  <si>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</si>
  <si>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</si>
  <si>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</si>
  <si>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</si>
  <si>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</si>
  <si>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</si>
  <si>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</si>
  <si>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</si>
  <si>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</si>
  <si>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</si>
  <si>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</si>
  <si>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</si>
  <si>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</si>
  <si>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</si>
  <si>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</si>
  <si>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Total Man-Hours Worked (annual)</t>
  </si>
  <si>
    <t>Avg employees × hours worked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</si>
  <si>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</si>
  <si>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</si>
  <si>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</si>
  <si>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</si>
  <si>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</si>
  <si>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</si>
  <si>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</si>
  <si>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</si>
  <si>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</si>
  <si>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TRIR Target (max acceptable)</t>
  </si>
  <si>
    <t>Green if actual ≤ target</t>
  </si>
  <si>
    <t>RAG Amber band (fraction of target)</t>
  </si>
  <si>
    <t>Below this vs target = Red</t>
  </si>
  <si>
    <t>❓  Help &amp; User Guide — Integrated EHS Management System</t>
  </si>
  <si>
    <t>⌂ Back to Home</t>
  </si>
  <si>
    <t>Purpose</t>
  </si>
  <si>
    <t>Single-workbook EHS system: 24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</si>
  <si>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</si>
  <si>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</si>
  <si>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</si>
  <si>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</si>
  <si>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</si>
  <si>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</si>
  <si>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</si>
  <si>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</si>
  <si>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</si>
  <si>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</si>
  <si>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</si>
  <si>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</si>
  <si>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</si>
  <si>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</si>
  <si>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</si>
  <si>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</si>
  <si>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</si>
  <si>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</si>
  <si>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</si>
  <si>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</si>
  <si>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</si>
  <si>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</si>
  <si>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</si>
  <si>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</si>
  <si>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</si>
  <si>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</si>
  <si>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</si>
  <si>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</si>
  <si>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</si>
  <si>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</si>
  <si>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</si>
  <si>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</si>
  <si>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</si>
  <si>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</si>
  <si>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</si>
  <si>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</si>
  <si>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</si>
  <si>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</si>
  <si>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</si>
  <si>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</si>
  <si>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</si>
  <si>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</si>
  <si>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</si>
  <si>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</si>
  <si>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</si>
  <si>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</si>
  <si>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</si>
  <si>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</si>
  <si>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</si>
  <si>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</si>
  <si>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</si>
  <si>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</si>
  <si>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</si>
  <si>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</si>
  <si>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</si>
  <si>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ua_m</t>
  </si>
  <si>
    <t>uc_m</t>
  </si>
  <si>
    <t>toolbox_att_actual</t>
  </si>
  <si>
    <t>toolbox_att_target</t>
  </si>
  <si>
    <t>jsa_approved</t>
  </si>
  <si>
    <t>wpinsp_total</t>
  </si>
  <si>
    <t>wpinsp_closed</t>
  </si>
  <si>
    <t>eqinsp_total</t>
  </si>
  <si>
    <t>eqinsp_critical</t>
  </si>
  <si>
    <t>walk_total</t>
  </si>
  <si>
    <t>meetings_raised</t>
  </si>
  <si>
    <t>meetings_closed</t>
  </si>
  <si>
    <t>bulletins_total</t>
  </si>
  <si>
    <t>bulletins_target</t>
  </si>
  <si>
    <t>bulletins_actual</t>
  </si>
  <si>
    <t>drills_target</t>
  </si>
  <si>
    <t>drills_actual</t>
  </si>
  <si>
    <t>iaudit_total</t>
  </si>
  <si>
    <t>iaudit_nc</t>
  </si>
  <si>
    <t>eaudit_total</t>
  </si>
  <si>
    <t>eaudit_nc</t>
  </si>
  <si>
    <t>mgmtvisit_total</t>
  </si>
  <si>
    <t>mgmtvisit_raised</t>
  </si>
  <si>
    <t>mgmtvisit_closed</t>
  </si>
  <si>
    <t>mgmtreview_total</t>
  </si>
  <si>
    <t>mgmtreview_attended</t>
  </si>
  <si>
    <t>mgmtreview_invited</t>
  </si>
  <si>
    <t>awards_total</t>
  </si>
  <si>
    <t>swa_total</t>
  </si>
  <si>
    <t>alcohol_total</t>
  </si>
  <si>
    <t>alcohol_positive</t>
  </si>
  <si>
    <t>unsafeact_total</t>
  </si>
  <si>
    <t>unsafeact_closed</t>
  </si>
  <si>
    <t>unsafecond_total</t>
  </si>
  <si>
    <t>unsafecond_closed</t>
  </si>
  <si>
    <t>nc_total</t>
  </si>
  <si>
    <t>nc_closed</t>
  </si>
  <si>
    <t>trir_m</t>
  </si>
  <si>
    <t>ltifr_m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</si>
  <si>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</si>
  <si>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</si>
  <si>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</si>
  <si>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</si>
  <si>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</si>
  <si>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</si>
  <si>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</si>
  <si>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</si>
  <si>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</si>
  <si>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</si>
  <si>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NC Closure</t>
  </si>
  <si>
    <t>Alcohol Positive %</t>
  </si>
  <si>
    <t>Toolbox Talks</t>
  </si>
  <si>
    <t>Leading</t>
  </si>
  <si>
    <t>Toolbox Avg Attendance</t>
  </si>
  <si>
    <t>JSA Assessments</t>
  </si>
  <si>
    <t>JSA % Approved</t>
  </si>
  <si>
    <t>Trainings</t>
  </si>
  <si>
    <t>Training Compliance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</si>
  <si>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</si>
  <si>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</si>
  <si>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</si>
  <si>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</si>
  <si>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</si>
  <si>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</si>
  <si>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</si>
  <si>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</si>
  <si>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</si>
  <si>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</si>
  <si>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</si>
  <si>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</si>
  <si>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</si>
  <si>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</si>
  <si>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</si>
  <si>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</si>
  <si>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</si>
  <si>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</si>
  <si>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</si>
  <si>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</si>
  <si>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</si>
  <si>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</si>
  <si>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</si>
  <si>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</si>
  <si>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</si>
  <si>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</si>
  <si>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</si>
  <si>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</si>
  <si>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</si>
  <si>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</si>
  <si>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</si>
  <si>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</si>
  <si>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Gauge helpers</t>
  </si>
  <si>
    <t>Training</t>
  </si>
  <si>
    <t>PTW Audit</t>
  </si>
  <si>
    <t>Inspection</t>
  </si>
  <si>
    <t>Statutory</t>
  </si>
  <si>
    <t>Incident Pyramid (period)</t>
  </si>
  <si>
    <t>Count</t>
  </si>
  <si>
    <t>At-Risk Obs</t>
  </si>
  <si>
    <t>Leading Activity</t>
  </si>
  <si>
    <t>Toolbox</t>
  </si>
  <si>
    <t>Inspections</t>
  </si>
  <si>
    <t>Audits</t>
  </si>
  <si>
    <t>Drills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</si>
  <si>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</si>
  <si>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</si>
  <si>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</si>
  <si>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</si>
  <si>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</si>
  <si>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</si>
  <si>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</si>
  <si>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</si>
  <si>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</si>
  <si>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</si>
  <si>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CROSS-TRACKER ANALYTICS  (filtered by Register Month &amp; Department)</t>
  </si>
  <si>
    <t>Adj</t>
  </si>
  <si>
    <t>Sorted Cause</t>
  </si>
  <si>
    <t>Sorted Count</t>
  </si>
  <si>
    <t>Cumulative %</t>
  </si>
  <si>
    <t>Score</t>
  </si>
  <si>
    <t>L \ Dept</t>
  </si>
  <si>
    <t>Operatio</t>
  </si>
  <si>
    <t>Maintena</t>
  </si>
  <si>
    <t>Engineer</t>
  </si>
  <si>
    <t>Construc</t>
  </si>
  <si>
    <t>Logistic</t>
  </si>
  <si>
    <t>Top 10 Unsafe Act</t>
  </si>
  <si>
    <t>Rank Item</t>
  </si>
  <si>
    <t>Rank Count</t>
  </si>
  <si>
    <t>Top 10 Unsafe Condition</t>
  </si>
  <si>
    <t>Top 10 High-Risk Area</t>
  </si>
  <si>
    <t>Radar Metric</t>
  </si>
  <si>
    <t>Value</t>
  </si>
  <si>
    <t>Workplace Insp.</t>
  </si>
  <si>
    <t>NC Mgmt</t>
  </si>
  <si>
    <t>▸ Toolbox Talks</t>
  </si>
  <si>
    <t>Total Records</t>
  </si>
  <si>
    <t>Avg Attendance %</t>
  </si>
  <si>
    <t>Total Duration (min)</t>
  </si>
  <si>
    <t>Action Required = Yes</t>
  </si>
  <si>
    <t>Records</t>
  </si>
  <si>
    <t>Metric</t>
  </si>
  <si>
    <t>YTD</t>
  </si>
  <si>
    <t>▸ JSA Risk Assessment</t>
  </si>
  <si>
    <t>Closed / Completed</t>
  </si>
  <si>
    <t>Open / Pending</t>
  </si>
  <si>
    <t>High/Critical Risk</t>
  </si>
  <si>
    <t>Closed %</t>
  </si>
  <si>
    <t>Closed/Completed %</t>
  </si>
  <si>
    <t>▸ Training</t>
  </si>
  <si>
    <t>Total Duration (hrs)</t>
  </si>
  <si>
    <t>Certificates Issued</t>
  </si>
  <si>
    <t>Assessment Pass</t>
  </si>
  <si>
    <t>▸ HSE Observations</t>
  </si>
  <si>
    <t>Critical/High Risk</t>
  </si>
  <si>
    <t>▸ Workplace Inspections</t>
  </si>
  <si>
    <t>Avg Checkpoints</t>
  </si>
  <si>
    <t>▸ Equipment Inspections</t>
  </si>
  <si>
    <t>▸ Safety Walkthroughs</t>
  </si>
  <si>
    <t>▸ Safety Meetings</t>
  </si>
  <si>
    <t>Avg Close-out %</t>
  </si>
  <si>
    <t>▸ Safety Bulletins</t>
  </si>
  <si>
    <t>Avg Reach %</t>
  </si>
  <si>
    <t>Critical/High Priority</t>
  </si>
  <si>
    <t>▸ Emergency Drills</t>
  </si>
  <si>
    <t>Avg Participation %</t>
  </si>
  <si>
    <t>Avg Response (min)</t>
  </si>
  <si>
    <t>Excellent/Good Rating</t>
  </si>
  <si>
    <t>▸ Internal Audits</t>
  </si>
  <si>
    <t>Avg Checklist Items</t>
  </si>
  <si>
    <t>▸ External Audits</t>
  </si>
  <si>
    <t>▸ Management Visits</t>
  </si>
  <si>
    <t>▸ Management Reviews</t>
  </si>
  <si>
    <t>▸ Disciplinary Actions</t>
  </si>
  <si>
    <t>Suspension/Termination</t>
  </si>
  <si>
    <t>▸ Safety Awards</t>
  </si>
  <si>
    <t>Presented</t>
  </si>
  <si>
    <t>▸ Stop Work Authority</t>
  </si>
  <si>
    <t>Avg Downtime (min)</t>
  </si>
  <si>
    <t>Critical/High Severity</t>
  </si>
  <si>
    <t>Investigated</t>
  </si>
  <si>
    <t>▸ Alcohol Tests</t>
  </si>
  <si>
    <t>Positive Results</t>
  </si>
  <si>
    <t>▸ PTW Audits</t>
  </si>
  <si>
    <t>Avg Compliance %</t>
  </si>
  <si>
    <t>▸ Corrective Actions</t>
  </si>
  <si>
    <t>On-Time</t>
  </si>
  <si>
    <t>▸ NC Management</t>
  </si>
  <si>
    <t>▸ Unsafe Acts</t>
  </si>
  <si>
    <t>▸ Unsafe Conditions</t>
  </si>
  <si>
    <t>▸ Incident</t>
  </si>
  <si>
    <t>Total Lost Days</t>
  </si>
  <si>
    <t>RCPL INTEGRATED EHS MANAGEMENT SYSTEM</t>
  </si>
  <si>
    <t>Reliance Consumer Products Ltd  ·  Campa Cola CSD Plant  ·  24 Registers · 24 Dashboards</t>
  </si>
  <si>
    <t>Last Refresh:</t>
  </si>
  <si>
    <t>EXECUTIVE VIEWS</t>
  </si>
  <si>
    <t>🏆  EXECUTIVE DASHBOARD</t>
  </si>
  <si>
    <t>🧭  LEADERSHIP REVIEW</t>
  </si>
  <si>
    <t>TRACKER REGISTERS &amp; DASHBOARDS  (click either link)</t>
  </si>
  <si>
    <t>🗣️  Toolbox Talks</t>
  </si>
  <si>
    <t>Register</t>
  </si>
  <si>
    <t>Dashboard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</si>
  <si>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</si>
  <si>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</si>
  <si>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</si>
  <si>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</si>
  <si>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</si>
  <si>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</si>
  <si>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</si>
  <si>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</si>
  <si>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</si>
  <si>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</si>
  <si>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</si>
  <si>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</si>
  <si>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</si>
  <si>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</si>
  <si>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</si>
  <si>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</si>
  <si>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</si>
  <si>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</si>
  <si>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</si>
  <si>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</si>
  <si>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</si>
  <si>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</si>
  <si>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</si>
  <si>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DATA &amp; CONFIGURATION</t>
  </si>
  <si>
    <t>Master Data</t>
  </si>
  <si>
    <t>Settings</t>
  </si>
  <si>
    <t>Help</t>
  </si>
  <si>
    <t>Calculations</t>
  </si>
  <si>
    <t>Incident Register</t>
  </si>
  <si>
    <t>Fully dynamic: every KPI, chart and RAG status recalculates automatically from the 24 registers. Set your man-hours &amp; targets on the Settings sheet, choose a Period (month/quarter) &amp; Department on the Executive Dashboard, add rows to any register and click ⟳ Refresh — no manual updates required.</t>
  </si>
  <si>
    <t>🏆  EXECUTIVE EHS DASHBOARD</t>
  </si>
  <si>
    <t>All 24 trackers  ·  Leading vs Lagging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</si>
  <si>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</si>
  <si>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</si>
  <si>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</si>
  <si>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</si>
  <si>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</si>
  <si>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Period</t>
  </si>
  <si>
    <t>Register Month</t>
  </si>
  <si>
    <t>Period drives the KPI wall vs prior. Register Month drives cross-tracker analytics &amp; all 24 tracker dashboards.</t>
  </si>
  <si>
    <t>🟥  LAGGING INDICATORS  —  reactive outcomes (lower is better)  ·  click a card to drill down</t>
  </si>
  <si>
    <t>TOTAL INCIDENTS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</si>
  <si>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</si>
  <si>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</si>
  <si>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</si>
  <si>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</si>
  <si>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</si>
  <si>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</si>
  <si>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</si>
  <si>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NC CLOSURE</t>
  </si>
  <si>
    <t>ALCOHOL POSITIVE %</t>
  </si>
  <si>
    <t>🟩  LEADING INDICATORS  —  proactive activity across all trackers (higher is better)  ·  click a card to drill down</t>
  </si>
  <si>
    <t>TOOLBOX TALKS</t>
  </si>
  <si>
    <t>TOOLBOX AVG ATTENDANCE</t>
  </si>
  <si>
    <t>JSA ASSESSMENTS</t>
  </si>
  <si>
    <t>JSA % APPROVED</t>
  </si>
  <si>
    <t>TRAININGS</t>
  </si>
  <si>
    <t>TRAINING COMPLIANCE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</si>
  <si>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</si>
  <si>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</si>
  <si>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</si>
  <si>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</si>
  <si>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</si>
  <si>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</si>
  <si>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</si>
  <si>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</si>
  <si>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</si>
  <si>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</si>
  <si>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</si>
  <si>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</si>
  <si>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</si>
  <si>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</si>
  <si>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</si>
  <si>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</si>
  <si>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</si>
  <si>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</si>
  <si>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</si>
  <si>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</si>
  <si>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</si>
  <si>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</si>
  <si>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</si>
  <si>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</si>
  <si>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</si>
  <si>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</si>
  <si>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</si>
  <si>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</si>
  <si>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</si>
  <si>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</si>
  <si>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</si>
  <si>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</si>
  <si>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MONTHLY TRENDS</t>
  </si>
  <si>
    <t>RISK PROFILE &amp; TOP-10 ANALYSIS</t>
  </si>
  <si>
    <t>Risk Heat Map (Risk Level × Department) — see 'Calculations' sheet, range: Calculations!C98:H101 (auto colour-scaled green→red)</t>
  </si>
  <si>
    <t>COMPLIANCE GAUGES  ·  cross-tracker leading vs lagging</t>
  </si>
  <si>
    <t>RAG COMPLIANCE SCORECARD</t>
  </si>
  <si>
    <t>Actual</t>
  </si>
  <si>
    <t>Target</t>
  </si>
  <si>
    <t>🧭  EXECUTIVE LEADERSHIP REVIEW</t>
  </si>
  <si>
    <t>Monthly corporate safety scorecard  ·  prepared for Plant Head</t>
  </si>
  <si>
    <t>CORPORATE SAFETY SCORECARD</t>
  </si>
  <si>
    <t>OBS CLOSURE %</t>
  </si>
  <si>
    <t>TRAINING %</t>
  </si>
  <si>
    <t>CA CLOSURE %</t>
  </si>
  <si>
    <t>INCIDENT PROFILE &amp; LEADING ACTIVITY</t>
  </si>
  <si>
    <t>🗣️  TOOLBOX TALKS PERFORMANCE</t>
  </si>
  <si>
    <t>Live data from the Toolbox Talks register  ·  filtered by Register Month &amp; Department</t>
  </si>
  <si>
    <t>◀ Register</t>
  </si>
  <si>
    <t>KEY METRICS</t>
  </si>
  <si>
    <t>TOTAL RECORDS</t>
  </si>
  <si>
    <t>live · auto-calculated</t>
  </si>
  <si>
    <t>AVG ATTENDANCE %</t>
  </si>
  <si>
    <t>TOTAL DURATION (MIN)</t>
  </si>
  <si>
    <t>ACTION REQUIRED = YES</t>
  </si>
  <si>
    <t>MONTHLY VOLUME &amp; CATEGORY BREAKDOWN</t>
  </si>
  <si>
    <t>DEPARTMENT PERFORMANCE</t>
  </si>
  <si>
    <t>Department table → Calculations sheet, row 148:</t>
  </si>
  <si>
    <t>MONTHLY PERFORMANCE MATRIX</t>
  </si>
  <si>
    <t>⚠️  JSA RISK ASSESSMENT PERFORMANCE</t>
  </si>
  <si>
    <t>Live data from the JSA Risk Assessment register  ·  filtered by Register Month &amp; Department</t>
  </si>
  <si>
    <t>CLOSED / COMPLETED</t>
  </si>
  <si>
    <t>OPEN / PENDING</t>
  </si>
  <si>
    <t>HAZARDS IDENTIFIED</t>
  </si>
  <si>
    <t>HIGH/CRITICAL RISK</t>
  </si>
  <si>
    <t>Department table → Calculations sheet, row 174:</t>
  </si>
  <si>
    <t>🎓  TRAINING PERFORMANCE</t>
  </si>
  <si>
    <t>Live data from the Training register  ·  filtered by Register Month &amp; Department</t>
  </si>
  <si>
    <t>OVERDUE</t>
  </si>
  <si>
    <t>TOTAL DURATION (HRS)</t>
  </si>
  <si>
    <t>CERTIFICATES ISSUED</t>
  </si>
  <si>
    <t>ASSESSMENT PASS</t>
  </si>
  <si>
    <t>Department table → Calculations sheet, row 200:</t>
  </si>
  <si>
    <t>👁️  HSE OBSERVATIONS PERFORMANCE</t>
  </si>
  <si>
    <t>Live data from the HSE Observations register  ·  filtered by Register Month &amp; Department</t>
  </si>
  <si>
    <t>CRITICAL/HIGH RISK</t>
  </si>
  <si>
    <t>Department table → Calculations sheet, row 226:</t>
  </si>
  <si>
    <t>🔍  WORKPLACE INSPECTIONS PERFORMANCE</t>
  </si>
  <si>
    <t>Live data from the Workplace Inspections register  ·  filtered by Register Month &amp; Department</t>
  </si>
  <si>
    <t>NON-CONFORMANCES</t>
  </si>
  <si>
    <t>CRITICAL FINDINGS</t>
  </si>
  <si>
    <t>AVG CHECKPOINTS</t>
  </si>
  <si>
    <t>Department table → Calculations sheet, row 252:</t>
  </si>
  <si>
    <t>🛠️  EQUIPMENT INSPECTIONS PERFORMANCE</t>
  </si>
  <si>
    <t>Live data from the Equipment Inspections register  ·  filtered by Register Month &amp; Department</t>
  </si>
  <si>
    <t>Department table → Calculations sheet, row 278:</t>
  </si>
  <si>
    <t>🚶  SAFETY WALKTHROUGHS PERFORMANCE</t>
  </si>
  <si>
    <t>Live data from the Safety Walkthroughs register  ·  filtered by Register Month &amp; Department</t>
  </si>
  <si>
    <t>Department table → Calculations sheet, row 304:</t>
  </si>
  <si>
    <t>👥  SAFETY MEETINGS PERFORMANCE</t>
  </si>
  <si>
    <t>Live data from the Safety Meetings register  ·  filtered by Register Month &amp; Department</t>
  </si>
  <si>
    <t>AVG CLOSE-OUT %</t>
  </si>
  <si>
    <t>ACTIONS RAISED</t>
  </si>
  <si>
    <t>Department table → Calculations sheet, row 330:</t>
  </si>
  <si>
    <t>📢  SAFETY BULLETINS PERFORMANCE</t>
  </si>
  <si>
    <t>Live data from the Safety Bulletins register  ·  filtered by Register Month &amp; Department</t>
  </si>
  <si>
    <t>AVG REACH %</t>
  </si>
  <si>
    <t>CRITICAL/HIGH PRIORITY</t>
  </si>
  <si>
    <t>🚨  EMERGENCY DRILLS PERFORMANCE</t>
  </si>
  <si>
    <t>Live data from the Emergency Drills register  ·  filtered by Register Month &amp; Department</t>
  </si>
  <si>
    <t>AVG PARTICIPATION %</t>
  </si>
  <si>
    <t>AVG RESPONSE (MIN)</t>
  </si>
  <si>
    <t>EXCELLENT/GOOD RATING</t>
  </si>
  <si>
    <t>📋  INTERNAL AUDITS PERFORMANCE</t>
  </si>
  <si>
    <t>Live data from the Internal Audits register  ·  filtered by Register Month &amp; Department</t>
  </si>
  <si>
    <t>MINOR NC</t>
  </si>
  <si>
    <t>MAJOR NC</t>
  </si>
  <si>
    <t>AVG CHECKLIST ITEMS</t>
  </si>
  <si>
    <t>Department table → Calculations sheet, row 408:</t>
  </si>
  <si>
    <t>🏛️  EXTERNAL AUDITS PERFORMANCE</t>
  </si>
  <si>
    <t>Live data from the External Audits register  ·  filtered by Register Month &amp; Department</t>
  </si>
  <si>
    <t>Department table → Calculations sheet, row 434:</t>
  </si>
  <si>
    <t>🤝  MANAGEMENT VISITS PERFORMANCE</t>
  </si>
  <si>
    <t>Live data from the Management Visits register  ·  filtered by Register Month &amp; Department</t>
  </si>
  <si>
    <t>Department table → Calculations sheet, row 460:</t>
  </si>
  <si>
    <t>🧭  MANAGEMENT REVIEWS PERFORMANCE</t>
  </si>
  <si>
    <t>Live data from the Management Reviews register  ·  filtered by Register Month &amp; Department</t>
  </si>
  <si>
    <t>DECISIONS MADE</t>
  </si>
  <si>
    <t>ACTIONS ASSIGNED</t>
  </si>
  <si>
    <t>⚖️  DISCIPLINARY ACTIONS PERFORMANCE</t>
  </si>
  <si>
    <t>Live data from the Disciplinary Actions register  ·  filtered by Register Month &amp; Department</t>
  </si>
  <si>
    <t>3RD OFFENSE</t>
  </si>
  <si>
    <t>SUSPENSION/TERMINATION</t>
  </si>
  <si>
    <t>Department table → Calculations sheet, row 512:</t>
  </si>
  <si>
    <t>🏆  SAFETY AWARDS PERFORMANCE</t>
  </si>
  <si>
    <t>Live data from the Safety Awards register  ·  filtered by Register Month &amp; Department</t>
  </si>
  <si>
    <t>PRESENTED</t>
  </si>
  <si>
    <t>Department table → Calculations sheet, row 538:</t>
  </si>
  <si>
    <t>✋  STOP WORK AUTHORITY PERFORMANCE</t>
  </si>
  <si>
    <t>Live data from the Stop Work Authority register  ·  filtered by Register Month &amp; Department</t>
  </si>
  <si>
    <t>AVG DOWNTIME (MIN)</t>
  </si>
  <si>
    <t>CRITICAL/HIGH SEVERITY</t>
  </si>
  <si>
    <t>INVESTIGATED</t>
  </si>
  <si>
    <t>Department table → Calculations sheet, row 564:</t>
  </si>
  <si>
    <t>🧪  ALCOHOL TESTS PERFORMANCE</t>
  </si>
  <si>
    <t>Live data from the Alcohol Tests register  ·  filtered by Register Month &amp; Department</t>
  </si>
  <si>
    <t>POSITIVE RESULTS</t>
  </si>
  <si>
    <t>Department table → Calculations sheet, row 590:</t>
  </si>
  <si>
    <t>📝  PTW AUDITS PERFORMANCE</t>
  </si>
  <si>
    <t>Live data from the PTW Audits register  ·  filtered by Register Month &amp; Department</t>
  </si>
  <si>
    <t>AVG COMPLIANCE %</t>
  </si>
  <si>
    <t>DEVIATIONS FOUND</t>
  </si>
  <si>
    <t>Department table → Calculations sheet, row 616:</t>
  </si>
  <si>
    <t>🔧  CORRECTIVE ACTIONS PERFORMANCE</t>
  </si>
  <si>
    <t>Live data from the Corrective Actions register  ·  filtered by Register Month &amp; Department</t>
  </si>
  <si>
    <t>ON-TIME</t>
  </si>
  <si>
    <t>Department table → Calculations sheet, row 642:</t>
  </si>
  <si>
    <t>🚩  NC MANAGEMENT PERFORMANCE</t>
  </si>
  <si>
    <t>Live data from the NC Management register  ·  filtered by Register Month &amp; Department</t>
  </si>
  <si>
    <t>Department table → Calculations sheet, row 668:</t>
  </si>
  <si>
    <t>🚫  UNSAFE ACTS PERFORMANCE</t>
  </si>
  <si>
    <t>Live data from the Unsafe Acts register  ·  filtered by Register Month &amp; Department</t>
  </si>
  <si>
    <t>Department table → Calculations sheet, row 694:</t>
  </si>
  <si>
    <t>⛔  UNSAFE CONDITIONS PERFORMANCE</t>
  </si>
  <si>
    <t>Live data from the Unsafe Conditions register  ·  filtered by Register Month &amp; Department</t>
  </si>
  <si>
    <t>Department table → Calculations sheet, row 720:</t>
  </si>
  <si>
    <t>🔥  INCIDENT PERFORMANCE</t>
  </si>
  <si>
    <t>Live data from the Incident register  ·  filtered by Register Month &amp; Department</t>
  </si>
  <si>
    <t>TOTAL LOST DAYS</t>
  </si>
  <si>
    <t>Department table → Calculations sheet, row 746:</t>
  </si>
</sst>
</file>

<file path=xl/styles.xml><?xml version="1.0" encoding="utf-8"?>
<styleSheet xmlns="http://schemas.openxmlformats.org/spreadsheetml/2006/main">
  <numFmts count="6">
    <numFmt numFmtId="164" formatCode="dd-mmm-yy"/>
    <numFmt numFmtId="165" formatCode="0.0&quot;%&quot;"/>
    <numFmt numFmtId="166" formatCode="#,##0"/>
    <numFmt numFmtId="167" formatCode="0.00000"/>
    <numFmt numFmtId="168" formatCode="dd-mmm-yyyy hh:mm"/>
    <numFmt numFmtId="169" formatCode="0.00"/>
  </numFmts>
  <fonts count="30">
    <font>
      <sz val="11"/>
      <color theme="1"/>
      <name val="Calibri"/>
      <family val="2"/>
      <scheme val="minor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theme="1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10"/>
      <color rgb="FF1F2937"/>
      <name val="Segoe UI"/>
      <family val="2"/>
    </font>
    <font>
      <b/>
      <sz val="9"/>
      <color theme="1"/>
      <name val="Segoe UI"/>
      <family val="2"/>
    </font>
    <font>
      <b/>
      <sz val="30"/>
      <color rgb="FFFFFFFF"/>
      <name val="Segoe UI"/>
      <family val="2"/>
    </font>
    <font>
      <sz val="12"/>
      <color rgb="FFCFE0F0"/>
      <name val="Segoe UI"/>
      <family val="2"/>
    </font>
    <font>
      <b/>
      <sz val="9"/>
      <color rgb="FF0F3D6E"/>
      <name val="Segoe UI"/>
      <family val="2"/>
    </font>
    <font>
      <b/>
      <sz val="13"/>
      <color rgb="FFFFFFFF"/>
      <name val="Segoe UI"/>
      <family val="2"/>
    </font>
    <font>
      <b/>
      <sz val="9.5"/>
      <color rgb="FF1F2937"/>
      <name val="Segoe UI"/>
      <family val="2"/>
    </font>
    <font>
      <b/>
      <u/>
      <sz val="9.5"/>
      <color rgb="FF0F3D6E"/>
      <name val="Segoe UI"/>
      <family val="2"/>
    </font>
    <font>
      <b/>
      <u/>
      <sz val="9.5"/>
      <color rgb="FF334155"/>
      <name val="Segoe UI"/>
      <family val="2"/>
    </font>
    <font>
      <b/>
      <sz val="22"/>
      <color rgb="FFFFFFFF"/>
      <name val="Segoe UI"/>
      <family val="2"/>
    </font>
    <font>
      <b/>
      <sz val="13"/>
      <color rgb="FFD71920"/>
      <name val="Segoe UI"/>
      <family val="2"/>
    </font>
    <font>
      <sz val="10"/>
      <color rgb="FFCFE0F0"/>
      <name val="Segoe UI"/>
      <family val="2"/>
    </font>
    <font>
      <b/>
      <sz val="12"/>
      <color rgb="FFFFFFFF"/>
      <name val="Segoe UI"/>
      <family val="2"/>
    </font>
    <font>
      <b/>
      <sz val="8.5"/>
      <color rgb="FF64748B"/>
      <name val="Segoe UI"/>
      <family val="2"/>
    </font>
    <font>
      <b/>
      <sz val="19"/>
      <color rgb="FF0F3D6E"/>
      <name val="Segoe UI"/>
      <family val="2"/>
    </font>
    <font>
      <b/>
      <sz val="8"/>
      <color rgb="FF15A34A"/>
      <name val="Segoe UI"/>
      <family val="2"/>
    </font>
    <font>
      <b/>
      <sz val="13"/>
      <color rgb="FF0F3D6E"/>
      <name val="Segoe UI"/>
      <family val="2"/>
    </font>
    <font>
      <sz val="8"/>
      <color rgb="FF64748B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59E0B"/>
        <bgColor indexed="64"/>
      </patternFill>
    </fill>
  </fills>
  <borders count="9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65" fontId="3" fillId="4" borderId="1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5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6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/>
    <xf numFmtId="0" fontId="12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3" fillId="0" borderId="4" xfId="0" applyFont="1" applyBorder="1" applyAlignment="1">
      <alignment horizontal="center" vertical="center"/>
    </xf>
    <xf numFmtId="166" fontId="3" fillId="0" borderId="4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167" fontId="3" fillId="0" borderId="4" xfId="0" applyNumberFormat="1" applyFont="1" applyBorder="1" applyAlignment="1">
      <alignment horizontal="center" vertical="center"/>
    </xf>
    <xf numFmtId="1" fontId="13" fillId="0" borderId="3" xfId="0" applyNumberFormat="1" applyFon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0" fillId="7" borderId="0" xfId="0" applyFill="1"/>
    <xf numFmtId="0" fontId="10" fillId="0" borderId="0" xfId="0" applyFont="1" applyAlignment="1">
      <alignment horizontal="right" vertical="center"/>
    </xf>
    <xf numFmtId="168" fontId="16" fillId="0" borderId="0" xfId="0" applyNumberFormat="1" applyFont="1" applyAlignment="1">
      <alignment horizontal="left" vertical="center"/>
    </xf>
    <xf numFmtId="0" fontId="17" fillId="2" borderId="6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left" vertical="center"/>
    </xf>
    <xf numFmtId="0" fontId="19" fillId="3" borderId="3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left" vertical="center"/>
    </xf>
    <xf numFmtId="0" fontId="22" fillId="8" borderId="6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0" fontId="6" fillId="5" borderId="3" xfId="0" applyFont="1" applyFill="1" applyBorder="1" applyAlignment="1">
      <alignment horizontal="center" vertical="center"/>
    </xf>
    <xf numFmtId="0" fontId="24" fillId="9" borderId="0" xfId="0" applyFont="1" applyFill="1" applyAlignment="1">
      <alignment horizontal="left" vertical="center" indent="1"/>
    </xf>
    <xf numFmtId="0" fontId="0" fillId="9" borderId="0" xfId="0" applyFill="1"/>
    <xf numFmtId="0" fontId="25" fillId="8" borderId="7" xfId="0" applyFont="1" applyFill="1" applyBorder="1" applyAlignment="1">
      <alignment horizontal="left" vertical="center"/>
    </xf>
    <xf numFmtId="169" fontId="26" fillId="8" borderId="7" xfId="0" applyNumberFormat="1" applyFont="1" applyFill="1" applyBorder="1" applyAlignment="1">
      <alignment horizontal="left" vertical="center"/>
    </xf>
    <xf numFmtId="166" fontId="26" fillId="8" borderId="7" xfId="0" applyNumberFormat="1" applyFont="1" applyFill="1" applyBorder="1" applyAlignment="1">
      <alignment horizontal="left" vertical="center"/>
    </xf>
    <xf numFmtId="0" fontId="27" fillId="8" borderId="8" xfId="0" applyFont="1" applyFill="1" applyBorder="1" applyAlignment="1">
      <alignment horizontal="left" vertical="center"/>
    </xf>
    <xf numFmtId="165" fontId="26" fillId="8" borderId="7" xfId="0" applyNumberFormat="1" applyFont="1" applyFill="1" applyBorder="1" applyAlignment="1">
      <alignment horizontal="left" vertical="center"/>
    </xf>
    <xf numFmtId="0" fontId="24" fillId="10" borderId="0" xfId="0" applyFont="1" applyFill="1" applyAlignment="1">
      <alignment horizontal="left" vertical="center" indent="1"/>
    </xf>
    <xf numFmtId="0" fontId="0" fillId="10" borderId="0" xfId="0" applyFill="1"/>
    <xf numFmtId="165" fontId="28" fillId="0" borderId="0" xfId="0" applyNumberFormat="1" applyFont="1" applyAlignment="1">
      <alignment horizontal="center" vertical="center"/>
    </xf>
    <xf numFmtId="0" fontId="0" fillId="11" borderId="0" xfId="0" applyFill="1"/>
    <xf numFmtId="0" fontId="0" fillId="5" borderId="0" xfId="0" applyFill="1"/>
    <xf numFmtId="0" fontId="29" fillId="8" borderId="8" xfId="0" applyFont="1" applyFill="1" applyBorder="1" applyAlignment="1">
      <alignment horizontal="left" vertical="center"/>
    </xf>
  </cellXfs>
  <cellStyles count="1">
    <cellStyle name="Normal" xfId="0" builtinId="0"/>
  </cellStyles>
  <dxfs count="1">
    <dxf>
      <font>
        <b/>
        <color rgb="FFDC2626"/>
      </font>
      <fill>
        <patternFill>
          <bgColor rgb="FFFFFFFF"/>
        </patternFill>
      </fill>
      <border>
        <left style="thin">
          <color rgb="FFE2E8F0"/>
        </left>
        <right style="thin">
          <color rgb="FFE2E8F0"/>
        </right>
        <top/>
        <bottom style="thin">
          <color rgb="FFE2E8F0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theme" Target="theme/theme1.xml"/><Relationship Id="rId57" Type="http://schemas.openxmlformats.org/officeDocument/2006/relationships/styles" Target="styles.xml"/><Relationship Id="rId58" Type="http://schemas.openxmlformats.org/officeDocument/2006/relationships/sharedStrings" Target="sharedStrings.xml"/><Relationship Id="rId5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F3D6E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Calculations!$O$12:$O$23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Calculations!$I$12:$I$23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Calculations!$H$12:$H$23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30001"/>
        <c:axId val="50030002"/>
      </c:barChart>
      <c:catAx>
        <c:axId val="50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TRIR &amp; LTIFR Trend (dual-axis)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Calculations!$BR$12:$BR$23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lineChart>
        <c:grouping val="standard"/>
        <c:ser>
          <c:idx val="1"/>
          <c:order val="1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Calculations!$BS$12:$BS$23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General" sourceLinked="1"/>
        <c:tickLblPos val="nextTo"/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tickLblPos val="none"/>
        <c:crossAx val="60040002"/>
        <c:crosses val="autoZero"/>
        <c:auto val="1"/>
        <c:lblAlgn val="ctr"/>
        <c:lblOffset val="100"/>
      </c:cat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Calculations!$AG$12:$AG$23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Calculations!$AH$12:$AH$23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Calculations!$E$746:$E$751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Calculations!$F$746:$F$751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Calculations!$T$12:$T$23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70001"/>
        <c:axId val="50070002"/>
      </c:area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70001"/>
        <c:crosses val="autoZero"/>
        <c:crossBetween val="midCat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Analysis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Calculations!$E$76:$E$83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Calculations!$F$76:$F$83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Calculations!$B$86:$B$95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Calculations!$C$86:$C$95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Performance Profile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spPr>
            <a:solidFill>
              <a:srgbClr val="E8F1FA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</c:spPr>
          </c:marker>
          <c:cat>
            <c:strRef>
              <c:f>Calculations!$B$139:$B$144</c:f>
              <c:strCache>
                <c:ptCount val="6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</c:strCache>
            </c:strRef>
          </c:cat>
          <c:val>
            <c:numRef>
              <c:f>Calculations!$C$139:$C$144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100001"/>
        <c:axId val="50100002"/>
      </c:radarChart>
      <c:catAx>
        <c:axId val="50100001"/>
        <c:scaling>
          <c:orientation val="minMax"/>
        </c:scaling>
        <c:axPos val="b"/>
        <c:majorGridlines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Calculations!$E$103:$E$112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Calculations!$F$103:$F$112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Conditions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Calculations!$E$115:$E$124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Calculations!$F$115:$F$124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20001"/>
        <c:axId val="50120002"/>
      </c:barChart>
      <c:catAx>
        <c:axId val="501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Calculations!$E$127:$E$136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Calculations!$F$127:$F$136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Calculations!$BW$65:$BY$65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Calculations!$BW$66:$BY$66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Calculations!$BW$67:$BY$67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Calculations!$BW$68:$BY$68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Inspection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Calculations!$BW$69:$BY$69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Statutory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Calculations!$BW$70:$BY$70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Activity Volume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Calculations!$CC$20:$CC$28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Calculations!$CD$20:$CD$28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00001"/>
        <c:axId val="50200002"/>
      </c:barChart>
      <c:catAx>
        <c:axId val="50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Lagging Outcomes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Calculations!$CC$31:$CC$38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Calculations!$CD$31:$CD$38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Calculations!$CC$11:$CC$17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Calculations!$CD$11:$CD$17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Calculations!$CC$11:$CC$17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Calculations!$CD$11:$CD$17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Calculations!$CF$11:$CF$22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Calculations!$CG$11:$CG$22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Calculations!$CC$20:$CC$28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Calculations!$CD$20:$CD$28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Calculations!$B$148:$B$159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Calculations!$C$148:$C$159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60001"/>
        <c:axId val="50260002"/>
      </c:barChart>
      <c:catAx>
        <c:axId val="502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Safety Category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Calculations!$E$148:$E$153</c:f>
              <c:strCache>
                <c:ptCount val="6"/>
                <c:pt idx="0">
                  <c:v>Ergonomics</c:v>
                </c:pt>
                <c:pt idx="1">
                  <c:v>Housekeeping</c:v>
                </c:pt>
                <c:pt idx="2">
                  <c:v>BBS</c:v>
                </c:pt>
                <c:pt idx="3">
                  <c:v>General</c:v>
                </c:pt>
                <c:pt idx="4">
                  <c:v>Process Safety</c:v>
                </c:pt>
                <c:pt idx="5">
                  <c:v>PPE</c:v>
                </c:pt>
              </c:strCache>
            </c:strRef>
          </c:cat>
          <c:val>
            <c:numRef>
              <c:f>Calculations!$F$148:$F$153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270001"/>
        <c:axId val="50270002"/>
      </c:barChart>
      <c:catAx>
        <c:axId val="502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70002"/>
        <c:crosses val="autoZero"/>
        <c:auto val="1"/>
        <c:lblAlgn val="ctr"/>
        <c:lblOffset val="100"/>
      </c:catAx>
      <c:valAx>
        <c:axId val="50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Effectiveness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Calculations!$G$148:$G$152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Calculations!$H$148:$H$152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Calculations!$P$148:$P$157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Calculations!$Q$148:$Q$157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290001"/>
        <c:axId val="50290002"/>
      </c:barChart>
      <c:catAx>
        <c:axId val="502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Calculations!$B$174:$B$185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Calculations!$C$174:$C$185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00001"/>
        <c:axId val="50300002"/>
      </c:barChart>
      <c:catAx>
        <c:axId val="503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Calculations!$E$174:$E$177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Calculations!$F$174:$F$177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310001"/>
        <c:axId val="50310002"/>
      </c:barChart>
      <c:catAx>
        <c:axId val="503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10002"/>
        <c:crosses val="autoZero"/>
        <c:auto val="1"/>
        <c:lblAlgn val="ctr"/>
        <c:lblOffset val="100"/>
      </c:catAx>
      <c:valAx>
        <c:axId val="503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Assessment Type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Calculations!$G$174:$G$179</c:f>
              <c:strCache>
                <c:ptCount val="6"/>
                <c:pt idx="0">
                  <c:v>HIRA</c:v>
                </c:pt>
                <c:pt idx="1">
                  <c:v>Task RA</c:v>
                </c:pt>
                <c:pt idx="2">
                  <c:v>HAZOP</c:v>
                </c:pt>
                <c:pt idx="3">
                  <c:v>What-If</c:v>
                </c:pt>
                <c:pt idx="4">
                  <c:v>Bow Tie</c:v>
                </c:pt>
                <c:pt idx="5">
                  <c:v>JSA</c:v>
                </c:pt>
              </c:strCache>
            </c:strRef>
          </c:cat>
          <c:val>
            <c:numRef>
              <c:f>Calculations!$H$174:$H$179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Calculations!$P$174:$P$183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Calculations!$Q$174:$Q$183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30001"/>
        <c:axId val="50330002"/>
      </c:barChart>
      <c:catAx>
        <c:axId val="503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30002"/>
        <c:crosses val="autoZero"/>
        <c:auto val="1"/>
        <c:lblAlgn val="ctr"/>
        <c:lblOffset val="100"/>
      </c:catAx>
      <c:valAx>
        <c:axId val="503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Calculations!$J$174:$J$177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Calculations!$K$174:$K$177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Calculations!$B$200:$B$211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Calculations!$C$200:$C$211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50001"/>
        <c:axId val="50350002"/>
      </c:bar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Calculations!$E$200:$E$205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Calculations!$F$200:$F$205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Mode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Calculations!$G$200:$G$203</c:f>
              <c:strCache>
                <c:ptCount val="4"/>
                <c:pt idx="0">
                  <c:v>Internal</c:v>
                </c:pt>
                <c:pt idx="1">
                  <c:v>External</c:v>
                </c:pt>
                <c:pt idx="2">
                  <c:v>Online</c:v>
                </c:pt>
                <c:pt idx="3">
                  <c:v>On-the-Job</c:v>
                </c:pt>
              </c:strCache>
            </c:strRef>
          </c:cat>
          <c:val>
            <c:numRef>
              <c:f>Calculations!$H$200:$H$203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Calculations!$P$200:$P$209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Calculations!$Q$200:$Q$209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80001"/>
        <c:axId val="50380002"/>
      </c:barChart>
      <c:catAx>
        <c:axId val="503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80002"/>
        <c:crosses val="autoZero"/>
        <c:auto val="1"/>
        <c:lblAlgn val="ctr"/>
        <c:lblOffset val="100"/>
      </c:catAx>
      <c:valAx>
        <c:axId val="503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Calculations!$J$200:$J$203</c:f>
              <c:strCache>
                <c:ptCount val="4"/>
                <c:pt idx="0">
                  <c:v>Completed</c:v>
                </c:pt>
                <c:pt idx="1">
                  <c:v>Scheduled</c:v>
                </c:pt>
                <c:pt idx="2">
                  <c:v>Overdue</c:v>
                </c:pt>
                <c:pt idx="3">
                  <c:v>In Progress</c:v>
                </c:pt>
              </c:strCache>
            </c:strRef>
          </c:cat>
          <c:val>
            <c:numRef>
              <c:f>Calculations!$K$200:$K$203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Calculations!$B$226:$B$237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Calculations!$C$226:$C$237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00001"/>
        <c:axId val="50400002"/>
      </c:barChart>
      <c:catAx>
        <c:axId val="504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Observation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Calculations!$E$226:$E$229</c:f>
              <c:strCache>
                <c:ptCount val="4"/>
                <c:pt idx="0">
                  <c:v>Safe Act</c:v>
                </c:pt>
                <c:pt idx="1">
                  <c:v>Unsafe Act</c:v>
                </c:pt>
                <c:pt idx="2">
                  <c:v>Safe Condition</c:v>
                </c:pt>
                <c:pt idx="3">
                  <c:v>Unsafe Condition</c:v>
                </c:pt>
              </c:strCache>
            </c:strRef>
          </c:cat>
          <c:val>
            <c:numRef>
              <c:f>Calculations!$F$226:$F$229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410001"/>
        <c:axId val="50410002"/>
      </c:barChart>
      <c:catAx>
        <c:axId val="504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10002"/>
        <c:crosses val="autoZero"/>
        <c:auto val="1"/>
        <c:lblAlgn val="ctr"/>
        <c:lblOffset val="100"/>
      </c:catAx>
      <c:valAx>
        <c:axId val="504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Category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Calculations!$G$226:$G$231</c:f>
              <c:strCache>
                <c:ptCount val="6"/>
                <c:pt idx="0">
                  <c:v>BBS</c:v>
                </c:pt>
                <c:pt idx="1">
                  <c:v>General</c:v>
                </c:pt>
                <c:pt idx="2">
                  <c:v>PPE</c:v>
                </c:pt>
                <c:pt idx="3">
                  <c:v>Housekeeping</c:v>
                </c:pt>
                <c:pt idx="4">
                  <c:v>Ergonomics</c:v>
                </c:pt>
                <c:pt idx="5">
                  <c:v>Process Safety</c:v>
                </c:pt>
              </c:strCache>
            </c:strRef>
          </c:cat>
          <c:val>
            <c:numRef>
              <c:f>Calculations!$H$226:$H$231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Calculations!$P$226:$P$235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Calculations!$Q$226:$Q$235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30001"/>
        <c:axId val="50430002"/>
      </c:barChart>
      <c:catAx>
        <c:axId val="504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30002"/>
        <c:crosses val="autoZero"/>
        <c:auto val="1"/>
        <c:lblAlgn val="ctr"/>
        <c:lblOffset val="100"/>
      </c:catAx>
      <c:valAx>
        <c:axId val="504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Calculations!$J$226:$J$229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Calculations!$K$226:$K$229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Calculations!$B$252:$B$263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Calculations!$C$252:$C$263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50001"/>
        <c:axId val="50450002"/>
      </c:barChart>
      <c:catAx>
        <c:axId val="504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50002"/>
        <c:crosses val="autoZero"/>
        <c:auto val="1"/>
        <c:lblAlgn val="ctr"/>
        <c:lblOffset val="100"/>
      </c:catAx>
      <c:valAx>
        <c:axId val="504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Calculations!$E$252:$E$256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Calculations!$F$252:$F$256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460001"/>
        <c:axId val="50460002"/>
      </c:barChart>
      <c:catAx>
        <c:axId val="504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60002"/>
        <c:crosses val="autoZero"/>
        <c:auto val="1"/>
        <c:lblAlgn val="ctr"/>
        <c:lblOffset val="100"/>
      </c:catAx>
      <c:valAx>
        <c:axId val="504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Calculations!$J$252:$J$255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Calculations!$K$252:$K$255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Calculations!$P$252:$P$261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Calculations!$Q$252:$Q$261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80001"/>
        <c:axId val="50480002"/>
      </c:barChart>
      <c:catAx>
        <c:axId val="504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80002"/>
        <c:crosses val="autoZero"/>
        <c:auto val="1"/>
        <c:lblAlgn val="ctr"/>
        <c:lblOffset val="100"/>
      </c:catAx>
      <c:valAx>
        <c:axId val="504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Calculations!$B$278:$B$289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Calculations!$C$278:$C$289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90001"/>
        <c:axId val="50490002"/>
      </c:barChart>
      <c:catAx>
        <c:axId val="504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90002"/>
        <c:crosses val="autoZero"/>
        <c:auto val="1"/>
        <c:lblAlgn val="ctr"/>
        <c:lblOffset val="100"/>
      </c:catAx>
      <c:valAx>
        <c:axId val="504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Calculations!$E$278:$E$282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Calculations!$F$278:$F$282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500001"/>
        <c:axId val="50500002"/>
      </c:barChart>
      <c:catAx>
        <c:axId val="505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Calculations!$J$278:$J$281</c:f>
              <c:strCache>
                <c:ptCount val="4"/>
                <c:pt idx="0">
                  <c:v>Closed</c:v>
                </c:pt>
                <c:pt idx="1">
                  <c:v>Overdue</c:v>
                </c:pt>
                <c:pt idx="2">
                  <c:v>In Progress</c:v>
                </c:pt>
                <c:pt idx="3">
                  <c:v>Open</c:v>
                </c:pt>
              </c:strCache>
            </c:strRef>
          </c:cat>
          <c:val>
            <c:numRef>
              <c:f>Calculations!$K$278:$K$281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Calculations!$P$278:$P$287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Calculations!$Q$278:$Q$287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20001"/>
        <c:axId val="50520002"/>
      </c:barChart>
      <c:catAx>
        <c:axId val="505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Calculations!$B$304:$B$315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Calculations!$C$304:$C$315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30001"/>
        <c:axId val="50530002"/>
      </c:barChart>
      <c:catAx>
        <c:axId val="505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Calculations!$E$304:$E$308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Calculations!$F$304:$F$308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540001"/>
        <c:axId val="50540002"/>
      </c:barChart>
      <c:catAx>
        <c:axId val="505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Calculations!$J$304:$J$307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Calculations!$K$304:$K$307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Calculations!$P$304:$P$313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Calculations!$Q$304:$Q$313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60001"/>
        <c:axId val="50560002"/>
      </c:barChart>
      <c:catAx>
        <c:axId val="505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60002"/>
        <c:crosses val="autoZero"/>
        <c:auto val="1"/>
        <c:lblAlgn val="ctr"/>
        <c:lblOffset val="100"/>
      </c:catAx>
      <c:valAx>
        <c:axId val="505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Calculations!$B$330:$B$341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Calculations!$C$330:$C$341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70001"/>
        <c:axId val="50570002"/>
      </c:barChart>
      <c:catAx>
        <c:axId val="505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70002"/>
        <c:crosses val="autoZero"/>
        <c:auto val="1"/>
        <c:lblAlgn val="ctr"/>
        <c:lblOffset val="100"/>
      </c:catAx>
      <c:valAx>
        <c:axId val="505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Frequency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Calculations!$E$330:$E$333</c:f>
              <c:strCache>
                <c:ptCount val="4"/>
                <c:pt idx="0">
                  <c:v>Weekly</c:v>
                </c:pt>
                <c:pt idx="1">
                  <c:v>Monthly</c:v>
                </c:pt>
                <c:pt idx="2">
                  <c:v>Quarterly</c:v>
                </c:pt>
                <c:pt idx="3">
                  <c:v>Annual</c:v>
                </c:pt>
              </c:strCache>
            </c:strRef>
          </c:cat>
          <c:val>
            <c:numRef>
              <c:f>Calculations!$F$330:$F$333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MoM Circulated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Calculations!$G$330:$G$331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Calculations!$H$330:$H$331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Calculations!$P$330:$P$339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Calculations!$Q$330:$Q$339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00001"/>
        <c:axId val="50600002"/>
      </c:barChart>
      <c:catAx>
        <c:axId val="506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00002"/>
        <c:crosses val="autoZero"/>
        <c:auto val="1"/>
        <c:lblAlgn val="ctr"/>
        <c:lblOffset val="100"/>
      </c:catAx>
      <c:valAx>
        <c:axId val="506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Calculations!$B$356:$B$367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Calculations!$C$356:$C$367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10001"/>
        <c:axId val="50610002"/>
      </c:barChart>
      <c:catAx>
        <c:axId val="506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Calculations!$E$356:$E$361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Calculations!$F$356:$F$361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620001"/>
        <c:axId val="50620002"/>
      </c:barChart>
      <c:catAx>
        <c:axId val="506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Distribution Method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Calculations!$G$356:$G$359</c:f>
              <c:strCache>
                <c:ptCount val="4"/>
                <c:pt idx="0">
                  <c:v>Email</c:v>
                </c:pt>
                <c:pt idx="1">
                  <c:v>Notice Board</c:v>
                </c:pt>
                <c:pt idx="2">
                  <c:v>App Notification</c:v>
                </c:pt>
                <c:pt idx="3">
                  <c:v>All Channels</c:v>
                </c:pt>
              </c:strCache>
            </c:strRef>
          </c:cat>
          <c:val>
            <c:numRef>
              <c:f>Calculations!$H$356:$H$359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Calculations!$J$356:$J$359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Calculations!$K$356:$K$359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Calculations!$B$382:$B$393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Calculations!$C$382:$C$393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50001"/>
        <c:axId val="50650002"/>
      </c:barChart>
      <c:catAx>
        <c:axId val="506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Drill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Calculations!$E$382:$E$387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Calculations!$F$382:$F$387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660001"/>
        <c:axId val="50660002"/>
      </c:barChart>
      <c:catAx>
        <c:axId val="506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Overall Rating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Calculations!$G$382:$G$386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Calculations!$H$382:$H$386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Calculations!$J$382:$J$385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Calculations!$K$382:$K$385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Calculations!$B$408:$B$419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Calculations!$C$408:$C$419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90001"/>
        <c:axId val="50690002"/>
      </c:barChart>
      <c:catAx>
        <c:axId val="506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90002"/>
        <c:crosses val="autoZero"/>
        <c:auto val="1"/>
        <c:lblAlgn val="ctr"/>
        <c:lblOffset val="100"/>
      </c:catAx>
      <c:valAx>
        <c:axId val="506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Audit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Calculations!$E$408:$E$413</c:f>
              <c:strCache>
                <c:ptCount val="6"/>
                <c:pt idx="0">
                  <c:v>System Audit</c:v>
                </c:pt>
                <c:pt idx="1">
                  <c:v>Compliance Audit</c:v>
                </c:pt>
                <c:pt idx="2">
                  <c:v>Process Audit</c:v>
                </c:pt>
                <c:pt idx="3">
                  <c:v>Surveillance</c:v>
                </c:pt>
                <c:pt idx="4">
                  <c:v>Customer Audit</c:v>
                </c:pt>
                <c:pt idx="5">
                  <c:v>Regulatory Inspection</c:v>
                </c:pt>
              </c:strCache>
            </c:strRef>
          </c:cat>
          <c:val>
            <c:numRef>
              <c:f>Calculations!$F$408:$F$413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00001"/>
        <c:axId val="50700002"/>
      </c:barChart>
      <c:catAx>
        <c:axId val="507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00002"/>
        <c:crosses val="autoZero"/>
        <c:auto val="1"/>
        <c:lblAlgn val="ctr"/>
        <c:lblOffset val="100"/>
      </c:catAx>
      <c:valAx>
        <c:axId val="507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Calculations!$J$408:$J$411</c:f>
              <c:strCache>
                <c:ptCount val="4"/>
                <c:pt idx="0">
                  <c:v>Overdue</c:v>
                </c:pt>
                <c:pt idx="1">
                  <c:v>Closed</c:v>
                </c:pt>
                <c:pt idx="2">
                  <c:v>In Progress</c:v>
                </c:pt>
                <c:pt idx="3">
                  <c:v>Open</c:v>
                </c:pt>
              </c:strCache>
            </c:strRef>
          </c:cat>
          <c:val>
            <c:numRef>
              <c:f>Calculations!$K$408:$K$411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Calculations!$P$408:$P$417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Calculations!$Q$408:$Q$417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20001"/>
        <c:axId val="50720002"/>
      </c:barChart>
      <c:catAx>
        <c:axId val="507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Calculations!$B$434:$B$445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Calculations!$C$434:$C$445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30001"/>
        <c:axId val="50730002"/>
      </c:barChart>
      <c:catAx>
        <c:axId val="507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Audit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Calculations!$E$434:$E$439</c:f>
              <c:strCache>
                <c:ptCount val="6"/>
                <c:pt idx="0">
                  <c:v>System Audit</c:v>
                </c:pt>
                <c:pt idx="1">
                  <c:v>Compliance Audit</c:v>
                </c:pt>
                <c:pt idx="2">
                  <c:v>Process Audit</c:v>
                </c:pt>
                <c:pt idx="3">
                  <c:v>Surveillance</c:v>
                </c:pt>
                <c:pt idx="4">
                  <c:v>Customer Audit</c:v>
                </c:pt>
                <c:pt idx="5">
                  <c:v>Regulatory Inspection</c:v>
                </c:pt>
              </c:strCache>
            </c:strRef>
          </c:cat>
          <c:val>
            <c:numRef>
              <c:f>Calculations!$F$434:$F$439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40001"/>
        <c:axId val="50740002"/>
      </c:barChart>
      <c:catAx>
        <c:axId val="507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40002"/>
        <c:crosses val="autoZero"/>
        <c:auto val="1"/>
        <c:lblAlgn val="ctr"/>
        <c:lblOffset val="100"/>
      </c:catAx>
      <c:valAx>
        <c:axId val="507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Calculations!$J$434:$J$437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Calculations!$K$434:$K$437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Calculations!$P$434:$P$443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Calculations!$Q$434:$Q$443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60001"/>
        <c:axId val="50760002"/>
      </c:barChart>
      <c:catAx>
        <c:axId val="507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60002"/>
        <c:crosses val="autoZero"/>
        <c:auto val="1"/>
        <c:lblAlgn val="ctr"/>
        <c:lblOffset val="100"/>
      </c:catAx>
      <c:valAx>
        <c:axId val="507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Calculations!$B$460:$B$471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Calculations!$C$460:$C$471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70001"/>
        <c:axId val="50770002"/>
      </c:barChart>
      <c:catAx>
        <c:axId val="507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70002"/>
        <c:crosses val="autoZero"/>
        <c:auto val="1"/>
        <c:lblAlgn val="ctr"/>
        <c:lblOffset val="100"/>
      </c:catAx>
      <c:valAx>
        <c:axId val="507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Visit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Calculations!$E$460:$E$463</c:f>
              <c:strCache>
                <c:ptCount val="4"/>
                <c:pt idx="0">
                  <c:v>Site Walk</c:v>
                </c:pt>
                <c:pt idx="1">
                  <c:v>Plant Visit</c:v>
                </c:pt>
                <c:pt idx="2">
                  <c:v>Safety Observation</c:v>
                </c:pt>
                <c:pt idx="3">
                  <c:v>Project Visit</c:v>
                </c:pt>
              </c:strCache>
            </c:strRef>
          </c:cat>
          <c:val>
            <c:numRef>
              <c:f>Calculations!$F$460:$F$463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780001"/>
        <c:axId val="50780002"/>
      </c:barChart>
      <c:catAx>
        <c:axId val="507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80002"/>
        <c:crosses val="autoZero"/>
        <c:auto val="1"/>
        <c:lblAlgn val="ctr"/>
        <c:lblOffset val="100"/>
      </c:catAx>
      <c:valAx>
        <c:axId val="507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Calculations!$J$460:$J$463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Calculations!$K$460:$K$463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Calculations!$P$460:$P$469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Calculations!$Q$460:$Q$469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00001"/>
        <c:axId val="50800002"/>
      </c:barChart>
      <c:catAx>
        <c:axId val="508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00002"/>
        <c:crosses val="autoZero"/>
        <c:auto val="1"/>
        <c:lblAlgn val="ctr"/>
        <c:lblOffset val="100"/>
      </c:catAx>
      <c:valAx>
        <c:axId val="508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Calculations!$B$486:$B$497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Calculations!$C$486:$C$497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10001"/>
        <c:axId val="50810002"/>
      </c:barChart>
      <c:catAx>
        <c:axId val="508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10002"/>
        <c:crosses val="autoZero"/>
        <c:auto val="1"/>
        <c:lblAlgn val="ctr"/>
        <c:lblOffset val="100"/>
      </c:catAx>
      <c:valAx>
        <c:axId val="508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MoM Distributed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Calculations!$G$486:$G$487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Calculations!$H$486:$H$487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Calculations!$J$486:$J$489</c:f>
              <c:strCache>
                <c:ptCount val="4"/>
                <c:pt idx="0">
                  <c:v>Overdue</c:v>
                </c:pt>
                <c:pt idx="1">
                  <c:v>In Progress</c:v>
                </c:pt>
                <c:pt idx="2">
                  <c:v>Closed</c:v>
                </c:pt>
                <c:pt idx="3">
                  <c:v>Open</c:v>
                </c:pt>
              </c:strCache>
            </c:strRef>
          </c:cat>
          <c:val>
            <c:numRef>
              <c:f>Calculations!$K$486:$K$489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Calculations!$B$512:$B$523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Calculations!$C$512:$C$523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40001"/>
        <c:axId val="50840002"/>
      </c:barChart>
      <c:catAx>
        <c:axId val="508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40002"/>
        <c:crosses val="autoZero"/>
        <c:auto val="1"/>
        <c:lblAlgn val="ctr"/>
        <c:lblOffset val="100"/>
      </c:catAx>
      <c:valAx>
        <c:axId val="508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Violation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Calculations!$E$512:$E$517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Calculations!$F$512:$F$517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850001"/>
        <c:axId val="50850002"/>
      </c:barChart>
      <c:catAx>
        <c:axId val="508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50002"/>
        <c:crosses val="autoZero"/>
        <c:auto val="1"/>
        <c:lblAlgn val="ctr"/>
        <c:lblOffset val="100"/>
      </c:catAx>
      <c:valAx>
        <c:axId val="508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Offense Level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Calculations!$G$512:$G$514</c:f>
              <c:strCache>
                <c:ptCount val="3"/>
                <c:pt idx="0">
                  <c:v>1st Offense</c:v>
                </c:pt>
                <c:pt idx="1">
                  <c:v>2nd Offense</c:v>
                </c:pt>
                <c:pt idx="2">
                  <c:v>3rd Offense</c:v>
                </c:pt>
              </c:strCache>
            </c:strRef>
          </c:cat>
          <c:val>
            <c:numRef>
              <c:f>Calculations!$H$512:$H$514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Calculations!$P$512:$P$521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Calculations!$Q$512:$Q$521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70001"/>
        <c:axId val="50870002"/>
      </c:barChart>
      <c:catAx>
        <c:axId val="508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70002"/>
        <c:crosses val="autoZero"/>
        <c:auto val="1"/>
        <c:lblAlgn val="ctr"/>
        <c:lblOffset val="100"/>
      </c:catAx>
      <c:valAx>
        <c:axId val="508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Calculations!$J$512:$J$515</c:f>
              <c:strCache>
                <c:ptCount val="4"/>
                <c:pt idx="0">
                  <c:v>Open</c:v>
                </c:pt>
                <c:pt idx="1">
                  <c:v>Closed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Calculations!$K$512:$K$515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Calculations!$B$538:$B$549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Calculations!$C$538:$C$549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90001"/>
        <c:axId val="50890002"/>
      </c:barChart>
      <c:catAx>
        <c:axId val="508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90002"/>
        <c:crosses val="autoZero"/>
        <c:auto val="1"/>
        <c:lblAlgn val="ctr"/>
        <c:lblOffset val="100"/>
      </c:catAx>
      <c:valAx>
        <c:axId val="508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Award Category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Calculations!$E$538:$E$543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Calculations!$F$538:$F$543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900001"/>
        <c:axId val="50900002"/>
      </c:barChart>
      <c:catAx>
        <c:axId val="509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00002"/>
        <c:crosses val="autoZero"/>
        <c:auto val="1"/>
        <c:lblAlgn val="ctr"/>
        <c:lblOffset val="100"/>
      </c:catAx>
      <c:valAx>
        <c:axId val="509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Reward Type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Calculations!$G$538:$G$542</c:f>
              <c:strCache>
                <c:ptCount val="5"/>
                <c:pt idx="0">
                  <c:v>Certificate</c:v>
                </c:pt>
                <c:pt idx="1">
                  <c:v>Trophy</c:v>
                </c:pt>
                <c:pt idx="2">
                  <c:v>Cash Bonus</c:v>
                </c:pt>
                <c:pt idx="3">
                  <c:v>Gift Voucher</c:v>
                </c:pt>
                <c:pt idx="4">
                  <c:v>Recognition Letter</c:v>
                </c:pt>
              </c:strCache>
            </c:strRef>
          </c:cat>
          <c:val>
            <c:numRef>
              <c:f>Calculations!$H$538:$H$542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Calculations!$P$538:$P$547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Calculations!$Q$538:$Q$547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20001"/>
        <c:axId val="50920002"/>
      </c:barChart>
      <c:catAx>
        <c:axId val="509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20002"/>
        <c:crosses val="autoZero"/>
        <c:auto val="1"/>
        <c:lblAlgn val="ctr"/>
        <c:lblOffset val="100"/>
      </c:catAx>
      <c:valAx>
        <c:axId val="509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Calculations!$J$538:$J$541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Calculations!$K$538:$K$541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Calculations!$B$564:$B$575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Calculations!$C$564:$C$575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40001"/>
        <c:axId val="50940002"/>
      </c:barChart>
      <c:catAx>
        <c:axId val="509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40002"/>
        <c:crosses val="autoZero"/>
        <c:auto val="1"/>
        <c:lblAlgn val="ctr"/>
        <c:lblOffset val="100"/>
      </c:catAx>
      <c:valAx>
        <c:axId val="509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Calculations!$E$564:$E$567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Calculations!$F$564:$F$567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950001"/>
        <c:axId val="50950002"/>
      </c:barChart>
      <c:catAx>
        <c:axId val="509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50002"/>
        <c:crosses val="autoZero"/>
        <c:auto val="1"/>
        <c:lblAlgn val="ctr"/>
        <c:lblOffset val="100"/>
      </c:catAx>
      <c:valAx>
        <c:axId val="509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Resolution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Calculations!$G$564:$G$566</c:f>
              <c:strCache>
                <c:ptCount val="3"/>
                <c:pt idx="0">
                  <c:v>Resolved</c:v>
                </c:pt>
                <c:pt idx="1">
                  <c:v>Under Investigation</c:v>
                </c:pt>
                <c:pt idx="2">
                  <c:v>Permanent Fix Applied</c:v>
                </c:pt>
              </c:strCache>
            </c:strRef>
          </c:cat>
          <c:val>
            <c:numRef>
              <c:f>Calculations!$H$564:$H$566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Calculations!$P$564:$P$573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Calculations!$Q$564:$Q$573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70001"/>
        <c:axId val="50970002"/>
      </c:barChart>
      <c:catAx>
        <c:axId val="509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70002"/>
        <c:crosses val="autoZero"/>
        <c:auto val="1"/>
        <c:lblAlgn val="ctr"/>
        <c:lblOffset val="100"/>
      </c:catAx>
      <c:valAx>
        <c:axId val="509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Calculations!$B$590:$B$601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Calculations!$C$590:$C$601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80001"/>
        <c:axId val="50980002"/>
      </c:barChart>
      <c:catAx>
        <c:axId val="509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80002"/>
        <c:crosses val="autoZero"/>
        <c:auto val="1"/>
        <c:lblAlgn val="ctr"/>
        <c:lblOffset val="100"/>
      </c:catAx>
      <c:valAx>
        <c:axId val="509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Test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Calculations!$E$590:$E$593</c:f>
              <c:strCache>
                <c:ptCount val="4"/>
                <c:pt idx="0">
                  <c:v>Pre-Shift</c:v>
                </c:pt>
                <c:pt idx="1">
                  <c:v>Random</c:v>
                </c:pt>
                <c:pt idx="2">
                  <c:v>Post-Incident</c:v>
                </c:pt>
                <c:pt idx="3">
                  <c:v>Reasonable Suspicion</c:v>
                </c:pt>
              </c:strCache>
            </c:strRef>
          </c:cat>
          <c:val>
            <c:numRef>
              <c:f>Calculations!$F$590:$F$593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990001"/>
        <c:axId val="50990002"/>
      </c:barChart>
      <c:catAx>
        <c:axId val="509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90002"/>
        <c:crosses val="autoZero"/>
        <c:auto val="1"/>
        <c:lblAlgn val="ctr"/>
        <c:lblOffset val="100"/>
      </c:catAx>
      <c:valAx>
        <c:axId val="509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Result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Calculations!$G$590:$G$591</c:f>
              <c:strCache>
                <c:ptCount val="2"/>
                <c:pt idx="0">
                  <c:v>Negative</c:v>
                </c:pt>
                <c:pt idx="1">
                  <c:v>Positive</c:v>
                </c:pt>
              </c:strCache>
            </c:strRef>
          </c:cat>
          <c:val>
            <c:numRef>
              <c:f>Calculations!$H$590:$H$591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Calculations!$P$590:$P$599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Calculations!$Q$590:$Q$599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10001"/>
        <c:axId val="51010002"/>
      </c:barChart>
      <c:catAx>
        <c:axId val="510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10002"/>
        <c:crosses val="autoZero"/>
        <c:auto val="1"/>
        <c:lblAlgn val="ctr"/>
        <c:lblOffset val="100"/>
      </c:catAx>
      <c:valAx>
        <c:axId val="510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Calculations!$J$590:$J$593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Calculations!$K$590:$K$593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Calculations!$B$616:$B$627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Calculations!$C$616:$C$627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30001"/>
        <c:axId val="51030002"/>
      </c:barChart>
      <c:catAx>
        <c:axId val="51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30002"/>
        <c:crosses val="autoZero"/>
        <c:auto val="1"/>
        <c:lblAlgn val="ctr"/>
        <c:lblOffset val="100"/>
      </c:catAx>
      <c:valAx>
        <c:axId val="51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Permit Type Audited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Calculations!$E$616:$E$622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Calculations!$F$616:$F$622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1040001"/>
        <c:axId val="51040002"/>
      </c:barChart>
      <c:catAx>
        <c:axId val="510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40002"/>
        <c:crosses val="autoZero"/>
        <c:auto val="1"/>
        <c:lblAlgn val="ctr"/>
        <c:lblOffset val="100"/>
      </c:catAx>
      <c:valAx>
        <c:axId val="510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Calculations!$J$616:$J$618</c:f>
              <c:strCache>
                <c:ptCount val="3"/>
                <c:pt idx="0">
                  <c:v>Compliant</c:v>
                </c:pt>
                <c:pt idx="1">
                  <c:v>Non-Compliant</c:v>
                </c:pt>
                <c:pt idx="2">
                  <c:v>Partially Compliant</c:v>
                </c:pt>
              </c:strCache>
            </c:strRef>
          </c:cat>
          <c:val>
            <c:numRef>
              <c:f>Calculations!$K$616:$K$618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Calculations!$P$616:$P$625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Calculations!$Q$616:$Q$625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60001"/>
        <c:axId val="51060002"/>
      </c:barChart>
      <c:catAx>
        <c:axId val="510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60002"/>
        <c:crosses val="autoZero"/>
        <c:auto val="1"/>
        <c:lblAlgn val="ctr"/>
        <c:lblOffset val="100"/>
      </c:catAx>
      <c:valAx>
        <c:axId val="510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Calculations!$B$642:$B$653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Calculations!$C$642:$C$653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70001"/>
        <c:axId val="51070002"/>
      </c:barChart>
      <c:catAx>
        <c:axId val="51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70002"/>
        <c:crosses val="autoZero"/>
        <c:auto val="1"/>
        <c:lblAlgn val="ctr"/>
        <c:lblOffset val="100"/>
      </c:catAx>
      <c:valAx>
        <c:axId val="51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Source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Calculations!$E$642:$E$647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Calculations!$F$642:$F$647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080001"/>
        <c:axId val="51080002"/>
      </c:barChart>
      <c:catAx>
        <c:axId val="51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80002"/>
        <c:crosses val="autoZero"/>
        <c:auto val="1"/>
        <c:lblAlgn val="ctr"/>
        <c:lblOffset val="100"/>
      </c:catAx>
      <c:valAx>
        <c:axId val="51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Priority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Calculations!$G$642:$G$645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Calculations!$H$642:$H$645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Calculations!$P$642:$P$651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Calculations!$Q$642:$Q$651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00001"/>
        <c:axId val="51100002"/>
      </c:barChart>
      <c:catAx>
        <c:axId val="511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00002"/>
        <c:crosses val="autoZero"/>
        <c:auto val="1"/>
        <c:lblAlgn val="ctr"/>
        <c:lblOffset val="100"/>
      </c:catAx>
      <c:valAx>
        <c:axId val="511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Calculations!$J$642:$J$645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Calculations!$K$642:$K$645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Calculations!$B$668:$B$679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Calculations!$C$668:$C$679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20001"/>
        <c:axId val="51120002"/>
      </c:barChart>
      <c:catAx>
        <c:axId val="511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20002"/>
        <c:crosses val="autoZero"/>
        <c:auto val="1"/>
        <c:lblAlgn val="ctr"/>
        <c:lblOffset val="100"/>
      </c:catAx>
      <c:valAx>
        <c:axId val="511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Calculations!$E$668:$E$671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Calculations!$F$668:$F$671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30001"/>
        <c:axId val="51130002"/>
      </c:barChart>
      <c:catAx>
        <c:axId val="51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30002"/>
        <c:crosses val="autoZero"/>
        <c:auto val="1"/>
        <c:lblAlgn val="ctr"/>
        <c:lblOffset val="100"/>
      </c:catAx>
      <c:valAx>
        <c:axId val="51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Source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Calculations!$G$668:$G$673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Calculations!$H$668:$H$673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Calculations!$P$668:$P$677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Calculations!$Q$668:$Q$677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50001"/>
        <c:axId val="51150002"/>
      </c:barChart>
      <c:catAx>
        <c:axId val="511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50002"/>
        <c:crosses val="autoZero"/>
        <c:auto val="1"/>
        <c:lblAlgn val="ctr"/>
        <c:lblOffset val="100"/>
      </c:catAx>
      <c:valAx>
        <c:axId val="511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Calculations!$J$668:$J$671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Calculations!$K$668:$K$671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Calculations!$B$694:$B$705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Calculations!$C$694:$C$705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70001"/>
        <c:axId val="51170002"/>
      </c:barChart>
      <c:catAx>
        <c:axId val="511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70002"/>
        <c:crosses val="autoZero"/>
        <c:auto val="1"/>
        <c:lblAlgn val="ctr"/>
        <c:lblOffset val="100"/>
      </c:catAx>
      <c:valAx>
        <c:axId val="511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Calculations!$E$694:$E$697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Calculations!$F$694:$F$697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80001"/>
        <c:axId val="51180002"/>
      </c:barChart>
      <c:catAx>
        <c:axId val="511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80002"/>
        <c:crosses val="autoZero"/>
        <c:auto val="1"/>
        <c:lblAlgn val="ctr"/>
        <c:lblOffset val="100"/>
      </c:catAx>
      <c:valAx>
        <c:axId val="511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Description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Calculations!$G$694:$G$701</c:f>
              <c:strCache>
                <c:ptCount val="8"/>
                <c:pt idx="0">
                  <c:v>Operating Without Authorization</c:v>
                </c:pt>
                <c:pt idx="1">
                  <c:v>Improper Lifting Technique</c:v>
                </c:pt>
                <c:pt idx="2">
                  <c:v>Wrong Tool for the Job</c:v>
                </c:pt>
                <c:pt idx="3">
                  <c:v>Horseplay</c:v>
                </c:pt>
                <c:pt idx="4">
                  <c:v>Not Using PPE</c:v>
                </c:pt>
                <c:pt idx="5">
                  <c:v>Bypassing Safety Device</c:v>
                </c:pt>
                <c:pt idx="6">
                  <c:v>Using Defective Equipment</c:v>
                </c:pt>
                <c:pt idx="7">
                  <c:v>Working Without Permit</c:v>
                </c:pt>
              </c:strCache>
            </c:strRef>
          </c:cat>
          <c:val>
            <c:numRef>
              <c:f>Calculations!$H$694:$H$701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Calculations!$P$694:$P$703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Calculations!$Q$694:$Q$703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00001"/>
        <c:axId val="51200002"/>
      </c:barChart>
      <c:catAx>
        <c:axId val="51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00002"/>
        <c:crosses val="autoZero"/>
        <c:auto val="1"/>
        <c:lblAlgn val="ctr"/>
        <c:lblOffset val="100"/>
      </c:catAx>
      <c:valAx>
        <c:axId val="51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Calculations!$J$694:$J$697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Calculations!$K$694:$K$697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Calculations!$B$720:$B$731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Calculations!$C$720:$C$731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20001"/>
        <c:axId val="51220002"/>
      </c:barChart>
      <c:catAx>
        <c:axId val="512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20002"/>
        <c:crosses val="autoZero"/>
        <c:auto val="1"/>
        <c:lblAlgn val="ctr"/>
        <c:lblOffset val="100"/>
      </c:catAx>
      <c:valAx>
        <c:axId val="512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Calculations!$E$720:$E$723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Calculations!$F$720:$F$723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30001"/>
        <c:axId val="51230002"/>
      </c:barChart>
      <c:catAx>
        <c:axId val="512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30002"/>
        <c:crosses val="autoZero"/>
        <c:auto val="1"/>
        <c:lblAlgn val="ctr"/>
        <c:lblOffset val="100"/>
      </c:catAx>
      <c:valAx>
        <c:axId val="512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Description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Calculations!$G$720:$G$727</c:f>
              <c:strCache>
                <c:ptCount val="8"/>
                <c:pt idx="0">
                  <c:v>Chemical Leak</c:v>
                </c:pt>
                <c:pt idx="1">
                  <c:v>Inadequate Lighting</c:v>
                </c:pt>
                <c:pt idx="2">
                  <c:v>Exposed Wiring</c:v>
                </c:pt>
                <c:pt idx="3">
                  <c:v>Missing Signage</c:v>
                </c:pt>
                <c:pt idx="4">
                  <c:v>Slippery Floor</c:v>
                </c:pt>
                <c:pt idx="5">
                  <c:v>Poor Housekeeping</c:v>
                </c:pt>
                <c:pt idx="6">
                  <c:v>Blocked Walkway/Aisle</c:v>
                </c:pt>
                <c:pt idx="7">
                  <c:v>Faulty Ladder/Scaffold</c:v>
                </c:pt>
              </c:strCache>
            </c:strRef>
          </c:cat>
          <c:val>
            <c:numRef>
              <c:f>Calculations!$H$720:$H$727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Calculations!$P$720:$P$729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Calculations!$Q$720:$Q$729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50001"/>
        <c:axId val="51250002"/>
      </c:barChart>
      <c:catAx>
        <c:axId val="51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50002"/>
        <c:crosses val="autoZero"/>
        <c:auto val="1"/>
        <c:lblAlgn val="ctr"/>
        <c:lblOffset val="100"/>
      </c:catAx>
      <c:valAx>
        <c:axId val="51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Calculations!$J$720:$J$723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Calculations!$K$720:$K$723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Calculations!$B$746:$B$757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Calculations!$C$746:$C$757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70001"/>
        <c:axId val="51270002"/>
      </c:barChart>
      <c:catAx>
        <c:axId val="512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70002"/>
        <c:crosses val="autoZero"/>
        <c:auto val="1"/>
        <c:lblAlgn val="ctr"/>
        <c:lblOffset val="100"/>
      </c:catAx>
      <c:valAx>
        <c:axId val="512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Classification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Calculations!$E$746:$E$751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Calculations!$F$746:$F$751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280001"/>
        <c:axId val="51280002"/>
      </c:barChart>
      <c:catAx>
        <c:axId val="512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80002"/>
        <c:crosses val="autoZero"/>
        <c:auto val="1"/>
        <c:lblAlgn val="ctr"/>
        <c:lblOffset val="100"/>
      </c:catAx>
      <c:valAx>
        <c:axId val="512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Type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Calculations!$G$746:$G$750</c:f>
              <c:strCache>
                <c:ptCount val="5"/>
                <c:pt idx="0">
                  <c:v>Injury/Illness</c:v>
                </c:pt>
                <c:pt idx="1">
                  <c:v>Property Damage</c:v>
                </c:pt>
                <c:pt idx="2">
                  <c:v>Environmental</c:v>
                </c:pt>
                <c:pt idx="3">
                  <c:v>Fire</c:v>
                </c:pt>
                <c:pt idx="4">
                  <c:v>Vehicle</c:v>
                </c:pt>
              </c:strCache>
            </c:strRef>
          </c:cat>
          <c:val>
            <c:numRef>
              <c:f>Calculations!$H$746:$H$750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Calculations!$P$746:$P$755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Calculations!$Q$746:$Q$755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00001"/>
        <c:axId val="51300002"/>
      </c:barChart>
      <c:catAx>
        <c:axId val="513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00002"/>
        <c:crosses val="autoZero"/>
        <c:auto val="1"/>
        <c:lblAlgn val="ctr"/>
        <c:lblOffset val="100"/>
      </c:catAx>
      <c:valAx>
        <c:axId val="513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Calculations!$J$746:$J$749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Calculations!$K$746:$K$749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26.xml"/><Relationship Id="rId2" Type="http://schemas.openxmlformats.org/officeDocument/2006/relationships/chart" Target="../charts/chart27.xml"/><Relationship Id="rId3" Type="http://schemas.openxmlformats.org/officeDocument/2006/relationships/chart" Target="../charts/chart28.xml"/><Relationship Id="rId4" Type="http://schemas.openxmlformats.org/officeDocument/2006/relationships/chart" Target="../charts/chart29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30.xml"/><Relationship Id="rId2" Type="http://schemas.openxmlformats.org/officeDocument/2006/relationships/chart" Target="../charts/chart31.xml"/><Relationship Id="rId3" Type="http://schemas.openxmlformats.org/officeDocument/2006/relationships/chart" Target="../charts/chart32.xml"/><Relationship Id="rId4" Type="http://schemas.openxmlformats.org/officeDocument/2006/relationships/chart" Target="../charts/chart33.xml"/><Relationship Id="rId5" Type="http://schemas.openxmlformats.org/officeDocument/2006/relationships/chart" Target="../charts/chart34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35.xml"/><Relationship Id="rId2" Type="http://schemas.openxmlformats.org/officeDocument/2006/relationships/chart" Target="../charts/chart36.xml"/><Relationship Id="rId3" Type="http://schemas.openxmlformats.org/officeDocument/2006/relationships/chart" Target="../charts/chart37.xml"/><Relationship Id="rId4" Type="http://schemas.openxmlformats.org/officeDocument/2006/relationships/chart" Target="../charts/chart38.xml"/><Relationship Id="rId5" Type="http://schemas.openxmlformats.org/officeDocument/2006/relationships/chart" Target="../charts/chart39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40.xml"/><Relationship Id="rId2" Type="http://schemas.openxmlformats.org/officeDocument/2006/relationships/chart" Target="../charts/chart41.xml"/><Relationship Id="rId3" Type="http://schemas.openxmlformats.org/officeDocument/2006/relationships/chart" Target="../charts/chart42.xml"/><Relationship Id="rId4" Type="http://schemas.openxmlformats.org/officeDocument/2006/relationships/chart" Target="../charts/chart43.xml"/><Relationship Id="rId5" Type="http://schemas.openxmlformats.org/officeDocument/2006/relationships/chart" Target="../charts/chart44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45.xml"/><Relationship Id="rId2" Type="http://schemas.openxmlformats.org/officeDocument/2006/relationships/chart" Target="../charts/chart46.xml"/><Relationship Id="rId3" Type="http://schemas.openxmlformats.org/officeDocument/2006/relationships/chart" Target="../charts/chart47.xml"/><Relationship Id="rId4" Type="http://schemas.openxmlformats.org/officeDocument/2006/relationships/chart" Target="../charts/chart48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49.xml"/><Relationship Id="rId2" Type="http://schemas.openxmlformats.org/officeDocument/2006/relationships/chart" Target="../charts/chart50.xml"/><Relationship Id="rId3" Type="http://schemas.openxmlformats.org/officeDocument/2006/relationships/chart" Target="../charts/chart51.xml"/><Relationship Id="rId4" Type="http://schemas.openxmlformats.org/officeDocument/2006/relationships/chart" Target="../charts/chart52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53.xml"/><Relationship Id="rId2" Type="http://schemas.openxmlformats.org/officeDocument/2006/relationships/chart" Target="../charts/chart54.xml"/><Relationship Id="rId3" Type="http://schemas.openxmlformats.org/officeDocument/2006/relationships/chart" Target="../charts/chart55.xml"/><Relationship Id="rId4" Type="http://schemas.openxmlformats.org/officeDocument/2006/relationships/chart" Target="../charts/chart56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57.xml"/><Relationship Id="rId2" Type="http://schemas.openxmlformats.org/officeDocument/2006/relationships/chart" Target="../charts/chart58.xml"/><Relationship Id="rId3" Type="http://schemas.openxmlformats.org/officeDocument/2006/relationships/chart" Target="../charts/chart59.xml"/><Relationship Id="rId4" Type="http://schemas.openxmlformats.org/officeDocument/2006/relationships/chart" Target="../charts/chart60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61.xml"/><Relationship Id="rId2" Type="http://schemas.openxmlformats.org/officeDocument/2006/relationships/chart" Target="../charts/chart62.xml"/><Relationship Id="rId3" Type="http://schemas.openxmlformats.org/officeDocument/2006/relationships/chart" Target="../charts/chart63.xml"/><Relationship Id="rId4" Type="http://schemas.openxmlformats.org/officeDocument/2006/relationships/chart" Target="../charts/chart64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65.xml"/><Relationship Id="rId2" Type="http://schemas.openxmlformats.org/officeDocument/2006/relationships/chart" Target="../charts/chart66.xml"/><Relationship Id="rId3" Type="http://schemas.openxmlformats.org/officeDocument/2006/relationships/chart" Target="../charts/chart67.xml"/><Relationship Id="rId4" Type="http://schemas.openxmlformats.org/officeDocument/2006/relationships/chart" Target="../charts/chart68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69.xml"/><Relationship Id="rId2" Type="http://schemas.openxmlformats.org/officeDocument/2006/relationships/chart" Target="../charts/chart70.xml"/><Relationship Id="rId3" Type="http://schemas.openxmlformats.org/officeDocument/2006/relationships/chart" Target="../charts/chart71.xml"/><Relationship Id="rId4" Type="http://schemas.openxmlformats.org/officeDocument/2006/relationships/chart" Target="../charts/chart72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73.xml"/><Relationship Id="rId2" Type="http://schemas.openxmlformats.org/officeDocument/2006/relationships/chart" Target="../charts/chart74.xml"/><Relationship Id="rId3" Type="http://schemas.openxmlformats.org/officeDocument/2006/relationships/chart" Target="../charts/chart75.xml"/><Relationship Id="rId4" Type="http://schemas.openxmlformats.org/officeDocument/2006/relationships/chart" Target="../charts/chart76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77.xml"/><Relationship Id="rId2" Type="http://schemas.openxmlformats.org/officeDocument/2006/relationships/chart" Target="../charts/chart78.xml"/><Relationship Id="rId3" Type="http://schemas.openxmlformats.org/officeDocument/2006/relationships/chart" Target="../charts/chart79.xml"/><Relationship Id="rId4" Type="http://schemas.openxmlformats.org/officeDocument/2006/relationships/chart" Target="../charts/chart80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81.xml"/><Relationship Id="rId2" Type="http://schemas.openxmlformats.org/officeDocument/2006/relationships/chart" Target="../charts/chart82.xml"/><Relationship Id="rId3" Type="http://schemas.openxmlformats.org/officeDocument/2006/relationships/chart" Target="../charts/chart83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84.xml"/><Relationship Id="rId2" Type="http://schemas.openxmlformats.org/officeDocument/2006/relationships/chart" Target="../charts/chart85.xml"/><Relationship Id="rId3" Type="http://schemas.openxmlformats.org/officeDocument/2006/relationships/chart" Target="../charts/chart86.xml"/><Relationship Id="rId4" Type="http://schemas.openxmlformats.org/officeDocument/2006/relationships/chart" Target="../charts/chart87.xml"/><Relationship Id="rId5" Type="http://schemas.openxmlformats.org/officeDocument/2006/relationships/chart" Target="../charts/chart88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89.xml"/><Relationship Id="rId2" Type="http://schemas.openxmlformats.org/officeDocument/2006/relationships/chart" Target="../charts/chart90.xml"/><Relationship Id="rId3" Type="http://schemas.openxmlformats.org/officeDocument/2006/relationships/chart" Target="../charts/chart91.xml"/><Relationship Id="rId4" Type="http://schemas.openxmlformats.org/officeDocument/2006/relationships/chart" Target="../charts/chart92.xml"/><Relationship Id="rId5" Type="http://schemas.openxmlformats.org/officeDocument/2006/relationships/chart" Target="../charts/chart93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94.xml"/><Relationship Id="rId2" Type="http://schemas.openxmlformats.org/officeDocument/2006/relationships/chart" Target="../charts/chart95.xml"/><Relationship Id="rId3" Type="http://schemas.openxmlformats.org/officeDocument/2006/relationships/chart" Target="../charts/chart96.xml"/><Relationship Id="rId4" Type="http://schemas.openxmlformats.org/officeDocument/2006/relationships/chart" Target="../charts/chart97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98.xml"/><Relationship Id="rId2" Type="http://schemas.openxmlformats.org/officeDocument/2006/relationships/chart" Target="../charts/chart99.xml"/><Relationship Id="rId3" Type="http://schemas.openxmlformats.org/officeDocument/2006/relationships/chart" Target="../charts/chart100.xml"/><Relationship Id="rId4" Type="http://schemas.openxmlformats.org/officeDocument/2006/relationships/chart" Target="../charts/chart101.xml"/><Relationship Id="rId5" Type="http://schemas.openxmlformats.org/officeDocument/2006/relationships/chart" Target="../charts/chart102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3.xml"/><Relationship Id="rId2" Type="http://schemas.openxmlformats.org/officeDocument/2006/relationships/chart" Target="../charts/chart104.xml"/><Relationship Id="rId3" Type="http://schemas.openxmlformats.org/officeDocument/2006/relationships/chart" Target="../charts/chart105.xml"/><Relationship Id="rId4" Type="http://schemas.openxmlformats.org/officeDocument/2006/relationships/chart" Target="../charts/chart106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7.xml"/><Relationship Id="rId2" Type="http://schemas.openxmlformats.org/officeDocument/2006/relationships/chart" Target="../charts/chart108.xml"/><Relationship Id="rId3" Type="http://schemas.openxmlformats.org/officeDocument/2006/relationships/chart" Target="../charts/chart109.xml"/><Relationship Id="rId4" Type="http://schemas.openxmlformats.org/officeDocument/2006/relationships/chart" Target="../charts/chart110.xml"/><Relationship Id="rId5" Type="http://schemas.openxmlformats.org/officeDocument/2006/relationships/chart" Target="../charts/chart111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2.xml"/><Relationship Id="rId2" Type="http://schemas.openxmlformats.org/officeDocument/2006/relationships/chart" Target="../charts/chart113.xml"/><Relationship Id="rId3" Type="http://schemas.openxmlformats.org/officeDocument/2006/relationships/chart" Target="../charts/chart114.xml"/><Relationship Id="rId4" Type="http://schemas.openxmlformats.org/officeDocument/2006/relationships/chart" Target="../charts/chart115.xml"/><Relationship Id="rId5" Type="http://schemas.openxmlformats.org/officeDocument/2006/relationships/chart" Target="../charts/chart116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7.xml"/><Relationship Id="rId2" Type="http://schemas.openxmlformats.org/officeDocument/2006/relationships/chart" Target="../charts/chart118.xml"/><Relationship Id="rId3" Type="http://schemas.openxmlformats.org/officeDocument/2006/relationships/chart" Target="../charts/chart119.xml"/><Relationship Id="rId4" Type="http://schemas.openxmlformats.org/officeDocument/2006/relationships/chart" Target="../charts/chart120.xml"/><Relationship Id="rId5" Type="http://schemas.openxmlformats.org/officeDocument/2006/relationships/chart" Target="../charts/chart121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2.xml"/><Relationship Id="rId2" Type="http://schemas.openxmlformats.org/officeDocument/2006/relationships/chart" Target="../charts/chart123.xml"/><Relationship Id="rId3" Type="http://schemas.openxmlformats.org/officeDocument/2006/relationships/chart" Target="../charts/chart124.xml"/><Relationship Id="rId4" Type="http://schemas.openxmlformats.org/officeDocument/2006/relationships/chart" Target="../charts/chart125.xml"/><Relationship Id="rId5" Type="http://schemas.openxmlformats.org/officeDocument/2006/relationships/chart" Target="../charts/chart126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7.xml"/><Relationship Id="rId2" Type="http://schemas.openxmlformats.org/officeDocument/2006/relationships/chart" Target="../charts/chart128.xml"/><Relationship Id="rId3" Type="http://schemas.openxmlformats.org/officeDocument/2006/relationships/chart" Target="../charts/chart129.xml"/><Relationship Id="rId4" Type="http://schemas.openxmlformats.org/officeDocument/2006/relationships/chart" Target="../charts/chart130.xml"/><Relationship Id="rId5" Type="http://schemas.openxmlformats.org/officeDocument/2006/relationships/chart" Target="../charts/chart1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8</xdr:col>
      <xdr:colOff>161925</xdr:colOff>
      <xdr:row>86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161925</xdr:colOff>
      <xdr:row>86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20</xdr:col>
      <xdr:colOff>190500</xdr:colOff>
      <xdr:row>86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161925</xdr:colOff>
      <xdr:row>101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0</xdr:rowOff>
    </xdr:from>
    <xdr:to>
      <xdr:col>14</xdr:col>
      <xdr:colOff>161925</xdr:colOff>
      <xdr:row>101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20</xdr:col>
      <xdr:colOff>190500</xdr:colOff>
      <xdr:row>101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8</xdr:col>
      <xdr:colOff>161925</xdr:colOff>
      <xdr:row>116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102</xdr:row>
      <xdr:rowOff>0</xdr:rowOff>
    </xdr:from>
    <xdr:to>
      <xdr:col>14</xdr:col>
      <xdr:colOff>161925</xdr:colOff>
      <xdr:row>116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20</xdr:col>
      <xdr:colOff>190500</xdr:colOff>
      <xdr:row>116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8</xdr:col>
      <xdr:colOff>161925</xdr:colOff>
      <xdr:row>133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118</xdr:row>
      <xdr:rowOff>0</xdr:rowOff>
    </xdr:from>
    <xdr:to>
      <xdr:col>14</xdr:col>
      <xdr:colOff>161925</xdr:colOff>
      <xdr:row>133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118</xdr:row>
      <xdr:rowOff>0</xdr:rowOff>
    </xdr:from>
    <xdr:to>
      <xdr:col>20</xdr:col>
      <xdr:colOff>190500</xdr:colOff>
      <xdr:row>133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8</xdr:col>
      <xdr:colOff>161925</xdr:colOff>
      <xdr:row>150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153</xdr:row>
      <xdr:rowOff>0</xdr:rowOff>
    </xdr:from>
    <xdr:to>
      <xdr:col>4</xdr:col>
      <xdr:colOff>466725</xdr:colOff>
      <xdr:row>162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153</xdr:row>
      <xdr:rowOff>0</xdr:rowOff>
    </xdr:from>
    <xdr:to>
      <xdr:col>7</xdr:col>
      <xdr:colOff>466725</xdr:colOff>
      <xdr:row>162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153</xdr:row>
      <xdr:rowOff>0</xdr:rowOff>
    </xdr:from>
    <xdr:to>
      <xdr:col>10</xdr:col>
      <xdr:colOff>466725</xdr:colOff>
      <xdr:row>162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153</xdr:row>
      <xdr:rowOff>0</xdr:rowOff>
    </xdr:from>
    <xdr:to>
      <xdr:col>13</xdr:col>
      <xdr:colOff>466725</xdr:colOff>
      <xdr:row>162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153</xdr:row>
      <xdr:rowOff>0</xdr:rowOff>
    </xdr:from>
    <xdr:to>
      <xdr:col>16</xdr:col>
      <xdr:colOff>466725</xdr:colOff>
      <xdr:row>162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153</xdr:row>
      <xdr:rowOff>0</xdr:rowOff>
    </xdr:from>
    <xdr:to>
      <xdr:col>19</xdr:col>
      <xdr:colOff>466725</xdr:colOff>
      <xdr:row>162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164</xdr:row>
      <xdr:rowOff>0</xdr:rowOff>
    </xdr:from>
    <xdr:to>
      <xdr:col>8</xdr:col>
      <xdr:colOff>161925</xdr:colOff>
      <xdr:row>178</xdr:row>
      <xdr:rowOff>95250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164</xdr:row>
      <xdr:rowOff>0</xdr:rowOff>
    </xdr:from>
    <xdr:to>
      <xdr:col>14</xdr:col>
      <xdr:colOff>161925</xdr:colOff>
      <xdr:row>178</xdr:row>
      <xdr:rowOff>95250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20</xdr:col>
      <xdr:colOff>190500</xdr:colOff>
      <xdr:row>178</xdr:row>
      <xdr:rowOff>95250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52" totalsRowShown="0">
  <autoFilter ref="A3:O52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O52" totalsRowShown="0">
  <autoFilter ref="A3:O52"/>
  <tableColumns count="15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P52" totalsRowShown="0">
  <autoFilter ref="A3:P52"/>
  <tableColumns count="16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52" totalsRowShown="0">
  <autoFilter ref="A3:O52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52" totalsRowShown="0">
  <autoFilter ref="A3:O52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52" totalsRowShown="0">
  <autoFilter ref="A3:O52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52" totalsRowShown="0">
  <autoFilter ref="A3:O52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52" totalsRowShown="0">
  <autoFilter ref="A3:P52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52" totalsRowShown="0">
  <autoFilter ref="A3:N52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52" totalsRowShown="0">
  <autoFilter ref="A3:O52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52" totalsRowShown="0">
  <autoFilter ref="A3:P52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52" totalsRowShown="0">
  <autoFilter ref="A3:P52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52" totalsRowShown="0">
  <autoFilter ref="A3:N52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52" totalsRowShown="0">
  <autoFilter ref="A3:O52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52" totalsRowShown="0">
  <autoFilter ref="A3:K52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52" totalsRowShown="0">
  <autoFilter ref="A3:J52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52" totalsRowShown="0">
  <autoFilter ref="A3:M52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52" totalsRowShown="0">
  <autoFilter ref="A3:J52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52" totalsRowShown="0">
  <autoFilter ref="A3:N52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52" totalsRowShown="0">
  <autoFilter ref="A3:O52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52" totalsRowShown="0">
  <autoFilter ref="A3:N52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52" totalsRowShown="0">
  <autoFilter ref="A3:M52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52" totalsRowShown="0">
  <autoFilter ref="A3:M52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52" totalsRowShown="0">
  <autoFilter ref="A3:AD52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3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5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6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7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8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19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0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1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2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3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4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5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</sheetPr>
  <dimension ref="A1:Q51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customWidth="1"/>
    <col min="6" max="6" width="12.7109375" customWidth="1"/>
    <col min="7" max="7" width="10.7109375" customWidth="1"/>
    <col min="8" max="8" width="14.7109375" customWidth="1"/>
    <col min="9" max="10" width="18.7109375" customWidth="1"/>
    <col min="11" max="11" width="14.7109375" customWidth="1"/>
    <col min="12" max="12" width="16.7109375" customWidth="1"/>
    <col min="13" max="14" width="17.7109375" customWidth="1"/>
    <col min="15" max="15" width="15.7109375" customWidth="1"/>
  </cols>
  <sheetData>
    <row r="1" spans="1:17" ht="22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128</v>
      </c>
      <c r="F3" t="s">
        <v>129</v>
      </c>
      <c r="G3" t="s">
        <v>130</v>
      </c>
      <c r="H3" t="s">
        <v>131</v>
      </c>
      <c r="I3" t="s">
        <v>132</v>
      </c>
      <c r="J3" t="s">
        <v>133</v>
      </c>
      <c r="K3" t="s">
        <v>134</v>
      </c>
      <c r="L3" t="s">
        <v>135</v>
      </c>
      <c r="M3" t="s">
        <v>136</v>
      </c>
      <c r="N3" t="s">
        <v>137</v>
      </c>
      <c r="O3" t="s">
        <v>138</v>
      </c>
    </row>
    <row r="4" spans="1:17">
      <c r="A4" s="3">
        <v>1</v>
      </c>
      <c r="B4" s="3" t="s">
        <v>2</v>
      </c>
      <c r="C4" s="4">
        <v>46040</v>
      </c>
      <c r="D4" s="3" t="s">
        <v>3</v>
      </c>
      <c r="E4" s="5" t="s">
        <v>4</v>
      </c>
      <c r="F4" s="5" t="s">
        <v>5</v>
      </c>
      <c r="G4" s="3" t="s">
        <v>6</v>
      </c>
      <c r="H4" s="3" t="s">
        <v>7</v>
      </c>
      <c r="I4" s="3">
        <v>56</v>
      </c>
      <c r="J4" s="3">
        <v>17</v>
      </c>
      <c r="K4" s="6">
        <f>IFERROR(J4/I4*100,0)</f>
        <v>0</v>
      </c>
      <c r="L4" s="3">
        <v>35</v>
      </c>
      <c r="M4" s="3" t="s">
        <v>8</v>
      </c>
      <c r="N4" s="3" t="s">
        <v>9</v>
      </c>
      <c r="O4" s="3" t="s">
        <v>10</v>
      </c>
    </row>
    <row r="5" spans="1:17">
      <c r="A5" s="3">
        <v>2</v>
      </c>
      <c r="B5" s="3" t="s">
        <v>11</v>
      </c>
      <c r="C5" s="4">
        <v>46027</v>
      </c>
      <c r="D5" s="3" t="s">
        <v>3</v>
      </c>
      <c r="E5" s="5" t="s">
        <v>12</v>
      </c>
      <c r="F5" s="5" t="s">
        <v>13</v>
      </c>
      <c r="G5" s="3" t="s">
        <v>14</v>
      </c>
      <c r="H5" s="3" t="s">
        <v>15</v>
      </c>
      <c r="I5" s="3">
        <v>51</v>
      </c>
      <c r="J5" s="3">
        <v>29</v>
      </c>
      <c r="K5" s="6">
        <f>IFERROR(J5/I5*100,0)</f>
        <v>0</v>
      </c>
      <c r="L5" s="3">
        <v>18</v>
      </c>
      <c r="M5" s="3" t="s">
        <v>16</v>
      </c>
      <c r="N5" s="3" t="s">
        <v>9</v>
      </c>
      <c r="O5" s="3" t="s">
        <v>17</v>
      </c>
    </row>
    <row r="6" spans="1:17">
      <c r="A6" s="3">
        <v>3</v>
      </c>
      <c r="B6" s="3" t="s">
        <v>18</v>
      </c>
      <c r="C6" s="4">
        <v>46064</v>
      </c>
      <c r="D6" s="3" t="s">
        <v>19</v>
      </c>
      <c r="E6" s="5" t="s">
        <v>20</v>
      </c>
      <c r="F6" s="5" t="s">
        <v>13</v>
      </c>
      <c r="G6" s="3" t="s">
        <v>21</v>
      </c>
      <c r="H6" s="3" t="s">
        <v>22</v>
      </c>
      <c r="I6" s="3">
        <v>16</v>
      </c>
      <c r="J6" s="3">
        <v>24</v>
      </c>
      <c r="K6" s="6">
        <f>IFERROR(J6/I6*100,0)</f>
        <v>0</v>
      </c>
      <c r="L6" s="3">
        <v>91</v>
      </c>
      <c r="M6" s="3" t="s">
        <v>8</v>
      </c>
      <c r="N6" s="3" t="s">
        <v>23</v>
      </c>
      <c r="O6" s="3" t="s">
        <v>24</v>
      </c>
    </row>
    <row r="7" spans="1:17">
      <c r="A7" s="3">
        <v>4</v>
      </c>
      <c r="B7" s="3" t="s">
        <v>25</v>
      </c>
      <c r="C7" s="4">
        <v>46068</v>
      </c>
      <c r="D7" s="3" t="s">
        <v>19</v>
      </c>
      <c r="E7" s="5" t="s">
        <v>26</v>
      </c>
      <c r="F7" s="5" t="s">
        <v>27</v>
      </c>
      <c r="G7" s="3" t="s">
        <v>21</v>
      </c>
      <c r="H7" s="3" t="s">
        <v>28</v>
      </c>
      <c r="I7" s="3">
        <v>53</v>
      </c>
      <c r="J7" s="3">
        <v>30</v>
      </c>
      <c r="K7" s="6">
        <f>IFERROR(J7/I7*100,0)</f>
        <v>0</v>
      </c>
      <c r="L7" s="3">
        <v>41</v>
      </c>
      <c r="M7" s="3" t="s">
        <v>16</v>
      </c>
      <c r="N7" s="3" t="s">
        <v>23</v>
      </c>
      <c r="O7" s="3" t="s">
        <v>17</v>
      </c>
    </row>
    <row r="8" spans="1:17">
      <c r="A8" s="3">
        <v>5</v>
      </c>
      <c r="B8" s="3" t="s">
        <v>29</v>
      </c>
      <c r="C8" s="4">
        <v>46075</v>
      </c>
      <c r="D8" s="3" t="s">
        <v>19</v>
      </c>
      <c r="E8" s="5" t="s">
        <v>30</v>
      </c>
      <c r="F8" s="5" t="s">
        <v>27</v>
      </c>
      <c r="G8" s="3" t="s">
        <v>31</v>
      </c>
      <c r="H8" s="3" t="s">
        <v>32</v>
      </c>
      <c r="I8" s="3">
        <v>21</v>
      </c>
      <c r="J8" s="3">
        <v>51</v>
      </c>
      <c r="K8" s="6">
        <f>IFERROR(J8/I8*100,0)</f>
        <v>0</v>
      </c>
      <c r="L8" s="3">
        <v>95</v>
      </c>
      <c r="M8" s="3" t="s">
        <v>33</v>
      </c>
      <c r="N8" s="3" t="s">
        <v>23</v>
      </c>
      <c r="O8" s="3" t="s">
        <v>17</v>
      </c>
    </row>
    <row r="9" spans="1:17">
      <c r="A9" s="3">
        <v>6</v>
      </c>
      <c r="B9" s="3" t="s">
        <v>34</v>
      </c>
      <c r="C9" s="4">
        <v>46063</v>
      </c>
      <c r="D9" s="3" t="s">
        <v>19</v>
      </c>
      <c r="E9" s="5" t="s">
        <v>20</v>
      </c>
      <c r="F9" s="5" t="s">
        <v>5</v>
      </c>
      <c r="G9" s="3" t="s">
        <v>35</v>
      </c>
      <c r="H9" s="3" t="s">
        <v>36</v>
      </c>
      <c r="I9" s="3">
        <v>18</v>
      </c>
      <c r="J9" s="3">
        <v>55</v>
      </c>
      <c r="K9" s="6">
        <f>IFERROR(J9/I9*100,0)</f>
        <v>0</v>
      </c>
      <c r="L9" s="3">
        <v>109</v>
      </c>
      <c r="M9" s="3" t="s">
        <v>33</v>
      </c>
      <c r="N9" s="3" t="s">
        <v>9</v>
      </c>
      <c r="O9" s="3" t="s">
        <v>24</v>
      </c>
    </row>
    <row r="10" spans="1:17">
      <c r="A10" s="3">
        <v>7</v>
      </c>
      <c r="B10" s="3" t="s">
        <v>37</v>
      </c>
      <c r="C10" s="4">
        <v>46056</v>
      </c>
      <c r="D10" s="3" t="s">
        <v>19</v>
      </c>
      <c r="E10" s="5" t="s">
        <v>38</v>
      </c>
      <c r="F10" s="5" t="s">
        <v>39</v>
      </c>
      <c r="G10" s="3" t="s">
        <v>40</v>
      </c>
      <c r="H10" s="3" t="s">
        <v>41</v>
      </c>
      <c r="I10" s="3">
        <v>45</v>
      </c>
      <c r="J10" s="3">
        <v>26</v>
      </c>
      <c r="K10" s="6">
        <f>IFERROR(J10/I10*100,0)</f>
        <v>0</v>
      </c>
      <c r="L10" s="3">
        <v>54</v>
      </c>
      <c r="M10" s="3" t="s">
        <v>33</v>
      </c>
      <c r="N10" s="3" t="s">
        <v>9</v>
      </c>
      <c r="O10" s="3" t="s">
        <v>42</v>
      </c>
    </row>
    <row r="11" spans="1:17">
      <c r="A11" s="3">
        <v>8</v>
      </c>
      <c r="B11" s="3" t="s">
        <v>43</v>
      </c>
      <c r="C11" s="4">
        <v>46095</v>
      </c>
      <c r="D11" s="3" t="s">
        <v>44</v>
      </c>
      <c r="E11" s="5" t="s">
        <v>45</v>
      </c>
      <c r="F11" s="5" t="s">
        <v>46</v>
      </c>
      <c r="G11" s="3" t="s">
        <v>21</v>
      </c>
      <c r="H11" s="3" t="s">
        <v>36</v>
      </c>
      <c r="I11" s="3">
        <v>41</v>
      </c>
      <c r="J11" s="3">
        <v>33</v>
      </c>
      <c r="K11" s="6">
        <f>IFERROR(J11/I11*100,0)</f>
        <v>0</v>
      </c>
      <c r="L11" s="3">
        <v>27</v>
      </c>
      <c r="M11" s="3" t="s">
        <v>47</v>
      </c>
      <c r="N11" s="3" t="s">
        <v>23</v>
      </c>
      <c r="O11" s="3" t="s">
        <v>42</v>
      </c>
    </row>
    <row r="12" spans="1:17">
      <c r="A12" s="3">
        <v>9</v>
      </c>
      <c r="B12" s="3" t="s">
        <v>48</v>
      </c>
      <c r="C12" s="4">
        <v>46102</v>
      </c>
      <c r="D12" s="3" t="s">
        <v>44</v>
      </c>
      <c r="E12" s="5" t="s">
        <v>49</v>
      </c>
      <c r="F12" s="5" t="s">
        <v>50</v>
      </c>
      <c r="G12" s="3" t="s">
        <v>51</v>
      </c>
      <c r="H12" s="3" t="s">
        <v>7</v>
      </c>
      <c r="I12" s="3">
        <v>32</v>
      </c>
      <c r="J12" s="3">
        <v>43</v>
      </c>
      <c r="K12" s="6">
        <f>IFERROR(J12/I12*100,0)</f>
        <v>0</v>
      </c>
      <c r="L12" s="3">
        <v>104</v>
      </c>
      <c r="M12" s="3" t="s">
        <v>16</v>
      </c>
      <c r="N12" s="3" t="s">
        <v>9</v>
      </c>
      <c r="O12" s="3" t="s">
        <v>42</v>
      </c>
    </row>
    <row r="13" spans="1:17">
      <c r="A13" s="3">
        <v>10</v>
      </c>
      <c r="B13" s="3" t="s">
        <v>52</v>
      </c>
      <c r="C13" s="4">
        <v>46124</v>
      </c>
      <c r="D13" s="3" t="s">
        <v>53</v>
      </c>
      <c r="E13" s="5" t="s">
        <v>54</v>
      </c>
      <c r="F13" s="5" t="s">
        <v>5</v>
      </c>
      <c r="G13" s="3" t="s">
        <v>21</v>
      </c>
      <c r="H13" s="3" t="s">
        <v>28</v>
      </c>
      <c r="I13" s="3">
        <v>45</v>
      </c>
      <c r="J13" s="3">
        <v>40</v>
      </c>
      <c r="K13" s="6">
        <f>IFERROR(J13/I13*100,0)</f>
        <v>0</v>
      </c>
      <c r="L13" s="3">
        <v>115</v>
      </c>
      <c r="M13" s="3" t="s">
        <v>55</v>
      </c>
      <c r="N13" s="3" t="s">
        <v>23</v>
      </c>
      <c r="O13" s="3" t="s">
        <v>42</v>
      </c>
    </row>
    <row r="14" spans="1:17">
      <c r="A14" s="3">
        <v>11</v>
      </c>
      <c r="B14" s="3" t="s">
        <v>56</v>
      </c>
      <c r="C14" s="4">
        <v>46140</v>
      </c>
      <c r="D14" s="3" t="s">
        <v>53</v>
      </c>
      <c r="E14" s="5" t="s">
        <v>57</v>
      </c>
      <c r="F14" s="5" t="s">
        <v>58</v>
      </c>
      <c r="G14" s="3" t="s">
        <v>14</v>
      </c>
      <c r="H14" s="3" t="s">
        <v>7</v>
      </c>
      <c r="I14" s="3">
        <v>35</v>
      </c>
      <c r="J14" s="3">
        <v>34</v>
      </c>
      <c r="K14" s="6">
        <f>IFERROR(J14/I14*100,0)</f>
        <v>0</v>
      </c>
      <c r="L14" s="3">
        <v>83</v>
      </c>
      <c r="M14" s="3" t="s">
        <v>8</v>
      </c>
      <c r="N14" s="3" t="s">
        <v>9</v>
      </c>
      <c r="O14" s="3" t="s">
        <v>24</v>
      </c>
    </row>
    <row r="15" spans="1:17">
      <c r="A15" s="3">
        <v>12</v>
      </c>
      <c r="B15" s="3" t="s">
        <v>59</v>
      </c>
      <c r="C15" s="4">
        <v>46170</v>
      </c>
      <c r="D15" s="3" t="s">
        <v>60</v>
      </c>
      <c r="E15" s="5" t="s">
        <v>61</v>
      </c>
      <c r="F15" s="5" t="s">
        <v>50</v>
      </c>
      <c r="G15" s="3" t="s">
        <v>51</v>
      </c>
      <c r="H15" s="3" t="s">
        <v>62</v>
      </c>
      <c r="I15" s="3">
        <v>43</v>
      </c>
      <c r="J15" s="3">
        <v>11</v>
      </c>
      <c r="K15" s="6">
        <f>IFERROR(J15/I15*100,0)</f>
        <v>0</v>
      </c>
      <c r="L15" s="3">
        <v>88</v>
      </c>
      <c r="M15" s="3" t="s">
        <v>47</v>
      </c>
      <c r="N15" s="3" t="s">
        <v>9</v>
      </c>
      <c r="O15" s="3" t="s">
        <v>10</v>
      </c>
    </row>
    <row r="16" spans="1:17">
      <c r="A16" s="3">
        <v>13</v>
      </c>
      <c r="B16" s="3" t="s">
        <v>63</v>
      </c>
      <c r="C16" s="4">
        <v>46161</v>
      </c>
      <c r="D16" s="3" t="s">
        <v>60</v>
      </c>
      <c r="E16" s="5" t="s">
        <v>64</v>
      </c>
      <c r="F16" s="5" t="s">
        <v>65</v>
      </c>
      <c r="G16" s="3" t="s">
        <v>6</v>
      </c>
      <c r="H16" s="3" t="s">
        <v>66</v>
      </c>
      <c r="I16" s="3">
        <v>16</v>
      </c>
      <c r="J16" s="3">
        <v>60</v>
      </c>
      <c r="K16" s="6">
        <f>IFERROR(J16/I16*100,0)</f>
        <v>0</v>
      </c>
      <c r="L16" s="3">
        <v>48</v>
      </c>
      <c r="M16" s="3" t="s">
        <v>33</v>
      </c>
      <c r="N16" s="3" t="s">
        <v>23</v>
      </c>
      <c r="O16" s="3" t="s">
        <v>42</v>
      </c>
    </row>
    <row r="17" spans="1:15">
      <c r="A17" s="3">
        <v>14</v>
      </c>
      <c r="B17" s="3" t="s">
        <v>67</v>
      </c>
      <c r="C17" s="4">
        <v>46165</v>
      </c>
      <c r="D17" s="3" t="s">
        <v>60</v>
      </c>
      <c r="E17" s="5" t="s">
        <v>57</v>
      </c>
      <c r="F17" s="5" t="s">
        <v>5</v>
      </c>
      <c r="G17" s="3" t="s">
        <v>35</v>
      </c>
      <c r="H17" s="3" t="s">
        <v>68</v>
      </c>
      <c r="I17" s="3">
        <v>17</v>
      </c>
      <c r="J17" s="3">
        <v>29</v>
      </c>
      <c r="K17" s="6">
        <f>IFERROR(J17/I17*100,0)</f>
        <v>0</v>
      </c>
      <c r="L17" s="3">
        <v>113</v>
      </c>
      <c r="M17" s="3" t="s">
        <v>16</v>
      </c>
      <c r="N17" s="3" t="s">
        <v>23</v>
      </c>
      <c r="O17" s="3" t="s">
        <v>24</v>
      </c>
    </row>
    <row r="18" spans="1:15">
      <c r="A18" s="3">
        <v>15</v>
      </c>
      <c r="B18" s="3" t="s">
        <v>69</v>
      </c>
      <c r="C18" s="4">
        <v>46153</v>
      </c>
      <c r="D18" s="3" t="s">
        <v>60</v>
      </c>
      <c r="E18" s="5" t="s">
        <v>64</v>
      </c>
      <c r="F18" s="5" t="s">
        <v>39</v>
      </c>
      <c r="G18" s="3" t="s">
        <v>14</v>
      </c>
      <c r="H18" s="3" t="s">
        <v>70</v>
      </c>
      <c r="I18" s="3">
        <v>21</v>
      </c>
      <c r="J18" s="3">
        <v>45</v>
      </c>
      <c r="K18" s="6">
        <f>IFERROR(J18/I18*100,0)</f>
        <v>0</v>
      </c>
      <c r="L18" s="3">
        <v>19</v>
      </c>
      <c r="M18" s="3" t="s">
        <v>55</v>
      </c>
      <c r="N18" s="3" t="s">
        <v>23</v>
      </c>
      <c r="O18" s="3" t="s">
        <v>17</v>
      </c>
    </row>
    <row r="19" spans="1:15">
      <c r="A19" s="3">
        <v>16</v>
      </c>
      <c r="B19" s="3" t="s">
        <v>71</v>
      </c>
      <c r="C19" s="4">
        <v>46152</v>
      </c>
      <c r="D19" s="3" t="s">
        <v>60</v>
      </c>
      <c r="E19" s="5" t="s">
        <v>57</v>
      </c>
      <c r="F19" s="5" t="s">
        <v>13</v>
      </c>
      <c r="G19" s="3" t="s">
        <v>31</v>
      </c>
      <c r="H19" s="3" t="s">
        <v>66</v>
      </c>
      <c r="I19" s="3">
        <v>34</v>
      </c>
      <c r="J19" s="3">
        <v>22</v>
      </c>
      <c r="K19" s="6">
        <f>IFERROR(J19/I19*100,0)</f>
        <v>0</v>
      </c>
      <c r="L19" s="3">
        <v>110</v>
      </c>
      <c r="M19" s="3" t="s">
        <v>55</v>
      </c>
      <c r="N19" s="3" t="s">
        <v>9</v>
      </c>
      <c r="O19" s="3" t="s">
        <v>24</v>
      </c>
    </row>
    <row r="20" spans="1:15">
      <c r="A20" s="3">
        <v>17</v>
      </c>
      <c r="B20" s="3" t="s">
        <v>72</v>
      </c>
      <c r="C20" s="4">
        <v>46199</v>
      </c>
      <c r="D20" s="3" t="s">
        <v>73</v>
      </c>
      <c r="E20" s="5" t="s">
        <v>38</v>
      </c>
      <c r="F20" s="5" t="s">
        <v>50</v>
      </c>
      <c r="G20" s="3" t="s">
        <v>6</v>
      </c>
      <c r="H20" s="3" t="s">
        <v>15</v>
      </c>
      <c r="I20" s="3">
        <v>14</v>
      </c>
      <c r="J20" s="3">
        <v>56</v>
      </c>
      <c r="K20" s="6">
        <f>IFERROR(J20/I20*100,0)</f>
        <v>0</v>
      </c>
      <c r="L20" s="3">
        <v>58</v>
      </c>
      <c r="M20" s="3" t="s">
        <v>33</v>
      </c>
      <c r="N20" s="3" t="s">
        <v>23</v>
      </c>
      <c r="O20" s="3" t="s">
        <v>17</v>
      </c>
    </row>
    <row r="21" spans="1:15">
      <c r="A21" s="3">
        <v>18</v>
      </c>
      <c r="B21" s="3" t="s">
        <v>74</v>
      </c>
      <c r="C21" s="4">
        <v>46179</v>
      </c>
      <c r="D21" s="3" t="s">
        <v>73</v>
      </c>
      <c r="E21" s="5" t="s">
        <v>54</v>
      </c>
      <c r="F21" s="5" t="s">
        <v>65</v>
      </c>
      <c r="G21" s="3" t="s">
        <v>51</v>
      </c>
      <c r="H21" s="3" t="s">
        <v>68</v>
      </c>
      <c r="I21" s="3">
        <v>36</v>
      </c>
      <c r="J21" s="3">
        <v>28</v>
      </c>
      <c r="K21" s="6">
        <f>IFERROR(J21/I21*100,0)</f>
        <v>0</v>
      </c>
      <c r="L21" s="3">
        <v>74</v>
      </c>
      <c r="M21" s="3" t="s">
        <v>47</v>
      </c>
      <c r="N21" s="3" t="s">
        <v>23</v>
      </c>
      <c r="O21" s="3" t="s">
        <v>24</v>
      </c>
    </row>
    <row r="22" spans="1:15">
      <c r="A22" s="3">
        <v>19</v>
      </c>
      <c r="B22" s="3" t="s">
        <v>75</v>
      </c>
      <c r="C22" s="4">
        <v>46222</v>
      </c>
      <c r="D22" s="3" t="s">
        <v>76</v>
      </c>
      <c r="E22" s="5" t="s">
        <v>54</v>
      </c>
      <c r="F22" s="5" t="s">
        <v>13</v>
      </c>
      <c r="G22" s="3" t="s">
        <v>77</v>
      </c>
      <c r="H22" s="3" t="s">
        <v>78</v>
      </c>
      <c r="I22" s="3">
        <v>42</v>
      </c>
      <c r="J22" s="3">
        <v>58</v>
      </c>
      <c r="K22" s="6">
        <f>IFERROR(J22/I22*100,0)</f>
        <v>0</v>
      </c>
      <c r="L22" s="3">
        <v>91</v>
      </c>
      <c r="M22" s="3" t="s">
        <v>16</v>
      </c>
      <c r="N22" s="3" t="s">
        <v>23</v>
      </c>
      <c r="O22" s="3" t="s">
        <v>24</v>
      </c>
    </row>
    <row r="23" spans="1:15">
      <c r="A23" s="3">
        <v>20</v>
      </c>
      <c r="B23" s="3" t="s">
        <v>79</v>
      </c>
      <c r="C23" s="4">
        <v>46210</v>
      </c>
      <c r="D23" s="3" t="s">
        <v>76</v>
      </c>
      <c r="E23" s="5" t="s">
        <v>26</v>
      </c>
      <c r="F23" s="5" t="s">
        <v>65</v>
      </c>
      <c r="G23" s="3" t="s">
        <v>80</v>
      </c>
      <c r="H23" s="3" t="s">
        <v>7</v>
      </c>
      <c r="I23" s="3">
        <v>12</v>
      </c>
      <c r="J23" s="3">
        <v>19</v>
      </c>
      <c r="K23" s="6">
        <f>IFERROR(J23/I23*100,0)</f>
        <v>0</v>
      </c>
      <c r="L23" s="3">
        <v>98</v>
      </c>
      <c r="M23" s="3" t="s">
        <v>8</v>
      </c>
      <c r="N23" s="3" t="s">
        <v>23</v>
      </c>
      <c r="O23" s="3" t="s">
        <v>24</v>
      </c>
    </row>
    <row r="24" spans="1:15">
      <c r="A24" s="3">
        <v>21</v>
      </c>
      <c r="B24" s="3" t="s">
        <v>81</v>
      </c>
      <c r="C24" s="4">
        <v>46216</v>
      </c>
      <c r="D24" s="3" t="s">
        <v>76</v>
      </c>
      <c r="E24" s="5" t="s">
        <v>20</v>
      </c>
      <c r="F24" s="5" t="s">
        <v>39</v>
      </c>
      <c r="G24" s="3" t="s">
        <v>82</v>
      </c>
      <c r="H24" s="3" t="s">
        <v>78</v>
      </c>
      <c r="I24" s="3">
        <v>10</v>
      </c>
      <c r="J24" s="3">
        <v>16</v>
      </c>
      <c r="K24" s="6">
        <f>IFERROR(J24/I24*100,0)</f>
        <v>0</v>
      </c>
      <c r="L24" s="3">
        <v>64</v>
      </c>
      <c r="M24" s="3" t="s">
        <v>33</v>
      </c>
      <c r="N24" s="3" t="s">
        <v>9</v>
      </c>
      <c r="O24" s="3" t="s">
        <v>17</v>
      </c>
    </row>
    <row r="25" spans="1:15">
      <c r="A25" s="3">
        <v>22</v>
      </c>
      <c r="B25" s="3" t="s">
        <v>83</v>
      </c>
      <c r="C25" s="4">
        <v>46204</v>
      </c>
      <c r="D25" s="3" t="s">
        <v>76</v>
      </c>
      <c r="E25" s="5" t="s">
        <v>45</v>
      </c>
      <c r="F25" s="5" t="s">
        <v>27</v>
      </c>
      <c r="G25" s="3" t="s">
        <v>82</v>
      </c>
      <c r="H25" s="3" t="s">
        <v>7</v>
      </c>
      <c r="I25" s="3">
        <v>29</v>
      </c>
      <c r="J25" s="3">
        <v>17</v>
      </c>
      <c r="K25" s="6">
        <f>IFERROR(J25/I25*100,0)</f>
        <v>0</v>
      </c>
      <c r="L25" s="3">
        <v>27</v>
      </c>
      <c r="M25" s="3" t="s">
        <v>55</v>
      </c>
      <c r="N25" s="3" t="s">
        <v>23</v>
      </c>
      <c r="O25" s="3" t="s">
        <v>17</v>
      </c>
    </row>
    <row r="26" spans="1:15">
      <c r="A26" s="3">
        <v>23</v>
      </c>
      <c r="B26" s="3" t="s">
        <v>84</v>
      </c>
      <c r="C26" s="4">
        <v>46216</v>
      </c>
      <c r="D26" s="3" t="s">
        <v>76</v>
      </c>
      <c r="E26" s="5" t="s">
        <v>4</v>
      </c>
      <c r="F26" s="5" t="s">
        <v>50</v>
      </c>
      <c r="G26" s="3" t="s">
        <v>40</v>
      </c>
      <c r="H26" s="3" t="s">
        <v>15</v>
      </c>
      <c r="I26" s="3">
        <v>24</v>
      </c>
      <c r="J26" s="3">
        <v>59</v>
      </c>
      <c r="K26" s="6">
        <f>IFERROR(J26/I26*100,0)</f>
        <v>0</v>
      </c>
      <c r="L26" s="3">
        <v>31</v>
      </c>
      <c r="M26" s="3" t="s">
        <v>47</v>
      </c>
      <c r="N26" s="3" t="s">
        <v>9</v>
      </c>
      <c r="O26" s="3" t="s">
        <v>24</v>
      </c>
    </row>
    <row r="27" spans="1:15">
      <c r="A27" s="3">
        <v>24</v>
      </c>
      <c r="B27" s="3" t="s">
        <v>85</v>
      </c>
      <c r="C27" s="4">
        <v>46239</v>
      </c>
      <c r="D27" s="3" t="s">
        <v>86</v>
      </c>
      <c r="E27" s="5" t="s">
        <v>57</v>
      </c>
      <c r="F27" s="5" t="s">
        <v>58</v>
      </c>
      <c r="G27" s="3" t="s">
        <v>87</v>
      </c>
      <c r="H27" s="3" t="s">
        <v>22</v>
      </c>
      <c r="I27" s="3">
        <v>55</v>
      </c>
      <c r="J27" s="3">
        <v>33</v>
      </c>
      <c r="K27" s="6">
        <f>IFERROR(J27/I27*100,0)</f>
        <v>0</v>
      </c>
      <c r="L27" s="3">
        <v>61</v>
      </c>
      <c r="M27" s="3" t="s">
        <v>16</v>
      </c>
      <c r="N27" s="3" t="s">
        <v>23</v>
      </c>
      <c r="O27" s="3" t="s">
        <v>10</v>
      </c>
    </row>
    <row r="28" spans="1:15">
      <c r="A28" s="3">
        <v>25</v>
      </c>
      <c r="B28" s="3" t="s">
        <v>88</v>
      </c>
      <c r="C28" s="4">
        <v>46246</v>
      </c>
      <c r="D28" s="3" t="s">
        <v>86</v>
      </c>
      <c r="E28" s="5" t="s">
        <v>57</v>
      </c>
      <c r="F28" s="5" t="s">
        <v>89</v>
      </c>
      <c r="G28" s="3" t="s">
        <v>35</v>
      </c>
      <c r="H28" s="3" t="s">
        <v>28</v>
      </c>
      <c r="I28" s="3">
        <v>39</v>
      </c>
      <c r="J28" s="3">
        <v>42</v>
      </c>
      <c r="K28" s="6">
        <f>IFERROR(J28/I28*100,0)</f>
        <v>0</v>
      </c>
      <c r="L28" s="3">
        <v>113</v>
      </c>
      <c r="M28" s="3" t="s">
        <v>16</v>
      </c>
      <c r="N28" s="3" t="s">
        <v>23</v>
      </c>
      <c r="O28" s="3" t="s">
        <v>24</v>
      </c>
    </row>
    <row r="29" spans="1:15">
      <c r="A29" s="3">
        <v>26</v>
      </c>
      <c r="B29" s="3" t="s">
        <v>90</v>
      </c>
      <c r="C29" s="4">
        <v>46235</v>
      </c>
      <c r="D29" s="3" t="s">
        <v>86</v>
      </c>
      <c r="E29" s="5" t="s">
        <v>91</v>
      </c>
      <c r="F29" s="5" t="s">
        <v>92</v>
      </c>
      <c r="G29" s="3" t="s">
        <v>51</v>
      </c>
      <c r="H29" s="3" t="s">
        <v>93</v>
      </c>
      <c r="I29" s="3">
        <v>44</v>
      </c>
      <c r="J29" s="3">
        <v>15</v>
      </c>
      <c r="K29" s="6">
        <f>IFERROR(J29/I29*100,0)</f>
        <v>0</v>
      </c>
      <c r="L29" s="3">
        <v>93</v>
      </c>
      <c r="M29" s="3" t="s">
        <v>47</v>
      </c>
      <c r="N29" s="3" t="s">
        <v>9</v>
      </c>
      <c r="O29" s="3" t="s">
        <v>10</v>
      </c>
    </row>
    <row r="30" spans="1:15">
      <c r="A30" s="3">
        <v>27</v>
      </c>
      <c r="B30" s="3" t="s">
        <v>94</v>
      </c>
      <c r="C30" s="4">
        <v>46249</v>
      </c>
      <c r="D30" s="3" t="s">
        <v>86</v>
      </c>
      <c r="E30" s="5" t="s">
        <v>61</v>
      </c>
      <c r="F30" s="5" t="s">
        <v>58</v>
      </c>
      <c r="G30" s="3" t="s">
        <v>95</v>
      </c>
      <c r="H30" s="3" t="s">
        <v>66</v>
      </c>
      <c r="I30" s="3">
        <v>47</v>
      </c>
      <c r="J30" s="3">
        <v>43</v>
      </c>
      <c r="K30" s="6">
        <f>IFERROR(J30/I30*100,0)</f>
        <v>0</v>
      </c>
      <c r="L30" s="3">
        <v>41</v>
      </c>
      <c r="M30" s="3" t="s">
        <v>16</v>
      </c>
      <c r="N30" s="3" t="s">
        <v>23</v>
      </c>
      <c r="O30" s="3" t="s">
        <v>96</v>
      </c>
    </row>
    <row r="31" spans="1:15">
      <c r="A31" s="3">
        <v>28</v>
      </c>
      <c r="B31" s="3" t="s">
        <v>97</v>
      </c>
      <c r="C31" s="4">
        <v>46249</v>
      </c>
      <c r="D31" s="3" t="s">
        <v>86</v>
      </c>
      <c r="E31" s="5" t="s">
        <v>20</v>
      </c>
      <c r="F31" s="5" t="s">
        <v>92</v>
      </c>
      <c r="G31" s="3" t="s">
        <v>6</v>
      </c>
      <c r="H31" s="3" t="s">
        <v>68</v>
      </c>
      <c r="I31" s="3">
        <v>27</v>
      </c>
      <c r="J31" s="3">
        <v>16</v>
      </c>
      <c r="K31" s="6">
        <f>IFERROR(J31/I31*100,0)</f>
        <v>0</v>
      </c>
      <c r="L31" s="3">
        <v>42</v>
      </c>
      <c r="M31" s="3" t="s">
        <v>47</v>
      </c>
      <c r="N31" s="3" t="s">
        <v>9</v>
      </c>
      <c r="O31" s="3" t="s">
        <v>10</v>
      </c>
    </row>
    <row r="32" spans="1:15">
      <c r="A32" s="3">
        <v>29</v>
      </c>
      <c r="B32" s="3" t="s">
        <v>98</v>
      </c>
      <c r="C32" s="4">
        <v>46255</v>
      </c>
      <c r="D32" s="3" t="s">
        <v>86</v>
      </c>
      <c r="E32" s="5" t="s">
        <v>16</v>
      </c>
      <c r="F32" s="5" t="s">
        <v>5</v>
      </c>
      <c r="G32" s="3" t="s">
        <v>6</v>
      </c>
      <c r="H32" s="3" t="s">
        <v>68</v>
      </c>
      <c r="I32" s="3">
        <v>52</v>
      </c>
      <c r="J32" s="3">
        <v>21</v>
      </c>
      <c r="K32" s="6">
        <f>IFERROR(J32/I32*100,0)</f>
        <v>0</v>
      </c>
      <c r="L32" s="3">
        <v>18</v>
      </c>
      <c r="M32" s="3" t="s">
        <v>99</v>
      </c>
      <c r="N32" s="3" t="s">
        <v>9</v>
      </c>
      <c r="O32" s="3" t="s">
        <v>17</v>
      </c>
    </row>
    <row r="33" spans="1:15">
      <c r="A33" s="3">
        <v>30</v>
      </c>
      <c r="B33" s="3" t="s">
        <v>100</v>
      </c>
      <c r="C33" s="4">
        <v>46254</v>
      </c>
      <c r="D33" s="3" t="s">
        <v>86</v>
      </c>
      <c r="E33" s="5" t="s">
        <v>91</v>
      </c>
      <c r="F33" s="5" t="s">
        <v>58</v>
      </c>
      <c r="G33" s="3" t="s">
        <v>40</v>
      </c>
      <c r="H33" s="3" t="s">
        <v>41</v>
      </c>
      <c r="I33" s="3">
        <v>48</v>
      </c>
      <c r="J33" s="3">
        <v>23</v>
      </c>
      <c r="K33" s="6">
        <f>IFERROR(J33/I33*100,0)</f>
        <v>0</v>
      </c>
      <c r="L33" s="3">
        <v>91</v>
      </c>
      <c r="M33" s="3" t="s">
        <v>16</v>
      </c>
      <c r="N33" s="3" t="s">
        <v>23</v>
      </c>
      <c r="O33" s="3" t="s">
        <v>10</v>
      </c>
    </row>
    <row r="34" spans="1:15">
      <c r="A34" s="3">
        <v>31</v>
      </c>
      <c r="B34" s="3" t="s">
        <v>101</v>
      </c>
      <c r="C34" s="4">
        <v>46292</v>
      </c>
      <c r="D34" s="3" t="s">
        <v>102</v>
      </c>
      <c r="E34" s="5" t="s">
        <v>30</v>
      </c>
      <c r="F34" s="5" t="s">
        <v>46</v>
      </c>
      <c r="G34" s="3" t="s">
        <v>14</v>
      </c>
      <c r="H34" s="3" t="s">
        <v>28</v>
      </c>
      <c r="I34" s="3">
        <v>25</v>
      </c>
      <c r="J34" s="3">
        <v>10</v>
      </c>
      <c r="K34" s="6">
        <f>IFERROR(J34/I34*100,0)</f>
        <v>0</v>
      </c>
      <c r="L34" s="3">
        <v>93</v>
      </c>
      <c r="M34" s="3" t="s">
        <v>33</v>
      </c>
      <c r="N34" s="3" t="s">
        <v>9</v>
      </c>
      <c r="O34" s="3" t="s">
        <v>17</v>
      </c>
    </row>
    <row r="35" spans="1:15">
      <c r="A35" s="3">
        <v>32</v>
      </c>
      <c r="B35" s="3" t="s">
        <v>103</v>
      </c>
      <c r="C35" s="4">
        <v>46287</v>
      </c>
      <c r="D35" s="3" t="s">
        <v>102</v>
      </c>
      <c r="E35" s="5" t="s">
        <v>30</v>
      </c>
      <c r="F35" s="5" t="s">
        <v>58</v>
      </c>
      <c r="G35" s="3" t="s">
        <v>6</v>
      </c>
      <c r="H35" s="3" t="s">
        <v>104</v>
      </c>
      <c r="I35" s="3">
        <v>17</v>
      </c>
      <c r="J35" s="3">
        <v>49</v>
      </c>
      <c r="K35" s="6">
        <f>IFERROR(J35/I35*100,0)</f>
        <v>0</v>
      </c>
      <c r="L35" s="3">
        <v>106</v>
      </c>
      <c r="M35" s="3" t="s">
        <v>99</v>
      </c>
      <c r="N35" s="3" t="s">
        <v>9</v>
      </c>
      <c r="O35" s="3" t="s">
        <v>24</v>
      </c>
    </row>
    <row r="36" spans="1:15">
      <c r="A36" s="3">
        <v>33</v>
      </c>
      <c r="B36" s="3" t="s">
        <v>105</v>
      </c>
      <c r="C36" s="4">
        <v>46297</v>
      </c>
      <c r="D36" s="3" t="s">
        <v>106</v>
      </c>
      <c r="E36" s="5" t="s">
        <v>57</v>
      </c>
      <c r="F36" s="5" t="s">
        <v>13</v>
      </c>
      <c r="G36" s="3" t="s">
        <v>21</v>
      </c>
      <c r="H36" s="3" t="s">
        <v>68</v>
      </c>
      <c r="I36" s="3">
        <v>50</v>
      </c>
      <c r="J36" s="3">
        <v>32</v>
      </c>
      <c r="K36" s="6">
        <f>IFERROR(J36/I36*100,0)</f>
        <v>0</v>
      </c>
      <c r="L36" s="3">
        <v>34</v>
      </c>
      <c r="M36" s="3" t="s">
        <v>33</v>
      </c>
      <c r="N36" s="3" t="s">
        <v>23</v>
      </c>
      <c r="O36" s="3" t="s">
        <v>24</v>
      </c>
    </row>
    <row r="37" spans="1:15">
      <c r="A37" s="3">
        <v>34</v>
      </c>
      <c r="B37" s="3" t="s">
        <v>107</v>
      </c>
      <c r="C37" s="4">
        <v>46320</v>
      </c>
      <c r="D37" s="3" t="s">
        <v>106</v>
      </c>
      <c r="E37" s="5" t="s">
        <v>38</v>
      </c>
      <c r="F37" s="5" t="s">
        <v>46</v>
      </c>
      <c r="G37" s="3" t="s">
        <v>35</v>
      </c>
      <c r="H37" s="3" t="s">
        <v>66</v>
      </c>
      <c r="I37" s="3">
        <v>44</v>
      </c>
      <c r="J37" s="3">
        <v>24</v>
      </c>
      <c r="K37" s="6">
        <f>IFERROR(J37/I37*100,0)</f>
        <v>0</v>
      </c>
      <c r="L37" s="3">
        <v>75</v>
      </c>
      <c r="M37" s="3" t="s">
        <v>8</v>
      </c>
      <c r="N37" s="3" t="s">
        <v>9</v>
      </c>
      <c r="O37" s="3" t="s">
        <v>24</v>
      </c>
    </row>
    <row r="38" spans="1:15">
      <c r="A38" s="3">
        <v>35</v>
      </c>
      <c r="B38" s="3" t="s">
        <v>108</v>
      </c>
      <c r="C38" s="4">
        <v>46303</v>
      </c>
      <c r="D38" s="3" t="s">
        <v>106</v>
      </c>
      <c r="E38" s="5" t="s">
        <v>20</v>
      </c>
      <c r="F38" s="5" t="s">
        <v>92</v>
      </c>
      <c r="G38" s="3" t="s">
        <v>40</v>
      </c>
      <c r="H38" s="3" t="s">
        <v>7</v>
      </c>
      <c r="I38" s="3">
        <v>22</v>
      </c>
      <c r="J38" s="3">
        <v>51</v>
      </c>
      <c r="K38" s="6">
        <f>IFERROR(J38/I38*100,0)</f>
        <v>0</v>
      </c>
      <c r="L38" s="3">
        <v>37</v>
      </c>
      <c r="M38" s="3" t="s">
        <v>33</v>
      </c>
      <c r="N38" s="3" t="s">
        <v>9</v>
      </c>
      <c r="O38" s="3" t="s">
        <v>96</v>
      </c>
    </row>
    <row r="39" spans="1:15">
      <c r="A39" s="3">
        <v>36</v>
      </c>
      <c r="B39" s="3" t="s">
        <v>109</v>
      </c>
      <c r="C39" s="4">
        <v>46322</v>
      </c>
      <c r="D39" s="3" t="s">
        <v>106</v>
      </c>
      <c r="E39" s="5" t="s">
        <v>57</v>
      </c>
      <c r="F39" s="5" t="s">
        <v>92</v>
      </c>
      <c r="G39" s="3" t="s">
        <v>31</v>
      </c>
      <c r="H39" s="3" t="s">
        <v>66</v>
      </c>
      <c r="I39" s="3">
        <v>26</v>
      </c>
      <c r="J39" s="3">
        <v>26</v>
      </c>
      <c r="K39" s="6">
        <f>IFERROR(J39/I39*100,0)</f>
        <v>0</v>
      </c>
      <c r="L39" s="3">
        <v>23</v>
      </c>
      <c r="M39" s="3" t="s">
        <v>33</v>
      </c>
      <c r="N39" s="3" t="s">
        <v>23</v>
      </c>
      <c r="O39" s="3" t="s">
        <v>17</v>
      </c>
    </row>
    <row r="40" spans="1:15">
      <c r="A40" s="3">
        <v>37</v>
      </c>
      <c r="B40" s="3" t="s">
        <v>110</v>
      </c>
      <c r="C40" s="4">
        <v>46342</v>
      </c>
      <c r="D40" s="3" t="s">
        <v>111</v>
      </c>
      <c r="E40" s="5" t="s">
        <v>57</v>
      </c>
      <c r="F40" s="5" t="s">
        <v>13</v>
      </c>
      <c r="G40" s="3" t="s">
        <v>6</v>
      </c>
      <c r="H40" s="3" t="s">
        <v>78</v>
      </c>
      <c r="I40" s="3">
        <v>52</v>
      </c>
      <c r="J40" s="3">
        <v>29</v>
      </c>
      <c r="K40" s="6">
        <f>IFERROR(J40/I40*100,0)</f>
        <v>0</v>
      </c>
      <c r="L40" s="3">
        <v>85</v>
      </c>
      <c r="M40" s="3" t="s">
        <v>55</v>
      </c>
      <c r="N40" s="3" t="s">
        <v>23</v>
      </c>
      <c r="O40" s="3" t="s">
        <v>96</v>
      </c>
    </row>
    <row r="41" spans="1:15">
      <c r="A41" s="3">
        <v>38</v>
      </c>
      <c r="B41" s="3" t="s">
        <v>112</v>
      </c>
      <c r="C41" s="4">
        <v>46328</v>
      </c>
      <c r="D41" s="3" t="s">
        <v>111</v>
      </c>
      <c r="E41" s="5" t="s">
        <v>12</v>
      </c>
      <c r="F41" s="5" t="s">
        <v>65</v>
      </c>
      <c r="G41" s="3" t="s">
        <v>51</v>
      </c>
      <c r="H41" s="3" t="s">
        <v>68</v>
      </c>
      <c r="I41" s="3">
        <v>16</v>
      </c>
      <c r="J41" s="3">
        <v>38</v>
      </c>
      <c r="K41" s="6">
        <f>IFERROR(J41/I41*100,0)</f>
        <v>0</v>
      </c>
      <c r="L41" s="3">
        <v>103</v>
      </c>
      <c r="M41" s="3" t="s">
        <v>55</v>
      </c>
      <c r="N41" s="3" t="s">
        <v>23</v>
      </c>
      <c r="O41" s="3" t="s">
        <v>96</v>
      </c>
    </row>
    <row r="42" spans="1:15">
      <c r="A42" s="3">
        <v>39</v>
      </c>
      <c r="B42" s="3" t="s">
        <v>113</v>
      </c>
      <c r="C42" s="4">
        <v>46338</v>
      </c>
      <c r="D42" s="3" t="s">
        <v>111</v>
      </c>
      <c r="E42" s="5" t="s">
        <v>91</v>
      </c>
      <c r="F42" s="5" t="s">
        <v>27</v>
      </c>
      <c r="G42" s="3" t="s">
        <v>6</v>
      </c>
      <c r="H42" s="3" t="s">
        <v>28</v>
      </c>
      <c r="I42" s="3">
        <v>30</v>
      </c>
      <c r="J42" s="3">
        <v>53</v>
      </c>
      <c r="K42" s="6">
        <f>IFERROR(J42/I42*100,0)</f>
        <v>0</v>
      </c>
      <c r="L42" s="3">
        <v>53</v>
      </c>
      <c r="M42" s="3" t="s">
        <v>16</v>
      </c>
      <c r="N42" s="3" t="s">
        <v>23</v>
      </c>
      <c r="O42" s="3" t="s">
        <v>10</v>
      </c>
    </row>
    <row r="43" spans="1:15">
      <c r="A43" s="3">
        <v>40</v>
      </c>
      <c r="B43" s="3" t="s">
        <v>114</v>
      </c>
      <c r="C43" s="4">
        <v>46333</v>
      </c>
      <c r="D43" s="3" t="s">
        <v>111</v>
      </c>
      <c r="E43" s="5" t="s">
        <v>38</v>
      </c>
      <c r="F43" s="5" t="s">
        <v>46</v>
      </c>
      <c r="G43" s="3" t="s">
        <v>21</v>
      </c>
      <c r="H43" s="3" t="s">
        <v>7</v>
      </c>
      <c r="I43" s="3">
        <v>18</v>
      </c>
      <c r="J43" s="3">
        <v>51</v>
      </c>
      <c r="K43" s="6">
        <f>IFERROR(J43/I43*100,0)</f>
        <v>0</v>
      </c>
      <c r="L43" s="3">
        <v>82</v>
      </c>
      <c r="M43" s="3" t="s">
        <v>47</v>
      </c>
      <c r="N43" s="3" t="s">
        <v>9</v>
      </c>
      <c r="O43" s="3" t="s">
        <v>42</v>
      </c>
    </row>
    <row r="44" spans="1:15">
      <c r="A44" s="3">
        <v>41</v>
      </c>
      <c r="B44" s="3" t="s">
        <v>115</v>
      </c>
      <c r="C44" s="4">
        <v>46354</v>
      </c>
      <c r="D44" s="3" t="s">
        <v>111</v>
      </c>
      <c r="E44" s="5" t="s">
        <v>16</v>
      </c>
      <c r="F44" s="5" t="s">
        <v>39</v>
      </c>
      <c r="G44" s="3" t="s">
        <v>80</v>
      </c>
      <c r="H44" s="3" t="s">
        <v>78</v>
      </c>
      <c r="I44" s="3">
        <v>44</v>
      </c>
      <c r="J44" s="3">
        <v>36</v>
      </c>
      <c r="K44" s="6">
        <f>IFERROR(J44/I44*100,0)</f>
        <v>0</v>
      </c>
      <c r="L44" s="3">
        <v>25</v>
      </c>
      <c r="M44" s="3" t="s">
        <v>16</v>
      </c>
      <c r="N44" s="3" t="s">
        <v>23</v>
      </c>
      <c r="O44" s="3" t="s">
        <v>42</v>
      </c>
    </row>
    <row r="45" spans="1:15">
      <c r="A45" s="3">
        <v>42</v>
      </c>
      <c r="B45" s="3" t="s">
        <v>116</v>
      </c>
      <c r="C45" s="4">
        <v>46338</v>
      </c>
      <c r="D45" s="3" t="s">
        <v>111</v>
      </c>
      <c r="E45" s="5" t="s">
        <v>64</v>
      </c>
      <c r="F45" s="5" t="s">
        <v>13</v>
      </c>
      <c r="G45" s="3" t="s">
        <v>80</v>
      </c>
      <c r="H45" s="3" t="s">
        <v>78</v>
      </c>
      <c r="I45" s="3">
        <v>28</v>
      </c>
      <c r="J45" s="3">
        <v>32</v>
      </c>
      <c r="K45" s="6">
        <f>IFERROR(J45/I45*100,0)</f>
        <v>0</v>
      </c>
      <c r="L45" s="3">
        <v>22</v>
      </c>
      <c r="M45" s="3" t="s">
        <v>55</v>
      </c>
      <c r="N45" s="3" t="s">
        <v>23</v>
      </c>
      <c r="O45" s="3" t="s">
        <v>10</v>
      </c>
    </row>
    <row r="46" spans="1:15">
      <c r="A46" s="3">
        <v>43</v>
      </c>
      <c r="B46" s="3" t="s">
        <v>117</v>
      </c>
      <c r="C46" s="4">
        <v>46344</v>
      </c>
      <c r="D46" s="3" t="s">
        <v>111</v>
      </c>
      <c r="E46" s="5" t="s">
        <v>57</v>
      </c>
      <c r="F46" s="5" t="s">
        <v>50</v>
      </c>
      <c r="G46" s="3" t="s">
        <v>95</v>
      </c>
      <c r="H46" s="3" t="s">
        <v>104</v>
      </c>
      <c r="I46" s="3">
        <v>11</v>
      </c>
      <c r="J46" s="3">
        <v>11</v>
      </c>
      <c r="K46" s="6">
        <f>IFERROR(J46/I46*100,0)</f>
        <v>0</v>
      </c>
      <c r="L46" s="3">
        <v>50</v>
      </c>
      <c r="M46" s="3" t="s">
        <v>8</v>
      </c>
      <c r="N46" s="3" t="s">
        <v>23</v>
      </c>
      <c r="O46" s="3" t="s">
        <v>96</v>
      </c>
    </row>
    <row r="47" spans="1:15">
      <c r="A47" s="3">
        <v>44</v>
      </c>
      <c r="B47" s="3" t="s">
        <v>118</v>
      </c>
      <c r="C47" s="4">
        <v>46343</v>
      </c>
      <c r="D47" s="3" t="s">
        <v>111</v>
      </c>
      <c r="E47" s="5" t="s">
        <v>91</v>
      </c>
      <c r="F47" s="5" t="s">
        <v>5</v>
      </c>
      <c r="G47" s="3" t="s">
        <v>21</v>
      </c>
      <c r="H47" s="3" t="s">
        <v>22</v>
      </c>
      <c r="I47" s="3">
        <v>10</v>
      </c>
      <c r="J47" s="3">
        <v>50</v>
      </c>
      <c r="K47" s="6">
        <f>IFERROR(J47/I47*100,0)</f>
        <v>0</v>
      </c>
      <c r="L47" s="3">
        <v>46</v>
      </c>
      <c r="M47" s="3" t="s">
        <v>16</v>
      </c>
      <c r="N47" s="3" t="s">
        <v>9</v>
      </c>
      <c r="O47" s="3" t="s">
        <v>42</v>
      </c>
    </row>
    <row r="48" spans="1:15">
      <c r="A48" s="3">
        <v>45</v>
      </c>
      <c r="B48" s="3" t="s">
        <v>119</v>
      </c>
      <c r="C48" s="4">
        <v>46343</v>
      </c>
      <c r="D48" s="3" t="s">
        <v>111</v>
      </c>
      <c r="E48" s="5" t="s">
        <v>38</v>
      </c>
      <c r="F48" s="5" t="s">
        <v>39</v>
      </c>
      <c r="G48" s="3" t="s">
        <v>40</v>
      </c>
      <c r="H48" s="3" t="s">
        <v>32</v>
      </c>
      <c r="I48" s="3">
        <v>33</v>
      </c>
      <c r="J48" s="3">
        <v>60</v>
      </c>
      <c r="K48" s="6">
        <f>IFERROR(J48/I48*100,0)</f>
        <v>0</v>
      </c>
      <c r="L48" s="3">
        <v>44</v>
      </c>
      <c r="M48" s="3" t="s">
        <v>8</v>
      </c>
      <c r="N48" s="3" t="s">
        <v>23</v>
      </c>
      <c r="O48" s="3" t="s">
        <v>17</v>
      </c>
    </row>
    <row r="49" spans="1:15">
      <c r="A49" s="3">
        <v>46</v>
      </c>
      <c r="B49" s="3" t="s">
        <v>120</v>
      </c>
      <c r="C49" s="4">
        <v>46342</v>
      </c>
      <c r="D49" s="3" t="s">
        <v>111</v>
      </c>
      <c r="E49" s="5" t="s">
        <v>12</v>
      </c>
      <c r="F49" s="5" t="s">
        <v>50</v>
      </c>
      <c r="G49" s="3" t="s">
        <v>6</v>
      </c>
      <c r="H49" s="3" t="s">
        <v>66</v>
      </c>
      <c r="I49" s="3">
        <v>56</v>
      </c>
      <c r="J49" s="3">
        <v>43</v>
      </c>
      <c r="K49" s="6">
        <f>IFERROR(J49/I49*100,0)</f>
        <v>0</v>
      </c>
      <c r="L49" s="3">
        <v>18</v>
      </c>
      <c r="M49" s="3" t="s">
        <v>47</v>
      </c>
      <c r="N49" s="3" t="s">
        <v>23</v>
      </c>
      <c r="O49" s="3" t="s">
        <v>24</v>
      </c>
    </row>
    <row r="50" spans="1:15">
      <c r="A50" s="3">
        <v>47</v>
      </c>
      <c r="B50" s="3" t="s">
        <v>121</v>
      </c>
      <c r="C50" s="4">
        <v>46373</v>
      </c>
      <c r="D50" s="3" t="s">
        <v>122</v>
      </c>
      <c r="E50" s="5" t="s">
        <v>38</v>
      </c>
      <c r="F50" s="5" t="s">
        <v>92</v>
      </c>
      <c r="G50" s="3" t="s">
        <v>14</v>
      </c>
      <c r="H50" s="3" t="s">
        <v>78</v>
      </c>
      <c r="I50" s="3">
        <v>40</v>
      </c>
      <c r="J50" s="3">
        <v>19</v>
      </c>
      <c r="K50" s="6">
        <f>IFERROR(J50/I50*100,0)</f>
        <v>0</v>
      </c>
      <c r="L50" s="3">
        <v>76</v>
      </c>
      <c r="M50" s="3" t="s">
        <v>47</v>
      </c>
      <c r="N50" s="3" t="s">
        <v>9</v>
      </c>
      <c r="O50" s="3" t="s">
        <v>96</v>
      </c>
    </row>
    <row r="51" spans="1:15">
      <c r="A51" s="3">
        <v>48</v>
      </c>
      <c r="B51" s="3" t="s">
        <v>123</v>
      </c>
      <c r="C51" s="4">
        <v>46373</v>
      </c>
      <c r="D51" s="3" t="s">
        <v>122</v>
      </c>
      <c r="E51" s="5" t="s">
        <v>45</v>
      </c>
      <c r="F51" s="5" t="s">
        <v>65</v>
      </c>
      <c r="G51" s="3" t="s">
        <v>40</v>
      </c>
      <c r="H51" s="3" t="s">
        <v>15</v>
      </c>
      <c r="I51" s="3">
        <v>20</v>
      </c>
      <c r="J51" s="3">
        <v>18</v>
      </c>
      <c r="K51" s="6">
        <f>IFERROR(J51/I51*100,0)</f>
        <v>0</v>
      </c>
      <c r="L51" s="3">
        <v>115</v>
      </c>
      <c r="M51" s="3" t="s">
        <v>8</v>
      </c>
      <c r="N51" s="3" t="s">
        <v>23</v>
      </c>
      <c r="O51" s="3" t="s">
        <v>24</v>
      </c>
    </row>
  </sheetData>
  <mergeCells count="2">
    <mergeCell ref="A1:O1"/>
    <mergeCell ref="A2:O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15.7109375" customWidth="1"/>
    <col min="6" max="6" width="12.7109375" customWidth="1"/>
    <col min="7" max="7" width="10.7109375" customWidth="1"/>
    <col min="8" max="9" width="13.7109375" customWidth="1"/>
    <col min="10" max="10" width="12.7109375" customWidth="1"/>
    <col min="11" max="11" width="20.7109375" customWidth="1"/>
    <col min="12" max="13" width="17.7109375" customWidth="1"/>
    <col min="14" max="14" width="22.7109375" customWidth="1"/>
    <col min="15" max="15" width="12.7109375" customWidth="1"/>
  </cols>
  <sheetData>
    <row r="1" spans="1:17" ht="22" customHeight="1">
      <c r="A1" s="1" t="s">
        <v>140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206</v>
      </c>
      <c r="C3" t="s">
        <v>126</v>
      </c>
      <c r="D3" t="s">
        <v>127</v>
      </c>
      <c r="E3" t="s">
        <v>207</v>
      </c>
      <c r="F3" t="s">
        <v>129</v>
      </c>
      <c r="G3" t="s">
        <v>130</v>
      </c>
      <c r="H3" t="s">
        <v>208</v>
      </c>
      <c r="I3" t="s">
        <v>209</v>
      </c>
      <c r="J3" t="s">
        <v>210</v>
      </c>
      <c r="K3" t="s">
        <v>211</v>
      </c>
      <c r="L3" t="s">
        <v>212</v>
      </c>
      <c r="M3" t="s">
        <v>213</v>
      </c>
      <c r="N3" t="s">
        <v>214</v>
      </c>
      <c r="O3" t="s">
        <v>215</v>
      </c>
    </row>
    <row r="4" spans="1:17">
      <c r="A4" s="3">
        <v>1</v>
      </c>
      <c r="B4" s="3" t="s">
        <v>141</v>
      </c>
      <c r="C4" s="4">
        <v>46066</v>
      </c>
      <c r="D4" s="3" t="s">
        <v>19</v>
      </c>
      <c r="E4" s="5" t="s">
        <v>61</v>
      </c>
      <c r="F4" s="5" t="s">
        <v>65</v>
      </c>
      <c r="G4" s="3" t="s">
        <v>80</v>
      </c>
      <c r="H4" s="3" t="s">
        <v>15</v>
      </c>
      <c r="I4" s="3" t="s">
        <v>70</v>
      </c>
      <c r="J4" s="3" t="s">
        <v>142</v>
      </c>
      <c r="K4" s="3">
        <v>7</v>
      </c>
      <c r="L4" s="3" t="s">
        <v>143</v>
      </c>
      <c r="M4" s="3" t="s">
        <v>144</v>
      </c>
      <c r="N4" s="3" t="s">
        <v>26</v>
      </c>
      <c r="O4" s="3" t="s">
        <v>145</v>
      </c>
    </row>
    <row r="5" spans="1:17">
      <c r="A5" s="3">
        <v>2</v>
      </c>
      <c r="B5" s="3" t="s">
        <v>146</v>
      </c>
      <c r="C5" s="4">
        <v>46058</v>
      </c>
      <c r="D5" s="3" t="s">
        <v>19</v>
      </c>
      <c r="E5" s="5" t="s">
        <v>4</v>
      </c>
      <c r="F5" s="5" t="s">
        <v>5</v>
      </c>
      <c r="G5" s="3" t="s">
        <v>51</v>
      </c>
      <c r="H5" s="3" t="s">
        <v>104</v>
      </c>
      <c r="I5" s="3" t="s">
        <v>93</v>
      </c>
      <c r="J5" s="3" t="s">
        <v>142</v>
      </c>
      <c r="K5" s="3">
        <v>4</v>
      </c>
      <c r="L5" s="3" t="s">
        <v>143</v>
      </c>
      <c r="M5" s="3" t="s">
        <v>147</v>
      </c>
      <c r="N5" s="3" t="s">
        <v>38</v>
      </c>
      <c r="O5" s="3" t="s">
        <v>148</v>
      </c>
    </row>
    <row r="6" spans="1:17">
      <c r="A6" s="3">
        <v>3</v>
      </c>
      <c r="B6" s="3" t="s">
        <v>149</v>
      </c>
      <c r="C6" s="4">
        <v>46081</v>
      </c>
      <c r="D6" s="3" t="s">
        <v>19</v>
      </c>
      <c r="E6" s="5" t="s">
        <v>20</v>
      </c>
      <c r="F6" s="5" t="s">
        <v>13</v>
      </c>
      <c r="G6" s="3" t="s">
        <v>14</v>
      </c>
      <c r="H6" s="3" t="s">
        <v>41</v>
      </c>
      <c r="I6" s="3" t="s">
        <v>28</v>
      </c>
      <c r="J6" s="3" t="s">
        <v>142</v>
      </c>
      <c r="K6" s="3">
        <v>5</v>
      </c>
      <c r="L6" s="3" t="s">
        <v>150</v>
      </c>
      <c r="M6" s="3" t="s">
        <v>144</v>
      </c>
      <c r="N6" s="3" t="s">
        <v>45</v>
      </c>
      <c r="O6" s="3" t="s">
        <v>148</v>
      </c>
    </row>
    <row r="7" spans="1:17">
      <c r="A7" s="3">
        <v>4</v>
      </c>
      <c r="B7" s="3" t="s">
        <v>151</v>
      </c>
      <c r="C7" s="4">
        <v>46087</v>
      </c>
      <c r="D7" s="3" t="s">
        <v>44</v>
      </c>
      <c r="E7" s="5" t="s">
        <v>45</v>
      </c>
      <c r="F7" s="5" t="s">
        <v>27</v>
      </c>
      <c r="G7" s="3" t="s">
        <v>6</v>
      </c>
      <c r="H7" s="3" t="s">
        <v>15</v>
      </c>
      <c r="I7" s="3" t="s">
        <v>32</v>
      </c>
      <c r="J7" s="3" t="s">
        <v>142</v>
      </c>
      <c r="K7" s="3">
        <v>0</v>
      </c>
      <c r="L7" s="3" t="s">
        <v>150</v>
      </c>
      <c r="M7" s="3" t="s">
        <v>152</v>
      </c>
      <c r="N7" s="3" t="s">
        <v>12</v>
      </c>
      <c r="O7" s="3" t="s">
        <v>145</v>
      </c>
    </row>
    <row r="8" spans="1:17">
      <c r="A8" s="3">
        <v>5</v>
      </c>
      <c r="B8" s="3" t="s">
        <v>153</v>
      </c>
      <c r="C8" s="4">
        <v>46082</v>
      </c>
      <c r="D8" s="3" t="s">
        <v>44</v>
      </c>
      <c r="E8" s="5" t="s">
        <v>30</v>
      </c>
      <c r="F8" s="5" t="s">
        <v>46</v>
      </c>
      <c r="G8" s="3" t="s">
        <v>31</v>
      </c>
      <c r="H8" s="3" t="s">
        <v>36</v>
      </c>
      <c r="I8" s="3" t="s">
        <v>22</v>
      </c>
      <c r="J8" s="3" t="s">
        <v>154</v>
      </c>
      <c r="K8" s="3">
        <v>3</v>
      </c>
      <c r="L8" s="3" t="s">
        <v>150</v>
      </c>
      <c r="M8" s="3" t="s">
        <v>155</v>
      </c>
      <c r="N8" s="3" t="s">
        <v>20</v>
      </c>
      <c r="O8" s="3" t="s">
        <v>148</v>
      </c>
    </row>
    <row r="9" spans="1:17">
      <c r="A9" s="3">
        <v>6</v>
      </c>
      <c r="B9" s="3" t="s">
        <v>156</v>
      </c>
      <c r="C9" s="4">
        <v>46106</v>
      </c>
      <c r="D9" s="3" t="s">
        <v>44</v>
      </c>
      <c r="E9" s="5" t="s">
        <v>26</v>
      </c>
      <c r="F9" s="5" t="s">
        <v>65</v>
      </c>
      <c r="G9" s="3" t="s">
        <v>6</v>
      </c>
      <c r="H9" s="3" t="s">
        <v>62</v>
      </c>
      <c r="I9" s="3" t="s">
        <v>22</v>
      </c>
      <c r="J9" s="3" t="s">
        <v>142</v>
      </c>
      <c r="K9" s="3">
        <v>1</v>
      </c>
      <c r="L9" s="3" t="s">
        <v>157</v>
      </c>
      <c r="M9" s="3" t="s">
        <v>144</v>
      </c>
      <c r="N9" s="3" t="s">
        <v>91</v>
      </c>
      <c r="O9" s="3" t="s">
        <v>145</v>
      </c>
    </row>
    <row r="10" spans="1:17">
      <c r="A10" s="3">
        <v>7</v>
      </c>
      <c r="B10" s="3" t="s">
        <v>158</v>
      </c>
      <c r="C10" s="4">
        <v>46090</v>
      </c>
      <c r="D10" s="3" t="s">
        <v>44</v>
      </c>
      <c r="E10" s="5" t="s">
        <v>38</v>
      </c>
      <c r="F10" s="5" t="s">
        <v>13</v>
      </c>
      <c r="G10" s="3" t="s">
        <v>31</v>
      </c>
      <c r="H10" s="3" t="s">
        <v>66</v>
      </c>
      <c r="I10" s="3" t="s">
        <v>28</v>
      </c>
      <c r="J10" s="3" t="s">
        <v>159</v>
      </c>
      <c r="K10" s="3">
        <v>0</v>
      </c>
      <c r="L10" s="3" t="s">
        <v>160</v>
      </c>
      <c r="M10" s="3" t="s">
        <v>144</v>
      </c>
      <c r="N10" s="3" t="s">
        <v>16</v>
      </c>
      <c r="O10" s="3" t="s">
        <v>148</v>
      </c>
    </row>
    <row r="11" spans="1:17">
      <c r="A11" s="3">
        <v>8</v>
      </c>
      <c r="B11" s="3" t="s">
        <v>161</v>
      </c>
      <c r="C11" s="4">
        <v>46102</v>
      </c>
      <c r="D11" s="3" t="s">
        <v>44</v>
      </c>
      <c r="E11" s="5" t="s">
        <v>57</v>
      </c>
      <c r="F11" s="5" t="s">
        <v>65</v>
      </c>
      <c r="G11" s="3" t="s">
        <v>35</v>
      </c>
      <c r="H11" s="3" t="s">
        <v>41</v>
      </c>
      <c r="I11" s="3" t="s">
        <v>78</v>
      </c>
      <c r="J11" s="3" t="s">
        <v>162</v>
      </c>
      <c r="K11" s="3">
        <v>8</v>
      </c>
      <c r="L11" s="3" t="s">
        <v>163</v>
      </c>
      <c r="M11" s="3" t="s">
        <v>155</v>
      </c>
      <c r="N11" s="3" t="s">
        <v>26</v>
      </c>
      <c r="O11" s="3" t="s">
        <v>145</v>
      </c>
    </row>
    <row r="12" spans="1:17">
      <c r="A12" s="3">
        <v>9</v>
      </c>
      <c r="B12" s="3" t="s">
        <v>164</v>
      </c>
      <c r="C12" s="4">
        <v>46096</v>
      </c>
      <c r="D12" s="3" t="s">
        <v>44</v>
      </c>
      <c r="E12" s="5" t="s">
        <v>30</v>
      </c>
      <c r="F12" s="5" t="s">
        <v>89</v>
      </c>
      <c r="G12" s="3" t="s">
        <v>77</v>
      </c>
      <c r="H12" s="3" t="s">
        <v>93</v>
      </c>
      <c r="I12" s="3" t="s">
        <v>28</v>
      </c>
      <c r="J12" s="3" t="s">
        <v>142</v>
      </c>
      <c r="K12" s="3">
        <v>7</v>
      </c>
      <c r="L12" s="3" t="s">
        <v>157</v>
      </c>
      <c r="M12" s="3" t="s">
        <v>152</v>
      </c>
      <c r="N12" s="3" t="s">
        <v>54</v>
      </c>
      <c r="O12" s="3" t="s">
        <v>165</v>
      </c>
    </row>
    <row r="13" spans="1:17">
      <c r="A13" s="3">
        <v>10</v>
      </c>
      <c r="B13" s="3" t="s">
        <v>166</v>
      </c>
      <c r="C13" s="4">
        <v>46130</v>
      </c>
      <c r="D13" s="3" t="s">
        <v>53</v>
      </c>
      <c r="E13" s="5" t="s">
        <v>61</v>
      </c>
      <c r="F13" s="5" t="s">
        <v>39</v>
      </c>
      <c r="G13" s="3" t="s">
        <v>14</v>
      </c>
      <c r="H13" s="3" t="s">
        <v>104</v>
      </c>
      <c r="I13" s="3" t="s">
        <v>66</v>
      </c>
      <c r="J13" s="3" t="s">
        <v>159</v>
      </c>
      <c r="K13" s="3">
        <v>5</v>
      </c>
      <c r="L13" s="3" t="s">
        <v>163</v>
      </c>
      <c r="M13" s="3" t="s">
        <v>152</v>
      </c>
      <c r="N13" s="3" t="s">
        <v>26</v>
      </c>
      <c r="O13" s="3" t="s">
        <v>148</v>
      </c>
    </row>
    <row r="14" spans="1:17">
      <c r="A14" s="3">
        <v>11</v>
      </c>
      <c r="B14" s="3" t="s">
        <v>167</v>
      </c>
      <c r="C14" s="4">
        <v>46118</v>
      </c>
      <c r="D14" s="3" t="s">
        <v>53</v>
      </c>
      <c r="E14" s="5" t="s">
        <v>16</v>
      </c>
      <c r="F14" s="5" t="s">
        <v>5</v>
      </c>
      <c r="G14" s="3" t="s">
        <v>6</v>
      </c>
      <c r="H14" s="3" t="s">
        <v>62</v>
      </c>
      <c r="I14" s="3" t="s">
        <v>41</v>
      </c>
      <c r="J14" s="3" t="s">
        <v>142</v>
      </c>
      <c r="K14" s="3">
        <v>7</v>
      </c>
      <c r="L14" s="3" t="s">
        <v>163</v>
      </c>
      <c r="M14" s="3" t="s">
        <v>155</v>
      </c>
      <c r="N14" s="3" t="s">
        <v>49</v>
      </c>
      <c r="O14" s="3" t="s">
        <v>165</v>
      </c>
    </row>
    <row r="15" spans="1:17">
      <c r="A15" s="3">
        <v>12</v>
      </c>
      <c r="B15" s="3" t="s">
        <v>168</v>
      </c>
      <c r="C15" s="4">
        <v>46119</v>
      </c>
      <c r="D15" s="3" t="s">
        <v>53</v>
      </c>
      <c r="E15" s="5" t="s">
        <v>20</v>
      </c>
      <c r="F15" s="5" t="s">
        <v>50</v>
      </c>
      <c r="G15" s="3" t="s">
        <v>6</v>
      </c>
      <c r="H15" s="3" t="s">
        <v>66</v>
      </c>
      <c r="I15" s="3" t="s">
        <v>62</v>
      </c>
      <c r="J15" s="3" t="s">
        <v>159</v>
      </c>
      <c r="K15" s="3">
        <v>4</v>
      </c>
      <c r="L15" s="3" t="s">
        <v>169</v>
      </c>
      <c r="M15" s="3" t="s">
        <v>147</v>
      </c>
      <c r="N15" s="3" t="s">
        <v>49</v>
      </c>
      <c r="O15" s="3" t="s">
        <v>148</v>
      </c>
    </row>
    <row r="16" spans="1:17">
      <c r="A16" s="3">
        <v>13</v>
      </c>
      <c r="B16" s="3" t="s">
        <v>170</v>
      </c>
      <c r="C16" s="4">
        <v>46120</v>
      </c>
      <c r="D16" s="3" t="s">
        <v>53</v>
      </c>
      <c r="E16" s="5" t="s">
        <v>4</v>
      </c>
      <c r="F16" s="5" t="s">
        <v>46</v>
      </c>
      <c r="G16" s="3" t="s">
        <v>31</v>
      </c>
      <c r="H16" s="3" t="s">
        <v>66</v>
      </c>
      <c r="I16" s="3" t="s">
        <v>62</v>
      </c>
      <c r="J16" s="3" t="s">
        <v>154</v>
      </c>
      <c r="K16" s="3">
        <v>6</v>
      </c>
      <c r="L16" s="3" t="s">
        <v>169</v>
      </c>
      <c r="M16" s="3" t="s">
        <v>147</v>
      </c>
      <c r="N16" s="3" t="s">
        <v>54</v>
      </c>
      <c r="O16" s="3" t="s">
        <v>145</v>
      </c>
    </row>
    <row r="17" spans="1:15">
      <c r="A17" s="3">
        <v>14</v>
      </c>
      <c r="B17" s="3" t="s">
        <v>171</v>
      </c>
      <c r="C17" s="4">
        <v>46114</v>
      </c>
      <c r="D17" s="3" t="s">
        <v>53</v>
      </c>
      <c r="E17" s="5" t="s">
        <v>30</v>
      </c>
      <c r="F17" s="5" t="s">
        <v>65</v>
      </c>
      <c r="G17" s="3" t="s">
        <v>95</v>
      </c>
      <c r="H17" s="3" t="s">
        <v>62</v>
      </c>
      <c r="I17" s="3" t="s">
        <v>36</v>
      </c>
      <c r="J17" s="3" t="s">
        <v>154</v>
      </c>
      <c r="K17" s="3">
        <v>1</v>
      </c>
      <c r="L17" s="3" t="s">
        <v>150</v>
      </c>
      <c r="M17" s="3" t="s">
        <v>144</v>
      </c>
      <c r="N17" s="3" t="s">
        <v>91</v>
      </c>
      <c r="O17" s="3" t="s">
        <v>165</v>
      </c>
    </row>
    <row r="18" spans="1:15">
      <c r="A18" s="3">
        <v>15</v>
      </c>
      <c r="B18" s="3" t="s">
        <v>172</v>
      </c>
      <c r="C18" s="4">
        <v>46144</v>
      </c>
      <c r="D18" s="3" t="s">
        <v>60</v>
      </c>
      <c r="E18" s="5" t="s">
        <v>61</v>
      </c>
      <c r="F18" s="5" t="s">
        <v>92</v>
      </c>
      <c r="G18" s="3" t="s">
        <v>87</v>
      </c>
      <c r="H18" s="3" t="s">
        <v>70</v>
      </c>
      <c r="I18" s="3" t="s">
        <v>62</v>
      </c>
      <c r="J18" s="3" t="s">
        <v>154</v>
      </c>
      <c r="K18" s="3">
        <v>1</v>
      </c>
      <c r="L18" s="3" t="s">
        <v>163</v>
      </c>
      <c r="M18" s="3" t="s">
        <v>147</v>
      </c>
      <c r="N18" s="3" t="s">
        <v>61</v>
      </c>
      <c r="O18" s="3" t="s">
        <v>145</v>
      </c>
    </row>
    <row r="19" spans="1:15">
      <c r="A19" s="3">
        <v>16</v>
      </c>
      <c r="B19" s="3" t="s">
        <v>173</v>
      </c>
      <c r="C19" s="4">
        <v>46174</v>
      </c>
      <c r="D19" s="3" t="s">
        <v>73</v>
      </c>
      <c r="E19" s="5" t="s">
        <v>30</v>
      </c>
      <c r="F19" s="5" t="s">
        <v>89</v>
      </c>
      <c r="G19" s="3" t="s">
        <v>51</v>
      </c>
      <c r="H19" s="3" t="s">
        <v>62</v>
      </c>
      <c r="I19" s="3" t="s">
        <v>36</v>
      </c>
      <c r="J19" s="3" t="s">
        <v>142</v>
      </c>
      <c r="K19" s="3">
        <v>5</v>
      </c>
      <c r="L19" s="3" t="s">
        <v>143</v>
      </c>
      <c r="M19" s="3" t="s">
        <v>144</v>
      </c>
      <c r="N19" s="3" t="s">
        <v>20</v>
      </c>
      <c r="O19" s="3" t="s">
        <v>165</v>
      </c>
    </row>
    <row r="20" spans="1:15">
      <c r="A20" s="3">
        <v>17</v>
      </c>
      <c r="B20" s="3" t="s">
        <v>174</v>
      </c>
      <c r="C20" s="4">
        <v>46196</v>
      </c>
      <c r="D20" s="3" t="s">
        <v>73</v>
      </c>
      <c r="E20" s="5" t="s">
        <v>38</v>
      </c>
      <c r="F20" s="5" t="s">
        <v>58</v>
      </c>
      <c r="G20" s="3" t="s">
        <v>95</v>
      </c>
      <c r="H20" s="3" t="s">
        <v>70</v>
      </c>
      <c r="I20" s="3" t="s">
        <v>66</v>
      </c>
      <c r="J20" s="3" t="s">
        <v>159</v>
      </c>
      <c r="K20" s="3">
        <v>6</v>
      </c>
      <c r="L20" s="3" t="s">
        <v>160</v>
      </c>
      <c r="M20" s="3" t="s">
        <v>147</v>
      </c>
      <c r="N20" s="3" t="s">
        <v>91</v>
      </c>
      <c r="O20" s="3" t="s">
        <v>148</v>
      </c>
    </row>
    <row r="21" spans="1:15">
      <c r="A21" s="3">
        <v>18</v>
      </c>
      <c r="B21" s="3" t="s">
        <v>175</v>
      </c>
      <c r="C21" s="4">
        <v>46204</v>
      </c>
      <c r="D21" s="3" t="s">
        <v>76</v>
      </c>
      <c r="E21" s="5" t="s">
        <v>38</v>
      </c>
      <c r="F21" s="5" t="s">
        <v>13</v>
      </c>
      <c r="G21" s="3" t="s">
        <v>31</v>
      </c>
      <c r="H21" s="3" t="s">
        <v>15</v>
      </c>
      <c r="I21" s="3" t="s">
        <v>78</v>
      </c>
      <c r="J21" s="3" t="s">
        <v>142</v>
      </c>
      <c r="K21" s="3">
        <v>7</v>
      </c>
      <c r="L21" s="3" t="s">
        <v>169</v>
      </c>
      <c r="M21" s="3" t="s">
        <v>144</v>
      </c>
      <c r="N21" s="3" t="s">
        <v>16</v>
      </c>
      <c r="O21" s="3" t="s">
        <v>145</v>
      </c>
    </row>
    <row r="22" spans="1:15">
      <c r="A22" s="3">
        <v>19</v>
      </c>
      <c r="B22" s="3" t="s">
        <v>176</v>
      </c>
      <c r="C22" s="4">
        <v>46213</v>
      </c>
      <c r="D22" s="3" t="s">
        <v>76</v>
      </c>
      <c r="E22" s="5" t="s">
        <v>61</v>
      </c>
      <c r="F22" s="5" t="s">
        <v>89</v>
      </c>
      <c r="G22" s="3" t="s">
        <v>87</v>
      </c>
      <c r="H22" s="3" t="s">
        <v>22</v>
      </c>
      <c r="I22" s="3" t="s">
        <v>78</v>
      </c>
      <c r="J22" s="3" t="s">
        <v>154</v>
      </c>
      <c r="K22" s="3">
        <v>8</v>
      </c>
      <c r="L22" s="3" t="s">
        <v>169</v>
      </c>
      <c r="M22" s="3" t="s">
        <v>155</v>
      </c>
      <c r="N22" s="3" t="s">
        <v>54</v>
      </c>
      <c r="O22" s="3" t="s">
        <v>148</v>
      </c>
    </row>
    <row r="23" spans="1:15">
      <c r="A23" s="3">
        <v>20</v>
      </c>
      <c r="B23" s="3" t="s">
        <v>177</v>
      </c>
      <c r="C23" s="4">
        <v>46208</v>
      </c>
      <c r="D23" s="3" t="s">
        <v>76</v>
      </c>
      <c r="E23" s="5" t="s">
        <v>49</v>
      </c>
      <c r="F23" s="5" t="s">
        <v>5</v>
      </c>
      <c r="G23" s="3" t="s">
        <v>35</v>
      </c>
      <c r="H23" s="3" t="s">
        <v>62</v>
      </c>
      <c r="I23" s="3" t="s">
        <v>7</v>
      </c>
      <c r="J23" s="3" t="s">
        <v>142</v>
      </c>
      <c r="K23" s="3">
        <v>0</v>
      </c>
      <c r="L23" s="3" t="s">
        <v>143</v>
      </c>
      <c r="M23" s="3" t="s">
        <v>155</v>
      </c>
      <c r="N23" s="3" t="s">
        <v>61</v>
      </c>
      <c r="O23" s="3" t="s">
        <v>148</v>
      </c>
    </row>
    <row r="24" spans="1:15">
      <c r="A24" s="3">
        <v>21</v>
      </c>
      <c r="B24" s="3" t="s">
        <v>178</v>
      </c>
      <c r="C24" s="4">
        <v>46227</v>
      </c>
      <c r="D24" s="3" t="s">
        <v>76</v>
      </c>
      <c r="E24" s="5" t="s">
        <v>20</v>
      </c>
      <c r="F24" s="5" t="s">
        <v>27</v>
      </c>
      <c r="G24" s="3" t="s">
        <v>51</v>
      </c>
      <c r="H24" s="3" t="s">
        <v>68</v>
      </c>
      <c r="I24" s="3" t="s">
        <v>66</v>
      </c>
      <c r="J24" s="3" t="s">
        <v>142</v>
      </c>
      <c r="K24" s="3">
        <v>8</v>
      </c>
      <c r="L24" s="3" t="s">
        <v>150</v>
      </c>
      <c r="M24" s="3" t="s">
        <v>155</v>
      </c>
      <c r="N24" s="3" t="s">
        <v>30</v>
      </c>
      <c r="O24" s="3" t="s">
        <v>145</v>
      </c>
    </row>
    <row r="25" spans="1:15">
      <c r="A25" s="3">
        <v>22</v>
      </c>
      <c r="B25" s="3" t="s">
        <v>179</v>
      </c>
      <c r="C25" s="4">
        <v>46242</v>
      </c>
      <c r="D25" s="3" t="s">
        <v>86</v>
      </c>
      <c r="E25" s="5" t="s">
        <v>30</v>
      </c>
      <c r="F25" s="5" t="s">
        <v>5</v>
      </c>
      <c r="G25" s="3" t="s">
        <v>31</v>
      </c>
      <c r="H25" s="3" t="s">
        <v>78</v>
      </c>
      <c r="I25" s="3" t="s">
        <v>22</v>
      </c>
      <c r="J25" s="3" t="s">
        <v>154</v>
      </c>
      <c r="K25" s="3">
        <v>6</v>
      </c>
      <c r="L25" s="3" t="s">
        <v>160</v>
      </c>
      <c r="M25" s="3" t="s">
        <v>144</v>
      </c>
      <c r="N25" s="3" t="s">
        <v>54</v>
      </c>
      <c r="O25" s="3" t="s">
        <v>148</v>
      </c>
    </row>
    <row r="26" spans="1:15">
      <c r="A26" s="3">
        <v>23</v>
      </c>
      <c r="B26" s="3" t="s">
        <v>180</v>
      </c>
      <c r="C26" s="4">
        <v>46239</v>
      </c>
      <c r="D26" s="3" t="s">
        <v>86</v>
      </c>
      <c r="E26" s="5" t="s">
        <v>30</v>
      </c>
      <c r="F26" s="5" t="s">
        <v>92</v>
      </c>
      <c r="G26" s="3" t="s">
        <v>95</v>
      </c>
      <c r="H26" s="3" t="s">
        <v>62</v>
      </c>
      <c r="I26" s="3" t="s">
        <v>104</v>
      </c>
      <c r="J26" s="3" t="s">
        <v>154</v>
      </c>
      <c r="K26" s="3">
        <v>7</v>
      </c>
      <c r="L26" s="3" t="s">
        <v>163</v>
      </c>
      <c r="M26" s="3" t="s">
        <v>152</v>
      </c>
      <c r="N26" s="3" t="s">
        <v>38</v>
      </c>
      <c r="O26" s="3" t="s">
        <v>148</v>
      </c>
    </row>
    <row r="27" spans="1:15">
      <c r="A27" s="3">
        <v>24</v>
      </c>
      <c r="B27" s="3" t="s">
        <v>181</v>
      </c>
      <c r="C27" s="4">
        <v>46256</v>
      </c>
      <c r="D27" s="3" t="s">
        <v>86</v>
      </c>
      <c r="E27" s="5" t="s">
        <v>49</v>
      </c>
      <c r="F27" s="5" t="s">
        <v>58</v>
      </c>
      <c r="G27" s="3" t="s">
        <v>95</v>
      </c>
      <c r="H27" s="3" t="s">
        <v>104</v>
      </c>
      <c r="I27" s="3" t="s">
        <v>66</v>
      </c>
      <c r="J27" s="3" t="s">
        <v>142</v>
      </c>
      <c r="K27" s="3">
        <v>8</v>
      </c>
      <c r="L27" s="3" t="s">
        <v>150</v>
      </c>
      <c r="M27" s="3" t="s">
        <v>147</v>
      </c>
      <c r="N27" s="3" t="s">
        <v>57</v>
      </c>
      <c r="O27" s="3" t="s">
        <v>148</v>
      </c>
    </row>
    <row r="28" spans="1:15">
      <c r="A28" s="3">
        <v>25</v>
      </c>
      <c r="B28" s="3" t="s">
        <v>182</v>
      </c>
      <c r="C28" s="4">
        <v>46276</v>
      </c>
      <c r="D28" s="3" t="s">
        <v>102</v>
      </c>
      <c r="E28" s="5" t="s">
        <v>64</v>
      </c>
      <c r="F28" s="5" t="s">
        <v>65</v>
      </c>
      <c r="G28" s="3" t="s">
        <v>77</v>
      </c>
      <c r="H28" s="3" t="s">
        <v>28</v>
      </c>
      <c r="I28" s="3" t="s">
        <v>28</v>
      </c>
      <c r="J28" s="3" t="s">
        <v>142</v>
      </c>
      <c r="K28" s="3">
        <v>8</v>
      </c>
      <c r="L28" s="3" t="s">
        <v>157</v>
      </c>
      <c r="M28" s="3" t="s">
        <v>152</v>
      </c>
      <c r="N28" s="3" t="s">
        <v>26</v>
      </c>
      <c r="O28" s="3" t="s">
        <v>145</v>
      </c>
    </row>
    <row r="29" spans="1:15">
      <c r="A29" s="3">
        <v>26</v>
      </c>
      <c r="B29" s="3" t="s">
        <v>183</v>
      </c>
      <c r="C29" s="4">
        <v>46266</v>
      </c>
      <c r="D29" s="3" t="s">
        <v>102</v>
      </c>
      <c r="E29" s="5" t="s">
        <v>12</v>
      </c>
      <c r="F29" s="5" t="s">
        <v>39</v>
      </c>
      <c r="G29" s="3" t="s">
        <v>95</v>
      </c>
      <c r="H29" s="3" t="s">
        <v>7</v>
      </c>
      <c r="I29" s="3" t="s">
        <v>70</v>
      </c>
      <c r="J29" s="3" t="s">
        <v>142</v>
      </c>
      <c r="K29" s="3">
        <v>2</v>
      </c>
      <c r="L29" s="3" t="s">
        <v>157</v>
      </c>
      <c r="M29" s="3" t="s">
        <v>155</v>
      </c>
      <c r="N29" s="3" t="s">
        <v>91</v>
      </c>
      <c r="O29" s="3" t="s">
        <v>165</v>
      </c>
    </row>
    <row r="30" spans="1:15">
      <c r="A30" s="3">
        <v>27</v>
      </c>
      <c r="B30" s="3" t="s">
        <v>184</v>
      </c>
      <c r="C30" s="4">
        <v>46277</v>
      </c>
      <c r="D30" s="3" t="s">
        <v>102</v>
      </c>
      <c r="E30" s="5" t="s">
        <v>20</v>
      </c>
      <c r="F30" s="5" t="s">
        <v>89</v>
      </c>
      <c r="G30" s="3" t="s">
        <v>40</v>
      </c>
      <c r="H30" s="3" t="s">
        <v>28</v>
      </c>
      <c r="I30" s="3" t="s">
        <v>70</v>
      </c>
      <c r="J30" s="3" t="s">
        <v>159</v>
      </c>
      <c r="K30" s="3">
        <v>0</v>
      </c>
      <c r="L30" s="3" t="s">
        <v>163</v>
      </c>
      <c r="M30" s="3" t="s">
        <v>147</v>
      </c>
      <c r="N30" s="3" t="s">
        <v>20</v>
      </c>
      <c r="O30" s="3" t="s">
        <v>165</v>
      </c>
    </row>
    <row r="31" spans="1:15">
      <c r="A31" s="3">
        <v>28</v>
      </c>
      <c r="B31" s="3" t="s">
        <v>185</v>
      </c>
      <c r="C31" s="4">
        <v>46317</v>
      </c>
      <c r="D31" s="3" t="s">
        <v>106</v>
      </c>
      <c r="E31" s="5" t="s">
        <v>16</v>
      </c>
      <c r="F31" s="5" t="s">
        <v>39</v>
      </c>
      <c r="G31" s="3" t="s">
        <v>80</v>
      </c>
      <c r="H31" s="3" t="s">
        <v>41</v>
      </c>
      <c r="I31" s="3" t="s">
        <v>22</v>
      </c>
      <c r="J31" s="3" t="s">
        <v>159</v>
      </c>
      <c r="K31" s="3">
        <v>4</v>
      </c>
      <c r="L31" s="3" t="s">
        <v>163</v>
      </c>
      <c r="M31" s="3" t="s">
        <v>155</v>
      </c>
      <c r="N31" s="3" t="s">
        <v>49</v>
      </c>
      <c r="O31" s="3" t="s">
        <v>148</v>
      </c>
    </row>
    <row r="32" spans="1:15">
      <c r="A32" s="3">
        <v>29</v>
      </c>
      <c r="B32" s="3" t="s">
        <v>186</v>
      </c>
      <c r="C32" s="4">
        <v>46309</v>
      </c>
      <c r="D32" s="3" t="s">
        <v>106</v>
      </c>
      <c r="E32" s="5" t="s">
        <v>26</v>
      </c>
      <c r="F32" s="5" t="s">
        <v>46</v>
      </c>
      <c r="G32" s="3" t="s">
        <v>51</v>
      </c>
      <c r="H32" s="3" t="s">
        <v>41</v>
      </c>
      <c r="I32" s="3" t="s">
        <v>7</v>
      </c>
      <c r="J32" s="3" t="s">
        <v>162</v>
      </c>
      <c r="K32" s="3">
        <v>3</v>
      </c>
      <c r="L32" s="3" t="s">
        <v>169</v>
      </c>
      <c r="M32" s="3" t="s">
        <v>152</v>
      </c>
      <c r="N32" s="3" t="s">
        <v>64</v>
      </c>
      <c r="O32" s="3" t="s">
        <v>145</v>
      </c>
    </row>
    <row r="33" spans="1:15">
      <c r="A33" s="3">
        <v>30</v>
      </c>
      <c r="B33" s="3" t="s">
        <v>187</v>
      </c>
      <c r="C33" s="4">
        <v>46311</v>
      </c>
      <c r="D33" s="3" t="s">
        <v>106</v>
      </c>
      <c r="E33" s="5" t="s">
        <v>91</v>
      </c>
      <c r="F33" s="5" t="s">
        <v>13</v>
      </c>
      <c r="G33" s="3" t="s">
        <v>80</v>
      </c>
      <c r="H33" s="3" t="s">
        <v>104</v>
      </c>
      <c r="I33" s="3" t="s">
        <v>62</v>
      </c>
      <c r="J33" s="3" t="s">
        <v>142</v>
      </c>
      <c r="K33" s="3">
        <v>8</v>
      </c>
      <c r="L33" s="3" t="s">
        <v>143</v>
      </c>
      <c r="M33" s="3" t="s">
        <v>147</v>
      </c>
      <c r="N33" s="3" t="s">
        <v>64</v>
      </c>
      <c r="O33" s="3" t="s">
        <v>148</v>
      </c>
    </row>
    <row r="34" spans="1:15">
      <c r="A34" s="3">
        <v>31</v>
      </c>
      <c r="B34" s="3" t="s">
        <v>188</v>
      </c>
      <c r="C34" s="4">
        <v>46298</v>
      </c>
      <c r="D34" s="3" t="s">
        <v>106</v>
      </c>
      <c r="E34" s="5" t="s">
        <v>49</v>
      </c>
      <c r="F34" s="5" t="s">
        <v>13</v>
      </c>
      <c r="G34" s="3" t="s">
        <v>51</v>
      </c>
      <c r="H34" s="3" t="s">
        <v>78</v>
      </c>
      <c r="I34" s="3" t="s">
        <v>68</v>
      </c>
      <c r="J34" s="3" t="s">
        <v>159</v>
      </c>
      <c r="K34" s="3">
        <v>1</v>
      </c>
      <c r="L34" s="3" t="s">
        <v>163</v>
      </c>
      <c r="M34" s="3" t="s">
        <v>147</v>
      </c>
      <c r="N34" s="3" t="s">
        <v>91</v>
      </c>
      <c r="O34" s="3" t="s">
        <v>165</v>
      </c>
    </row>
    <row r="35" spans="1:15">
      <c r="A35" s="3">
        <v>32</v>
      </c>
      <c r="B35" s="3" t="s">
        <v>189</v>
      </c>
      <c r="C35" s="4">
        <v>46353</v>
      </c>
      <c r="D35" s="3" t="s">
        <v>111</v>
      </c>
      <c r="E35" s="5" t="s">
        <v>61</v>
      </c>
      <c r="F35" s="5" t="s">
        <v>46</v>
      </c>
      <c r="G35" s="3" t="s">
        <v>31</v>
      </c>
      <c r="H35" s="3" t="s">
        <v>70</v>
      </c>
      <c r="I35" s="3" t="s">
        <v>70</v>
      </c>
      <c r="J35" s="3" t="s">
        <v>154</v>
      </c>
      <c r="K35" s="3">
        <v>1</v>
      </c>
      <c r="L35" s="3" t="s">
        <v>163</v>
      </c>
      <c r="M35" s="3" t="s">
        <v>155</v>
      </c>
      <c r="N35" s="3" t="s">
        <v>57</v>
      </c>
      <c r="O35" s="3" t="s">
        <v>148</v>
      </c>
    </row>
    <row r="36" spans="1:15">
      <c r="A36" s="3">
        <v>33</v>
      </c>
      <c r="B36" s="3" t="s">
        <v>190</v>
      </c>
      <c r="C36" s="4">
        <v>46335</v>
      </c>
      <c r="D36" s="3" t="s">
        <v>111</v>
      </c>
      <c r="E36" s="5" t="s">
        <v>12</v>
      </c>
      <c r="F36" s="5" t="s">
        <v>89</v>
      </c>
      <c r="G36" s="3" t="s">
        <v>95</v>
      </c>
      <c r="H36" s="3" t="s">
        <v>62</v>
      </c>
      <c r="I36" s="3" t="s">
        <v>68</v>
      </c>
      <c r="J36" s="3" t="s">
        <v>159</v>
      </c>
      <c r="K36" s="3">
        <v>4</v>
      </c>
      <c r="L36" s="3" t="s">
        <v>157</v>
      </c>
      <c r="M36" s="3" t="s">
        <v>147</v>
      </c>
      <c r="N36" s="3" t="s">
        <v>64</v>
      </c>
      <c r="O36" s="3" t="s">
        <v>145</v>
      </c>
    </row>
    <row r="37" spans="1:15">
      <c r="A37" s="3">
        <v>34</v>
      </c>
      <c r="B37" s="3" t="s">
        <v>191</v>
      </c>
      <c r="C37" s="4">
        <v>46337</v>
      </c>
      <c r="D37" s="3" t="s">
        <v>111</v>
      </c>
      <c r="E37" s="5" t="s">
        <v>16</v>
      </c>
      <c r="F37" s="5" t="s">
        <v>27</v>
      </c>
      <c r="G37" s="3" t="s">
        <v>35</v>
      </c>
      <c r="H37" s="3" t="s">
        <v>66</v>
      </c>
      <c r="I37" s="3" t="s">
        <v>7</v>
      </c>
      <c r="J37" s="3" t="s">
        <v>142</v>
      </c>
      <c r="K37" s="3">
        <v>4</v>
      </c>
      <c r="L37" s="3" t="s">
        <v>160</v>
      </c>
      <c r="M37" s="3" t="s">
        <v>155</v>
      </c>
      <c r="N37" s="3" t="s">
        <v>61</v>
      </c>
      <c r="O37" s="3" t="s">
        <v>148</v>
      </c>
    </row>
    <row r="38" spans="1:15">
      <c r="A38" s="3">
        <v>35</v>
      </c>
      <c r="B38" s="3" t="s">
        <v>192</v>
      </c>
      <c r="C38" s="4">
        <v>46345</v>
      </c>
      <c r="D38" s="3" t="s">
        <v>111</v>
      </c>
      <c r="E38" s="5" t="s">
        <v>49</v>
      </c>
      <c r="F38" s="5" t="s">
        <v>13</v>
      </c>
      <c r="G38" s="3" t="s">
        <v>77</v>
      </c>
      <c r="H38" s="3" t="s">
        <v>7</v>
      </c>
      <c r="I38" s="3" t="s">
        <v>36</v>
      </c>
      <c r="J38" s="3" t="s">
        <v>154</v>
      </c>
      <c r="K38" s="3">
        <v>0</v>
      </c>
      <c r="L38" s="3" t="s">
        <v>160</v>
      </c>
      <c r="M38" s="3" t="s">
        <v>144</v>
      </c>
      <c r="N38" s="3" t="s">
        <v>54</v>
      </c>
      <c r="O38" s="3" t="s">
        <v>148</v>
      </c>
    </row>
    <row r="39" spans="1:15">
      <c r="A39" s="3">
        <v>36</v>
      </c>
      <c r="B39" s="3" t="s">
        <v>193</v>
      </c>
      <c r="C39" s="4">
        <v>46337</v>
      </c>
      <c r="D39" s="3" t="s">
        <v>111</v>
      </c>
      <c r="E39" s="5" t="s">
        <v>12</v>
      </c>
      <c r="F39" s="5" t="s">
        <v>5</v>
      </c>
      <c r="G39" s="3" t="s">
        <v>31</v>
      </c>
      <c r="H39" s="3" t="s">
        <v>93</v>
      </c>
      <c r="I39" s="3" t="s">
        <v>28</v>
      </c>
      <c r="J39" s="3" t="s">
        <v>159</v>
      </c>
      <c r="K39" s="3">
        <v>5</v>
      </c>
      <c r="L39" s="3" t="s">
        <v>150</v>
      </c>
      <c r="M39" s="3" t="s">
        <v>152</v>
      </c>
      <c r="N39" s="3" t="s">
        <v>64</v>
      </c>
      <c r="O39" s="3" t="s">
        <v>145</v>
      </c>
    </row>
    <row r="40" spans="1:15">
      <c r="A40" s="3">
        <v>37</v>
      </c>
      <c r="B40" s="3" t="s">
        <v>194</v>
      </c>
      <c r="C40" s="4">
        <v>46353</v>
      </c>
      <c r="D40" s="3" t="s">
        <v>111</v>
      </c>
      <c r="E40" s="5" t="s">
        <v>12</v>
      </c>
      <c r="F40" s="5" t="s">
        <v>5</v>
      </c>
      <c r="G40" s="3" t="s">
        <v>21</v>
      </c>
      <c r="H40" s="3" t="s">
        <v>78</v>
      </c>
      <c r="I40" s="3" t="s">
        <v>62</v>
      </c>
      <c r="J40" s="3" t="s">
        <v>142</v>
      </c>
      <c r="K40" s="3">
        <v>8</v>
      </c>
      <c r="L40" s="3" t="s">
        <v>160</v>
      </c>
      <c r="M40" s="3" t="s">
        <v>144</v>
      </c>
      <c r="N40" s="3" t="s">
        <v>61</v>
      </c>
      <c r="O40" s="3" t="s">
        <v>148</v>
      </c>
    </row>
    <row r="41" spans="1:15">
      <c r="A41" s="3">
        <v>38</v>
      </c>
      <c r="B41" s="3" t="s">
        <v>195</v>
      </c>
      <c r="C41" s="4">
        <v>46347</v>
      </c>
      <c r="D41" s="3" t="s">
        <v>111</v>
      </c>
      <c r="E41" s="5" t="s">
        <v>91</v>
      </c>
      <c r="F41" s="5" t="s">
        <v>46</v>
      </c>
      <c r="G41" s="3" t="s">
        <v>80</v>
      </c>
      <c r="H41" s="3" t="s">
        <v>70</v>
      </c>
      <c r="I41" s="3" t="s">
        <v>66</v>
      </c>
      <c r="J41" s="3" t="s">
        <v>142</v>
      </c>
      <c r="K41" s="3">
        <v>4</v>
      </c>
      <c r="L41" s="3" t="s">
        <v>160</v>
      </c>
      <c r="M41" s="3" t="s">
        <v>152</v>
      </c>
      <c r="N41" s="3" t="s">
        <v>57</v>
      </c>
      <c r="O41" s="3" t="s">
        <v>148</v>
      </c>
    </row>
    <row r="42" spans="1:15">
      <c r="A42" s="3">
        <v>39</v>
      </c>
      <c r="B42" s="3" t="s">
        <v>196</v>
      </c>
      <c r="C42" s="4">
        <v>46328</v>
      </c>
      <c r="D42" s="3" t="s">
        <v>111</v>
      </c>
      <c r="E42" s="5" t="s">
        <v>57</v>
      </c>
      <c r="F42" s="5" t="s">
        <v>46</v>
      </c>
      <c r="G42" s="3" t="s">
        <v>77</v>
      </c>
      <c r="H42" s="3" t="s">
        <v>32</v>
      </c>
      <c r="I42" s="3" t="s">
        <v>32</v>
      </c>
      <c r="J42" s="3" t="s">
        <v>142</v>
      </c>
      <c r="K42" s="3">
        <v>8</v>
      </c>
      <c r="L42" s="3" t="s">
        <v>169</v>
      </c>
      <c r="M42" s="3" t="s">
        <v>144</v>
      </c>
      <c r="N42" s="3" t="s">
        <v>54</v>
      </c>
      <c r="O42" s="3" t="s">
        <v>165</v>
      </c>
    </row>
    <row r="43" spans="1:15">
      <c r="A43" s="3">
        <v>40</v>
      </c>
      <c r="B43" s="3" t="s">
        <v>197</v>
      </c>
      <c r="C43" s="4">
        <v>46332</v>
      </c>
      <c r="D43" s="3" t="s">
        <v>111</v>
      </c>
      <c r="E43" s="5" t="s">
        <v>45</v>
      </c>
      <c r="F43" s="5" t="s">
        <v>46</v>
      </c>
      <c r="G43" s="3" t="s">
        <v>87</v>
      </c>
      <c r="H43" s="3" t="s">
        <v>41</v>
      </c>
      <c r="I43" s="3" t="s">
        <v>70</v>
      </c>
      <c r="J43" s="3" t="s">
        <v>154</v>
      </c>
      <c r="K43" s="3">
        <v>2</v>
      </c>
      <c r="L43" s="3" t="s">
        <v>157</v>
      </c>
      <c r="M43" s="3" t="s">
        <v>144</v>
      </c>
      <c r="N43" s="3" t="s">
        <v>26</v>
      </c>
      <c r="O43" s="3" t="s">
        <v>145</v>
      </c>
    </row>
    <row r="44" spans="1:15">
      <c r="A44" s="3">
        <v>41</v>
      </c>
      <c r="B44" s="3" t="s">
        <v>198</v>
      </c>
      <c r="C44" s="4">
        <v>46361</v>
      </c>
      <c r="D44" s="3" t="s">
        <v>122</v>
      </c>
      <c r="E44" s="5" t="s">
        <v>49</v>
      </c>
      <c r="F44" s="5" t="s">
        <v>39</v>
      </c>
      <c r="G44" s="3" t="s">
        <v>21</v>
      </c>
      <c r="H44" s="3" t="s">
        <v>93</v>
      </c>
      <c r="I44" s="3" t="s">
        <v>7</v>
      </c>
      <c r="J44" s="3" t="s">
        <v>154</v>
      </c>
      <c r="K44" s="3">
        <v>0</v>
      </c>
      <c r="L44" s="3" t="s">
        <v>150</v>
      </c>
      <c r="M44" s="3" t="s">
        <v>155</v>
      </c>
      <c r="N44" s="3" t="s">
        <v>26</v>
      </c>
      <c r="O44" s="3" t="s">
        <v>165</v>
      </c>
    </row>
    <row r="45" spans="1:15">
      <c r="A45" s="3">
        <v>42</v>
      </c>
      <c r="B45" s="3" t="s">
        <v>199</v>
      </c>
      <c r="C45" s="4">
        <v>46383</v>
      </c>
      <c r="D45" s="3" t="s">
        <v>122</v>
      </c>
      <c r="E45" s="5" t="s">
        <v>12</v>
      </c>
      <c r="F45" s="5" t="s">
        <v>65</v>
      </c>
      <c r="G45" s="3" t="s">
        <v>87</v>
      </c>
      <c r="H45" s="3" t="s">
        <v>66</v>
      </c>
      <c r="I45" s="3" t="s">
        <v>62</v>
      </c>
      <c r="J45" s="3" t="s">
        <v>159</v>
      </c>
      <c r="K45" s="3">
        <v>1</v>
      </c>
      <c r="L45" s="3" t="s">
        <v>163</v>
      </c>
      <c r="M45" s="3" t="s">
        <v>147</v>
      </c>
      <c r="N45" s="3" t="s">
        <v>4</v>
      </c>
      <c r="O45" s="3" t="s">
        <v>165</v>
      </c>
    </row>
    <row r="46" spans="1:15">
      <c r="A46" s="3">
        <v>43</v>
      </c>
      <c r="B46" s="3" t="s">
        <v>200</v>
      </c>
      <c r="C46" s="4">
        <v>46363</v>
      </c>
      <c r="D46" s="3" t="s">
        <v>122</v>
      </c>
      <c r="E46" s="5" t="s">
        <v>64</v>
      </c>
      <c r="F46" s="5" t="s">
        <v>65</v>
      </c>
      <c r="G46" s="3" t="s">
        <v>35</v>
      </c>
      <c r="H46" s="3" t="s">
        <v>28</v>
      </c>
      <c r="I46" s="3" t="s">
        <v>62</v>
      </c>
      <c r="J46" s="3" t="s">
        <v>142</v>
      </c>
      <c r="K46" s="3">
        <v>1</v>
      </c>
      <c r="L46" s="3" t="s">
        <v>160</v>
      </c>
      <c r="M46" s="3" t="s">
        <v>144</v>
      </c>
      <c r="N46" s="3" t="s">
        <v>45</v>
      </c>
      <c r="O46" s="3" t="s">
        <v>165</v>
      </c>
    </row>
    <row r="47" spans="1:15">
      <c r="A47" s="3">
        <v>44</v>
      </c>
      <c r="B47" s="3" t="s">
        <v>201</v>
      </c>
      <c r="C47" s="4">
        <v>46359</v>
      </c>
      <c r="D47" s="3" t="s">
        <v>122</v>
      </c>
      <c r="E47" s="5" t="s">
        <v>20</v>
      </c>
      <c r="F47" s="5" t="s">
        <v>58</v>
      </c>
      <c r="G47" s="3" t="s">
        <v>77</v>
      </c>
      <c r="H47" s="3" t="s">
        <v>32</v>
      </c>
      <c r="I47" s="3" t="s">
        <v>22</v>
      </c>
      <c r="J47" s="3" t="s">
        <v>154</v>
      </c>
      <c r="K47" s="3">
        <v>2</v>
      </c>
      <c r="L47" s="3" t="s">
        <v>150</v>
      </c>
      <c r="M47" s="3" t="s">
        <v>147</v>
      </c>
      <c r="N47" s="3" t="s">
        <v>4</v>
      </c>
      <c r="O47" s="3" t="s">
        <v>145</v>
      </c>
    </row>
    <row r="48" spans="1:15">
      <c r="A48" s="3">
        <v>45</v>
      </c>
      <c r="B48" s="3" t="s">
        <v>202</v>
      </c>
      <c r="C48" s="4">
        <v>46371</v>
      </c>
      <c r="D48" s="3" t="s">
        <v>122</v>
      </c>
      <c r="E48" s="5" t="s">
        <v>16</v>
      </c>
      <c r="F48" s="5" t="s">
        <v>89</v>
      </c>
      <c r="G48" s="3" t="s">
        <v>82</v>
      </c>
      <c r="H48" s="3" t="s">
        <v>62</v>
      </c>
      <c r="I48" s="3" t="s">
        <v>22</v>
      </c>
      <c r="J48" s="3" t="s">
        <v>154</v>
      </c>
      <c r="K48" s="3">
        <v>6</v>
      </c>
      <c r="L48" s="3" t="s">
        <v>143</v>
      </c>
      <c r="M48" s="3" t="s">
        <v>147</v>
      </c>
      <c r="N48" s="3" t="s">
        <v>4</v>
      </c>
      <c r="O48" s="3" t="s">
        <v>148</v>
      </c>
    </row>
    <row r="49" spans="1:15">
      <c r="A49" s="3">
        <v>46</v>
      </c>
      <c r="B49" s="3" t="s">
        <v>203</v>
      </c>
      <c r="C49" s="4">
        <v>46375</v>
      </c>
      <c r="D49" s="3" t="s">
        <v>122</v>
      </c>
      <c r="E49" s="5" t="s">
        <v>12</v>
      </c>
      <c r="F49" s="5" t="s">
        <v>27</v>
      </c>
      <c r="G49" s="3" t="s">
        <v>14</v>
      </c>
      <c r="H49" s="3" t="s">
        <v>22</v>
      </c>
      <c r="I49" s="3" t="s">
        <v>62</v>
      </c>
      <c r="J49" s="3" t="s">
        <v>159</v>
      </c>
      <c r="K49" s="3">
        <v>8</v>
      </c>
      <c r="L49" s="3" t="s">
        <v>143</v>
      </c>
      <c r="M49" s="3" t="s">
        <v>155</v>
      </c>
      <c r="N49" s="3" t="s">
        <v>30</v>
      </c>
      <c r="O49" s="3" t="s">
        <v>165</v>
      </c>
    </row>
    <row r="50" spans="1:15">
      <c r="A50" s="3">
        <v>47</v>
      </c>
      <c r="B50" s="3" t="s">
        <v>204</v>
      </c>
      <c r="C50" s="4">
        <v>46383</v>
      </c>
      <c r="D50" s="3" t="s">
        <v>122</v>
      </c>
      <c r="E50" s="5" t="s">
        <v>45</v>
      </c>
      <c r="F50" s="5" t="s">
        <v>13</v>
      </c>
      <c r="G50" s="3" t="s">
        <v>51</v>
      </c>
      <c r="H50" s="3" t="s">
        <v>62</v>
      </c>
      <c r="I50" s="3" t="s">
        <v>15</v>
      </c>
      <c r="J50" s="3" t="s">
        <v>162</v>
      </c>
      <c r="K50" s="3">
        <v>7</v>
      </c>
      <c r="L50" s="3" t="s">
        <v>157</v>
      </c>
      <c r="M50" s="3" t="s">
        <v>152</v>
      </c>
      <c r="N50" s="3" t="s">
        <v>26</v>
      </c>
      <c r="O50" s="3" t="s">
        <v>165</v>
      </c>
    </row>
    <row r="51" spans="1:15">
      <c r="A51" s="3">
        <v>48</v>
      </c>
      <c r="B51" s="3" t="s">
        <v>205</v>
      </c>
      <c r="C51" s="4">
        <v>46361</v>
      </c>
      <c r="D51" s="3" t="s">
        <v>122</v>
      </c>
      <c r="E51" s="5" t="s">
        <v>49</v>
      </c>
      <c r="F51" s="5" t="s">
        <v>5</v>
      </c>
      <c r="G51" s="3" t="s">
        <v>51</v>
      </c>
      <c r="H51" s="3" t="s">
        <v>62</v>
      </c>
      <c r="I51" s="3" t="s">
        <v>70</v>
      </c>
      <c r="J51" s="3" t="s">
        <v>159</v>
      </c>
      <c r="K51" s="3">
        <v>6</v>
      </c>
      <c r="L51" s="3" t="s">
        <v>143</v>
      </c>
      <c r="M51" s="3" t="s">
        <v>147</v>
      </c>
      <c r="N51" s="3" t="s">
        <v>64</v>
      </c>
      <c r="O51" s="3" t="s">
        <v>145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J4:J5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3.7109375" customWidth="1"/>
    <col min="3" max="4" width="9.7109375" customWidth="1"/>
    <col min="5" max="5" width="13.7109375" customWidth="1"/>
    <col min="6" max="6" width="15.7109375" customWidth="1"/>
    <col min="7" max="7" width="12.7109375" customWidth="1"/>
    <col min="8" max="9" width="9.7109375" customWidth="1"/>
    <col min="10" max="11" width="18.7109375" customWidth="1"/>
    <col min="12" max="12" width="14.7109375" customWidth="1"/>
    <col min="13" max="13" width="16.7109375" customWidth="1"/>
    <col min="14" max="14" width="9.7109375" customWidth="1"/>
    <col min="15" max="15" width="19.7109375" customWidth="1"/>
    <col min="16" max="16" width="20.7109375" customWidth="1"/>
  </cols>
  <sheetData>
    <row r="1" spans="1:18" ht="22" customHeight="1">
      <c r="A1" s="1" t="s">
        <v>216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281</v>
      </c>
      <c r="C3" t="s">
        <v>126</v>
      </c>
      <c r="D3" t="s">
        <v>127</v>
      </c>
      <c r="E3" t="s">
        <v>282</v>
      </c>
      <c r="F3" t="s">
        <v>283</v>
      </c>
      <c r="G3" t="s">
        <v>129</v>
      </c>
      <c r="H3" t="s">
        <v>284</v>
      </c>
      <c r="I3" t="s">
        <v>285</v>
      </c>
      <c r="J3" t="s">
        <v>132</v>
      </c>
      <c r="K3" t="s">
        <v>133</v>
      </c>
      <c r="L3" t="s">
        <v>134</v>
      </c>
      <c r="M3" t="s">
        <v>286</v>
      </c>
      <c r="N3" t="s">
        <v>287</v>
      </c>
      <c r="O3" t="s">
        <v>288</v>
      </c>
      <c r="P3" t="s">
        <v>289</v>
      </c>
    </row>
    <row r="4" spans="1:18">
      <c r="A4" s="3">
        <v>1</v>
      </c>
      <c r="B4" s="3" t="s">
        <v>217</v>
      </c>
      <c r="C4" s="4">
        <v>46036</v>
      </c>
      <c r="D4" s="3" t="s">
        <v>3</v>
      </c>
      <c r="E4" s="5" t="s">
        <v>16</v>
      </c>
      <c r="F4" s="5" t="s">
        <v>218</v>
      </c>
      <c r="G4" s="3" t="s">
        <v>39</v>
      </c>
      <c r="H4" s="3" t="s">
        <v>70</v>
      </c>
      <c r="I4" s="3" t="s">
        <v>219</v>
      </c>
      <c r="J4" s="3">
        <v>55</v>
      </c>
      <c r="K4" s="3">
        <v>44</v>
      </c>
      <c r="L4" s="6">
        <f>IFERROR(K4/J4*100,0)</f>
        <v>0</v>
      </c>
      <c r="M4" s="3">
        <v>82</v>
      </c>
      <c r="N4" s="3" t="s">
        <v>220</v>
      </c>
      <c r="O4" s="3" t="s">
        <v>221</v>
      </c>
      <c r="P4" s="3" t="s">
        <v>23</v>
      </c>
    </row>
    <row r="5" spans="1:18">
      <c r="A5" s="3">
        <v>2</v>
      </c>
      <c r="B5" s="3" t="s">
        <v>222</v>
      </c>
      <c r="C5" s="4">
        <v>46045</v>
      </c>
      <c r="D5" s="3" t="s">
        <v>3</v>
      </c>
      <c r="E5" s="5" t="s">
        <v>26</v>
      </c>
      <c r="F5" s="5" t="s">
        <v>223</v>
      </c>
      <c r="G5" s="3" t="s">
        <v>5</v>
      </c>
      <c r="H5" s="3" t="s">
        <v>62</v>
      </c>
      <c r="I5" s="3" t="s">
        <v>224</v>
      </c>
      <c r="J5" s="3">
        <v>16</v>
      </c>
      <c r="K5" s="3">
        <v>53</v>
      </c>
      <c r="L5" s="6">
        <f>IFERROR(K5/J5*100,0)</f>
        <v>0</v>
      </c>
      <c r="M5" s="3">
        <v>93</v>
      </c>
      <c r="N5" s="3" t="s">
        <v>220</v>
      </c>
      <c r="O5" s="3" t="s">
        <v>225</v>
      </c>
      <c r="P5" s="3" t="s">
        <v>9</v>
      </c>
    </row>
    <row r="6" spans="1:18">
      <c r="A6" s="3">
        <v>3</v>
      </c>
      <c r="B6" s="3" t="s">
        <v>226</v>
      </c>
      <c r="C6" s="4">
        <v>46027</v>
      </c>
      <c r="D6" s="3" t="s">
        <v>3</v>
      </c>
      <c r="E6" s="5" t="s">
        <v>26</v>
      </c>
      <c r="F6" s="5" t="s">
        <v>223</v>
      </c>
      <c r="G6" s="3" t="s">
        <v>46</v>
      </c>
      <c r="H6" s="3" t="s">
        <v>32</v>
      </c>
      <c r="I6" s="3" t="s">
        <v>227</v>
      </c>
      <c r="J6" s="3">
        <v>58</v>
      </c>
      <c r="K6" s="3">
        <v>59</v>
      </c>
      <c r="L6" s="6">
        <f>IFERROR(K6/J6*100,0)</f>
        <v>0</v>
      </c>
      <c r="M6" s="3">
        <v>51</v>
      </c>
      <c r="N6" s="3" t="s">
        <v>220</v>
      </c>
      <c r="O6" s="3" t="s">
        <v>228</v>
      </c>
      <c r="P6" s="3" t="s">
        <v>23</v>
      </c>
    </row>
    <row r="7" spans="1:18">
      <c r="A7" s="3">
        <v>4</v>
      </c>
      <c r="B7" s="3" t="s">
        <v>229</v>
      </c>
      <c r="C7" s="4">
        <v>46046</v>
      </c>
      <c r="D7" s="3" t="s">
        <v>3</v>
      </c>
      <c r="E7" s="5" t="s">
        <v>54</v>
      </c>
      <c r="F7" s="5" t="s">
        <v>230</v>
      </c>
      <c r="G7" s="3" t="s">
        <v>13</v>
      </c>
      <c r="H7" s="3" t="s">
        <v>66</v>
      </c>
      <c r="I7" s="3" t="s">
        <v>224</v>
      </c>
      <c r="J7" s="3">
        <v>51</v>
      </c>
      <c r="K7" s="3">
        <v>18</v>
      </c>
      <c r="L7" s="6">
        <f>IFERROR(K7/J7*100,0)</f>
        <v>0</v>
      </c>
      <c r="M7" s="3">
        <v>119</v>
      </c>
      <c r="N7" s="3" t="s">
        <v>220</v>
      </c>
      <c r="O7" s="3" t="s">
        <v>225</v>
      </c>
      <c r="P7" s="3" t="s">
        <v>23</v>
      </c>
    </row>
    <row r="8" spans="1:18">
      <c r="A8" s="3">
        <v>5</v>
      </c>
      <c r="B8" s="3" t="s">
        <v>231</v>
      </c>
      <c r="C8" s="4">
        <v>46056</v>
      </c>
      <c r="D8" s="3" t="s">
        <v>19</v>
      </c>
      <c r="E8" s="5" t="s">
        <v>91</v>
      </c>
      <c r="F8" s="5" t="s">
        <v>223</v>
      </c>
      <c r="G8" s="3" t="s">
        <v>39</v>
      </c>
      <c r="H8" s="3" t="s">
        <v>62</v>
      </c>
      <c r="I8" s="3" t="s">
        <v>219</v>
      </c>
      <c r="J8" s="3">
        <v>19</v>
      </c>
      <c r="K8" s="3">
        <v>36</v>
      </c>
      <c r="L8" s="6">
        <f>IFERROR(K8/J8*100,0)</f>
        <v>0</v>
      </c>
      <c r="M8" s="3">
        <v>47</v>
      </c>
      <c r="N8" s="3" t="s">
        <v>220</v>
      </c>
      <c r="O8" s="3" t="s">
        <v>225</v>
      </c>
      <c r="P8" s="3" t="s">
        <v>23</v>
      </c>
    </row>
    <row r="9" spans="1:18">
      <c r="A9" s="3">
        <v>6</v>
      </c>
      <c r="B9" s="3" t="s">
        <v>232</v>
      </c>
      <c r="C9" s="4">
        <v>46073</v>
      </c>
      <c r="D9" s="3" t="s">
        <v>19</v>
      </c>
      <c r="E9" s="5" t="s">
        <v>91</v>
      </c>
      <c r="F9" s="5" t="s">
        <v>233</v>
      </c>
      <c r="G9" s="3" t="s">
        <v>13</v>
      </c>
      <c r="H9" s="3" t="s">
        <v>104</v>
      </c>
      <c r="I9" s="3" t="s">
        <v>219</v>
      </c>
      <c r="J9" s="3">
        <v>55</v>
      </c>
      <c r="K9" s="3">
        <v>58</v>
      </c>
      <c r="L9" s="6">
        <f>IFERROR(K9/J9*100,0)</f>
        <v>0</v>
      </c>
      <c r="M9" s="3">
        <v>66</v>
      </c>
      <c r="N9" s="3" t="s">
        <v>220</v>
      </c>
      <c r="O9" s="3" t="s">
        <v>225</v>
      </c>
      <c r="P9" s="3" t="s">
        <v>23</v>
      </c>
    </row>
    <row r="10" spans="1:18">
      <c r="A10" s="3">
        <v>7</v>
      </c>
      <c r="B10" s="3" t="s">
        <v>234</v>
      </c>
      <c r="C10" s="4">
        <v>46078</v>
      </c>
      <c r="D10" s="3" t="s">
        <v>19</v>
      </c>
      <c r="E10" s="5" t="s">
        <v>64</v>
      </c>
      <c r="F10" s="5" t="s">
        <v>233</v>
      </c>
      <c r="G10" s="3" t="s">
        <v>5</v>
      </c>
      <c r="H10" s="3" t="s">
        <v>28</v>
      </c>
      <c r="I10" s="3" t="s">
        <v>224</v>
      </c>
      <c r="J10" s="3">
        <v>16</v>
      </c>
      <c r="K10" s="3">
        <v>51</v>
      </c>
      <c r="L10" s="6">
        <f>IFERROR(K10/J10*100,0)</f>
        <v>0</v>
      </c>
      <c r="M10" s="3">
        <v>28</v>
      </c>
      <c r="N10" s="3" t="s">
        <v>235</v>
      </c>
      <c r="O10" s="3" t="s">
        <v>221</v>
      </c>
      <c r="P10" s="3" t="s">
        <v>23</v>
      </c>
    </row>
    <row r="11" spans="1:18">
      <c r="A11" s="3">
        <v>8</v>
      </c>
      <c r="B11" s="3" t="s">
        <v>236</v>
      </c>
      <c r="C11" s="4">
        <v>46081</v>
      </c>
      <c r="D11" s="3" t="s">
        <v>19</v>
      </c>
      <c r="E11" s="5" t="s">
        <v>4</v>
      </c>
      <c r="F11" s="5" t="s">
        <v>237</v>
      </c>
      <c r="G11" s="3" t="s">
        <v>58</v>
      </c>
      <c r="H11" s="3" t="s">
        <v>104</v>
      </c>
      <c r="I11" s="3" t="s">
        <v>219</v>
      </c>
      <c r="J11" s="3">
        <v>54</v>
      </c>
      <c r="K11" s="3">
        <v>30</v>
      </c>
      <c r="L11" s="6">
        <f>IFERROR(K11/J11*100,0)</f>
        <v>0</v>
      </c>
      <c r="M11" s="3">
        <v>108</v>
      </c>
      <c r="N11" s="3" t="s">
        <v>238</v>
      </c>
      <c r="O11" s="3" t="s">
        <v>225</v>
      </c>
      <c r="P11" s="3" t="s">
        <v>9</v>
      </c>
    </row>
    <row r="12" spans="1:18">
      <c r="A12" s="3">
        <v>9</v>
      </c>
      <c r="B12" s="3" t="s">
        <v>239</v>
      </c>
      <c r="C12" s="4">
        <v>46063</v>
      </c>
      <c r="D12" s="3" t="s">
        <v>19</v>
      </c>
      <c r="E12" s="5" t="s">
        <v>45</v>
      </c>
      <c r="F12" s="5" t="s">
        <v>233</v>
      </c>
      <c r="G12" s="3" t="s">
        <v>50</v>
      </c>
      <c r="H12" s="3" t="s">
        <v>15</v>
      </c>
      <c r="I12" s="3" t="s">
        <v>240</v>
      </c>
      <c r="J12" s="3">
        <v>44</v>
      </c>
      <c r="K12" s="3">
        <v>10</v>
      </c>
      <c r="L12" s="6">
        <f>IFERROR(K12/J12*100,0)</f>
        <v>0</v>
      </c>
      <c r="M12" s="3">
        <v>18</v>
      </c>
      <c r="N12" s="3" t="s">
        <v>238</v>
      </c>
      <c r="O12" s="3" t="s">
        <v>221</v>
      </c>
      <c r="P12" s="3" t="s">
        <v>9</v>
      </c>
    </row>
    <row r="13" spans="1:18">
      <c r="A13" s="3">
        <v>10</v>
      </c>
      <c r="B13" s="3" t="s">
        <v>241</v>
      </c>
      <c r="C13" s="4">
        <v>46062</v>
      </c>
      <c r="D13" s="3" t="s">
        <v>19</v>
      </c>
      <c r="E13" s="5" t="s">
        <v>4</v>
      </c>
      <c r="F13" s="5" t="s">
        <v>224</v>
      </c>
      <c r="G13" s="3" t="s">
        <v>92</v>
      </c>
      <c r="H13" s="3" t="s">
        <v>104</v>
      </c>
      <c r="I13" s="3" t="s">
        <v>240</v>
      </c>
      <c r="J13" s="3">
        <v>27</v>
      </c>
      <c r="K13" s="3">
        <v>23</v>
      </c>
      <c r="L13" s="6">
        <f>IFERROR(K13/J13*100,0)</f>
        <v>0</v>
      </c>
      <c r="M13" s="3">
        <v>73</v>
      </c>
      <c r="N13" s="3" t="s">
        <v>238</v>
      </c>
      <c r="O13" s="3" t="s">
        <v>221</v>
      </c>
      <c r="P13" s="3" t="s">
        <v>9</v>
      </c>
    </row>
    <row r="14" spans="1:18">
      <c r="A14" s="3">
        <v>11</v>
      </c>
      <c r="B14" s="3" t="s">
        <v>242</v>
      </c>
      <c r="C14" s="4">
        <v>46094</v>
      </c>
      <c r="D14" s="3" t="s">
        <v>44</v>
      </c>
      <c r="E14" s="5" t="s">
        <v>54</v>
      </c>
      <c r="F14" s="5" t="s">
        <v>223</v>
      </c>
      <c r="G14" s="3" t="s">
        <v>27</v>
      </c>
      <c r="H14" s="3" t="s">
        <v>70</v>
      </c>
      <c r="I14" s="3" t="s">
        <v>227</v>
      </c>
      <c r="J14" s="3">
        <v>24</v>
      </c>
      <c r="K14" s="3">
        <v>30</v>
      </c>
      <c r="L14" s="6">
        <f>IFERROR(K14/J14*100,0)</f>
        <v>0</v>
      </c>
      <c r="M14" s="3">
        <v>71</v>
      </c>
      <c r="N14" s="3" t="s">
        <v>235</v>
      </c>
      <c r="O14" s="3" t="s">
        <v>228</v>
      </c>
      <c r="P14" s="3" t="s">
        <v>23</v>
      </c>
    </row>
    <row r="15" spans="1:18">
      <c r="A15" s="3">
        <v>12</v>
      </c>
      <c r="B15" s="3" t="s">
        <v>243</v>
      </c>
      <c r="C15" s="4">
        <v>46107</v>
      </c>
      <c r="D15" s="3" t="s">
        <v>44</v>
      </c>
      <c r="E15" s="5" t="s">
        <v>4</v>
      </c>
      <c r="F15" s="5" t="s">
        <v>224</v>
      </c>
      <c r="G15" s="3" t="s">
        <v>92</v>
      </c>
      <c r="H15" s="3" t="s">
        <v>66</v>
      </c>
      <c r="I15" s="3" t="s">
        <v>219</v>
      </c>
      <c r="J15" s="3">
        <v>51</v>
      </c>
      <c r="K15" s="3">
        <v>44</v>
      </c>
      <c r="L15" s="6">
        <f>IFERROR(K15/J15*100,0)</f>
        <v>0</v>
      </c>
      <c r="M15" s="3">
        <v>65</v>
      </c>
      <c r="N15" s="3" t="s">
        <v>220</v>
      </c>
      <c r="O15" s="3" t="s">
        <v>225</v>
      </c>
      <c r="P15" s="3" t="s">
        <v>23</v>
      </c>
    </row>
    <row r="16" spans="1:18">
      <c r="A16" s="3">
        <v>13</v>
      </c>
      <c r="B16" s="3" t="s">
        <v>244</v>
      </c>
      <c r="C16" s="4">
        <v>46084</v>
      </c>
      <c r="D16" s="3" t="s">
        <v>44</v>
      </c>
      <c r="E16" s="5" t="s">
        <v>64</v>
      </c>
      <c r="F16" s="5" t="s">
        <v>224</v>
      </c>
      <c r="G16" s="3" t="s">
        <v>27</v>
      </c>
      <c r="H16" s="3" t="s">
        <v>78</v>
      </c>
      <c r="I16" s="3" t="s">
        <v>227</v>
      </c>
      <c r="J16" s="3">
        <v>38</v>
      </c>
      <c r="K16" s="3">
        <v>41</v>
      </c>
      <c r="L16" s="6">
        <f>IFERROR(K16/J16*100,0)</f>
        <v>0</v>
      </c>
      <c r="M16" s="3">
        <v>22</v>
      </c>
      <c r="N16" s="3" t="s">
        <v>220</v>
      </c>
      <c r="O16" s="3" t="s">
        <v>228</v>
      </c>
      <c r="P16" s="3" t="s">
        <v>9</v>
      </c>
    </row>
    <row r="17" spans="1:16">
      <c r="A17" s="3">
        <v>14</v>
      </c>
      <c r="B17" s="3" t="s">
        <v>245</v>
      </c>
      <c r="C17" s="4">
        <v>46082</v>
      </c>
      <c r="D17" s="3" t="s">
        <v>44</v>
      </c>
      <c r="E17" s="5" t="s">
        <v>61</v>
      </c>
      <c r="F17" s="5" t="s">
        <v>223</v>
      </c>
      <c r="G17" s="3" t="s">
        <v>39</v>
      </c>
      <c r="H17" s="3" t="s">
        <v>68</v>
      </c>
      <c r="I17" s="3" t="s">
        <v>219</v>
      </c>
      <c r="J17" s="3">
        <v>26</v>
      </c>
      <c r="K17" s="3">
        <v>59</v>
      </c>
      <c r="L17" s="6">
        <f>IFERROR(K17/J17*100,0)</f>
        <v>0</v>
      </c>
      <c r="M17" s="3">
        <v>117</v>
      </c>
      <c r="N17" s="3" t="s">
        <v>220</v>
      </c>
      <c r="O17" s="3" t="s">
        <v>221</v>
      </c>
      <c r="P17" s="3" t="s">
        <v>9</v>
      </c>
    </row>
    <row r="18" spans="1:16">
      <c r="A18" s="3">
        <v>15</v>
      </c>
      <c r="B18" s="3" t="s">
        <v>246</v>
      </c>
      <c r="C18" s="4">
        <v>46088</v>
      </c>
      <c r="D18" s="3" t="s">
        <v>44</v>
      </c>
      <c r="E18" s="5" t="s">
        <v>57</v>
      </c>
      <c r="F18" s="5" t="s">
        <v>218</v>
      </c>
      <c r="G18" s="3" t="s">
        <v>13</v>
      </c>
      <c r="H18" s="3" t="s">
        <v>70</v>
      </c>
      <c r="I18" s="3" t="s">
        <v>224</v>
      </c>
      <c r="J18" s="3">
        <v>26</v>
      </c>
      <c r="K18" s="3">
        <v>47</v>
      </c>
      <c r="L18" s="6">
        <f>IFERROR(K18/J18*100,0)</f>
        <v>0</v>
      </c>
      <c r="M18" s="3">
        <v>97</v>
      </c>
      <c r="N18" s="3" t="s">
        <v>220</v>
      </c>
      <c r="O18" s="3" t="s">
        <v>221</v>
      </c>
      <c r="P18" s="3" t="s">
        <v>9</v>
      </c>
    </row>
    <row r="19" spans="1:16">
      <c r="A19" s="3">
        <v>16</v>
      </c>
      <c r="B19" s="3" t="s">
        <v>247</v>
      </c>
      <c r="C19" s="4">
        <v>46093</v>
      </c>
      <c r="D19" s="3" t="s">
        <v>44</v>
      </c>
      <c r="E19" s="5" t="s">
        <v>45</v>
      </c>
      <c r="F19" s="5" t="s">
        <v>218</v>
      </c>
      <c r="G19" s="3" t="s">
        <v>46</v>
      </c>
      <c r="H19" s="3" t="s">
        <v>93</v>
      </c>
      <c r="I19" s="3" t="s">
        <v>240</v>
      </c>
      <c r="J19" s="3">
        <v>49</v>
      </c>
      <c r="K19" s="3">
        <v>28</v>
      </c>
      <c r="L19" s="6">
        <f>IFERROR(K19/J19*100,0)</f>
        <v>0</v>
      </c>
      <c r="M19" s="3">
        <v>117</v>
      </c>
      <c r="N19" s="3" t="s">
        <v>238</v>
      </c>
      <c r="O19" s="3" t="s">
        <v>225</v>
      </c>
      <c r="P19" s="3" t="s">
        <v>9</v>
      </c>
    </row>
    <row r="20" spans="1:16">
      <c r="A20" s="3">
        <v>17</v>
      </c>
      <c r="B20" s="3" t="s">
        <v>248</v>
      </c>
      <c r="C20" s="4">
        <v>46091</v>
      </c>
      <c r="D20" s="3" t="s">
        <v>44</v>
      </c>
      <c r="E20" s="5" t="s">
        <v>57</v>
      </c>
      <c r="F20" s="5" t="s">
        <v>224</v>
      </c>
      <c r="G20" s="3" t="s">
        <v>50</v>
      </c>
      <c r="H20" s="3" t="s">
        <v>22</v>
      </c>
      <c r="I20" s="3" t="s">
        <v>224</v>
      </c>
      <c r="J20" s="3">
        <v>45</v>
      </c>
      <c r="K20" s="3">
        <v>37</v>
      </c>
      <c r="L20" s="6">
        <f>IFERROR(K20/J20*100,0)</f>
        <v>0</v>
      </c>
      <c r="M20" s="3">
        <v>40</v>
      </c>
      <c r="N20" s="3" t="s">
        <v>220</v>
      </c>
      <c r="O20" s="3" t="s">
        <v>228</v>
      </c>
      <c r="P20" s="3" t="s">
        <v>23</v>
      </c>
    </row>
    <row r="21" spans="1:16">
      <c r="A21" s="3">
        <v>18</v>
      </c>
      <c r="B21" s="3" t="s">
        <v>249</v>
      </c>
      <c r="C21" s="4">
        <v>46125</v>
      </c>
      <c r="D21" s="3" t="s">
        <v>53</v>
      </c>
      <c r="E21" s="5" t="s">
        <v>54</v>
      </c>
      <c r="F21" s="5" t="s">
        <v>223</v>
      </c>
      <c r="G21" s="3" t="s">
        <v>92</v>
      </c>
      <c r="H21" s="3" t="s">
        <v>41</v>
      </c>
      <c r="I21" s="3" t="s">
        <v>227</v>
      </c>
      <c r="J21" s="3">
        <v>36</v>
      </c>
      <c r="K21" s="3">
        <v>25</v>
      </c>
      <c r="L21" s="6">
        <f>IFERROR(K21/J21*100,0)</f>
        <v>0</v>
      </c>
      <c r="M21" s="3">
        <v>56</v>
      </c>
      <c r="N21" s="3" t="s">
        <v>220</v>
      </c>
      <c r="O21" s="3" t="s">
        <v>221</v>
      </c>
      <c r="P21" s="3" t="s">
        <v>9</v>
      </c>
    </row>
    <row r="22" spans="1:16">
      <c r="A22" s="3">
        <v>19</v>
      </c>
      <c r="B22" s="3" t="s">
        <v>250</v>
      </c>
      <c r="C22" s="4">
        <v>46114</v>
      </c>
      <c r="D22" s="3" t="s">
        <v>53</v>
      </c>
      <c r="E22" s="5" t="s">
        <v>57</v>
      </c>
      <c r="F22" s="5" t="s">
        <v>233</v>
      </c>
      <c r="G22" s="3" t="s">
        <v>50</v>
      </c>
      <c r="H22" s="3" t="s">
        <v>36</v>
      </c>
      <c r="I22" s="3" t="s">
        <v>240</v>
      </c>
      <c r="J22" s="3">
        <v>48</v>
      </c>
      <c r="K22" s="3">
        <v>35</v>
      </c>
      <c r="L22" s="6">
        <f>IFERROR(K22/J22*100,0)</f>
        <v>0</v>
      </c>
      <c r="M22" s="3">
        <v>106</v>
      </c>
      <c r="N22" s="3" t="s">
        <v>220</v>
      </c>
      <c r="O22" s="3" t="s">
        <v>228</v>
      </c>
      <c r="P22" s="3" t="s">
        <v>23</v>
      </c>
    </row>
    <row r="23" spans="1:16">
      <c r="A23" s="3">
        <v>20</v>
      </c>
      <c r="B23" s="3" t="s">
        <v>251</v>
      </c>
      <c r="C23" s="4">
        <v>46122</v>
      </c>
      <c r="D23" s="3" t="s">
        <v>53</v>
      </c>
      <c r="E23" s="5" t="s">
        <v>57</v>
      </c>
      <c r="F23" s="5" t="s">
        <v>218</v>
      </c>
      <c r="G23" s="3" t="s">
        <v>92</v>
      </c>
      <c r="H23" s="3" t="s">
        <v>22</v>
      </c>
      <c r="I23" s="3" t="s">
        <v>224</v>
      </c>
      <c r="J23" s="3">
        <v>14</v>
      </c>
      <c r="K23" s="3">
        <v>40</v>
      </c>
      <c r="L23" s="6">
        <f>IFERROR(K23/J23*100,0)</f>
        <v>0</v>
      </c>
      <c r="M23" s="3">
        <v>55</v>
      </c>
      <c r="N23" s="3" t="s">
        <v>220</v>
      </c>
      <c r="O23" s="3" t="s">
        <v>221</v>
      </c>
      <c r="P23" s="3" t="s">
        <v>9</v>
      </c>
    </row>
    <row r="24" spans="1:16">
      <c r="A24" s="3">
        <v>21</v>
      </c>
      <c r="B24" s="3" t="s">
        <v>252</v>
      </c>
      <c r="C24" s="4">
        <v>46130</v>
      </c>
      <c r="D24" s="3" t="s">
        <v>53</v>
      </c>
      <c r="E24" s="5" t="s">
        <v>20</v>
      </c>
      <c r="F24" s="5" t="s">
        <v>218</v>
      </c>
      <c r="G24" s="3" t="s">
        <v>65</v>
      </c>
      <c r="H24" s="3" t="s">
        <v>62</v>
      </c>
      <c r="I24" s="3" t="s">
        <v>219</v>
      </c>
      <c r="J24" s="3">
        <v>35</v>
      </c>
      <c r="K24" s="3">
        <v>44</v>
      </c>
      <c r="L24" s="6">
        <f>IFERROR(K24/J24*100,0)</f>
        <v>0</v>
      </c>
      <c r="M24" s="3">
        <v>112</v>
      </c>
      <c r="N24" s="3" t="s">
        <v>220</v>
      </c>
      <c r="O24" s="3" t="s">
        <v>225</v>
      </c>
      <c r="P24" s="3" t="s">
        <v>9</v>
      </c>
    </row>
    <row r="25" spans="1:16">
      <c r="A25" s="3">
        <v>22</v>
      </c>
      <c r="B25" s="3" t="s">
        <v>253</v>
      </c>
      <c r="C25" s="4">
        <v>46148</v>
      </c>
      <c r="D25" s="3" t="s">
        <v>60</v>
      </c>
      <c r="E25" s="5" t="s">
        <v>64</v>
      </c>
      <c r="F25" s="5" t="s">
        <v>223</v>
      </c>
      <c r="G25" s="3" t="s">
        <v>50</v>
      </c>
      <c r="H25" s="3" t="s">
        <v>66</v>
      </c>
      <c r="I25" s="3" t="s">
        <v>224</v>
      </c>
      <c r="J25" s="3">
        <v>34</v>
      </c>
      <c r="K25" s="3">
        <v>50</v>
      </c>
      <c r="L25" s="6">
        <f>IFERROR(K25/J25*100,0)</f>
        <v>0</v>
      </c>
      <c r="M25" s="3">
        <v>78</v>
      </c>
      <c r="N25" s="3" t="s">
        <v>254</v>
      </c>
      <c r="O25" s="3" t="s">
        <v>225</v>
      </c>
      <c r="P25" s="3" t="s">
        <v>23</v>
      </c>
    </row>
    <row r="26" spans="1:16">
      <c r="A26" s="3">
        <v>23</v>
      </c>
      <c r="B26" s="3" t="s">
        <v>255</v>
      </c>
      <c r="C26" s="4">
        <v>46156</v>
      </c>
      <c r="D26" s="3" t="s">
        <v>60</v>
      </c>
      <c r="E26" s="5" t="s">
        <v>4</v>
      </c>
      <c r="F26" s="5" t="s">
        <v>218</v>
      </c>
      <c r="G26" s="3" t="s">
        <v>65</v>
      </c>
      <c r="H26" s="3" t="s">
        <v>68</v>
      </c>
      <c r="I26" s="3" t="s">
        <v>224</v>
      </c>
      <c r="J26" s="3">
        <v>20</v>
      </c>
      <c r="K26" s="3">
        <v>32</v>
      </c>
      <c r="L26" s="6">
        <f>IFERROR(K26/J26*100,0)</f>
        <v>0</v>
      </c>
      <c r="M26" s="3">
        <v>119</v>
      </c>
      <c r="N26" s="3" t="s">
        <v>220</v>
      </c>
      <c r="O26" s="3" t="s">
        <v>228</v>
      </c>
      <c r="P26" s="3" t="s">
        <v>23</v>
      </c>
    </row>
    <row r="27" spans="1:16">
      <c r="A27" s="3">
        <v>24</v>
      </c>
      <c r="B27" s="3" t="s">
        <v>256</v>
      </c>
      <c r="C27" s="4">
        <v>46147</v>
      </c>
      <c r="D27" s="3" t="s">
        <v>60</v>
      </c>
      <c r="E27" s="5" t="s">
        <v>26</v>
      </c>
      <c r="F27" s="5" t="s">
        <v>224</v>
      </c>
      <c r="G27" s="3" t="s">
        <v>92</v>
      </c>
      <c r="H27" s="3" t="s">
        <v>104</v>
      </c>
      <c r="I27" s="3" t="s">
        <v>227</v>
      </c>
      <c r="J27" s="3">
        <v>54</v>
      </c>
      <c r="K27" s="3">
        <v>14</v>
      </c>
      <c r="L27" s="6">
        <f>IFERROR(K27/J27*100,0)</f>
        <v>0</v>
      </c>
      <c r="M27" s="3">
        <v>28</v>
      </c>
      <c r="N27" s="3" t="s">
        <v>235</v>
      </c>
      <c r="O27" s="3" t="s">
        <v>221</v>
      </c>
      <c r="P27" s="3" t="s">
        <v>23</v>
      </c>
    </row>
    <row r="28" spans="1:16">
      <c r="A28" s="3">
        <v>25</v>
      </c>
      <c r="B28" s="3" t="s">
        <v>257</v>
      </c>
      <c r="C28" s="4">
        <v>46160</v>
      </c>
      <c r="D28" s="3" t="s">
        <v>60</v>
      </c>
      <c r="E28" s="5" t="s">
        <v>45</v>
      </c>
      <c r="F28" s="5" t="s">
        <v>223</v>
      </c>
      <c r="G28" s="3" t="s">
        <v>13</v>
      </c>
      <c r="H28" s="3" t="s">
        <v>70</v>
      </c>
      <c r="I28" s="3" t="s">
        <v>240</v>
      </c>
      <c r="J28" s="3">
        <v>39</v>
      </c>
      <c r="K28" s="3">
        <v>45</v>
      </c>
      <c r="L28" s="6">
        <f>IFERROR(K28/J28*100,0)</f>
        <v>0</v>
      </c>
      <c r="M28" s="3">
        <v>59</v>
      </c>
      <c r="N28" s="3" t="s">
        <v>235</v>
      </c>
      <c r="O28" s="3" t="s">
        <v>221</v>
      </c>
      <c r="P28" s="3" t="s">
        <v>9</v>
      </c>
    </row>
    <row r="29" spans="1:16">
      <c r="A29" s="3">
        <v>26</v>
      </c>
      <c r="B29" s="3" t="s">
        <v>258</v>
      </c>
      <c r="C29" s="4">
        <v>46193</v>
      </c>
      <c r="D29" s="3" t="s">
        <v>73</v>
      </c>
      <c r="E29" s="5" t="s">
        <v>45</v>
      </c>
      <c r="F29" s="5" t="s">
        <v>237</v>
      </c>
      <c r="G29" s="3" t="s">
        <v>39</v>
      </c>
      <c r="H29" s="3" t="s">
        <v>41</v>
      </c>
      <c r="I29" s="3" t="s">
        <v>240</v>
      </c>
      <c r="J29" s="3">
        <v>19</v>
      </c>
      <c r="K29" s="3">
        <v>38</v>
      </c>
      <c r="L29" s="6">
        <f>IFERROR(K29/J29*100,0)</f>
        <v>0</v>
      </c>
      <c r="M29" s="3">
        <v>74</v>
      </c>
      <c r="N29" s="3" t="s">
        <v>238</v>
      </c>
      <c r="O29" s="3" t="s">
        <v>221</v>
      </c>
      <c r="P29" s="3" t="s">
        <v>23</v>
      </c>
    </row>
    <row r="30" spans="1:16">
      <c r="A30" s="3">
        <v>27</v>
      </c>
      <c r="B30" s="3" t="s">
        <v>259</v>
      </c>
      <c r="C30" s="4">
        <v>46198</v>
      </c>
      <c r="D30" s="3" t="s">
        <v>73</v>
      </c>
      <c r="E30" s="5" t="s">
        <v>16</v>
      </c>
      <c r="F30" s="5" t="s">
        <v>218</v>
      </c>
      <c r="G30" s="3" t="s">
        <v>92</v>
      </c>
      <c r="H30" s="3" t="s">
        <v>70</v>
      </c>
      <c r="I30" s="3" t="s">
        <v>219</v>
      </c>
      <c r="J30" s="3">
        <v>30</v>
      </c>
      <c r="K30" s="3">
        <v>37</v>
      </c>
      <c r="L30" s="6">
        <f>IFERROR(K30/J30*100,0)</f>
        <v>0</v>
      </c>
      <c r="M30" s="3">
        <v>93</v>
      </c>
      <c r="N30" s="3" t="s">
        <v>235</v>
      </c>
      <c r="O30" s="3" t="s">
        <v>228</v>
      </c>
      <c r="P30" s="3" t="s">
        <v>9</v>
      </c>
    </row>
    <row r="31" spans="1:16">
      <c r="A31" s="3">
        <v>28</v>
      </c>
      <c r="B31" s="3" t="s">
        <v>260</v>
      </c>
      <c r="C31" s="4">
        <v>46187</v>
      </c>
      <c r="D31" s="3" t="s">
        <v>73</v>
      </c>
      <c r="E31" s="5" t="s">
        <v>16</v>
      </c>
      <c r="F31" s="5" t="s">
        <v>230</v>
      </c>
      <c r="G31" s="3" t="s">
        <v>65</v>
      </c>
      <c r="H31" s="3" t="s">
        <v>22</v>
      </c>
      <c r="I31" s="3" t="s">
        <v>219</v>
      </c>
      <c r="J31" s="3">
        <v>10</v>
      </c>
      <c r="K31" s="3">
        <v>23</v>
      </c>
      <c r="L31" s="6">
        <f>IFERROR(K31/J31*100,0)</f>
        <v>0</v>
      </c>
      <c r="M31" s="3">
        <v>42</v>
      </c>
      <c r="N31" s="3" t="s">
        <v>220</v>
      </c>
      <c r="O31" s="3" t="s">
        <v>221</v>
      </c>
      <c r="P31" s="3" t="s">
        <v>9</v>
      </c>
    </row>
    <row r="32" spans="1:16">
      <c r="A32" s="3">
        <v>29</v>
      </c>
      <c r="B32" s="3" t="s">
        <v>261</v>
      </c>
      <c r="C32" s="4">
        <v>46200</v>
      </c>
      <c r="D32" s="3" t="s">
        <v>73</v>
      </c>
      <c r="E32" s="5" t="s">
        <v>38</v>
      </c>
      <c r="F32" s="5" t="s">
        <v>224</v>
      </c>
      <c r="G32" s="3" t="s">
        <v>58</v>
      </c>
      <c r="H32" s="3" t="s">
        <v>15</v>
      </c>
      <c r="I32" s="3" t="s">
        <v>224</v>
      </c>
      <c r="J32" s="3">
        <v>54</v>
      </c>
      <c r="K32" s="3">
        <v>37</v>
      </c>
      <c r="L32" s="6">
        <f>IFERROR(K32/J32*100,0)</f>
        <v>0</v>
      </c>
      <c r="M32" s="3">
        <v>22</v>
      </c>
      <c r="N32" s="3" t="s">
        <v>254</v>
      </c>
      <c r="O32" s="3" t="s">
        <v>228</v>
      </c>
      <c r="P32" s="3" t="s">
        <v>23</v>
      </c>
    </row>
    <row r="33" spans="1:16">
      <c r="A33" s="3">
        <v>30</v>
      </c>
      <c r="B33" s="3" t="s">
        <v>262</v>
      </c>
      <c r="C33" s="4">
        <v>46223</v>
      </c>
      <c r="D33" s="3" t="s">
        <v>76</v>
      </c>
      <c r="E33" s="5" t="s">
        <v>26</v>
      </c>
      <c r="F33" s="5" t="s">
        <v>233</v>
      </c>
      <c r="G33" s="3" t="s">
        <v>5</v>
      </c>
      <c r="H33" s="3" t="s">
        <v>62</v>
      </c>
      <c r="I33" s="3" t="s">
        <v>224</v>
      </c>
      <c r="J33" s="3">
        <v>32</v>
      </c>
      <c r="K33" s="3">
        <v>57</v>
      </c>
      <c r="L33" s="6">
        <f>IFERROR(K33/J33*100,0)</f>
        <v>0</v>
      </c>
      <c r="M33" s="3">
        <v>18</v>
      </c>
      <c r="N33" s="3" t="s">
        <v>220</v>
      </c>
      <c r="O33" s="3" t="s">
        <v>221</v>
      </c>
      <c r="P33" s="3" t="s">
        <v>9</v>
      </c>
    </row>
    <row r="34" spans="1:16">
      <c r="A34" s="3">
        <v>31</v>
      </c>
      <c r="B34" s="3" t="s">
        <v>263</v>
      </c>
      <c r="C34" s="4">
        <v>46206</v>
      </c>
      <c r="D34" s="3" t="s">
        <v>76</v>
      </c>
      <c r="E34" s="5" t="s">
        <v>12</v>
      </c>
      <c r="F34" s="5" t="s">
        <v>223</v>
      </c>
      <c r="G34" s="3" t="s">
        <v>27</v>
      </c>
      <c r="H34" s="3" t="s">
        <v>15</v>
      </c>
      <c r="I34" s="3" t="s">
        <v>227</v>
      </c>
      <c r="J34" s="3">
        <v>27</v>
      </c>
      <c r="K34" s="3">
        <v>45</v>
      </c>
      <c r="L34" s="6">
        <f>IFERROR(K34/J34*100,0)</f>
        <v>0</v>
      </c>
      <c r="M34" s="3">
        <v>43</v>
      </c>
      <c r="N34" s="3" t="s">
        <v>220</v>
      </c>
      <c r="O34" s="3" t="s">
        <v>228</v>
      </c>
      <c r="P34" s="3" t="s">
        <v>9</v>
      </c>
    </row>
    <row r="35" spans="1:16">
      <c r="A35" s="3">
        <v>32</v>
      </c>
      <c r="B35" s="3" t="s">
        <v>264</v>
      </c>
      <c r="C35" s="4">
        <v>46218</v>
      </c>
      <c r="D35" s="3" t="s">
        <v>76</v>
      </c>
      <c r="E35" s="5" t="s">
        <v>64</v>
      </c>
      <c r="F35" s="5" t="s">
        <v>223</v>
      </c>
      <c r="G35" s="3" t="s">
        <v>27</v>
      </c>
      <c r="H35" s="3" t="s">
        <v>7</v>
      </c>
      <c r="I35" s="3" t="s">
        <v>224</v>
      </c>
      <c r="J35" s="3">
        <v>19</v>
      </c>
      <c r="K35" s="3">
        <v>52</v>
      </c>
      <c r="L35" s="6">
        <f>IFERROR(K35/J35*100,0)</f>
        <v>0</v>
      </c>
      <c r="M35" s="3">
        <v>75</v>
      </c>
      <c r="N35" s="3" t="s">
        <v>220</v>
      </c>
      <c r="O35" s="3" t="s">
        <v>225</v>
      </c>
      <c r="P35" s="3" t="s">
        <v>23</v>
      </c>
    </row>
    <row r="36" spans="1:16">
      <c r="A36" s="3">
        <v>33</v>
      </c>
      <c r="B36" s="3" t="s">
        <v>265</v>
      </c>
      <c r="C36" s="4">
        <v>46259</v>
      </c>
      <c r="D36" s="3" t="s">
        <v>86</v>
      </c>
      <c r="E36" s="5" t="s">
        <v>38</v>
      </c>
      <c r="F36" s="5" t="s">
        <v>230</v>
      </c>
      <c r="G36" s="3" t="s">
        <v>46</v>
      </c>
      <c r="H36" s="3" t="s">
        <v>36</v>
      </c>
      <c r="I36" s="3" t="s">
        <v>224</v>
      </c>
      <c r="J36" s="3">
        <v>57</v>
      </c>
      <c r="K36" s="3">
        <v>49</v>
      </c>
      <c r="L36" s="6">
        <f>IFERROR(K36/J36*100,0)</f>
        <v>0</v>
      </c>
      <c r="M36" s="3">
        <v>67</v>
      </c>
      <c r="N36" s="3" t="s">
        <v>220</v>
      </c>
      <c r="O36" s="3" t="s">
        <v>228</v>
      </c>
      <c r="P36" s="3" t="s">
        <v>9</v>
      </c>
    </row>
    <row r="37" spans="1:16">
      <c r="A37" s="3">
        <v>34</v>
      </c>
      <c r="B37" s="3" t="s">
        <v>266</v>
      </c>
      <c r="C37" s="4">
        <v>46254</v>
      </c>
      <c r="D37" s="3" t="s">
        <v>86</v>
      </c>
      <c r="E37" s="5" t="s">
        <v>54</v>
      </c>
      <c r="F37" s="5" t="s">
        <v>233</v>
      </c>
      <c r="G37" s="3" t="s">
        <v>50</v>
      </c>
      <c r="H37" s="3" t="s">
        <v>78</v>
      </c>
      <c r="I37" s="3" t="s">
        <v>240</v>
      </c>
      <c r="J37" s="3">
        <v>33</v>
      </c>
      <c r="K37" s="3">
        <v>11</v>
      </c>
      <c r="L37" s="6">
        <f>IFERROR(K37/J37*100,0)</f>
        <v>0</v>
      </c>
      <c r="M37" s="3">
        <v>84</v>
      </c>
      <c r="N37" s="3" t="s">
        <v>220</v>
      </c>
      <c r="O37" s="3" t="s">
        <v>221</v>
      </c>
      <c r="P37" s="3" t="s">
        <v>9</v>
      </c>
    </row>
    <row r="38" spans="1:16">
      <c r="A38" s="3">
        <v>35</v>
      </c>
      <c r="B38" s="3" t="s">
        <v>267</v>
      </c>
      <c r="C38" s="4">
        <v>46235</v>
      </c>
      <c r="D38" s="3" t="s">
        <v>86</v>
      </c>
      <c r="E38" s="5" t="s">
        <v>16</v>
      </c>
      <c r="F38" s="5" t="s">
        <v>224</v>
      </c>
      <c r="G38" s="3" t="s">
        <v>5</v>
      </c>
      <c r="H38" s="3" t="s">
        <v>7</v>
      </c>
      <c r="I38" s="3" t="s">
        <v>227</v>
      </c>
      <c r="J38" s="3">
        <v>55</v>
      </c>
      <c r="K38" s="3">
        <v>28</v>
      </c>
      <c r="L38" s="6">
        <f>IFERROR(K38/J38*100,0)</f>
        <v>0</v>
      </c>
      <c r="M38" s="3">
        <v>84</v>
      </c>
      <c r="N38" s="3" t="s">
        <v>238</v>
      </c>
      <c r="O38" s="3" t="s">
        <v>221</v>
      </c>
      <c r="P38" s="3" t="s">
        <v>9</v>
      </c>
    </row>
    <row r="39" spans="1:16">
      <c r="A39" s="3">
        <v>36</v>
      </c>
      <c r="B39" s="3" t="s">
        <v>268</v>
      </c>
      <c r="C39" s="4">
        <v>46249</v>
      </c>
      <c r="D39" s="3" t="s">
        <v>86</v>
      </c>
      <c r="E39" s="5" t="s">
        <v>30</v>
      </c>
      <c r="F39" s="5" t="s">
        <v>237</v>
      </c>
      <c r="G39" s="3" t="s">
        <v>39</v>
      </c>
      <c r="H39" s="3" t="s">
        <v>36</v>
      </c>
      <c r="I39" s="3" t="s">
        <v>227</v>
      </c>
      <c r="J39" s="3">
        <v>60</v>
      </c>
      <c r="K39" s="3">
        <v>18</v>
      </c>
      <c r="L39" s="6">
        <f>IFERROR(K39/J39*100,0)</f>
        <v>0</v>
      </c>
      <c r="M39" s="3">
        <v>70</v>
      </c>
      <c r="N39" s="3" t="s">
        <v>220</v>
      </c>
      <c r="O39" s="3" t="s">
        <v>225</v>
      </c>
      <c r="P39" s="3" t="s">
        <v>23</v>
      </c>
    </row>
    <row r="40" spans="1:16">
      <c r="A40" s="3">
        <v>37</v>
      </c>
      <c r="B40" s="3" t="s">
        <v>269</v>
      </c>
      <c r="C40" s="4">
        <v>46283</v>
      </c>
      <c r="D40" s="3" t="s">
        <v>102</v>
      </c>
      <c r="E40" s="5" t="s">
        <v>38</v>
      </c>
      <c r="F40" s="5" t="s">
        <v>230</v>
      </c>
      <c r="G40" s="3" t="s">
        <v>50</v>
      </c>
      <c r="H40" s="3" t="s">
        <v>41</v>
      </c>
      <c r="I40" s="3" t="s">
        <v>224</v>
      </c>
      <c r="J40" s="3">
        <v>25</v>
      </c>
      <c r="K40" s="3">
        <v>21</v>
      </c>
      <c r="L40" s="6">
        <f>IFERROR(K40/J40*100,0)</f>
        <v>0</v>
      </c>
      <c r="M40" s="3">
        <v>80</v>
      </c>
      <c r="N40" s="3" t="s">
        <v>220</v>
      </c>
      <c r="O40" s="3" t="s">
        <v>225</v>
      </c>
      <c r="P40" s="3" t="s">
        <v>9</v>
      </c>
    </row>
    <row r="41" spans="1:16">
      <c r="A41" s="3">
        <v>38</v>
      </c>
      <c r="B41" s="3" t="s">
        <v>270</v>
      </c>
      <c r="C41" s="4">
        <v>46285</v>
      </c>
      <c r="D41" s="3" t="s">
        <v>102</v>
      </c>
      <c r="E41" s="5" t="s">
        <v>4</v>
      </c>
      <c r="F41" s="5" t="s">
        <v>230</v>
      </c>
      <c r="G41" s="3" t="s">
        <v>39</v>
      </c>
      <c r="H41" s="3" t="s">
        <v>66</v>
      </c>
      <c r="I41" s="3" t="s">
        <v>219</v>
      </c>
      <c r="J41" s="3">
        <v>11</v>
      </c>
      <c r="K41" s="3">
        <v>16</v>
      </c>
      <c r="L41" s="6">
        <f>IFERROR(K41/J41*100,0)</f>
        <v>0</v>
      </c>
      <c r="M41" s="3">
        <v>39</v>
      </c>
      <c r="N41" s="3" t="s">
        <v>220</v>
      </c>
      <c r="O41" s="3" t="s">
        <v>221</v>
      </c>
      <c r="P41" s="3" t="s">
        <v>23</v>
      </c>
    </row>
    <row r="42" spans="1:16">
      <c r="A42" s="3">
        <v>39</v>
      </c>
      <c r="B42" s="3" t="s">
        <v>271</v>
      </c>
      <c r="C42" s="4">
        <v>46277</v>
      </c>
      <c r="D42" s="3" t="s">
        <v>102</v>
      </c>
      <c r="E42" s="5" t="s">
        <v>38</v>
      </c>
      <c r="F42" s="5" t="s">
        <v>230</v>
      </c>
      <c r="G42" s="3" t="s">
        <v>89</v>
      </c>
      <c r="H42" s="3" t="s">
        <v>28</v>
      </c>
      <c r="I42" s="3" t="s">
        <v>227</v>
      </c>
      <c r="J42" s="3">
        <v>29</v>
      </c>
      <c r="K42" s="3">
        <v>19</v>
      </c>
      <c r="L42" s="6">
        <f>IFERROR(K42/J42*100,0)</f>
        <v>0</v>
      </c>
      <c r="M42" s="3">
        <v>49</v>
      </c>
      <c r="N42" s="3" t="s">
        <v>220</v>
      </c>
      <c r="O42" s="3" t="s">
        <v>225</v>
      </c>
      <c r="P42" s="3" t="s">
        <v>9</v>
      </c>
    </row>
    <row r="43" spans="1:16">
      <c r="A43" s="3">
        <v>40</v>
      </c>
      <c r="B43" s="3" t="s">
        <v>272</v>
      </c>
      <c r="C43" s="4">
        <v>46317</v>
      </c>
      <c r="D43" s="3" t="s">
        <v>106</v>
      </c>
      <c r="E43" s="5" t="s">
        <v>64</v>
      </c>
      <c r="F43" s="5" t="s">
        <v>223</v>
      </c>
      <c r="G43" s="3" t="s">
        <v>58</v>
      </c>
      <c r="H43" s="3" t="s">
        <v>66</v>
      </c>
      <c r="I43" s="3" t="s">
        <v>219</v>
      </c>
      <c r="J43" s="3">
        <v>57</v>
      </c>
      <c r="K43" s="3">
        <v>44</v>
      </c>
      <c r="L43" s="6">
        <f>IFERROR(K43/J43*100,0)</f>
        <v>0</v>
      </c>
      <c r="M43" s="3">
        <v>16</v>
      </c>
      <c r="N43" s="3" t="s">
        <v>238</v>
      </c>
      <c r="O43" s="3" t="s">
        <v>228</v>
      </c>
      <c r="P43" s="3" t="s">
        <v>9</v>
      </c>
    </row>
    <row r="44" spans="1:16">
      <c r="A44" s="3">
        <v>41</v>
      </c>
      <c r="B44" s="3" t="s">
        <v>273</v>
      </c>
      <c r="C44" s="4">
        <v>46345</v>
      </c>
      <c r="D44" s="3" t="s">
        <v>111</v>
      </c>
      <c r="E44" s="5" t="s">
        <v>20</v>
      </c>
      <c r="F44" s="5" t="s">
        <v>230</v>
      </c>
      <c r="G44" s="3" t="s">
        <v>5</v>
      </c>
      <c r="H44" s="3" t="s">
        <v>70</v>
      </c>
      <c r="I44" s="3" t="s">
        <v>227</v>
      </c>
      <c r="J44" s="3">
        <v>51</v>
      </c>
      <c r="K44" s="3">
        <v>26</v>
      </c>
      <c r="L44" s="6">
        <f>IFERROR(K44/J44*100,0)</f>
        <v>0</v>
      </c>
      <c r="M44" s="3">
        <v>45</v>
      </c>
      <c r="N44" s="3" t="s">
        <v>220</v>
      </c>
      <c r="O44" s="3" t="s">
        <v>221</v>
      </c>
      <c r="P44" s="3" t="s">
        <v>23</v>
      </c>
    </row>
    <row r="45" spans="1:16">
      <c r="A45" s="3">
        <v>42</v>
      </c>
      <c r="B45" s="3" t="s">
        <v>274</v>
      </c>
      <c r="C45" s="4">
        <v>46353</v>
      </c>
      <c r="D45" s="3" t="s">
        <v>111</v>
      </c>
      <c r="E45" s="5" t="s">
        <v>20</v>
      </c>
      <c r="F45" s="5" t="s">
        <v>230</v>
      </c>
      <c r="G45" s="3" t="s">
        <v>58</v>
      </c>
      <c r="H45" s="3" t="s">
        <v>22</v>
      </c>
      <c r="I45" s="3" t="s">
        <v>219</v>
      </c>
      <c r="J45" s="3">
        <v>58</v>
      </c>
      <c r="K45" s="3">
        <v>34</v>
      </c>
      <c r="L45" s="6">
        <f>IFERROR(K45/J45*100,0)</f>
        <v>0</v>
      </c>
      <c r="M45" s="3">
        <v>82</v>
      </c>
      <c r="N45" s="3" t="s">
        <v>220</v>
      </c>
      <c r="O45" s="3" t="s">
        <v>228</v>
      </c>
      <c r="P45" s="3" t="s">
        <v>23</v>
      </c>
    </row>
    <row r="46" spans="1:16">
      <c r="A46" s="3">
        <v>43</v>
      </c>
      <c r="B46" s="3" t="s">
        <v>275</v>
      </c>
      <c r="C46" s="4">
        <v>46337</v>
      </c>
      <c r="D46" s="3" t="s">
        <v>111</v>
      </c>
      <c r="E46" s="5" t="s">
        <v>64</v>
      </c>
      <c r="F46" s="5" t="s">
        <v>224</v>
      </c>
      <c r="G46" s="3" t="s">
        <v>50</v>
      </c>
      <c r="H46" s="3" t="s">
        <v>93</v>
      </c>
      <c r="I46" s="3" t="s">
        <v>224</v>
      </c>
      <c r="J46" s="3">
        <v>48</v>
      </c>
      <c r="K46" s="3">
        <v>34</v>
      </c>
      <c r="L46" s="6">
        <f>IFERROR(K46/J46*100,0)</f>
        <v>0</v>
      </c>
      <c r="M46" s="3">
        <v>101</v>
      </c>
      <c r="N46" s="3" t="s">
        <v>220</v>
      </c>
      <c r="O46" s="3" t="s">
        <v>228</v>
      </c>
      <c r="P46" s="3" t="s">
        <v>23</v>
      </c>
    </row>
    <row r="47" spans="1:16">
      <c r="A47" s="3">
        <v>44</v>
      </c>
      <c r="B47" s="3" t="s">
        <v>276</v>
      </c>
      <c r="C47" s="4">
        <v>46341</v>
      </c>
      <c r="D47" s="3" t="s">
        <v>111</v>
      </c>
      <c r="E47" s="5" t="s">
        <v>12</v>
      </c>
      <c r="F47" s="5" t="s">
        <v>223</v>
      </c>
      <c r="G47" s="3" t="s">
        <v>58</v>
      </c>
      <c r="H47" s="3" t="s">
        <v>78</v>
      </c>
      <c r="I47" s="3" t="s">
        <v>219</v>
      </c>
      <c r="J47" s="3">
        <v>10</v>
      </c>
      <c r="K47" s="3">
        <v>58</v>
      </c>
      <c r="L47" s="6">
        <f>IFERROR(K47/J47*100,0)</f>
        <v>0</v>
      </c>
      <c r="M47" s="3">
        <v>60</v>
      </c>
      <c r="N47" s="3" t="s">
        <v>220</v>
      </c>
      <c r="O47" s="3" t="s">
        <v>228</v>
      </c>
      <c r="P47" s="3" t="s">
        <v>23</v>
      </c>
    </row>
    <row r="48" spans="1:16">
      <c r="A48" s="3">
        <v>45</v>
      </c>
      <c r="B48" s="3" t="s">
        <v>277</v>
      </c>
      <c r="C48" s="4">
        <v>46353</v>
      </c>
      <c r="D48" s="3" t="s">
        <v>111</v>
      </c>
      <c r="E48" s="5" t="s">
        <v>45</v>
      </c>
      <c r="F48" s="5" t="s">
        <v>230</v>
      </c>
      <c r="G48" s="3" t="s">
        <v>5</v>
      </c>
      <c r="H48" s="3" t="s">
        <v>28</v>
      </c>
      <c r="I48" s="3" t="s">
        <v>224</v>
      </c>
      <c r="J48" s="3">
        <v>53</v>
      </c>
      <c r="K48" s="3">
        <v>31</v>
      </c>
      <c r="L48" s="6">
        <f>IFERROR(K48/J48*100,0)</f>
        <v>0</v>
      </c>
      <c r="M48" s="3">
        <v>84</v>
      </c>
      <c r="N48" s="3" t="s">
        <v>254</v>
      </c>
      <c r="O48" s="3" t="s">
        <v>221</v>
      </c>
      <c r="P48" s="3" t="s">
        <v>9</v>
      </c>
    </row>
    <row r="49" spans="1:16">
      <c r="A49" s="3">
        <v>46</v>
      </c>
      <c r="B49" s="3" t="s">
        <v>278</v>
      </c>
      <c r="C49" s="4">
        <v>46371</v>
      </c>
      <c r="D49" s="3" t="s">
        <v>122</v>
      </c>
      <c r="E49" s="5" t="s">
        <v>45</v>
      </c>
      <c r="F49" s="5" t="s">
        <v>233</v>
      </c>
      <c r="G49" s="3" t="s">
        <v>58</v>
      </c>
      <c r="H49" s="3" t="s">
        <v>15</v>
      </c>
      <c r="I49" s="3" t="s">
        <v>224</v>
      </c>
      <c r="J49" s="3">
        <v>58</v>
      </c>
      <c r="K49" s="3">
        <v>20</v>
      </c>
      <c r="L49" s="6">
        <f>IFERROR(K49/J49*100,0)</f>
        <v>0</v>
      </c>
      <c r="M49" s="3">
        <v>92</v>
      </c>
      <c r="N49" s="3" t="s">
        <v>238</v>
      </c>
      <c r="O49" s="3" t="s">
        <v>225</v>
      </c>
      <c r="P49" s="3" t="s">
        <v>23</v>
      </c>
    </row>
    <row r="50" spans="1:16">
      <c r="A50" s="3">
        <v>47</v>
      </c>
      <c r="B50" s="3" t="s">
        <v>279</v>
      </c>
      <c r="C50" s="4">
        <v>46358</v>
      </c>
      <c r="D50" s="3" t="s">
        <v>122</v>
      </c>
      <c r="E50" s="5" t="s">
        <v>20</v>
      </c>
      <c r="F50" s="5" t="s">
        <v>230</v>
      </c>
      <c r="G50" s="3" t="s">
        <v>58</v>
      </c>
      <c r="H50" s="3" t="s">
        <v>62</v>
      </c>
      <c r="I50" s="3" t="s">
        <v>219</v>
      </c>
      <c r="J50" s="3">
        <v>36</v>
      </c>
      <c r="K50" s="3">
        <v>24</v>
      </c>
      <c r="L50" s="6">
        <f>IFERROR(K50/J50*100,0)</f>
        <v>0</v>
      </c>
      <c r="M50" s="3">
        <v>103</v>
      </c>
      <c r="N50" s="3" t="s">
        <v>254</v>
      </c>
      <c r="O50" s="3" t="s">
        <v>225</v>
      </c>
      <c r="P50" s="3" t="s">
        <v>23</v>
      </c>
    </row>
    <row r="51" spans="1:16">
      <c r="A51" s="3">
        <v>48</v>
      </c>
      <c r="B51" s="3" t="s">
        <v>280</v>
      </c>
      <c r="C51" s="4">
        <v>46383</v>
      </c>
      <c r="D51" s="3" t="s">
        <v>122</v>
      </c>
      <c r="E51" s="5" t="s">
        <v>20</v>
      </c>
      <c r="F51" s="5" t="s">
        <v>233</v>
      </c>
      <c r="G51" s="3" t="s">
        <v>58</v>
      </c>
      <c r="H51" s="3" t="s">
        <v>62</v>
      </c>
      <c r="I51" s="3" t="s">
        <v>224</v>
      </c>
      <c r="J51" s="3">
        <v>26</v>
      </c>
      <c r="K51" s="3">
        <v>12</v>
      </c>
      <c r="L51" s="6">
        <f>IFERROR(K51/J51*100,0)</f>
        <v>0</v>
      </c>
      <c r="M51" s="3">
        <v>86</v>
      </c>
      <c r="N51" s="3" t="s">
        <v>254</v>
      </c>
      <c r="O51" s="3" t="s">
        <v>225</v>
      </c>
      <c r="P51" s="3" t="s">
        <v>23</v>
      </c>
    </row>
  </sheetData>
  <mergeCells count="2">
    <mergeCell ref="A1:P1"/>
    <mergeCell ref="A2:P2"/>
  </mergeCells>
  <dataValidations count="2">
    <dataValidation type="list" allowBlank="1" showInputMessage="1" showErrorMessage="1" sqref="G4:G5003">
      <formula1>L_Dept</formula1>
    </dataValidation>
    <dataValidation type="list" allowBlank="1" showInputMessage="1" showErrorMessage="1" sqref="N4:N5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18.7109375" customWidth="1"/>
    <col min="6" max="6" width="13.7109375" customWidth="1"/>
    <col min="7" max="7" width="12.7109375" customWidth="1"/>
    <col min="8" max="8" width="10.7109375" customWidth="1"/>
    <col min="9" max="9" width="13.7109375" customWidth="1"/>
    <col min="10" max="10" width="20.7109375" customWidth="1"/>
    <col min="11" max="11" width="10.7109375" customWidth="1"/>
    <col min="12" max="12" width="12.7109375" customWidth="1"/>
    <col min="13" max="13" width="9.7109375" customWidth="1"/>
    <col min="14" max="14" width="14.7109375" customWidth="1"/>
    <col min="15" max="15" width="10.7109375" customWidth="1"/>
  </cols>
  <sheetData>
    <row r="1" spans="1:17" ht="22" customHeight="1">
      <c r="A1" s="1" t="s">
        <v>290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350</v>
      </c>
      <c r="C3" t="s">
        <v>126</v>
      </c>
      <c r="D3" t="s">
        <v>127</v>
      </c>
      <c r="E3" t="s">
        <v>351</v>
      </c>
      <c r="F3" t="s">
        <v>352</v>
      </c>
      <c r="G3" t="s">
        <v>129</v>
      </c>
      <c r="H3" t="s">
        <v>130</v>
      </c>
      <c r="I3" t="s">
        <v>353</v>
      </c>
      <c r="J3" t="s">
        <v>354</v>
      </c>
      <c r="K3" t="s">
        <v>355</v>
      </c>
      <c r="L3" t="s">
        <v>210</v>
      </c>
      <c r="M3" t="s">
        <v>287</v>
      </c>
      <c r="N3" t="s">
        <v>356</v>
      </c>
      <c r="O3" t="s">
        <v>357</v>
      </c>
    </row>
    <row r="4" spans="1:17">
      <c r="A4" s="3">
        <v>1</v>
      </c>
      <c r="B4" s="3" t="s">
        <v>291</v>
      </c>
      <c r="C4" s="4">
        <v>46025</v>
      </c>
      <c r="D4" s="3" t="s">
        <v>3</v>
      </c>
      <c r="E4" s="5" t="s">
        <v>292</v>
      </c>
      <c r="F4" s="5" t="s">
        <v>38</v>
      </c>
      <c r="G4" s="3" t="s">
        <v>27</v>
      </c>
      <c r="H4" s="3" t="s">
        <v>87</v>
      </c>
      <c r="I4" s="3" t="s">
        <v>15</v>
      </c>
      <c r="J4" s="3" t="s">
        <v>41</v>
      </c>
      <c r="K4" s="3" t="s">
        <v>55</v>
      </c>
      <c r="L4" s="3" t="s">
        <v>159</v>
      </c>
      <c r="M4" s="3" t="s">
        <v>293</v>
      </c>
      <c r="N4" s="3" t="s">
        <v>294</v>
      </c>
      <c r="O4" s="4">
        <v>46031</v>
      </c>
    </row>
    <row r="5" spans="1:17">
      <c r="A5" s="3">
        <v>2</v>
      </c>
      <c r="B5" s="3" t="s">
        <v>295</v>
      </c>
      <c r="C5" s="4">
        <v>46049</v>
      </c>
      <c r="D5" s="3" t="s">
        <v>3</v>
      </c>
      <c r="E5" s="5" t="s">
        <v>296</v>
      </c>
      <c r="F5" s="5" t="s">
        <v>64</v>
      </c>
      <c r="G5" s="3" t="s">
        <v>39</v>
      </c>
      <c r="H5" s="3" t="s">
        <v>77</v>
      </c>
      <c r="I5" s="3" t="s">
        <v>62</v>
      </c>
      <c r="J5" s="3" t="s">
        <v>78</v>
      </c>
      <c r="K5" s="3" t="s">
        <v>33</v>
      </c>
      <c r="L5" s="3" t="s">
        <v>142</v>
      </c>
      <c r="M5" s="3" t="s">
        <v>297</v>
      </c>
      <c r="N5" s="3" t="s">
        <v>298</v>
      </c>
      <c r="O5" s="4">
        <v>46091</v>
      </c>
    </row>
    <row r="6" spans="1:17">
      <c r="A6" s="3">
        <v>3</v>
      </c>
      <c r="B6" s="3" t="s">
        <v>299</v>
      </c>
      <c r="C6" s="4">
        <v>46036</v>
      </c>
      <c r="D6" s="3" t="s">
        <v>3</v>
      </c>
      <c r="E6" s="5" t="s">
        <v>300</v>
      </c>
      <c r="F6" s="5" t="s">
        <v>26</v>
      </c>
      <c r="G6" s="3" t="s">
        <v>50</v>
      </c>
      <c r="H6" s="3" t="s">
        <v>31</v>
      </c>
      <c r="I6" s="3" t="s">
        <v>70</v>
      </c>
      <c r="J6" s="3" t="s">
        <v>78</v>
      </c>
      <c r="K6" s="3" t="s">
        <v>16</v>
      </c>
      <c r="L6" s="3" t="s">
        <v>142</v>
      </c>
      <c r="M6" s="3" t="s">
        <v>297</v>
      </c>
      <c r="N6" s="3" t="s">
        <v>298</v>
      </c>
      <c r="O6" s="4">
        <v>46061</v>
      </c>
    </row>
    <row r="7" spans="1:17">
      <c r="A7" s="3">
        <v>4</v>
      </c>
      <c r="B7" s="3" t="s">
        <v>301</v>
      </c>
      <c r="C7" s="4">
        <v>46039</v>
      </c>
      <c r="D7" s="3" t="s">
        <v>3</v>
      </c>
      <c r="E7" s="5" t="s">
        <v>302</v>
      </c>
      <c r="F7" s="5" t="s">
        <v>49</v>
      </c>
      <c r="G7" s="3" t="s">
        <v>39</v>
      </c>
      <c r="H7" s="3" t="s">
        <v>21</v>
      </c>
      <c r="I7" s="3" t="s">
        <v>66</v>
      </c>
      <c r="J7" s="3" t="s">
        <v>7</v>
      </c>
      <c r="K7" s="3" t="s">
        <v>55</v>
      </c>
      <c r="L7" s="3" t="s">
        <v>142</v>
      </c>
      <c r="M7" s="3" t="s">
        <v>293</v>
      </c>
      <c r="N7" s="3" t="s">
        <v>303</v>
      </c>
      <c r="O7" s="4">
        <v>46058</v>
      </c>
    </row>
    <row r="8" spans="1:17">
      <c r="A8" s="3">
        <v>5</v>
      </c>
      <c r="B8" s="3" t="s">
        <v>304</v>
      </c>
      <c r="C8" s="4">
        <v>46032</v>
      </c>
      <c r="D8" s="3" t="s">
        <v>3</v>
      </c>
      <c r="E8" s="5" t="s">
        <v>302</v>
      </c>
      <c r="F8" s="5" t="s">
        <v>45</v>
      </c>
      <c r="G8" s="3" t="s">
        <v>92</v>
      </c>
      <c r="H8" s="3" t="s">
        <v>51</v>
      </c>
      <c r="I8" s="3" t="s">
        <v>62</v>
      </c>
      <c r="J8" s="3" t="s">
        <v>7</v>
      </c>
      <c r="K8" s="3" t="s">
        <v>33</v>
      </c>
      <c r="L8" s="3" t="s">
        <v>159</v>
      </c>
      <c r="M8" s="3" t="s">
        <v>254</v>
      </c>
      <c r="N8" s="3" t="s">
        <v>298</v>
      </c>
      <c r="O8" s="4">
        <v>46058</v>
      </c>
    </row>
    <row r="9" spans="1:17">
      <c r="A9" s="3">
        <v>6</v>
      </c>
      <c r="B9" s="3" t="s">
        <v>305</v>
      </c>
      <c r="C9" s="4">
        <v>46034</v>
      </c>
      <c r="D9" s="3" t="s">
        <v>3</v>
      </c>
      <c r="E9" s="5" t="s">
        <v>292</v>
      </c>
      <c r="F9" s="5" t="s">
        <v>57</v>
      </c>
      <c r="G9" s="3" t="s">
        <v>92</v>
      </c>
      <c r="H9" s="3" t="s">
        <v>6</v>
      </c>
      <c r="I9" s="3" t="s">
        <v>66</v>
      </c>
      <c r="J9" s="3" t="s">
        <v>93</v>
      </c>
      <c r="K9" s="3" t="s">
        <v>55</v>
      </c>
      <c r="L9" s="3" t="s">
        <v>159</v>
      </c>
      <c r="M9" s="3" t="s">
        <v>293</v>
      </c>
      <c r="N9" s="3" t="s">
        <v>303</v>
      </c>
      <c r="O9" s="4">
        <v>46052</v>
      </c>
    </row>
    <row r="10" spans="1:17">
      <c r="A10" s="3">
        <v>7</v>
      </c>
      <c r="B10" s="3" t="s">
        <v>306</v>
      </c>
      <c r="C10" s="4">
        <v>46041</v>
      </c>
      <c r="D10" s="3" t="s">
        <v>3</v>
      </c>
      <c r="E10" s="5" t="s">
        <v>292</v>
      </c>
      <c r="F10" s="5" t="s">
        <v>12</v>
      </c>
      <c r="G10" s="3" t="s">
        <v>50</v>
      </c>
      <c r="H10" s="3" t="s">
        <v>40</v>
      </c>
      <c r="I10" s="3" t="s">
        <v>36</v>
      </c>
      <c r="J10" s="3" t="s">
        <v>32</v>
      </c>
      <c r="K10" s="3" t="s">
        <v>47</v>
      </c>
      <c r="L10" s="3" t="s">
        <v>159</v>
      </c>
      <c r="M10" s="3" t="s">
        <v>293</v>
      </c>
      <c r="N10" s="3" t="s">
        <v>303</v>
      </c>
      <c r="O10" s="4">
        <v>46056</v>
      </c>
    </row>
    <row r="11" spans="1:17">
      <c r="A11" s="3">
        <v>8</v>
      </c>
      <c r="B11" s="3" t="s">
        <v>307</v>
      </c>
      <c r="C11" s="4">
        <v>46038</v>
      </c>
      <c r="D11" s="3" t="s">
        <v>3</v>
      </c>
      <c r="E11" s="5" t="s">
        <v>300</v>
      </c>
      <c r="F11" s="5" t="s">
        <v>91</v>
      </c>
      <c r="G11" s="3" t="s">
        <v>13</v>
      </c>
      <c r="H11" s="3" t="s">
        <v>21</v>
      </c>
      <c r="I11" s="3" t="s">
        <v>104</v>
      </c>
      <c r="J11" s="3" t="s">
        <v>93</v>
      </c>
      <c r="K11" s="3" t="s">
        <v>16</v>
      </c>
      <c r="L11" s="3" t="s">
        <v>159</v>
      </c>
      <c r="M11" s="3" t="s">
        <v>293</v>
      </c>
      <c r="N11" s="3" t="s">
        <v>303</v>
      </c>
      <c r="O11" s="4">
        <v>46083</v>
      </c>
    </row>
    <row r="12" spans="1:17">
      <c r="A12" s="3">
        <v>9</v>
      </c>
      <c r="B12" s="3" t="s">
        <v>308</v>
      </c>
      <c r="C12" s="4">
        <v>46025</v>
      </c>
      <c r="D12" s="3" t="s">
        <v>3</v>
      </c>
      <c r="E12" s="5" t="s">
        <v>300</v>
      </c>
      <c r="F12" s="5" t="s">
        <v>61</v>
      </c>
      <c r="G12" s="3" t="s">
        <v>50</v>
      </c>
      <c r="H12" s="3" t="s">
        <v>6</v>
      </c>
      <c r="I12" s="3" t="s">
        <v>36</v>
      </c>
      <c r="J12" s="3" t="s">
        <v>36</v>
      </c>
      <c r="K12" s="3" t="s">
        <v>47</v>
      </c>
      <c r="L12" s="3" t="s">
        <v>154</v>
      </c>
      <c r="M12" s="3" t="s">
        <v>293</v>
      </c>
      <c r="N12" s="3" t="s">
        <v>294</v>
      </c>
      <c r="O12" s="4">
        <v>46054</v>
      </c>
    </row>
    <row r="13" spans="1:17">
      <c r="A13" s="3">
        <v>10</v>
      </c>
      <c r="B13" s="3" t="s">
        <v>309</v>
      </c>
      <c r="C13" s="4">
        <v>46081</v>
      </c>
      <c r="D13" s="3" t="s">
        <v>19</v>
      </c>
      <c r="E13" s="5" t="s">
        <v>302</v>
      </c>
      <c r="F13" s="5" t="s">
        <v>49</v>
      </c>
      <c r="G13" s="3" t="s">
        <v>89</v>
      </c>
      <c r="H13" s="3" t="s">
        <v>77</v>
      </c>
      <c r="I13" s="3" t="s">
        <v>28</v>
      </c>
      <c r="J13" s="3" t="s">
        <v>66</v>
      </c>
      <c r="K13" s="3" t="s">
        <v>47</v>
      </c>
      <c r="L13" s="3" t="s">
        <v>154</v>
      </c>
      <c r="M13" s="3" t="s">
        <v>293</v>
      </c>
      <c r="N13" s="3" t="s">
        <v>310</v>
      </c>
      <c r="O13" s="4">
        <v>46125</v>
      </c>
    </row>
    <row r="14" spans="1:17">
      <c r="A14" s="3">
        <v>11</v>
      </c>
      <c r="B14" s="3" t="s">
        <v>311</v>
      </c>
      <c r="C14" s="4">
        <v>46063</v>
      </c>
      <c r="D14" s="3" t="s">
        <v>19</v>
      </c>
      <c r="E14" s="5" t="s">
        <v>300</v>
      </c>
      <c r="F14" s="5" t="s">
        <v>12</v>
      </c>
      <c r="G14" s="3" t="s">
        <v>50</v>
      </c>
      <c r="H14" s="3" t="s">
        <v>77</v>
      </c>
      <c r="I14" s="3" t="s">
        <v>70</v>
      </c>
      <c r="J14" s="3" t="s">
        <v>7</v>
      </c>
      <c r="K14" s="3" t="s">
        <v>47</v>
      </c>
      <c r="L14" s="3" t="s">
        <v>162</v>
      </c>
      <c r="M14" s="3" t="s">
        <v>293</v>
      </c>
      <c r="N14" s="3" t="s">
        <v>294</v>
      </c>
      <c r="O14" s="4">
        <v>46071</v>
      </c>
    </row>
    <row r="15" spans="1:17">
      <c r="A15" s="3">
        <v>12</v>
      </c>
      <c r="B15" s="3" t="s">
        <v>312</v>
      </c>
      <c r="C15" s="4">
        <v>46064</v>
      </c>
      <c r="D15" s="3" t="s">
        <v>19</v>
      </c>
      <c r="E15" s="5" t="s">
        <v>300</v>
      </c>
      <c r="F15" s="5" t="s">
        <v>26</v>
      </c>
      <c r="G15" s="3" t="s">
        <v>5</v>
      </c>
      <c r="H15" s="3" t="s">
        <v>14</v>
      </c>
      <c r="I15" s="3" t="s">
        <v>104</v>
      </c>
      <c r="J15" s="3" t="s">
        <v>7</v>
      </c>
      <c r="K15" s="3" t="s">
        <v>33</v>
      </c>
      <c r="L15" s="3" t="s">
        <v>154</v>
      </c>
      <c r="M15" s="3" t="s">
        <v>293</v>
      </c>
      <c r="N15" s="3" t="s">
        <v>313</v>
      </c>
      <c r="O15" s="4">
        <v>46071</v>
      </c>
    </row>
    <row r="16" spans="1:17">
      <c r="A16" s="3">
        <v>13</v>
      </c>
      <c r="B16" s="3" t="s">
        <v>314</v>
      </c>
      <c r="C16" s="4">
        <v>46066</v>
      </c>
      <c r="D16" s="3" t="s">
        <v>19</v>
      </c>
      <c r="E16" s="5" t="s">
        <v>292</v>
      </c>
      <c r="F16" s="5" t="s">
        <v>4</v>
      </c>
      <c r="G16" s="3" t="s">
        <v>92</v>
      </c>
      <c r="H16" s="3" t="s">
        <v>21</v>
      </c>
      <c r="I16" s="3" t="s">
        <v>7</v>
      </c>
      <c r="J16" s="3" t="s">
        <v>66</v>
      </c>
      <c r="K16" s="3" t="s">
        <v>47</v>
      </c>
      <c r="L16" s="3" t="s">
        <v>142</v>
      </c>
      <c r="M16" s="3" t="s">
        <v>293</v>
      </c>
      <c r="N16" s="3" t="s">
        <v>310</v>
      </c>
      <c r="O16" s="4">
        <v>46081</v>
      </c>
    </row>
    <row r="17" spans="1:15">
      <c r="A17" s="3">
        <v>14</v>
      </c>
      <c r="B17" s="3" t="s">
        <v>315</v>
      </c>
      <c r="C17" s="4">
        <v>46090</v>
      </c>
      <c r="D17" s="3" t="s">
        <v>44</v>
      </c>
      <c r="E17" s="5" t="s">
        <v>296</v>
      </c>
      <c r="F17" s="5" t="s">
        <v>91</v>
      </c>
      <c r="G17" s="3" t="s">
        <v>65</v>
      </c>
      <c r="H17" s="3" t="s">
        <v>95</v>
      </c>
      <c r="I17" s="3" t="s">
        <v>78</v>
      </c>
      <c r="J17" s="3" t="s">
        <v>70</v>
      </c>
      <c r="K17" s="3" t="s">
        <v>8</v>
      </c>
      <c r="L17" s="3" t="s">
        <v>142</v>
      </c>
      <c r="M17" s="3" t="s">
        <v>254</v>
      </c>
      <c r="N17" s="3" t="s">
        <v>294</v>
      </c>
      <c r="O17" s="4">
        <v>46130</v>
      </c>
    </row>
    <row r="18" spans="1:15">
      <c r="A18" s="3">
        <v>15</v>
      </c>
      <c r="B18" s="3" t="s">
        <v>316</v>
      </c>
      <c r="C18" s="4">
        <v>46094</v>
      </c>
      <c r="D18" s="3" t="s">
        <v>44</v>
      </c>
      <c r="E18" s="5" t="s">
        <v>302</v>
      </c>
      <c r="F18" s="5" t="s">
        <v>38</v>
      </c>
      <c r="G18" s="3" t="s">
        <v>58</v>
      </c>
      <c r="H18" s="3" t="s">
        <v>40</v>
      </c>
      <c r="I18" s="3" t="s">
        <v>32</v>
      </c>
      <c r="J18" s="3" t="s">
        <v>104</v>
      </c>
      <c r="K18" s="3" t="s">
        <v>55</v>
      </c>
      <c r="L18" s="3" t="s">
        <v>142</v>
      </c>
      <c r="M18" s="3" t="s">
        <v>238</v>
      </c>
      <c r="N18" s="3" t="s">
        <v>298</v>
      </c>
      <c r="O18" s="4">
        <v>46128</v>
      </c>
    </row>
    <row r="19" spans="1:15">
      <c r="A19" s="3">
        <v>16</v>
      </c>
      <c r="B19" s="3" t="s">
        <v>317</v>
      </c>
      <c r="C19" s="4">
        <v>46132</v>
      </c>
      <c r="D19" s="3" t="s">
        <v>53</v>
      </c>
      <c r="E19" s="5" t="s">
        <v>296</v>
      </c>
      <c r="F19" s="5" t="s">
        <v>57</v>
      </c>
      <c r="G19" s="3" t="s">
        <v>13</v>
      </c>
      <c r="H19" s="3" t="s">
        <v>31</v>
      </c>
      <c r="I19" s="3" t="s">
        <v>32</v>
      </c>
      <c r="J19" s="3" t="s">
        <v>104</v>
      </c>
      <c r="K19" s="3" t="s">
        <v>55</v>
      </c>
      <c r="L19" s="3" t="s">
        <v>154</v>
      </c>
      <c r="M19" s="3" t="s">
        <v>254</v>
      </c>
      <c r="N19" s="3" t="s">
        <v>310</v>
      </c>
      <c r="O19" s="4">
        <v>46172</v>
      </c>
    </row>
    <row r="20" spans="1:15">
      <c r="A20" s="3">
        <v>17</v>
      </c>
      <c r="B20" s="3" t="s">
        <v>318</v>
      </c>
      <c r="C20" s="4">
        <v>46114</v>
      </c>
      <c r="D20" s="3" t="s">
        <v>53</v>
      </c>
      <c r="E20" s="5" t="s">
        <v>296</v>
      </c>
      <c r="F20" s="5" t="s">
        <v>54</v>
      </c>
      <c r="G20" s="3" t="s">
        <v>65</v>
      </c>
      <c r="H20" s="3" t="s">
        <v>35</v>
      </c>
      <c r="I20" s="3" t="s">
        <v>62</v>
      </c>
      <c r="J20" s="3" t="s">
        <v>32</v>
      </c>
      <c r="K20" s="3" t="s">
        <v>33</v>
      </c>
      <c r="L20" s="3" t="s">
        <v>154</v>
      </c>
      <c r="M20" s="3" t="s">
        <v>238</v>
      </c>
      <c r="N20" s="3" t="s">
        <v>313</v>
      </c>
      <c r="O20" s="4">
        <v>46123</v>
      </c>
    </row>
    <row r="21" spans="1:15">
      <c r="A21" s="3">
        <v>18</v>
      </c>
      <c r="B21" s="3" t="s">
        <v>319</v>
      </c>
      <c r="C21" s="4">
        <v>46140</v>
      </c>
      <c r="D21" s="3" t="s">
        <v>53</v>
      </c>
      <c r="E21" s="5" t="s">
        <v>292</v>
      </c>
      <c r="F21" s="5" t="s">
        <v>91</v>
      </c>
      <c r="G21" s="3" t="s">
        <v>5</v>
      </c>
      <c r="H21" s="3" t="s">
        <v>35</v>
      </c>
      <c r="I21" s="3" t="s">
        <v>32</v>
      </c>
      <c r="J21" s="3" t="s">
        <v>68</v>
      </c>
      <c r="K21" s="3" t="s">
        <v>33</v>
      </c>
      <c r="L21" s="3" t="s">
        <v>142</v>
      </c>
      <c r="M21" s="3" t="s">
        <v>297</v>
      </c>
      <c r="N21" s="3" t="s">
        <v>313</v>
      </c>
      <c r="O21" s="4">
        <v>46149</v>
      </c>
    </row>
    <row r="22" spans="1:15">
      <c r="A22" s="3">
        <v>19</v>
      </c>
      <c r="B22" s="3" t="s">
        <v>320</v>
      </c>
      <c r="C22" s="4">
        <v>46132</v>
      </c>
      <c r="D22" s="3" t="s">
        <v>53</v>
      </c>
      <c r="E22" s="5" t="s">
        <v>296</v>
      </c>
      <c r="F22" s="5" t="s">
        <v>38</v>
      </c>
      <c r="G22" s="3" t="s">
        <v>89</v>
      </c>
      <c r="H22" s="3" t="s">
        <v>87</v>
      </c>
      <c r="I22" s="3" t="s">
        <v>15</v>
      </c>
      <c r="J22" s="3" t="s">
        <v>41</v>
      </c>
      <c r="K22" s="3" t="s">
        <v>99</v>
      </c>
      <c r="L22" s="3" t="s">
        <v>162</v>
      </c>
      <c r="M22" s="3" t="s">
        <v>293</v>
      </c>
      <c r="N22" s="3" t="s">
        <v>310</v>
      </c>
      <c r="O22" s="4">
        <v>46166</v>
      </c>
    </row>
    <row r="23" spans="1:15">
      <c r="A23" s="3">
        <v>20</v>
      </c>
      <c r="B23" s="3" t="s">
        <v>321</v>
      </c>
      <c r="C23" s="4">
        <v>46118</v>
      </c>
      <c r="D23" s="3" t="s">
        <v>53</v>
      </c>
      <c r="E23" s="5" t="s">
        <v>292</v>
      </c>
      <c r="F23" s="5" t="s">
        <v>16</v>
      </c>
      <c r="G23" s="3" t="s">
        <v>89</v>
      </c>
      <c r="H23" s="3" t="s">
        <v>35</v>
      </c>
      <c r="I23" s="3" t="s">
        <v>28</v>
      </c>
      <c r="J23" s="3" t="s">
        <v>28</v>
      </c>
      <c r="K23" s="3" t="s">
        <v>16</v>
      </c>
      <c r="L23" s="3" t="s">
        <v>142</v>
      </c>
      <c r="M23" s="3" t="s">
        <v>293</v>
      </c>
      <c r="N23" s="3" t="s">
        <v>294</v>
      </c>
      <c r="O23" s="4">
        <v>46146</v>
      </c>
    </row>
    <row r="24" spans="1:15">
      <c r="A24" s="3">
        <v>21</v>
      </c>
      <c r="B24" s="3" t="s">
        <v>322</v>
      </c>
      <c r="C24" s="4">
        <v>46143</v>
      </c>
      <c r="D24" s="3" t="s">
        <v>60</v>
      </c>
      <c r="E24" s="5" t="s">
        <v>292</v>
      </c>
      <c r="F24" s="5" t="s">
        <v>91</v>
      </c>
      <c r="G24" s="3" t="s">
        <v>89</v>
      </c>
      <c r="H24" s="3" t="s">
        <v>80</v>
      </c>
      <c r="I24" s="3" t="s">
        <v>66</v>
      </c>
      <c r="J24" s="3" t="s">
        <v>78</v>
      </c>
      <c r="K24" s="3" t="s">
        <v>47</v>
      </c>
      <c r="L24" s="3" t="s">
        <v>154</v>
      </c>
      <c r="M24" s="3" t="s">
        <v>238</v>
      </c>
      <c r="N24" s="3" t="s">
        <v>313</v>
      </c>
      <c r="O24" s="4">
        <v>46179</v>
      </c>
    </row>
    <row r="25" spans="1:15">
      <c r="A25" s="3">
        <v>22</v>
      </c>
      <c r="B25" s="3" t="s">
        <v>323</v>
      </c>
      <c r="C25" s="4">
        <v>46150</v>
      </c>
      <c r="D25" s="3" t="s">
        <v>60</v>
      </c>
      <c r="E25" s="5" t="s">
        <v>296</v>
      </c>
      <c r="F25" s="5" t="s">
        <v>30</v>
      </c>
      <c r="G25" s="3" t="s">
        <v>50</v>
      </c>
      <c r="H25" s="3" t="s">
        <v>95</v>
      </c>
      <c r="I25" s="3" t="s">
        <v>62</v>
      </c>
      <c r="J25" s="3" t="s">
        <v>68</v>
      </c>
      <c r="K25" s="3" t="s">
        <v>47</v>
      </c>
      <c r="L25" s="3" t="s">
        <v>142</v>
      </c>
      <c r="M25" s="3" t="s">
        <v>238</v>
      </c>
      <c r="N25" s="3" t="s">
        <v>303</v>
      </c>
      <c r="O25" s="4">
        <v>46166</v>
      </c>
    </row>
    <row r="26" spans="1:15">
      <c r="A26" s="3">
        <v>23</v>
      </c>
      <c r="B26" s="3" t="s">
        <v>324</v>
      </c>
      <c r="C26" s="4">
        <v>46146</v>
      </c>
      <c r="D26" s="3" t="s">
        <v>60</v>
      </c>
      <c r="E26" s="5" t="s">
        <v>292</v>
      </c>
      <c r="F26" s="5" t="s">
        <v>26</v>
      </c>
      <c r="G26" s="3" t="s">
        <v>58</v>
      </c>
      <c r="H26" s="3" t="s">
        <v>6</v>
      </c>
      <c r="I26" s="3" t="s">
        <v>66</v>
      </c>
      <c r="J26" s="3" t="s">
        <v>68</v>
      </c>
      <c r="K26" s="3" t="s">
        <v>47</v>
      </c>
      <c r="L26" s="3" t="s">
        <v>154</v>
      </c>
      <c r="M26" s="3" t="s">
        <v>293</v>
      </c>
      <c r="N26" s="3" t="s">
        <v>294</v>
      </c>
      <c r="O26" s="4">
        <v>46165</v>
      </c>
    </row>
    <row r="27" spans="1:15">
      <c r="A27" s="3">
        <v>24</v>
      </c>
      <c r="B27" s="3" t="s">
        <v>325</v>
      </c>
      <c r="C27" s="4">
        <v>46168</v>
      </c>
      <c r="D27" s="3" t="s">
        <v>60</v>
      </c>
      <c r="E27" s="5" t="s">
        <v>300</v>
      </c>
      <c r="F27" s="5" t="s">
        <v>54</v>
      </c>
      <c r="G27" s="3" t="s">
        <v>27</v>
      </c>
      <c r="H27" s="3" t="s">
        <v>95</v>
      </c>
      <c r="I27" s="3" t="s">
        <v>7</v>
      </c>
      <c r="J27" s="3" t="s">
        <v>41</v>
      </c>
      <c r="K27" s="3" t="s">
        <v>16</v>
      </c>
      <c r="L27" s="3" t="s">
        <v>142</v>
      </c>
      <c r="M27" s="3" t="s">
        <v>297</v>
      </c>
      <c r="N27" s="3" t="s">
        <v>298</v>
      </c>
      <c r="O27" s="4">
        <v>46199</v>
      </c>
    </row>
    <row r="28" spans="1:15">
      <c r="A28" s="3">
        <v>25</v>
      </c>
      <c r="B28" s="3" t="s">
        <v>326</v>
      </c>
      <c r="C28" s="4">
        <v>46186</v>
      </c>
      <c r="D28" s="3" t="s">
        <v>73</v>
      </c>
      <c r="E28" s="5" t="s">
        <v>296</v>
      </c>
      <c r="F28" s="5" t="s">
        <v>91</v>
      </c>
      <c r="G28" s="3" t="s">
        <v>27</v>
      </c>
      <c r="H28" s="3" t="s">
        <v>87</v>
      </c>
      <c r="I28" s="3" t="s">
        <v>66</v>
      </c>
      <c r="J28" s="3" t="s">
        <v>66</v>
      </c>
      <c r="K28" s="3" t="s">
        <v>47</v>
      </c>
      <c r="L28" s="3" t="s">
        <v>142</v>
      </c>
      <c r="M28" s="3" t="s">
        <v>238</v>
      </c>
      <c r="N28" s="3" t="s">
        <v>303</v>
      </c>
      <c r="O28" s="4">
        <v>46216</v>
      </c>
    </row>
    <row r="29" spans="1:15">
      <c r="A29" s="3">
        <v>26</v>
      </c>
      <c r="B29" s="3" t="s">
        <v>327</v>
      </c>
      <c r="C29" s="4">
        <v>46191</v>
      </c>
      <c r="D29" s="3" t="s">
        <v>73</v>
      </c>
      <c r="E29" s="5" t="s">
        <v>292</v>
      </c>
      <c r="F29" s="5" t="s">
        <v>61</v>
      </c>
      <c r="G29" s="3" t="s">
        <v>5</v>
      </c>
      <c r="H29" s="3" t="s">
        <v>6</v>
      </c>
      <c r="I29" s="3" t="s">
        <v>15</v>
      </c>
      <c r="J29" s="3" t="s">
        <v>78</v>
      </c>
      <c r="K29" s="3" t="s">
        <v>8</v>
      </c>
      <c r="L29" s="3" t="s">
        <v>162</v>
      </c>
      <c r="M29" s="3" t="s">
        <v>293</v>
      </c>
      <c r="N29" s="3" t="s">
        <v>310</v>
      </c>
      <c r="O29" s="4">
        <v>46209</v>
      </c>
    </row>
    <row r="30" spans="1:15">
      <c r="A30" s="3">
        <v>27</v>
      </c>
      <c r="B30" s="3" t="s">
        <v>328</v>
      </c>
      <c r="C30" s="4">
        <v>46199</v>
      </c>
      <c r="D30" s="3" t="s">
        <v>73</v>
      </c>
      <c r="E30" s="5" t="s">
        <v>292</v>
      </c>
      <c r="F30" s="5" t="s">
        <v>38</v>
      </c>
      <c r="G30" s="3" t="s">
        <v>39</v>
      </c>
      <c r="H30" s="3" t="s">
        <v>95</v>
      </c>
      <c r="I30" s="3" t="s">
        <v>66</v>
      </c>
      <c r="J30" s="3" t="s">
        <v>66</v>
      </c>
      <c r="K30" s="3" t="s">
        <v>47</v>
      </c>
      <c r="L30" s="3" t="s">
        <v>154</v>
      </c>
      <c r="M30" s="3" t="s">
        <v>297</v>
      </c>
      <c r="N30" s="3" t="s">
        <v>313</v>
      </c>
      <c r="O30" s="4">
        <v>46217</v>
      </c>
    </row>
    <row r="31" spans="1:15">
      <c r="A31" s="3">
        <v>28</v>
      </c>
      <c r="B31" s="3" t="s">
        <v>329</v>
      </c>
      <c r="C31" s="4">
        <v>46218</v>
      </c>
      <c r="D31" s="3" t="s">
        <v>76</v>
      </c>
      <c r="E31" s="5" t="s">
        <v>292</v>
      </c>
      <c r="F31" s="5" t="s">
        <v>57</v>
      </c>
      <c r="G31" s="3" t="s">
        <v>46</v>
      </c>
      <c r="H31" s="3" t="s">
        <v>35</v>
      </c>
      <c r="I31" s="3" t="s">
        <v>22</v>
      </c>
      <c r="J31" s="3" t="s">
        <v>36</v>
      </c>
      <c r="K31" s="3" t="s">
        <v>55</v>
      </c>
      <c r="L31" s="3" t="s">
        <v>159</v>
      </c>
      <c r="M31" s="3" t="s">
        <v>293</v>
      </c>
      <c r="N31" s="3" t="s">
        <v>313</v>
      </c>
      <c r="O31" s="4">
        <v>46244</v>
      </c>
    </row>
    <row r="32" spans="1:15">
      <c r="A32" s="3">
        <v>29</v>
      </c>
      <c r="B32" s="3" t="s">
        <v>330</v>
      </c>
      <c r="C32" s="4">
        <v>46226</v>
      </c>
      <c r="D32" s="3" t="s">
        <v>76</v>
      </c>
      <c r="E32" s="5" t="s">
        <v>300</v>
      </c>
      <c r="F32" s="5" t="s">
        <v>45</v>
      </c>
      <c r="G32" s="3" t="s">
        <v>27</v>
      </c>
      <c r="H32" s="3" t="s">
        <v>35</v>
      </c>
      <c r="I32" s="3" t="s">
        <v>22</v>
      </c>
      <c r="J32" s="3" t="s">
        <v>93</v>
      </c>
      <c r="K32" s="3" t="s">
        <v>16</v>
      </c>
      <c r="L32" s="3" t="s">
        <v>142</v>
      </c>
      <c r="M32" s="3" t="s">
        <v>293</v>
      </c>
      <c r="N32" s="3" t="s">
        <v>298</v>
      </c>
      <c r="O32" s="4">
        <v>46264</v>
      </c>
    </row>
    <row r="33" spans="1:15">
      <c r="A33" s="3">
        <v>30</v>
      </c>
      <c r="B33" s="3" t="s">
        <v>331</v>
      </c>
      <c r="C33" s="4">
        <v>46220</v>
      </c>
      <c r="D33" s="3" t="s">
        <v>76</v>
      </c>
      <c r="E33" s="5" t="s">
        <v>302</v>
      </c>
      <c r="F33" s="5" t="s">
        <v>64</v>
      </c>
      <c r="G33" s="3" t="s">
        <v>5</v>
      </c>
      <c r="H33" s="3" t="s">
        <v>95</v>
      </c>
      <c r="I33" s="3" t="s">
        <v>36</v>
      </c>
      <c r="J33" s="3" t="s">
        <v>66</v>
      </c>
      <c r="K33" s="3" t="s">
        <v>16</v>
      </c>
      <c r="L33" s="3" t="s">
        <v>142</v>
      </c>
      <c r="M33" s="3" t="s">
        <v>297</v>
      </c>
      <c r="N33" s="3" t="s">
        <v>294</v>
      </c>
      <c r="O33" s="4">
        <v>46265</v>
      </c>
    </row>
    <row r="34" spans="1:15">
      <c r="A34" s="3">
        <v>31</v>
      </c>
      <c r="B34" s="3" t="s">
        <v>332</v>
      </c>
      <c r="C34" s="4">
        <v>46221</v>
      </c>
      <c r="D34" s="3" t="s">
        <v>76</v>
      </c>
      <c r="E34" s="5" t="s">
        <v>296</v>
      </c>
      <c r="F34" s="5" t="s">
        <v>45</v>
      </c>
      <c r="G34" s="3" t="s">
        <v>46</v>
      </c>
      <c r="H34" s="3" t="s">
        <v>87</v>
      </c>
      <c r="I34" s="3" t="s">
        <v>93</v>
      </c>
      <c r="J34" s="3" t="s">
        <v>68</v>
      </c>
      <c r="K34" s="3" t="s">
        <v>8</v>
      </c>
      <c r="L34" s="3" t="s">
        <v>142</v>
      </c>
      <c r="M34" s="3" t="s">
        <v>293</v>
      </c>
      <c r="N34" s="3" t="s">
        <v>313</v>
      </c>
      <c r="O34" s="4">
        <v>46264</v>
      </c>
    </row>
    <row r="35" spans="1:15">
      <c r="A35" s="3">
        <v>32</v>
      </c>
      <c r="B35" s="3" t="s">
        <v>333</v>
      </c>
      <c r="C35" s="4">
        <v>46225</v>
      </c>
      <c r="D35" s="3" t="s">
        <v>76</v>
      </c>
      <c r="E35" s="5" t="s">
        <v>296</v>
      </c>
      <c r="F35" s="5" t="s">
        <v>12</v>
      </c>
      <c r="G35" s="3" t="s">
        <v>27</v>
      </c>
      <c r="H35" s="3" t="s">
        <v>40</v>
      </c>
      <c r="I35" s="3" t="s">
        <v>62</v>
      </c>
      <c r="J35" s="3" t="s">
        <v>93</v>
      </c>
      <c r="K35" s="3" t="s">
        <v>16</v>
      </c>
      <c r="L35" s="3" t="s">
        <v>142</v>
      </c>
      <c r="M35" s="3" t="s">
        <v>293</v>
      </c>
      <c r="N35" s="3" t="s">
        <v>310</v>
      </c>
      <c r="O35" s="4">
        <v>46264</v>
      </c>
    </row>
    <row r="36" spans="1:15">
      <c r="A36" s="3">
        <v>33</v>
      </c>
      <c r="B36" s="3" t="s">
        <v>334</v>
      </c>
      <c r="C36" s="4">
        <v>46257</v>
      </c>
      <c r="D36" s="3" t="s">
        <v>86</v>
      </c>
      <c r="E36" s="5" t="s">
        <v>302</v>
      </c>
      <c r="F36" s="5" t="s">
        <v>91</v>
      </c>
      <c r="G36" s="3" t="s">
        <v>27</v>
      </c>
      <c r="H36" s="3" t="s">
        <v>40</v>
      </c>
      <c r="I36" s="3" t="s">
        <v>7</v>
      </c>
      <c r="J36" s="3" t="s">
        <v>15</v>
      </c>
      <c r="K36" s="3" t="s">
        <v>33</v>
      </c>
      <c r="L36" s="3" t="s">
        <v>142</v>
      </c>
      <c r="M36" s="3" t="s">
        <v>293</v>
      </c>
      <c r="N36" s="3" t="s">
        <v>303</v>
      </c>
      <c r="O36" s="4">
        <v>46290</v>
      </c>
    </row>
    <row r="37" spans="1:15">
      <c r="A37" s="3">
        <v>34</v>
      </c>
      <c r="B37" s="3" t="s">
        <v>335</v>
      </c>
      <c r="C37" s="4">
        <v>46260</v>
      </c>
      <c r="D37" s="3" t="s">
        <v>86</v>
      </c>
      <c r="E37" s="5" t="s">
        <v>296</v>
      </c>
      <c r="F37" s="5" t="s">
        <v>54</v>
      </c>
      <c r="G37" s="3" t="s">
        <v>13</v>
      </c>
      <c r="H37" s="3" t="s">
        <v>40</v>
      </c>
      <c r="I37" s="3" t="s">
        <v>7</v>
      </c>
      <c r="J37" s="3" t="s">
        <v>36</v>
      </c>
      <c r="K37" s="3" t="s">
        <v>55</v>
      </c>
      <c r="L37" s="3" t="s">
        <v>162</v>
      </c>
      <c r="M37" s="3" t="s">
        <v>293</v>
      </c>
      <c r="N37" s="3" t="s">
        <v>298</v>
      </c>
      <c r="O37" s="4">
        <v>46283</v>
      </c>
    </row>
    <row r="38" spans="1:15">
      <c r="A38" s="3">
        <v>35</v>
      </c>
      <c r="B38" s="3" t="s">
        <v>336</v>
      </c>
      <c r="C38" s="4">
        <v>46288</v>
      </c>
      <c r="D38" s="3" t="s">
        <v>102</v>
      </c>
      <c r="E38" s="5" t="s">
        <v>300</v>
      </c>
      <c r="F38" s="5" t="s">
        <v>30</v>
      </c>
      <c r="G38" s="3" t="s">
        <v>92</v>
      </c>
      <c r="H38" s="3" t="s">
        <v>14</v>
      </c>
      <c r="I38" s="3" t="s">
        <v>22</v>
      </c>
      <c r="J38" s="3" t="s">
        <v>68</v>
      </c>
      <c r="K38" s="3" t="s">
        <v>16</v>
      </c>
      <c r="L38" s="3" t="s">
        <v>142</v>
      </c>
      <c r="M38" s="3" t="s">
        <v>297</v>
      </c>
      <c r="N38" s="3" t="s">
        <v>313</v>
      </c>
      <c r="O38" s="4">
        <v>46331</v>
      </c>
    </row>
    <row r="39" spans="1:15">
      <c r="A39" s="3">
        <v>36</v>
      </c>
      <c r="B39" s="3" t="s">
        <v>337</v>
      </c>
      <c r="C39" s="4">
        <v>46280</v>
      </c>
      <c r="D39" s="3" t="s">
        <v>102</v>
      </c>
      <c r="E39" s="5" t="s">
        <v>302</v>
      </c>
      <c r="F39" s="5" t="s">
        <v>4</v>
      </c>
      <c r="G39" s="3" t="s">
        <v>50</v>
      </c>
      <c r="H39" s="3" t="s">
        <v>35</v>
      </c>
      <c r="I39" s="3" t="s">
        <v>32</v>
      </c>
      <c r="J39" s="3" t="s">
        <v>93</v>
      </c>
      <c r="K39" s="3" t="s">
        <v>16</v>
      </c>
      <c r="L39" s="3" t="s">
        <v>159</v>
      </c>
      <c r="M39" s="3" t="s">
        <v>293</v>
      </c>
      <c r="N39" s="3" t="s">
        <v>303</v>
      </c>
      <c r="O39" s="4">
        <v>46318</v>
      </c>
    </row>
    <row r="40" spans="1:15">
      <c r="A40" s="3">
        <v>37</v>
      </c>
      <c r="B40" s="3" t="s">
        <v>338</v>
      </c>
      <c r="C40" s="4">
        <v>46299</v>
      </c>
      <c r="D40" s="3" t="s">
        <v>106</v>
      </c>
      <c r="E40" s="5" t="s">
        <v>292</v>
      </c>
      <c r="F40" s="5" t="s">
        <v>4</v>
      </c>
      <c r="G40" s="3" t="s">
        <v>46</v>
      </c>
      <c r="H40" s="3" t="s">
        <v>14</v>
      </c>
      <c r="I40" s="3" t="s">
        <v>66</v>
      </c>
      <c r="J40" s="3" t="s">
        <v>28</v>
      </c>
      <c r="K40" s="3" t="s">
        <v>47</v>
      </c>
      <c r="L40" s="3" t="s">
        <v>154</v>
      </c>
      <c r="M40" s="3" t="s">
        <v>293</v>
      </c>
      <c r="N40" s="3" t="s">
        <v>313</v>
      </c>
      <c r="O40" s="4">
        <v>46306</v>
      </c>
    </row>
    <row r="41" spans="1:15">
      <c r="A41" s="3">
        <v>38</v>
      </c>
      <c r="B41" s="3" t="s">
        <v>339</v>
      </c>
      <c r="C41" s="4">
        <v>46315</v>
      </c>
      <c r="D41" s="3" t="s">
        <v>106</v>
      </c>
      <c r="E41" s="5" t="s">
        <v>302</v>
      </c>
      <c r="F41" s="5" t="s">
        <v>54</v>
      </c>
      <c r="G41" s="3" t="s">
        <v>92</v>
      </c>
      <c r="H41" s="3" t="s">
        <v>87</v>
      </c>
      <c r="I41" s="3" t="s">
        <v>15</v>
      </c>
      <c r="J41" s="3" t="s">
        <v>78</v>
      </c>
      <c r="K41" s="3" t="s">
        <v>16</v>
      </c>
      <c r="L41" s="3" t="s">
        <v>154</v>
      </c>
      <c r="M41" s="3" t="s">
        <v>293</v>
      </c>
      <c r="N41" s="3" t="s">
        <v>303</v>
      </c>
      <c r="O41" s="4">
        <v>46340</v>
      </c>
    </row>
    <row r="42" spans="1:15">
      <c r="A42" s="3">
        <v>39</v>
      </c>
      <c r="B42" s="3" t="s">
        <v>340</v>
      </c>
      <c r="C42" s="4">
        <v>46310</v>
      </c>
      <c r="D42" s="3" t="s">
        <v>106</v>
      </c>
      <c r="E42" s="5" t="s">
        <v>302</v>
      </c>
      <c r="F42" s="5" t="s">
        <v>20</v>
      </c>
      <c r="G42" s="3" t="s">
        <v>89</v>
      </c>
      <c r="H42" s="3" t="s">
        <v>35</v>
      </c>
      <c r="I42" s="3" t="s">
        <v>70</v>
      </c>
      <c r="J42" s="3" t="s">
        <v>66</v>
      </c>
      <c r="K42" s="3" t="s">
        <v>99</v>
      </c>
      <c r="L42" s="3" t="s">
        <v>159</v>
      </c>
      <c r="M42" s="3" t="s">
        <v>297</v>
      </c>
      <c r="N42" s="3" t="s">
        <v>298</v>
      </c>
      <c r="O42" s="4">
        <v>46339</v>
      </c>
    </row>
    <row r="43" spans="1:15">
      <c r="A43" s="3">
        <v>40</v>
      </c>
      <c r="B43" s="3" t="s">
        <v>341</v>
      </c>
      <c r="C43" s="4">
        <v>46306</v>
      </c>
      <c r="D43" s="3" t="s">
        <v>106</v>
      </c>
      <c r="E43" s="5" t="s">
        <v>302</v>
      </c>
      <c r="F43" s="5" t="s">
        <v>4</v>
      </c>
      <c r="G43" s="3" t="s">
        <v>89</v>
      </c>
      <c r="H43" s="3" t="s">
        <v>95</v>
      </c>
      <c r="I43" s="3" t="s">
        <v>28</v>
      </c>
      <c r="J43" s="3" t="s">
        <v>36</v>
      </c>
      <c r="K43" s="3" t="s">
        <v>16</v>
      </c>
      <c r="L43" s="3" t="s">
        <v>154</v>
      </c>
      <c r="M43" s="3" t="s">
        <v>297</v>
      </c>
      <c r="N43" s="3" t="s">
        <v>294</v>
      </c>
      <c r="O43" s="4">
        <v>46315</v>
      </c>
    </row>
    <row r="44" spans="1:15">
      <c r="A44" s="3">
        <v>41</v>
      </c>
      <c r="B44" s="3" t="s">
        <v>342</v>
      </c>
      <c r="C44" s="4">
        <v>46321</v>
      </c>
      <c r="D44" s="3" t="s">
        <v>106</v>
      </c>
      <c r="E44" s="5" t="s">
        <v>296</v>
      </c>
      <c r="F44" s="5" t="s">
        <v>64</v>
      </c>
      <c r="G44" s="3" t="s">
        <v>46</v>
      </c>
      <c r="H44" s="3" t="s">
        <v>87</v>
      </c>
      <c r="I44" s="3" t="s">
        <v>7</v>
      </c>
      <c r="J44" s="3" t="s">
        <v>66</v>
      </c>
      <c r="K44" s="3" t="s">
        <v>8</v>
      </c>
      <c r="L44" s="3" t="s">
        <v>154</v>
      </c>
      <c r="M44" s="3" t="s">
        <v>293</v>
      </c>
      <c r="N44" s="3" t="s">
        <v>294</v>
      </c>
      <c r="O44" s="4">
        <v>46357</v>
      </c>
    </row>
    <row r="45" spans="1:15">
      <c r="A45" s="3">
        <v>42</v>
      </c>
      <c r="B45" s="3" t="s">
        <v>343</v>
      </c>
      <c r="C45" s="4">
        <v>46336</v>
      </c>
      <c r="D45" s="3" t="s">
        <v>111</v>
      </c>
      <c r="E45" s="5" t="s">
        <v>302</v>
      </c>
      <c r="F45" s="5" t="s">
        <v>30</v>
      </c>
      <c r="G45" s="3" t="s">
        <v>39</v>
      </c>
      <c r="H45" s="3" t="s">
        <v>51</v>
      </c>
      <c r="I45" s="3" t="s">
        <v>36</v>
      </c>
      <c r="J45" s="3" t="s">
        <v>28</v>
      </c>
      <c r="K45" s="3" t="s">
        <v>8</v>
      </c>
      <c r="L45" s="3" t="s">
        <v>154</v>
      </c>
      <c r="M45" s="3" t="s">
        <v>238</v>
      </c>
      <c r="N45" s="3" t="s">
        <v>294</v>
      </c>
      <c r="O45" s="4">
        <v>46376</v>
      </c>
    </row>
    <row r="46" spans="1:15">
      <c r="A46" s="3">
        <v>43</v>
      </c>
      <c r="B46" s="3" t="s">
        <v>344</v>
      </c>
      <c r="C46" s="4">
        <v>46382</v>
      </c>
      <c r="D46" s="3" t="s">
        <v>122</v>
      </c>
      <c r="E46" s="5" t="s">
        <v>296</v>
      </c>
      <c r="F46" s="5" t="s">
        <v>20</v>
      </c>
      <c r="G46" s="3" t="s">
        <v>92</v>
      </c>
      <c r="H46" s="3" t="s">
        <v>6</v>
      </c>
      <c r="I46" s="3" t="s">
        <v>78</v>
      </c>
      <c r="J46" s="3" t="s">
        <v>32</v>
      </c>
      <c r="K46" s="3" t="s">
        <v>99</v>
      </c>
      <c r="L46" s="3" t="s">
        <v>142</v>
      </c>
      <c r="M46" s="3" t="s">
        <v>293</v>
      </c>
      <c r="N46" s="3" t="s">
        <v>310</v>
      </c>
      <c r="O46" s="4">
        <v>46394</v>
      </c>
    </row>
    <row r="47" spans="1:15">
      <c r="A47" s="3">
        <v>44</v>
      </c>
      <c r="B47" s="3" t="s">
        <v>345</v>
      </c>
      <c r="C47" s="4">
        <v>46358</v>
      </c>
      <c r="D47" s="3" t="s">
        <v>122</v>
      </c>
      <c r="E47" s="5" t="s">
        <v>300</v>
      </c>
      <c r="F47" s="5" t="s">
        <v>4</v>
      </c>
      <c r="G47" s="3" t="s">
        <v>13</v>
      </c>
      <c r="H47" s="3" t="s">
        <v>31</v>
      </c>
      <c r="I47" s="3" t="s">
        <v>68</v>
      </c>
      <c r="J47" s="3" t="s">
        <v>93</v>
      </c>
      <c r="K47" s="3" t="s">
        <v>99</v>
      </c>
      <c r="L47" s="3" t="s">
        <v>154</v>
      </c>
      <c r="M47" s="3" t="s">
        <v>293</v>
      </c>
      <c r="N47" s="3" t="s">
        <v>310</v>
      </c>
      <c r="O47" s="4">
        <v>46363</v>
      </c>
    </row>
    <row r="48" spans="1:15">
      <c r="A48" s="3">
        <v>45</v>
      </c>
      <c r="B48" s="3" t="s">
        <v>346</v>
      </c>
      <c r="C48" s="4">
        <v>46362</v>
      </c>
      <c r="D48" s="3" t="s">
        <v>122</v>
      </c>
      <c r="E48" s="5" t="s">
        <v>300</v>
      </c>
      <c r="F48" s="5" t="s">
        <v>4</v>
      </c>
      <c r="G48" s="3" t="s">
        <v>58</v>
      </c>
      <c r="H48" s="3" t="s">
        <v>14</v>
      </c>
      <c r="I48" s="3" t="s">
        <v>22</v>
      </c>
      <c r="J48" s="3" t="s">
        <v>62</v>
      </c>
      <c r="K48" s="3" t="s">
        <v>33</v>
      </c>
      <c r="L48" s="3" t="s">
        <v>154</v>
      </c>
      <c r="M48" s="3" t="s">
        <v>297</v>
      </c>
      <c r="N48" s="3" t="s">
        <v>298</v>
      </c>
      <c r="O48" s="4">
        <v>46398</v>
      </c>
    </row>
    <row r="49" spans="1:15">
      <c r="A49" s="3">
        <v>46</v>
      </c>
      <c r="B49" s="3" t="s">
        <v>347</v>
      </c>
      <c r="C49" s="4">
        <v>46379</v>
      </c>
      <c r="D49" s="3" t="s">
        <v>122</v>
      </c>
      <c r="E49" s="5" t="s">
        <v>292</v>
      </c>
      <c r="F49" s="5" t="s">
        <v>64</v>
      </c>
      <c r="G49" s="3" t="s">
        <v>46</v>
      </c>
      <c r="H49" s="3" t="s">
        <v>77</v>
      </c>
      <c r="I49" s="3" t="s">
        <v>66</v>
      </c>
      <c r="J49" s="3" t="s">
        <v>68</v>
      </c>
      <c r="K49" s="3" t="s">
        <v>99</v>
      </c>
      <c r="L49" s="3" t="s">
        <v>159</v>
      </c>
      <c r="M49" s="3" t="s">
        <v>254</v>
      </c>
      <c r="N49" s="3" t="s">
        <v>294</v>
      </c>
      <c r="O49" s="4">
        <v>46410</v>
      </c>
    </row>
    <row r="50" spans="1:15">
      <c r="A50" s="3">
        <v>47</v>
      </c>
      <c r="B50" s="3" t="s">
        <v>348</v>
      </c>
      <c r="C50" s="4">
        <v>46362</v>
      </c>
      <c r="D50" s="3" t="s">
        <v>122</v>
      </c>
      <c r="E50" s="5" t="s">
        <v>296</v>
      </c>
      <c r="F50" s="5" t="s">
        <v>57</v>
      </c>
      <c r="G50" s="3" t="s">
        <v>58</v>
      </c>
      <c r="H50" s="3" t="s">
        <v>80</v>
      </c>
      <c r="I50" s="3" t="s">
        <v>32</v>
      </c>
      <c r="J50" s="3" t="s">
        <v>15</v>
      </c>
      <c r="K50" s="3" t="s">
        <v>16</v>
      </c>
      <c r="L50" s="3" t="s">
        <v>142</v>
      </c>
      <c r="M50" s="3" t="s">
        <v>293</v>
      </c>
      <c r="N50" s="3" t="s">
        <v>313</v>
      </c>
      <c r="O50" s="4">
        <v>46372</v>
      </c>
    </row>
    <row r="51" spans="1:15">
      <c r="A51" s="3">
        <v>48</v>
      </c>
      <c r="B51" s="3" t="s">
        <v>349</v>
      </c>
      <c r="C51" s="4">
        <v>46382</v>
      </c>
      <c r="D51" s="3" t="s">
        <v>122</v>
      </c>
      <c r="E51" s="5" t="s">
        <v>302</v>
      </c>
      <c r="F51" s="5" t="s">
        <v>26</v>
      </c>
      <c r="G51" s="3" t="s">
        <v>39</v>
      </c>
      <c r="H51" s="3" t="s">
        <v>80</v>
      </c>
      <c r="I51" s="3" t="s">
        <v>104</v>
      </c>
      <c r="J51" s="3" t="s">
        <v>70</v>
      </c>
      <c r="K51" s="3" t="s">
        <v>16</v>
      </c>
      <c r="L51" s="3" t="s">
        <v>154</v>
      </c>
      <c r="M51" s="3" t="s">
        <v>293</v>
      </c>
      <c r="N51" s="3" t="s">
        <v>313</v>
      </c>
      <c r="O51" s="4">
        <v>46404</v>
      </c>
    </row>
  </sheetData>
  <mergeCells count="2">
    <mergeCell ref="A1:O1"/>
    <mergeCell ref="A2:O2"/>
  </mergeCells>
  <dataValidations count="4">
    <dataValidation type="list" allowBlank="1" showInputMessage="1" showErrorMessage="1" sqref="G4:G5003">
      <formula1>L_Dept</formula1>
    </dataValidation>
    <dataValidation type="list" allowBlank="1" showInputMessage="1" showErrorMessage="1" sqref="H4:H5003">
      <formula1>L_Loc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L4:L5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1.7109375" customWidth="1"/>
    <col min="9" max="9" width="23.7109375" customWidth="1"/>
    <col min="10" max="10" width="18.7109375" customWidth="1"/>
    <col min="11" max="11" width="19.7109375" customWidth="1"/>
    <col min="12" max="12" width="16.7109375" customWidth="1"/>
    <col min="13" max="13" width="9.7109375" customWidth="1"/>
    <col min="14" max="14" width="19.7109375" customWidth="1"/>
    <col min="15" max="15" width="10.7109375" customWidth="1"/>
  </cols>
  <sheetData>
    <row r="1" spans="1:17" ht="22" customHeight="1">
      <c r="A1" s="1" t="s">
        <v>358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407</v>
      </c>
      <c r="F3" t="s">
        <v>129</v>
      </c>
      <c r="G3" t="s">
        <v>130</v>
      </c>
      <c r="H3" t="s">
        <v>408</v>
      </c>
      <c r="I3" t="s">
        <v>409</v>
      </c>
      <c r="J3" t="s">
        <v>410</v>
      </c>
      <c r="K3" t="s">
        <v>411</v>
      </c>
      <c r="L3" t="s">
        <v>412</v>
      </c>
      <c r="M3" t="s">
        <v>287</v>
      </c>
      <c r="N3" t="s">
        <v>413</v>
      </c>
      <c r="O3" t="s">
        <v>357</v>
      </c>
    </row>
    <row r="4" spans="1:17">
      <c r="A4" s="3">
        <v>1</v>
      </c>
      <c r="B4" s="3" t="s">
        <v>359</v>
      </c>
      <c r="C4" s="4">
        <v>46028</v>
      </c>
      <c r="D4" s="3" t="s">
        <v>3</v>
      </c>
      <c r="E4" s="5" t="s">
        <v>80</v>
      </c>
      <c r="F4" s="5" t="s">
        <v>13</v>
      </c>
      <c r="G4" s="3" t="s">
        <v>6</v>
      </c>
      <c r="H4" s="3" t="s">
        <v>41</v>
      </c>
      <c r="I4" s="3">
        <v>23</v>
      </c>
      <c r="J4" s="3">
        <v>5</v>
      </c>
      <c r="K4" s="3">
        <v>8</v>
      </c>
      <c r="L4" s="3" t="s">
        <v>10</v>
      </c>
      <c r="M4" s="3" t="s">
        <v>297</v>
      </c>
      <c r="N4" s="3" t="s">
        <v>64</v>
      </c>
      <c r="O4" s="4">
        <v>46056</v>
      </c>
    </row>
    <row r="5" spans="1:17">
      <c r="A5" s="3">
        <v>2</v>
      </c>
      <c r="B5" s="3" t="s">
        <v>360</v>
      </c>
      <c r="C5" s="4">
        <v>46070</v>
      </c>
      <c r="D5" s="3" t="s">
        <v>19</v>
      </c>
      <c r="E5" s="5" t="s">
        <v>77</v>
      </c>
      <c r="F5" s="5" t="s">
        <v>50</v>
      </c>
      <c r="G5" s="3" t="s">
        <v>82</v>
      </c>
      <c r="H5" s="3" t="s">
        <v>15</v>
      </c>
      <c r="I5" s="3">
        <v>31</v>
      </c>
      <c r="J5" s="3">
        <v>0</v>
      </c>
      <c r="K5" s="3">
        <v>6</v>
      </c>
      <c r="L5" s="3" t="s">
        <v>24</v>
      </c>
      <c r="M5" s="3" t="s">
        <v>254</v>
      </c>
      <c r="N5" s="3" t="s">
        <v>16</v>
      </c>
      <c r="O5" s="4">
        <v>46089</v>
      </c>
    </row>
    <row r="6" spans="1:17">
      <c r="A6" s="3">
        <v>3</v>
      </c>
      <c r="B6" s="3" t="s">
        <v>361</v>
      </c>
      <c r="C6" s="4">
        <v>46062</v>
      </c>
      <c r="D6" s="3" t="s">
        <v>19</v>
      </c>
      <c r="E6" s="5" t="s">
        <v>14</v>
      </c>
      <c r="F6" s="5" t="s">
        <v>89</v>
      </c>
      <c r="G6" s="3" t="s">
        <v>21</v>
      </c>
      <c r="H6" s="3" t="s">
        <v>22</v>
      </c>
      <c r="I6" s="3">
        <v>38</v>
      </c>
      <c r="J6" s="3">
        <v>4</v>
      </c>
      <c r="K6" s="3">
        <v>6</v>
      </c>
      <c r="L6" s="3" t="s">
        <v>10</v>
      </c>
      <c r="M6" s="3" t="s">
        <v>293</v>
      </c>
      <c r="N6" s="3" t="s">
        <v>38</v>
      </c>
      <c r="O6" s="4">
        <v>46095</v>
      </c>
    </row>
    <row r="7" spans="1:17">
      <c r="A7" s="3">
        <v>4</v>
      </c>
      <c r="B7" s="3" t="s">
        <v>362</v>
      </c>
      <c r="C7" s="4">
        <v>46063</v>
      </c>
      <c r="D7" s="3" t="s">
        <v>19</v>
      </c>
      <c r="E7" s="5" t="s">
        <v>82</v>
      </c>
      <c r="F7" s="5" t="s">
        <v>89</v>
      </c>
      <c r="G7" s="3" t="s">
        <v>31</v>
      </c>
      <c r="H7" s="3" t="s">
        <v>93</v>
      </c>
      <c r="I7" s="3">
        <v>20</v>
      </c>
      <c r="J7" s="3">
        <v>8</v>
      </c>
      <c r="K7" s="3">
        <v>3</v>
      </c>
      <c r="L7" s="3" t="s">
        <v>24</v>
      </c>
      <c r="M7" s="3" t="s">
        <v>293</v>
      </c>
      <c r="N7" s="3" t="s">
        <v>57</v>
      </c>
      <c r="O7" s="4">
        <v>46107</v>
      </c>
    </row>
    <row r="8" spans="1:17">
      <c r="A8" s="3">
        <v>5</v>
      </c>
      <c r="B8" s="3" t="s">
        <v>363</v>
      </c>
      <c r="C8" s="4">
        <v>46058</v>
      </c>
      <c r="D8" s="3" t="s">
        <v>19</v>
      </c>
      <c r="E8" s="5" t="s">
        <v>35</v>
      </c>
      <c r="F8" s="5" t="s">
        <v>5</v>
      </c>
      <c r="G8" s="3" t="s">
        <v>95</v>
      </c>
      <c r="H8" s="3" t="s">
        <v>7</v>
      </c>
      <c r="I8" s="3">
        <v>34</v>
      </c>
      <c r="J8" s="3">
        <v>2</v>
      </c>
      <c r="K8" s="3">
        <v>6</v>
      </c>
      <c r="L8" s="3" t="s">
        <v>17</v>
      </c>
      <c r="M8" s="3" t="s">
        <v>297</v>
      </c>
      <c r="N8" s="3" t="s">
        <v>45</v>
      </c>
      <c r="O8" s="4">
        <v>46087</v>
      </c>
    </row>
    <row r="9" spans="1:17">
      <c r="A9" s="3">
        <v>6</v>
      </c>
      <c r="B9" s="3" t="s">
        <v>364</v>
      </c>
      <c r="C9" s="4">
        <v>46073</v>
      </c>
      <c r="D9" s="3" t="s">
        <v>19</v>
      </c>
      <c r="E9" s="5" t="s">
        <v>31</v>
      </c>
      <c r="F9" s="5" t="s">
        <v>58</v>
      </c>
      <c r="G9" s="3" t="s">
        <v>35</v>
      </c>
      <c r="H9" s="3" t="s">
        <v>22</v>
      </c>
      <c r="I9" s="3">
        <v>38</v>
      </c>
      <c r="J9" s="3">
        <v>3</v>
      </c>
      <c r="K9" s="3">
        <v>2</v>
      </c>
      <c r="L9" s="3" t="s">
        <v>24</v>
      </c>
      <c r="M9" s="3" t="s">
        <v>297</v>
      </c>
      <c r="N9" s="3" t="s">
        <v>20</v>
      </c>
      <c r="O9" s="4">
        <v>46083</v>
      </c>
    </row>
    <row r="10" spans="1:17">
      <c r="A10" s="3">
        <v>7</v>
      </c>
      <c r="B10" s="3" t="s">
        <v>365</v>
      </c>
      <c r="C10" s="4">
        <v>46096</v>
      </c>
      <c r="D10" s="3" t="s">
        <v>44</v>
      </c>
      <c r="E10" s="5" t="s">
        <v>82</v>
      </c>
      <c r="F10" s="5" t="s">
        <v>92</v>
      </c>
      <c r="G10" s="3" t="s">
        <v>6</v>
      </c>
      <c r="H10" s="3" t="s">
        <v>104</v>
      </c>
      <c r="I10" s="3">
        <v>22</v>
      </c>
      <c r="J10" s="3">
        <v>2</v>
      </c>
      <c r="K10" s="3">
        <v>4</v>
      </c>
      <c r="L10" s="3" t="s">
        <v>96</v>
      </c>
      <c r="M10" s="3" t="s">
        <v>293</v>
      </c>
      <c r="N10" s="3" t="s">
        <v>64</v>
      </c>
      <c r="O10" s="4">
        <v>46102</v>
      </c>
    </row>
    <row r="11" spans="1:17">
      <c r="A11" s="3">
        <v>8</v>
      </c>
      <c r="B11" s="3" t="s">
        <v>366</v>
      </c>
      <c r="C11" s="4">
        <v>46101</v>
      </c>
      <c r="D11" s="3" t="s">
        <v>44</v>
      </c>
      <c r="E11" s="5" t="s">
        <v>82</v>
      </c>
      <c r="F11" s="5" t="s">
        <v>27</v>
      </c>
      <c r="G11" s="3" t="s">
        <v>31</v>
      </c>
      <c r="H11" s="3" t="s">
        <v>28</v>
      </c>
      <c r="I11" s="3">
        <v>36</v>
      </c>
      <c r="J11" s="3">
        <v>0</v>
      </c>
      <c r="K11" s="3">
        <v>5</v>
      </c>
      <c r="L11" s="3" t="s">
        <v>24</v>
      </c>
      <c r="M11" s="3" t="s">
        <v>293</v>
      </c>
      <c r="N11" s="3" t="s">
        <v>26</v>
      </c>
      <c r="O11" s="4">
        <v>46137</v>
      </c>
    </row>
    <row r="12" spans="1:17">
      <c r="A12" s="3">
        <v>9</v>
      </c>
      <c r="B12" s="3" t="s">
        <v>367</v>
      </c>
      <c r="C12" s="4">
        <v>46094</v>
      </c>
      <c r="D12" s="3" t="s">
        <v>44</v>
      </c>
      <c r="E12" s="5" t="s">
        <v>31</v>
      </c>
      <c r="F12" s="5" t="s">
        <v>58</v>
      </c>
      <c r="G12" s="3" t="s">
        <v>6</v>
      </c>
      <c r="H12" s="3" t="s">
        <v>104</v>
      </c>
      <c r="I12" s="3">
        <v>37</v>
      </c>
      <c r="J12" s="3">
        <v>0</v>
      </c>
      <c r="K12" s="3">
        <v>2</v>
      </c>
      <c r="L12" s="3" t="s">
        <v>96</v>
      </c>
      <c r="M12" s="3" t="s">
        <v>297</v>
      </c>
      <c r="N12" s="3" t="s">
        <v>91</v>
      </c>
      <c r="O12" s="4">
        <v>46122</v>
      </c>
    </row>
    <row r="13" spans="1:17">
      <c r="A13" s="3">
        <v>10</v>
      </c>
      <c r="B13" s="3" t="s">
        <v>368</v>
      </c>
      <c r="C13" s="4">
        <v>46099</v>
      </c>
      <c r="D13" s="3" t="s">
        <v>44</v>
      </c>
      <c r="E13" s="5" t="s">
        <v>31</v>
      </c>
      <c r="F13" s="5" t="s">
        <v>50</v>
      </c>
      <c r="G13" s="3" t="s">
        <v>35</v>
      </c>
      <c r="H13" s="3" t="s">
        <v>93</v>
      </c>
      <c r="I13" s="3">
        <v>34</v>
      </c>
      <c r="J13" s="3">
        <v>6</v>
      </c>
      <c r="K13" s="3">
        <v>0</v>
      </c>
      <c r="L13" s="3" t="s">
        <v>17</v>
      </c>
      <c r="M13" s="3" t="s">
        <v>293</v>
      </c>
      <c r="N13" s="3" t="s">
        <v>26</v>
      </c>
      <c r="O13" s="4">
        <v>46144</v>
      </c>
    </row>
    <row r="14" spans="1:17">
      <c r="A14" s="3">
        <v>11</v>
      </c>
      <c r="B14" s="3" t="s">
        <v>369</v>
      </c>
      <c r="C14" s="4">
        <v>46094</v>
      </c>
      <c r="D14" s="3" t="s">
        <v>44</v>
      </c>
      <c r="E14" s="5" t="s">
        <v>80</v>
      </c>
      <c r="F14" s="5" t="s">
        <v>5</v>
      </c>
      <c r="G14" s="3" t="s">
        <v>14</v>
      </c>
      <c r="H14" s="3" t="s">
        <v>68</v>
      </c>
      <c r="I14" s="3">
        <v>17</v>
      </c>
      <c r="J14" s="3">
        <v>8</v>
      </c>
      <c r="K14" s="3">
        <v>8</v>
      </c>
      <c r="L14" s="3" t="s">
        <v>42</v>
      </c>
      <c r="M14" s="3" t="s">
        <v>293</v>
      </c>
      <c r="N14" s="3" t="s">
        <v>20</v>
      </c>
      <c r="O14" s="4">
        <v>46116</v>
      </c>
    </row>
    <row r="15" spans="1:17">
      <c r="A15" s="3">
        <v>12</v>
      </c>
      <c r="B15" s="3" t="s">
        <v>370</v>
      </c>
      <c r="C15" s="4">
        <v>46140</v>
      </c>
      <c r="D15" s="3" t="s">
        <v>53</v>
      </c>
      <c r="E15" s="5" t="s">
        <v>80</v>
      </c>
      <c r="F15" s="5" t="s">
        <v>65</v>
      </c>
      <c r="G15" s="3" t="s">
        <v>51</v>
      </c>
      <c r="H15" s="3" t="s">
        <v>15</v>
      </c>
      <c r="I15" s="3">
        <v>40</v>
      </c>
      <c r="J15" s="3">
        <v>7</v>
      </c>
      <c r="K15" s="3">
        <v>2</v>
      </c>
      <c r="L15" s="3" t="s">
        <v>17</v>
      </c>
      <c r="M15" s="3" t="s">
        <v>297</v>
      </c>
      <c r="N15" s="3" t="s">
        <v>45</v>
      </c>
      <c r="O15" s="4">
        <v>46179</v>
      </c>
    </row>
    <row r="16" spans="1:17">
      <c r="A16" s="3">
        <v>13</v>
      </c>
      <c r="B16" s="3" t="s">
        <v>371</v>
      </c>
      <c r="C16" s="4">
        <v>46115</v>
      </c>
      <c r="D16" s="3" t="s">
        <v>53</v>
      </c>
      <c r="E16" s="5" t="s">
        <v>80</v>
      </c>
      <c r="F16" s="5" t="s">
        <v>39</v>
      </c>
      <c r="G16" s="3" t="s">
        <v>31</v>
      </c>
      <c r="H16" s="3" t="s">
        <v>66</v>
      </c>
      <c r="I16" s="3">
        <v>50</v>
      </c>
      <c r="J16" s="3">
        <v>7</v>
      </c>
      <c r="K16" s="3">
        <v>7</v>
      </c>
      <c r="L16" s="3" t="s">
        <v>10</v>
      </c>
      <c r="M16" s="3" t="s">
        <v>293</v>
      </c>
      <c r="N16" s="3" t="s">
        <v>38</v>
      </c>
      <c r="O16" s="4">
        <v>46148</v>
      </c>
    </row>
    <row r="17" spans="1:15">
      <c r="A17" s="3">
        <v>14</v>
      </c>
      <c r="B17" s="3" t="s">
        <v>372</v>
      </c>
      <c r="C17" s="4">
        <v>46113</v>
      </c>
      <c r="D17" s="3" t="s">
        <v>53</v>
      </c>
      <c r="E17" s="5" t="s">
        <v>14</v>
      </c>
      <c r="F17" s="5" t="s">
        <v>5</v>
      </c>
      <c r="G17" s="3" t="s">
        <v>35</v>
      </c>
      <c r="H17" s="3" t="s">
        <v>68</v>
      </c>
      <c r="I17" s="3">
        <v>15</v>
      </c>
      <c r="J17" s="3">
        <v>6</v>
      </c>
      <c r="K17" s="3">
        <v>1</v>
      </c>
      <c r="L17" s="3" t="s">
        <v>24</v>
      </c>
      <c r="M17" s="3" t="s">
        <v>293</v>
      </c>
      <c r="N17" s="3" t="s">
        <v>30</v>
      </c>
      <c r="O17" s="4">
        <v>46146</v>
      </c>
    </row>
    <row r="18" spans="1:15">
      <c r="A18" s="3">
        <v>15</v>
      </c>
      <c r="B18" s="3" t="s">
        <v>373</v>
      </c>
      <c r="C18" s="4">
        <v>46148</v>
      </c>
      <c r="D18" s="3" t="s">
        <v>60</v>
      </c>
      <c r="E18" s="5" t="s">
        <v>51</v>
      </c>
      <c r="F18" s="5" t="s">
        <v>89</v>
      </c>
      <c r="G18" s="3" t="s">
        <v>21</v>
      </c>
      <c r="H18" s="3" t="s">
        <v>104</v>
      </c>
      <c r="I18" s="3">
        <v>28</v>
      </c>
      <c r="J18" s="3">
        <v>6</v>
      </c>
      <c r="K18" s="3">
        <v>7</v>
      </c>
      <c r="L18" s="3" t="s">
        <v>24</v>
      </c>
      <c r="M18" s="3" t="s">
        <v>293</v>
      </c>
      <c r="N18" s="3" t="s">
        <v>45</v>
      </c>
      <c r="O18" s="4">
        <v>46179</v>
      </c>
    </row>
    <row r="19" spans="1:15">
      <c r="A19" s="3">
        <v>16</v>
      </c>
      <c r="B19" s="3" t="s">
        <v>374</v>
      </c>
      <c r="C19" s="4">
        <v>46151</v>
      </c>
      <c r="D19" s="3" t="s">
        <v>60</v>
      </c>
      <c r="E19" s="5" t="s">
        <v>80</v>
      </c>
      <c r="F19" s="5" t="s">
        <v>27</v>
      </c>
      <c r="G19" s="3" t="s">
        <v>82</v>
      </c>
      <c r="H19" s="3" t="s">
        <v>22</v>
      </c>
      <c r="I19" s="3">
        <v>17</v>
      </c>
      <c r="J19" s="3">
        <v>6</v>
      </c>
      <c r="K19" s="3">
        <v>4</v>
      </c>
      <c r="L19" s="3" t="s">
        <v>42</v>
      </c>
      <c r="M19" s="3" t="s">
        <v>293</v>
      </c>
      <c r="N19" s="3" t="s">
        <v>57</v>
      </c>
      <c r="O19" s="4">
        <v>46169</v>
      </c>
    </row>
    <row r="20" spans="1:15">
      <c r="A20" s="3">
        <v>17</v>
      </c>
      <c r="B20" s="3" t="s">
        <v>375</v>
      </c>
      <c r="C20" s="4">
        <v>46189</v>
      </c>
      <c r="D20" s="3" t="s">
        <v>73</v>
      </c>
      <c r="E20" s="5" t="s">
        <v>35</v>
      </c>
      <c r="F20" s="5" t="s">
        <v>5</v>
      </c>
      <c r="G20" s="3" t="s">
        <v>21</v>
      </c>
      <c r="H20" s="3" t="s">
        <v>104</v>
      </c>
      <c r="I20" s="3">
        <v>23</v>
      </c>
      <c r="J20" s="3">
        <v>1</v>
      </c>
      <c r="K20" s="3">
        <v>0</v>
      </c>
      <c r="L20" s="3" t="s">
        <v>42</v>
      </c>
      <c r="M20" s="3" t="s">
        <v>293</v>
      </c>
      <c r="N20" s="3" t="s">
        <v>61</v>
      </c>
      <c r="O20" s="4">
        <v>46196</v>
      </c>
    </row>
    <row r="21" spans="1:15">
      <c r="A21" s="3">
        <v>18</v>
      </c>
      <c r="B21" s="3" t="s">
        <v>376</v>
      </c>
      <c r="C21" s="4">
        <v>46174</v>
      </c>
      <c r="D21" s="3" t="s">
        <v>73</v>
      </c>
      <c r="E21" s="5" t="s">
        <v>14</v>
      </c>
      <c r="F21" s="5" t="s">
        <v>50</v>
      </c>
      <c r="G21" s="3" t="s">
        <v>35</v>
      </c>
      <c r="H21" s="3" t="s">
        <v>36</v>
      </c>
      <c r="I21" s="3">
        <v>25</v>
      </c>
      <c r="J21" s="3">
        <v>6</v>
      </c>
      <c r="K21" s="3">
        <v>6</v>
      </c>
      <c r="L21" s="3" t="s">
        <v>24</v>
      </c>
      <c r="M21" s="3" t="s">
        <v>293</v>
      </c>
      <c r="N21" s="3" t="s">
        <v>45</v>
      </c>
      <c r="O21" s="4">
        <v>46198</v>
      </c>
    </row>
    <row r="22" spans="1:15">
      <c r="A22" s="3">
        <v>19</v>
      </c>
      <c r="B22" s="3" t="s">
        <v>377</v>
      </c>
      <c r="C22" s="4">
        <v>46186</v>
      </c>
      <c r="D22" s="3" t="s">
        <v>73</v>
      </c>
      <c r="E22" s="5" t="s">
        <v>6</v>
      </c>
      <c r="F22" s="5" t="s">
        <v>46</v>
      </c>
      <c r="G22" s="3" t="s">
        <v>77</v>
      </c>
      <c r="H22" s="3" t="s">
        <v>28</v>
      </c>
      <c r="I22" s="3">
        <v>24</v>
      </c>
      <c r="J22" s="3">
        <v>4</v>
      </c>
      <c r="K22" s="3">
        <v>6</v>
      </c>
      <c r="L22" s="3" t="s">
        <v>96</v>
      </c>
      <c r="M22" s="3" t="s">
        <v>293</v>
      </c>
      <c r="N22" s="3" t="s">
        <v>49</v>
      </c>
      <c r="O22" s="4">
        <v>46200</v>
      </c>
    </row>
    <row r="23" spans="1:15">
      <c r="A23" s="3">
        <v>20</v>
      </c>
      <c r="B23" s="3" t="s">
        <v>378</v>
      </c>
      <c r="C23" s="4">
        <v>46198</v>
      </c>
      <c r="D23" s="3" t="s">
        <v>73</v>
      </c>
      <c r="E23" s="5" t="s">
        <v>35</v>
      </c>
      <c r="F23" s="5" t="s">
        <v>92</v>
      </c>
      <c r="G23" s="3" t="s">
        <v>80</v>
      </c>
      <c r="H23" s="3" t="s">
        <v>104</v>
      </c>
      <c r="I23" s="3">
        <v>35</v>
      </c>
      <c r="J23" s="3">
        <v>1</v>
      </c>
      <c r="K23" s="3">
        <v>1</v>
      </c>
      <c r="L23" s="3" t="s">
        <v>17</v>
      </c>
      <c r="M23" s="3" t="s">
        <v>293</v>
      </c>
      <c r="N23" s="3" t="s">
        <v>54</v>
      </c>
      <c r="O23" s="4">
        <v>46243</v>
      </c>
    </row>
    <row r="24" spans="1:15">
      <c r="A24" s="3">
        <v>21</v>
      </c>
      <c r="B24" s="3" t="s">
        <v>379</v>
      </c>
      <c r="C24" s="4">
        <v>46199</v>
      </c>
      <c r="D24" s="3" t="s">
        <v>73</v>
      </c>
      <c r="E24" s="5" t="s">
        <v>80</v>
      </c>
      <c r="F24" s="5" t="s">
        <v>46</v>
      </c>
      <c r="G24" s="3" t="s">
        <v>80</v>
      </c>
      <c r="H24" s="3" t="s">
        <v>70</v>
      </c>
      <c r="I24" s="3">
        <v>35</v>
      </c>
      <c r="J24" s="3">
        <v>8</v>
      </c>
      <c r="K24" s="3">
        <v>6</v>
      </c>
      <c r="L24" s="3" t="s">
        <v>96</v>
      </c>
      <c r="M24" s="3" t="s">
        <v>293</v>
      </c>
      <c r="N24" s="3" t="s">
        <v>64</v>
      </c>
      <c r="O24" s="4">
        <v>46234</v>
      </c>
    </row>
    <row r="25" spans="1:15">
      <c r="A25" s="3">
        <v>22</v>
      </c>
      <c r="B25" s="3" t="s">
        <v>380</v>
      </c>
      <c r="C25" s="4">
        <v>46184</v>
      </c>
      <c r="D25" s="3" t="s">
        <v>73</v>
      </c>
      <c r="E25" s="5" t="s">
        <v>31</v>
      </c>
      <c r="F25" s="5" t="s">
        <v>89</v>
      </c>
      <c r="G25" s="3" t="s">
        <v>80</v>
      </c>
      <c r="H25" s="3" t="s">
        <v>62</v>
      </c>
      <c r="I25" s="3">
        <v>30</v>
      </c>
      <c r="J25" s="3">
        <v>4</v>
      </c>
      <c r="K25" s="3">
        <v>4</v>
      </c>
      <c r="L25" s="3" t="s">
        <v>96</v>
      </c>
      <c r="M25" s="3" t="s">
        <v>293</v>
      </c>
      <c r="N25" s="3" t="s">
        <v>64</v>
      </c>
      <c r="O25" s="4">
        <v>46211</v>
      </c>
    </row>
    <row r="26" spans="1:15">
      <c r="A26" s="3">
        <v>23</v>
      </c>
      <c r="B26" s="3" t="s">
        <v>381</v>
      </c>
      <c r="C26" s="4">
        <v>46178</v>
      </c>
      <c r="D26" s="3" t="s">
        <v>73</v>
      </c>
      <c r="E26" s="5" t="s">
        <v>6</v>
      </c>
      <c r="F26" s="5" t="s">
        <v>50</v>
      </c>
      <c r="G26" s="3" t="s">
        <v>87</v>
      </c>
      <c r="H26" s="3" t="s">
        <v>41</v>
      </c>
      <c r="I26" s="3">
        <v>46</v>
      </c>
      <c r="J26" s="3">
        <v>8</v>
      </c>
      <c r="K26" s="3">
        <v>6</v>
      </c>
      <c r="L26" s="3" t="s">
        <v>10</v>
      </c>
      <c r="M26" s="3" t="s">
        <v>293</v>
      </c>
      <c r="N26" s="3" t="s">
        <v>30</v>
      </c>
      <c r="O26" s="4">
        <v>46190</v>
      </c>
    </row>
    <row r="27" spans="1:15">
      <c r="A27" s="3">
        <v>24</v>
      </c>
      <c r="B27" s="3" t="s">
        <v>382</v>
      </c>
      <c r="C27" s="4">
        <v>46205</v>
      </c>
      <c r="D27" s="3" t="s">
        <v>76</v>
      </c>
      <c r="E27" s="5" t="s">
        <v>40</v>
      </c>
      <c r="F27" s="5" t="s">
        <v>58</v>
      </c>
      <c r="G27" s="3" t="s">
        <v>31</v>
      </c>
      <c r="H27" s="3" t="s">
        <v>22</v>
      </c>
      <c r="I27" s="3">
        <v>49</v>
      </c>
      <c r="J27" s="3">
        <v>4</v>
      </c>
      <c r="K27" s="3">
        <v>5</v>
      </c>
      <c r="L27" s="3" t="s">
        <v>10</v>
      </c>
      <c r="M27" s="3" t="s">
        <v>293</v>
      </c>
      <c r="N27" s="3" t="s">
        <v>64</v>
      </c>
      <c r="O27" s="4">
        <v>46227</v>
      </c>
    </row>
    <row r="28" spans="1:15">
      <c r="A28" s="3">
        <v>25</v>
      </c>
      <c r="B28" s="3" t="s">
        <v>383</v>
      </c>
      <c r="C28" s="4">
        <v>46205</v>
      </c>
      <c r="D28" s="3" t="s">
        <v>76</v>
      </c>
      <c r="E28" s="5" t="s">
        <v>21</v>
      </c>
      <c r="F28" s="5" t="s">
        <v>65</v>
      </c>
      <c r="G28" s="3" t="s">
        <v>87</v>
      </c>
      <c r="H28" s="3" t="s">
        <v>62</v>
      </c>
      <c r="I28" s="3">
        <v>27</v>
      </c>
      <c r="J28" s="3">
        <v>7</v>
      </c>
      <c r="K28" s="3">
        <v>8</v>
      </c>
      <c r="L28" s="3" t="s">
        <v>10</v>
      </c>
      <c r="M28" s="3" t="s">
        <v>293</v>
      </c>
      <c r="N28" s="3" t="s">
        <v>26</v>
      </c>
      <c r="O28" s="4">
        <v>46249</v>
      </c>
    </row>
    <row r="29" spans="1:15">
      <c r="A29" s="3">
        <v>26</v>
      </c>
      <c r="B29" s="3" t="s">
        <v>384</v>
      </c>
      <c r="C29" s="4">
        <v>46206</v>
      </c>
      <c r="D29" s="3" t="s">
        <v>76</v>
      </c>
      <c r="E29" s="5" t="s">
        <v>77</v>
      </c>
      <c r="F29" s="5" t="s">
        <v>27</v>
      </c>
      <c r="G29" s="3" t="s">
        <v>87</v>
      </c>
      <c r="H29" s="3" t="s">
        <v>70</v>
      </c>
      <c r="I29" s="3">
        <v>36</v>
      </c>
      <c r="J29" s="3">
        <v>4</v>
      </c>
      <c r="K29" s="3">
        <v>4</v>
      </c>
      <c r="L29" s="3" t="s">
        <v>17</v>
      </c>
      <c r="M29" s="3" t="s">
        <v>293</v>
      </c>
      <c r="N29" s="3" t="s">
        <v>12</v>
      </c>
      <c r="O29" s="4">
        <v>46217</v>
      </c>
    </row>
    <row r="30" spans="1:15">
      <c r="A30" s="3">
        <v>27</v>
      </c>
      <c r="B30" s="3" t="s">
        <v>385</v>
      </c>
      <c r="C30" s="4">
        <v>46206</v>
      </c>
      <c r="D30" s="3" t="s">
        <v>76</v>
      </c>
      <c r="E30" s="5" t="s">
        <v>40</v>
      </c>
      <c r="F30" s="5" t="s">
        <v>13</v>
      </c>
      <c r="G30" s="3" t="s">
        <v>35</v>
      </c>
      <c r="H30" s="3" t="s">
        <v>104</v>
      </c>
      <c r="I30" s="3">
        <v>31</v>
      </c>
      <c r="J30" s="3">
        <v>0</v>
      </c>
      <c r="K30" s="3">
        <v>5</v>
      </c>
      <c r="L30" s="3" t="s">
        <v>96</v>
      </c>
      <c r="M30" s="3" t="s">
        <v>293</v>
      </c>
      <c r="N30" s="3" t="s">
        <v>12</v>
      </c>
      <c r="O30" s="4">
        <v>46242</v>
      </c>
    </row>
    <row r="31" spans="1:15">
      <c r="A31" s="3">
        <v>28</v>
      </c>
      <c r="B31" s="3" t="s">
        <v>386</v>
      </c>
      <c r="C31" s="4">
        <v>46204</v>
      </c>
      <c r="D31" s="3" t="s">
        <v>76</v>
      </c>
      <c r="E31" s="5" t="s">
        <v>31</v>
      </c>
      <c r="F31" s="5" t="s">
        <v>5</v>
      </c>
      <c r="G31" s="3" t="s">
        <v>80</v>
      </c>
      <c r="H31" s="3" t="s">
        <v>15</v>
      </c>
      <c r="I31" s="3">
        <v>48</v>
      </c>
      <c r="J31" s="3">
        <v>3</v>
      </c>
      <c r="K31" s="3">
        <v>6</v>
      </c>
      <c r="L31" s="3" t="s">
        <v>96</v>
      </c>
      <c r="M31" s="3" t="s">
        <v>293</v>
      </c>
      <c r="N31" s="3" t="s">
        <v>20</v>
      </c>
      <c r="O31" s="4">
        <v>46240</v>
      </c>
    </row>
    <row r="32" spans="1:15">
      <c r="A32" s="3">
        <v>29</v>
      </c>
      <c r="B32" s="3" t="s">
        <v>387</v>
      </c>
      <c r="C32" s="4">
        <v>46253</v>
      </c>
      <c r="D32" s="3" t="s">
        <v>86</v>
      </c>
      <c r="E32" s="5" t="s">
        <v>82</v>
      </c>
      <c r="F32" s="5" t="s">
        <v>13</v>
      </c>
      <c r="G32" s="3" t="s">
        <v>51</v>
      </c>
      <c r="H32" s="3" t="s">
        <v>70</v>
      </c>
      <c r="I32" s="3">
        <v>46</v>
      </c>
      <c r="J32" s="3">
        <v>6</v>
      </c>
      <c r="K32" s="3">
        <v>3</v>
      </c>
      <c r="L32" s="3" t="s">
        <v>17</v>
      </c>
      <c r="M32" s="3" t="s">
        <v>293</v>
      </c>
      <c r="N32" s="3" t="s">
        <v>16</v>
      </c>
      <c r="O32" s="4">
        <v>46260</v>
      </c>
    </row>
    <row r="33" spans="1:15">
      <c r="A33" s="3">
        <v>30</v>
      </c>
      <c r="B33" s="3" t="s">
        <v>388</v>
      </c>
      <c r="C33" s="4">
        <v>46247</v>
      </c>
      <c r="D33" s="3" t="s">
        <v>86</v>
      </c>
      <c r="E33" s="5" t="s">
        <v>21</v>
      </c>
      <c r="F33" s="5" t="s">
        <v>89</v>
      </c>
      <c r="G33" s="3" t="s">
        <v>6</v>
      </c>
      <c r="H33" s="3" t="s">
        <v>62</v>
      </c>
      <c r="I33" s="3">
        <v>40</v>
      </c>
      <c r="J33" s="3">
        <v>1</v>
      </c>
      <c r="K33" s="3">
        <v>8</v>
      </c>
      <c r="L33" s="3" t="s">
        <v>10</v>
      </c>
      <c r="M33" s="3" t="s">
        <v>293</v>
      </c>
      <c r="N33" s="3" t="s">
        <v>30</v>
      </c>
      <c r="O33" s="4">
        <v>46269</v>
      </c>
    </row>
    <row r="34" spans="1:15">
      <c r="A34" s="3">
        <v>31</v>
      </c>
      <c r="B34" s="3" t="s">
        <v>389</v>
      </c>
      <c r="C34" s="4">
        <v>46251</v>
      </c>
      <c r="D34" s="3" t="s">
        <v>86</v>
      </c>
      <c r="E34" s="5" t="s">
        <v>35</v>
      </c>
      <c r="F34" s="5" t="s">
        <v>5</v>
      </c>
      <c r="G34" s="3" t="s">
        <v>80</v>
      </c>
      <c r="H34" s="3" t="s">
        <v>41</v>
      </c>
      <c r="I34" s="3">
        <v>45</v>
      </c>
      <c r="J34" s="3">
        <v>1</v>
      </c>
      <c r="K34" s="3">
        <v>0</v>
      </c>
      <c r="L34" s="3" t="s">
        <v>10</v>
      </c>
      <c r="M34" s="3" t="s">
        <v>238</v>
      </c>
      <c r="N34" s="3" t="s">
        <v>26</v>
      </c>
      <c r="O34" s="4">
        <v>46280</v>
      </c>
    </row>
    <row r="35" spans="1:15">
      <c r="A35" s="3">
        <v>32</v>
      </c>
      <c r="B35" s="3" t="s">
        <v>390</v>
      </c>
      <c r="C35" s="4">
        <v>46259</v>
      </c>
      <c r="D35" s="3" t="s">
        <v>86</v>
      </c>
      <c r="E35" s="5" t="s">
        <v>35</v>
      </c>
      <c r="F35" s="5" t="s">
        <v>39</v>
      </c>
      <c r="G35" s="3" t="s">
        <v>95</v>
      </c>
      <c r="H35" s="3" t="s">
        <v>104</v>
      </c>
      <c r="I35" s="3">
        <v>32</v>
      </c>
      <c r="J35" s="3">
        <v>8</v>
      </c>
      <c r="K35" s="3">
        <v>8</v>
      </c>
      <c r="L35" s="3" t="s">
        <v>24</v>
      </c>
      <c r="M35" s="3" t="s">
        <v>238</v>
      </c>
      <c r="N35" s="3" t="s">
        <v>91</v>
      </c>
      <c r="O35" s="4">
        <v>46274</v>
      </c>
    </row>
    <row r="36" spans="1:15">
      <c r="A36" s="3">
        <v>33</v>
      </c>
      <c r="B36" s="3" t="s">
        <v>391</v>
      </c>
      <c r="C36" s="4">
        <v>46236</v>
      </c>
      <c r="D36" s="3" t="s">
        <v>86</v>
      </c>
      <c r="E36" s="5" t="s">
        <v>35</v>
      </c>
      <c r="F36" s="5" t="s">
        <v>89</v>
      </c>
      <c r="G36" s="3" t="s">
        <v>40</v>
      </c>
      <c r="H36" s="3" t="s">
        <v>70</v>
      </c>
      <c r="I36" s="3">
        <v>27</v>
      </c>
      <c r="J36" s="3">
        <v>8</v>
      </c>
      <c r="K36" s="3">
        <v>7</v>
      </c>
      <c r="L36" s="3" t="s">
        <v>42</v>
      </c>
      <c r="M36" s="3" t="s">
        <v>293</v>
      </c>
      <c r="N36" s="3" t="s">
        <v>4</v>
      </c>
      <c r="O36" s="4">
        <v>46269</v>
      </c>
    </row>
    <row r="37" spans="1:15">
      <c r="A37" s="3">
        <v>34</v>
      </c>
      <c r="B37" s="3" t="s">
        <v>392</v>
      </c>
      <c r="C37" s="4">
        <v>46276</v>
      </c>
      <c r="D37" s="3" t="s">
        <v>102</v>
      </c>
      <c r="E37" s="5" t="s">
        <v>95</v>
      </c>
      <c r="F37" s="5" t="s">
        <v>65</v>
      </c>
      <c r="G37" s="3" t="s">
        <v>80</v>
      </c>
      <c r="H37" s="3" t="s">
        <v>28</v>
      </c>
      <c r="I37" s="3">
        <v>34</v>
      </c>
      <c r="J37" s="3">
        <v>4</v>
      </c>
      <c r="K37" s="3">
        <v>8</v>
      </c>
      <c r="L37" s="3" t="s">
        <v>10</v>
      </c>
      <c r="M37" s="3" t="s">
        <v>293</v>
      </c>
      <c r="N37" s="3" t="s">
        <v>57</v>
      </c>
      <c r="O37" s="4">
        <v>46319</v>
      </c>
    </row>
    <row r="38" spans="1:15">
      <c r="A38" s="3">
        <v>35</v>
      </c>
      <c r="B38" s="3" t="s">
        <v>393</v>
      </c>
      <c r="C38" s="4">
        <v>46267</v>
      </c>
      <c r="D38" s="3" t="s">
        <v>102</v>
      </c>
      <c r="E38" s="5" t="s">
        <v>31</v>
      </c>
      <c r="F38" s="5" t="s">
        <v>50</v>
      </c>
      <c r="G38" s="3" t="s">
        <v>31</v>
      </c>
      <c r="H38" s="3" t="s">
        <v>62</v>
      </c>
      <c r="I38" s="3">
        <v>37</v>
      </c>
      <c r="J38" s="3">
        <v>6</v>
      </c>
      <c r="K38" s="3">
        <v>2</v>
      </c>
      <c r="L38" s="3" t="s">
        <v>17</v>
      </c>
      <c r="M38" s="3" t="s">
        <v>293</v>
      </c>
      <c r="N38" s="3" t="s">
        <v>57</v>
      </c>
      <c r="O38" s="4">
        <v>46292</v>
      </c>
    </row>
    <row r="39" spans="1:15">
      <c r="A39" s="3">
        <v>36</v>
      </c>
      <c r="B39" s="3" t="s">
        <v>394</v>
      </c>
      <c r="C39" s="4">
        <v>46276</v>
      </c>
      <c r="D39" s="3" t="s">
        <v>102</v>
      </c>
      <c r="E39" s="5" t="s">
        <v>77</v>
      </c>
      <c r="F39" s="5" t="s">
        <v>89</v>
      </c>
      <c r="G39" s="3" t="s">
        <v>40</v>
      </c>
      <c r="H39" s="3" t="s">
        <v>66</v>
      </c>
      <c r="I39" s="3">
        <v>31</v>
      </c>
      <c r="J39" s="3">
        <v>4</v>
      </c>
      <c r="K39" s="3">
        <v>8</v>
      </c>
      <c r="L39" s="3" t="s">
        <v>96</v>
      </c>
      <c r="M39" s="3" t="s">
        <v>293</v>
      </c>
      <c r="N39" s="3" t="s">
        <v>54</v>
      </c>
      <c r="O39" s="4">
        <v>46297</v>
      </c>
    </row>
    <row r="40" spans="1:15">
      <c r="A40" s="3">
        <v>37</v>
      </c>
      <c r="B40" s="3" t="s">
        <v>395</v>
      </c>
      <c r="C40" s="4">
        <v>46272</v>
      </c>
      <c r="D40" s="3" t="s">
        <v>102</v>
      </c>
      <c r="E40" s="5" t="s">
        <v>21</v>
      </c>
      <c r="F40" s="5" t="s">
        <v>50</v>
      </c>
      <c r="G40" s="3" t="s">
        <v>80</v>
      </c>
      <c r="H40" s="3" t="s">
        <v>7</v>
      </c>
      <c r="I40" s="3">
        <v>27</v>
      </c>
      <c r="J40" s="3">
        <v>2</v>
      </c>
      <c r="K40" s="3">
        <v>0</v>
      </c>
      <c r="L40" s="3" t="s">
        <v>10</v>
      </c>
      <c r="M40" s="3" t="s">
        <v>293</v>
      </c>
      <c r="N40" s="3" t="s">
        <v>54</v>
      </c>
      <c r="O40" s="4">
        <v>46287</v>
      </c>
    </row>
    <row r="41" spans="1:15">
      <c r="A41" s="3">
        <v>38</v>
      </c>
      <c r="B41" s="3" t="s">
        <v>396</v>
      </c>
      <c r="C41" s="4">
        <v>46280</v>
      </c>
      <c r="D41" s="3" t="s">
        <v>102</v>
      </c>
      <c r="E41" s="5" t="s">
        <v>40</v>
      </c>
      <c r="F41" s="5" t="s">
        <v>89</v>
      </c>
      <c r="G41" s="3" t="s">
        <v>40</v>
      </c>
      <c r="H41" s="3" t="s">
        <v>28</v>
      </c>
      <c r="I41" s="3">
        <v>34</v>
      </c>
      <c r="J41" s="3">
        <v>7</v>
      </c>
      <c r="K41" s="3">
        <v>1</v>
      </c>
      <c r="L41" s="3" t="s">
        <v>17</v>
      </c>
      <c r="M41" s="3" t="s">
        <v>238</v>
      </c>
      <c r="N41" s="3" t="s">
        <v>4</v>
      </c>
      <c r="O41" s="4">
        <v>46293</v>
      </c>
    </row>
    <row r="42" spans="1:15">
      <c r="A42" s="3">
        <v>39</v>
      </c>
      <c r="B42" s="3" t="s">
        <v>397</v>
      </c>
      <c r="C42" s="4">
        <v>46273</v>
      </c>
      <c r="D42" s="3" t="s">
        <v>102</v>
      </c>
      <c r="E42" s="5" t="s">
        <v>87</v>
      </c>
      <c r="F42" s="5" t="s">
        <v>27</v>
      </c>
      <c r="G42" s="3" t="s">
        <v>21</v>
      </c>
      <c r="H42" s="3" t="s">
        <v>7</v>
      </c>
      <c r="I42" s="3">
        <v>43</v>
      </c>
      <c r="J42" s="3">
        <v>1</v>
      </c>
      <c r="K42" s="3">
        <v>4</v>
      </c>
      <c r="L42" s="3" t="s">
        <v>96</v>
      </c>
      <c r="M42" s="3" t="s">
        <v>293</v>
      </c>
      <c r="N42" s="3" t="s">
        <v>12</v>
      </c>
      <c r="O42" s="4">
        <v>46299</v>
      </c>
    </row>
    <row r="43" spans="1:15">
      <c r="A43" s="3">
        <v>40</v>
      </c>
      <c r="B43" s="3" t="s">
        <v>398</v>
      </c>
      <c r="C43" s="4">
        <v>46314</v>
      </c>
      <c r="D43" s="3" t="s">
        <v>106</v>
      </c>
      <c r="E43" s="5" t="s">
        <v>82</v>
      </c>
      <c r="F43" s="5" t="s">
        <v>27</v>
      </c>
      <c r="G43" s="3" t="s">
        <v>82</v>
      </c>
      <c r="H43" s="3" t="s">
        <v>66</v>
      </c>
      <c r="I43" s="3">
        <v>19</v>
      </c>
      <c r="J43" s="3">
        <v>2</v>
      </c>
      <c r="K43" s="3">
        <v>6</v>
      </c>
      <c r="L43" s="3" t="s">
        <v>96</v>
      </c>
      <c r="M43" s="3" t="s">
        <v>293</v>
      </c>
      <c r="N43" s="3" t="s">
        <v>61</v>
      </c>
      <c r="O43" s="4">
        <v>46329</v>
      </c>
    </row>
    <row r="44" spans="1:15">
      <c r="A44" s="3">
        <v>41</v>
      </c>
      <c r="B44" s="3" t="s">
        <v>399</v>
      </c>
      <c r="C44" s="4">
        <v>46314</v>
      </c>
      <c r="D44" s="3" t="s">
        <v>106</v>
      </c>
      <c r="E44" s="5" t="s">
        <v>40</v>
      </c>
      <c r="F44" s="5" t="s">
        <v>58</v>
      </c>
      <c r="G44" s="3" t="s">
        <v>21</v>
      </c>
      <c r="H44" s="3" t="s">
        <v>70</v>
      </c>
      <c r="I44" s="3">
        <v>46</v>
      </c>
      <c r="J44" s="3">
        <v>7</v>
      </c>
      <c r="K44" s="3">
        <v>8</v>
      </c>
      <c r="L44" s="3" t="s">
        <v>17</v>
      </c>
      <c r="M44" s="3" t="s">
        <v>293</v>
      </c>
      <c r="N44" s="3" t="s">
        <v>12</v>
      </c>
      <c r="O44" s="4">
        <v>46345</v>
      </c>
    </row>
    <row r="45" spans="1:15">
      <c r="A45" s="3">
        <v>42</v>
      </c>
      <c r="B45" s="3" t="s">
        <v>400</v>
      </c>
      <c r="C45" s="4">
        <v>46314</v>
      </c>
      <c r="D45" s="3" t="s">
        <v>106</v>
      </c>
      <c r="E45" s="5" t="s">
        <v>14</v>
      </c>
      <c r="F45" s="5" t="s">
        <v>39</v>
      </c>
      <c r="G45" s="3" t="s">
        <v>82</v>
      </c>
      <c r="H45" s="3" t="s">
        <v>32</v>
      </c>
      <c r="I45" s="3">
        <v>48</v>
      </c>
      <c r="J45" s="3">
        <v>3</v>
      </c>
      <c r="K45" s="3">
        <v>2</v>
      </c>
      <c r="L45" s="3" t="s">
        <v>96</v>
      </c>
      <c r="M45" s="3" t="s">
        <v>293</v>
      </c>
      <c r="N45" s="3" t="s">
        <v>54</v>
      </c>
      <c r="O45" s="4">
        <v>46336</v>
      </c>
    </row>
    <row r="46" spans="1:15">
      <c r="A46" s="3">
        <v>43</v>
      </c>
      <c r="B46" s="3" t="s">
        <v>401</v>
      </c>
      <c r="C46" s="4">
        <v>46331</v>
      </c>
      <c r="D46" s="3" t="s">
        <v>111</v>
      </c>
      <c r="E46" s="5" t="s">
        <v>31</v>
      </c>
      <c r="F46" s="5" t="s">
        <v>58</v>
      </c>
      <c r="G46" s="3" t="s">
        <v>95</v>
      </c>
      <c r="H46" s="3" t="s">
        <v>93</v>
      </c>
      <c r="I46" s="3">
        <v>26</v>
      </c>
      <c r="J46" s="3">
        <v>0</v>
      </c>
      <c r="K46" s="3">
        <v>7</v>
      </c>
      <c r="L46" s="3" t="s">
        <v>17</v>
      </c>
      <c r="M46" s="3" t="s">
        <v>293</v>
      </c>
      <c r="N46" s="3" t="s">
        <v>16</v>
      </c>
      <c r="O46" s="4">
        <v>46356</v>
      </c>
    </row>
    <row r="47" spans="1:15">
      <c r="A47" s="3">
        <v>44</v>
      </c>
      <c r="B47" s="3" t="s">
        <v>402</v>
      </c>
      <c r="C47" s="4">
        <v>46346</v>
      </c>
      <c r="D47" s="3" t="s">
        <v>111</v>
      </c>
      <c r="E47" s="5" t="s">
        <v>21</v>
      </c>
      <c r="F47" s="5" t="s">
        <v>39</v>
      </c>
      <c r="G47" s="3" t="s">
        <v>77</v>
      </c>
      <c r="H47" s="3" t="s">
        <v>62</v>
      </c>
      <c r="I47" s="3">
        <v>47</v>
      </c>
      <c r="J47" s="3">
        <v>0</v>
      </c>
      <c r="K47" s="3">
        <v>4</v>
      </c>
      <c r="L47" s="3" t="s">
        <v>24</v>
      </c>
      <c r="M47" s="3" t="s">
        <v>293</v>
      </c>
      <c r="N47" s="3" t="s">
        <v>4</v>
      </c>
      <c r="O47" s="4">
        <v>46355</v>
      </c>
    </row>
    <row r="48" spans="1:15">
      <c r="A48" s="3">
        <v>45</v>
      </c>
      <c r="B48" s="3" t="s">
        <v>403</v>
      </c>
      <c r="C48" s="4">
        <v>46333</v>
      </c>
      <c r="D48" s="3" t="s">
        <v>111</v>
      </c>
      <c r="E48" s="5" t="s">
        <v>77</v>
      </c>
      <c r="F48" s="5" t="s">
        <v>89</v>
      </c>
      <c r="G48" s="3" t="s">
        <v>51</v>
      </c>
      <c r="H48" s="3" t="s">
        <v>93</v>
      </c>
      <c r="I48" s="3">
        <v>20</v>
      </c>
      <c r="J48" s="3">
        <v>4</v>
      </c>
      <c r="K48" s="3">
        <v>3</v>
      </c>
      <c r="L48" s="3" t="s">
        <v>10</v>
      </c>
      <c r="M48" s="3" t="s">
        <v>293</v>
      </c>
      <c r="N48" s="3" t="s">
        <v>54</v>
      </c>
      <c r="O48" s="4">
        <v>46366</v>
      </c>
    </row>
    <row r="49" spans="1:15">
      <c r="A49" s="3">
        <v>46</v>
      </c>
      <c r="B49" s="3" t="s">
        <v>404</v>
      </c>
      <c r="C49" s="4">
        <v>46341</v>
      </c>
      <c r="D49" s="3" t="s">
        <v>111</v>
      </c>
      <c r="E49" s="5" t="s">
        <v>21</v>
      </c>
      <c r="F49" s="5" t="s">
        <v>58</v>
      </c>
      <c r="G49" s="3" t="s">
        <v>51</v>
      </c>
      <c r="H49" s="3" t="s">
        <v>62</v>
      </c>
      <c r="I49" s="3">
        <v>19</v>
      </c>
      <c r="J49" s="3">
        <v>7</v>
      </c>
      <c r="K49" s="3">
        <v>6</v>
      </c>
      <c r="L49" s="3" t="s">
        <v>24</v>
      </c>
      <c r="M49" s="3" t="s">
        <v>293</v>
      </c>
      <c r="N49" s="3" t="s">
        <v>20</v>
      </c>
      <c r="O49" s="4">
        <v>46362</v>
      </c>
    </row>
    <row r="50" spans="1:15">
      <c r="A50" s="3">
        <v>47</v>
      </c>
      <c r="B50" s="3" t="s">
        <v>405</v>
      </c>
      <c r="C50" s="4">
        <v>46370</v>
      </c>
      <c r="D50" s="3" t="s">
        <v>122</v>
      </c>
      <c r="E50" s="5" t="s">
        <v>31</v>
      </c>
      <c r="F50" s="5" t="s">
        <v>65</v>
      </c>
      <c r="G50" s="3" t="s">
        <v>87</v>
      </c>
      <c r="H50" s="3" t="s">
        <v>22</v>
      </c>
      <c r="I50" s="3">
        <v>19</v>
      </c>
      <c r="J50" s="3">
        <v>1</v>
      </c>
      <c r="K50" s="3">
        <v>4</v>
      </c>
      <c r="L50" s="3" t="s">
        <v>17</v>
      </c>
      <c r="M50" s="3" t="s">
        <v>293</v>
      </c>
      <c r="N50" s="3" t="s">
        <v>30</v>
      </c>
      <c r="O50" s="4">
        <v>46393</v>
      </c>
    </row>
    <row r="51" spans="1:15">
      <c r="A51" s="3">
        <v>48</v>
      </c>
      <c r="B51" s="3" t="s">
        <v>406</v>
      </c>
      <c r="C51" s="4">
        <v>46373</v>
      </c>
      <c r="D51" s="3" t="s">
        <v>122</v>
      </c>
      <c r="E51" s="5" t="s">
        <v>77</v>
      </c>
      <c r="F51" s="5" t="s">
        <v>5</v>
      </c>
      <c r="G51" s="3" t="s">
        <v>80</v>
      </c>
      <c r="H51" s="3" t="s">
        <v>62</v>
      </c>
      <c r="I51" s="3">
        <v>22</v>
      </c>
      <c r="J51" s="3">
        <v>0</v>
      </c>
      <c r="K51" s="3">
        <v>1</v>
      </c>
      <c r="L51" s="3" t="s">
        <v>42</v>
      </c>
      <c r="M51" s="3" t="s">
        <v>297</v>
      </c>
      <c r="N51" s="3" t="s">
        <v>45</v>
      </c>
      <c r="O51" s="4">
        <v>46401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1.7109375" customWidth="1"/>
    <col min="9" max="9" width="23.7109375" customWidth="1"/>
    <col min="10" max="10" width="18.7109375" customWidth="1"/>
    <col min="11" max="11" width="19.7109375" customWidth="1"/>
    <col min="12" max="12" width="16.7109375" customWidth="1"/>
    <col min="13" max="13" width="9.7109375" customWidth="1"/>
    <col min="14" max="14" width="19.7109375" customWidth="1"/>
    <col min="15" max="15" width="10.7109375" customWidth="1"/>
  </cols>
  <sheetData>
    <row r="1" spans="1:17" ht="22" customHeight="1">
      <c r="A1" s="1" t="s">
        <v>414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407</v>
      </c>
      <c r="F3" t="s">
        <v>129</v>
      </c>
      <c r="G3" t="s">
        <v>130</v>
      </c>
      <c r="H3" t="s">
        <v>408</v>
      </c>
      <c r="I3" t="s">
        <v>409</v>
      </c>
      <c r="J3" t="s">
        <v>410</v>
      </c>
      <c r="K3" t="s">
        <v>411</v>
      </c>
      <c r="L3" t="s">
        <v>412</v>
      </c>
      <c r="M3" t="s">
        <v>287</v>
      </c>
      <c r="N3" t="s">
        <v>413</v>
      </c>
      <c r="O3" t="s">
        <v>357</v>
      </c>
    </row>
    <row r="4" spans="1:17">
      <c r="A4" s="3">
        <v>1</v>
      </c>
      <c r="B4" s="3" t="s">
        <v>415</v>
      </c>
      <c r="C4" s="4">
        <v>46024</v>
      </c>
      <c r="D4" s="3" t="s">
        <v>3</v>
      </c>
      <c r="E4" s="5" t="s">
        <v>51</v>
      </c>
      <c r="F4" s="5" t="s">
        <v>65</v>
      </c>
      <c r="G4" s="3" t="s">
        <v>77</v>
      </c>
      <c r="H4" s="3" t="s">
        <v>68</v>
      </c>
      <c r="I4" s="3">
        <v>50</v>
      </c>
      <c r="J4" s="3">
        <v>4</v>
      </c>
      <c r="K4" s="3">
        <v>8</v>
      </c>
      <c r="L4" s="3" t="s">
        <v>10</v>
      </c>
      <c r="M4" s="3" t="s">
        <v>293</v>
      </c>
      <c r="N4" s="3" t="s">
        <v>20</v>
      </c>
      <c r="O4" s="4">
        <v>46039</v>
      </c>
    </row>
    <row r="5" spans="1:17">
      <c r="A5" s="3">
        <v>2</v>
      </c>
      <c r="B5" s="3" t="s">
        <v>416</v>
      </c>
      <c r="C5" s="4">
        <v>46031</v>
      </c>
      <c r="D5" s="3" t="s">
        <v>3</v>
      </c>
      <c r="E5" s="5" t="s">
        <v>21</v>
      </c>
      <c r="F5" s="5" t="s">
        <v>58</v>
      </c>
      <c r="G5" s="3" t="s">
        <v>14</v>
      </c>
      <c r="H5" s="3" t="s">
        <v>28</v>
      </c>
      <c r="I5" s="3">
        <v>21</v>
      </c>
      <c r="J5" s="3">
        <v>6</v>
      </c>
      <c r="K5" s="3">
        <v>2</v>
      </c>
      <c r="L5" s="3" t="s">
        <v>42</v>
      </c>
      <c r="M5" s="3" t="s">
        <v>238</v>
      </c>
      <c r="N5" s="3" t="s">
        <v>38</v>
      </c>
      <c r="O5" s="4">
        <v>46047</v>
      </c>
    </row>
    <row r="6" spans="1:17">
      <c r="A6" s="3">
        <v>3</v>
      </c>
      <c r="B6" s="3" t="s">
        <v>417</v>
      </c>
      <c r="C6" s="4">
        <v>46043</v>
      </c>
      <c r="D6" s="3" t="s">
        <v>3</v>
      </c>
      <c r="E6" s="5" t="s">
        <v>82</v>
      </c>
      <c r="F6" s="5" t="s">
        <v>65</v>
      </c>
      <c r="G6" s="3" t="s">
        <v>31</v>
      </c>
      <c r="H6" s="3" t="s">
        <v>70</v>
      </c>
      <c r="I6" s="3">
        <v>43</v>
      </c>
      <c r="J6" s="3">
        <v>6</v>
      </c>
      <c r="K6" s="3">
        <v>0</v>
      </c>
      <c r="L6" s="3" t="s">
        <v>17</v>
      </c>
      <c r="M6" s="3" t="s">
        <v>293</v>
      </c>
      <c r="N6" s="3" t="s">
        <v>4</v>
      </c>
      <c r="O6" s="4">
        <v>46083</v>
      </c>
    </row>
    <row r="7" spans="1:17">
      <c r="A7" s="3">
        <v>4</v>
      </c>
      <c r="B7" s="3" t="s">
        <v>418</v>
      </c>
      <c r="C7" s="4">
        <v>46042</v>
      </c>
      <c r="D7" s="3" t="s">
        <v>3</v>
      </c>
      <c r="E7" s="5" t="s">
        <v>87</v>
      </c>
      <c r="F7" s="5" t="s">
        <v>89</v>
      </c>
      <c r="G7" s="3" t="s">
        <v>40</v>
      </c>
      <c r="H7" s="3" t="s">
        <v>41</v>
      </c>
      <c r="I7" s="3">
        <v>32</v>
      </c>
      <c r="J7" s="3">
        <v>7</v>
      </c>
      <c r="K7" s="3">
        <v>7</v>
      </c>
      <c r="L7" s="3" t="s">
        <v>10</v>
      </c>
      <c r="M7" s="3" t="s">
        <v>293</v>
      </c>
      <c r="N7" s="3" t="s">
        <v>4</v>
      </c>
      <c r="O7" s="4">
        <v>46078</v>
      </c>
    </row>
    <row r="8" spans="1:17">
      <c r="A8" s="3">
        <v>5</v>
      </c>
      <c r="B8" s="3" t="s">
        <v>419</v>
      </c>
      <c r="C8" s="4">
        <v>46025</v>
      </c>
      <c r="D8" s="3" t="s">
        <v>3</v>
      </c>
      <c r="E8" s="5" t="s">
        <v>77</v>
      </c>
      <c r="F8" s="5" t="s">
        <v>39</v>
      </c>
      <c r="G8" s="3" t="s">
        <v>95</v>
      </c>
      <c r="H8" s="3" t="s">
        <v>15</v>
      </c>
      <c r="I8" s="3">
        <v>18</v>
      </c>
      <c r="J8" s="3">
        <v>6</v>
      </c>
      <c r="K8" s="3">
        <v>6</v>
      </c>
      <c r="L8" s="3" t="s">
        <v>96</v>
      </c>
      <c r="M8" s="3" t="s">
        <v>293</v>
      </c>
      <c r="N8" s="3" t="s">
        <v>26</v>
      </c>
      <c r="O8" s="4">
        <v>46030</v>
      </c>
    </row>
    <row r="9" spans="1:17">
      <c r="A9" s="3">
        <v>6</v>
      </c>
      <c r="B9" s="3" t="s">
        <v>420</v>
      </c>
      <c r="C9" s="4">
        <v>46066</v>
      </c>
      <c r="D9" s="3" t="s">
        <v>19</v>
      </c>
      <c r="E9" s="5" t="s">
        <v>40</v>
      </c>
      <c r="F9" s="5" t="s">
        <v>58</v>
      </c>
      <c r="G9" s="3" t="s">
        <v>51</v>
      </c>
      <c r="H9" s="3" t="s">
        <v>78</v>
      </c>
      <c r="I9" s="3">
        <v>34</v>
      </c>
      <c r="J9" s="3">
        <v>4</v>
      </c>
      <c r="K9" s="3">
        <v>7</v>
      </c>
      <c r="L9" s="3" t="s">
        <v>24</v>
      </c>
      <c r="M9" s="3" t="s">
        <v>293</v>
      </c>
      <c r="N9" s="3" t="s">
        <v>20</v>
      </c>
      <c r="O9" s="4">
        <v>46086</v>
      </c>
    </row>
    <row r="10" spans="1:17">
      <c r="A10" s="3">
        <v>7</v>
      </c>
      <c r="B10" s="3" t="s">
        <v>421</v>
      </c>
      <c r="C10" s="4">
        <v>46079</v>
      </c>
      <c r="D10" s="3" t="s">
        <v>19</v>
      </c>
      <c r="E10" s="5" t="s">
        <v>95</v>
      </c>
      <c r="F10" s="5" t="s">
        <v>46</v>
      </c>
      <c r="G10" s="3" t="s">
        <v>77</v>
      </c>
      <c r="H10" s="3" t="s">
        <v>78</v>
      </c>
      <c r="I10" s="3">
        <v>49</v>
      </c>
      <c r="J10" s="3">
        <v>3</v>
      </c>
      <c r="K10" s="3">
        <v>5</v>
      </c>
      <c r="L10" s="3" t="s">
        <v>96</v>
      </c>
      <c r="M10" s="3" t="s">
        <v>293</v>
      </c>
      <c r="N10" s="3" t="s">
        <v>45</v>
      </c>
      <c r="O10" s="4">
        <v>46111</v>
      </c>
    </row>
    <row r="11" spans="1:17">
      <c r="A11" s="3">
        <v>8</v>
      </c>
      <c r="B11" s="3" t="s">
        <v>422</v>
      </c>
      <c r="C11" s="4">
        <v>46066</v>
      </c>
      <c r="D11" s="3" t="s">
        <v>19</v>
      </c>
      <c r="E11" s="5" t="s">
        <v>6</v>
      </c>
      <c r="F11" s="5" t="s">
        <v>92</v>
      </c>
      <c r="G11" s="3" t="s">
        <v>6</v>
      </c>
      <c r="H11" s="3" t="s">
        <v>70</v>
      </c>
      <c r="I11" s="3">
        <v>31</v>
      </c>
      <c r="J11" s="3">
        <v>4</v>
      </c>
      <c r="K11" s="3">
        <v>3</v>
      </c>
      <c r="L11" s="3" t="s">
        <v>42</v>
      </c>
      <c r="M11" s="3" t="s">
        <v>293</v>
      </c>
      <c r="N11" s="3" t="s">
        <v>30</v>
      </c>
      <c r="O11" s="4">
        <v>46072</v>
      </c>
    </row>
    <row r="12" spans="1:17">
      <c r="A12" s="3">
        <v>9</v>
      </c>
      <c r="B12" s="3" t="s">
        <v>423</v>
      </c>
      <c r="C12" s="4">
        <v>46074</v>
      </c>
      <c r="D12" s="3" t="s">
        <v>19</v>
      </c>
      <c r="E12" s="5" t="s">
        <v>77</v>
      </c>
      <c r="F12" s="5" t="s">
        <v>92</v>
      </c>
      <c r="G12" s="3" t="s">
        <v>77</v>
      </c>
      <c r="H12" s="3" t="s">
        <v>78</v>
      </c>
      <c r="I12" s="3">
        <v>47</v>
      </c>
      <c r="J12" s="3">
        <v>7</v>
      </c>
      <c r="K12" s="3">
        <v>2</v>
      </c>
      <c r="L12" s="3" t="s">
        <v>24</v>
      </c>
      <c r="M12" s="3" t="s">
        <v>254</v>
      </c>
      <c r="N12" s="3" t="s">
        <v>57</v>
      </c>
      <c r="O12" s="4">
        <v>46081</v>
      </c>
    </row>
    <row r="13" spans="1:17">
      <c r="A13" s="3">
        <v>10</v>
      </c>
      <c r="B13" s="3" t="s">
        <v>424</v>
      </c>
      <c r="C13" s="4">
        <v>46076</v>
      </c>
      <c r="D13" s="3" t="s">
        <v>19</v>
      </c>
      <c r="E13" s="5" t="s">
        <v>40</v>
      </c>
      <c r="F13" s="5" t="s">
        <v>5</v>
      </c>
      <c r="G13" s="3" t="s">
        <v>51</v>
      </c>
      <c r="H13" s="3" t="s">
        <v>66</v>
      </c>
      <c r="I13" s="3">
        <v>21</v>
      </c>
      <c r="J13" s="3">
        <v>6</v>
      </c>
      <c r="K13" s="3">
        <v>1</v>
      </c>
      <c r="L13" s="3" t="s">
        <v>10</v>
      </c>
      <c r="M13" s="3" t="s">
        <v>297</v>
      </c>
      <c r="N13" s="3" t="s">
        <v>64</v>
      </c>
      <c r="O13" s="4">
        <v>46087</v>
      </c>
    </row>
    <row r="14" spans="1:17">
      <c r="A14" s="3">
        <v>11</v>
      </c>
      <c r="B14" s="3" t="s">
        <v>425</v>
      </c>
      <c r="C14" s="4">
        <v>46097</v>
      </c>
      <c r="D14" s="3" t="s">
        <v>44</v>
      </c>
      <c r="E14" s="5" t="s">
        <v>82</v>
      </c>
      <c r="F14" s="5" t="s">
        <v>65</v>
      </c>
      <c r="G14" s="3" t="s">
        <v>40</v>
      </c>
      <c r="H14" s="3" t="s">
        <v>15</v>
      </c>
      <c r="I14" s="3">
        <v>50</v>
      </c>
      <c r="J14" s="3">
        <v>0</v>
      </c>
      <c r="K14" s="3">
        <v>4</v>
      </c>
      <c r="L14" s="3" t="s">
        <v>42</v>
      </c>
      <c r="M14" s="3" t="s">
        <v>293</v>
      </c>
      <c r="N14" s="3" t="s">
        <v>57</v>
      </c>
      <c r="O14" s="4">
        <v>46108</v>
      </c>
    </row>
    <row r="15" spans="1:17">
      <c r="A15" s="3">
        <v>12</v>
      </c>
      <c r="B15" s="3" t="s">
        <v>426</v>
      </c>
      <c r="C15" s="4">
        <v>46088</v>
      </c>
      <c r="D15" s="3" t="s">
        <v>44</v>
      </c>
      <c r="E15" s="5" t="s">
        <v>31</v>
      </c>
      <c r="F15" s="5" t="s">
        <v>50</v>
      </c>
      <c r="G15" s="3" t="s">
        <v>35</v>
      </c>
      <c r="H15" s="3" t="s">
        <v>93</v>
      </c>
      <c r="I15" s="3">
        <v>41</v>
      </c>
      <c r="J15" s="3">
        <v>6</v>
      </c>
      <c r="K15" s="3">
        <v>0</v>
      </c>
      <c r="L15" s="3" t="s">
        <v>42</v>
      </c>
      <c r="M15" s="3" t="s">
        <v>293</v>
      </c>
      <c r="N15" s="3" t="s">
        <v>20</v>
      </c>
      <c r="O15" s="4">
        <v>46108</v>
      </c>
    </row>
    <row r="16" spans="1:17">
      <c r="A16" s="3">
        <v>13</v>
      </c>
      <c r="B16" s="3" t="s">
        <v>427</v>
      </c>
      <c r="C16" s="4">
        <v>46085</v>
      </c>
      <c r="D16" s="3" t="s">
        <v>44</v>
      </c>
      <c r="E16" s="5" t="s">
        <v>40</v>
      </c>
      <c r="F16" s="5" t="s">
        <v>58</v>
      </c>
      <c r="G16" s="3" t="s">
        <v>87</v>
      </c>
      <c r="H16" s="3" t="s">
        <v>28</v>
      </c>
      <c r="I16" s="3">
        <v>42</v>
      </c>
      <c r="J16" s="3">
        <v>3</v>
      </c>
      <c r="K16" s="3">
        <v>8</v>
      </c>
      <c r="L16" s="3" t="s">
        <v>96</v>
      </c>
      <c r="M16" s="3" t="s">
        <v>293</v>
      </c>
      <c r="N16" s="3" t="s">
        <v>12</v>
      </c>
      <c r="O16" s="4">
        <v>46097</v>
      </c>
    </row>
    <row r="17" spans="1:15">
      <c r="A17" s="3">
        <v>14</v>
      </c>
      <c r="B17" s="3" t="s">
        <v>428</v>
      </c>
      <c r="C17" s="4">
        <v>46084</v>
      </c>
      <c r="D17" s="3" t="s">
        <v>44</v>
      </c>
      <c r="E17" s="5" t="s">
        <v>80</v>
      </c>
      <c r="F17" s="5" t="s">
        <v>27</v>
      </c>
      <c r="G17" s="3" t="s">
        <v>6</v>
      </c>
      <c r="H17" s="3" t="s">
        <v>70</v>
      </c>
      <c r="I17" s="3">
        <v>18</v>
      </c>
      <c r="J17" s="3">
        <v>3</v>
      </c>
      <c r="K17" s="3">
        <v>5</v>
      </c>
      <c r="L17" s="3" t="s">
        <v>42</v>
      </c>
      <c r="M17" s="3" t="s">
        <v>293</v>
      </c>
      <c r="N17" s="3" t="s">
        <v>20</v>
      </c>
      <c r="O17" s="4">
        <v>46117</v>
      </c>
    </row>
    <row r="18" spans="1:15">
      <c r="A18" s="3">
        <v>15</v>
      </c>
      <c r="B18" s="3" t="s">
        <v>429</v>
      </c>
      <c r="C18" s="4">
        <v>46155</v>
      </c>
      <c r="D18" s="3" t="s">
        <v>60</v>
      </c>
      <c r="E18" s="5" t="s">
        <v>6</v>
      </c>
      <c r="F18" s="5" t="s">
        <v>92</v>
      </c>
      <c r="G18" s="3" t="s">
        <v>77</v>
      </c>
      <c r="H18" s="3" t="s">
        <v>70</v>
      </c>
      <c r="I18" s="3">
        <v>47</v>
      </c>
      <c r="J18" s="3">
        <v>3</v>
      </c>
      <c r="K18" s="3">
        <v>3</v>
      </c>
      <c r="L18" s="3" t="s">
        <v>10</v>
      </c>
      <c r="M18" s="3" t="s">
        <v>293</v>
      </c>
      <c r="N18" s="3" t="s">
        <v>49</v>
      </c>
      <c r="O18" s="4">
        <v>46163</v>
      </c>
    </row>
    <row r="19" spans="1:15">
      <c r="A19" s="3">
        <v>16</v>
      </c>
      <c r="B19" s="3" t="s">
        <v>430</v>
      </c>
      <c r="C19" s="4">
        <v>46161</v>
      </c>
      <c r="D19" s="3" t="s">
        <v>60</v>
      </c>
      <c r="E19" s="5" t="s">
        <v>77</v>
      </c>
      <c r="F19" s="5" t="s">
        <v>39</v>
      </c>
      <c r="G19" s="3" t="s">
        <v>21</v>
      </c>
      <c r="H19" s="3" t="s">
        <v>28</v>
      </c>
      <c r="I19" s="3">
        <v>16</v>
      </c>
      <c r="J19" s="3">
        <v>7</v>
      </c>
      <c r="K19" s="3">
        <v>8</v>
      </c>
      <c r="L19" s="3" t="s">
        <v>24</v>
      </c>
      <c r="M19" s="3" t="s">
        <v>254</v>
      </c>
      <c r="N19" s="3" t="s">
        <v>57</v>
      </c>
      <c r="O19" s="4">
        <v>46187</v>
      </c>
    </row>
    <row r="20" spans="1:15">
      <c r="A20" s="3">
        <v>17</v>
      </c>
      <c r="B20" s="3" t="s">
        <v>431</v>
      </c>
      <c r="C20" s="4">
        <v>46166</v>
      </c>
      <c r="D20" s="3" t="s">
        <v>60</v>
      </c>
      <c r="E20" s="5" t="s">
        <v>95</v>
      </c>
      <c r="F20" s="5" t="s">
        <v>58</v>
      </c>
      <c r="G20" s="3" t="s">
        <v>80</v>
      </c>
      <c r="H20" s="3" t="s">
        <v>36</v>
      </c>
      <c r="I20" s="3">
        <v>25</v>
      </c>
      <c r="J20" s="3">
        <v>1</v>
      </c>
      <c r="K20" s="3">
        <v>4</v>
      </c>
      <c r="L20" s="3" t="s">
        <v>42</v>
      </c>
      <c r="M20" s="3" t="s">
        <v>293</v>
      </c>
      <c r="N20" s="3" t="s">
        <v>4</v>
      </c>
      <c r="O20" s="4">
        <v>46191</v>
      </c>
    </row>
    <row r="21" spans="1:15">
      <c r="A21" s="3">
        <v>18</v>
      </c>
      <c r="B21" s="3" t="s">
        <v>432</v>
      </c>
      <c r="C21" s="4">
        <v>46183</v>
      </c>
      <c r="D21" s="3" t="s">
        <v>73</v>
      </c>
      <c r="E21" s="5" t="s">
        <v>21</v>
      </c>
      <c r="F21" s="5" t="s">
        <v>27</v>
      </c>
      <c r="G21" s="3" t="s">
        <v>35</v>
      </c>
      <c r="H21" s="3" t="s">
        <v>15</v>
      </c>
      <c r="I21" s="3">
        <v>34</v>
      </c>
      <c r="J21" s="3">
        <v>1</v>
      </c>
      <c r="K21" s="3">
        <v>5</v>
      </c>
      <c r="L21" s="3" t="s">
        <v>42</v>
      </c>
      <c r="M21" s="3" t="s">
        <v>293</v>
      </c>
      <c r="N21" s="3" t="s">
        <v>16</v>
      </c>
      <c r="O21" s="4">
        <v>46220</v>
      </c>
    </row>
    <row r="22" spans="1:15">
      <c r="A22" s="3">
        <v>19</v>
      </c>
      <c r="B22" s="3" t="s">
        <v>433</v>
      </c>
      <c r="C22" s="4">
        <v>46176</v>
      </c>
      <c r="D22" s="3" t="s">
        <v>73</v>
      </c>
      <c r="E22" s="5" t="s">
        <v>51</v>
      </c>
      <c r="F22" s="5" t="s">
        <v>39</v>
      </c>
      <c r="G22" s="3" t="s">
        <v>21</v>
      </c>
      <c r="H22" s="3" t="s">
        <v>66</v>
      </c>
      <c r="I22" s="3">
        <v>38</v>
      </c>
      <c r="J22" s="3">
        <v>5</v>
      </c>
      <c r="K22" s="3">
        <v>5</v>
      </c>
      <c r="L22" s="3" t="s">
        <v>96</v>
      </c>
      <c r="M22" s="3" t="s">
        <v>293</v>
      </c>
      <c r="N22" s="3" t="s">
        <v>54</v>
      </c>
      <c r="O22" s="4">
        <v>46200</v>
      </c>
    </row>
    <row r="23" spans="1:15">
      <c r="A23" s="3">
        <v>20</v>
      </c>
      <c r="B23" s="3" t="s">
        <v>434</v>
      </c>
      <c r="C23" s="4">
        <v>46180</v>
      </c>
      <c r="D23" s="3" t="s">
        <v>73</v>
      </c>
      <c r="E23" s="5" t="s">
        <v>87</v>
      </c>
      <c r="F23" s="5" t="s">
        <v>27</v>
      </c>
      <c r="G23" s="3" t="s">
        <v>31</v>
      </c>
      <c r="H23" s="3" t="s">
        <v>7</v>
      </c>
      <c r="I23" s="3">
        <v>26</v>
      </c>
      <c r="J23" s="3">
        <v>7</v>
      </c>
      <c r="K23" s="3">
        <v>7</v>
      </c>
      <c r="L23" s="3" t="s">
        <v>17</v>
      </c>
      <c r="M23" s="3" t="s">
        <v>293</v>
      </c>
      <c r="N23" s="3" t="s">
        <v>20</v>
      </c>
      <c r="O23" s="4">
        <v>46219</v>
      </c>
    </row>
    <row r="24" spans="1:15">
      <c r="A24" s="3">
        <v>21</v>
      </c>
      <c r="B24" s="3" t="s">
        <v>435</v>
      </c>
      <c r="C24" s="4">
        <v>46224</v>
      </c>
      <c r="D24" s="3" t="s">
        <v>76</v>
      </c>
      <c r="E24" s="5" t="s">
        <v>51</v>
      </c>
      <c r="F24" s="5" t="s">
        <v>5</v>
      </c>
      <c r="G24" s="3" t="s">
        <v>40</v>
      </c>
      <c r="H24" s="3" t="s">
        <v>28</v>
      </c>
      <c r="I24" s="3">
        <v>37</v>
      </c>
      <c r="J24" s="3">
        <v>2</v>
      </c>
      <c r="K24" s="3">
        <v>6</v>
      </c>
      <c r="L24" s="3" t="s">
        <v>10</v>
      </c>
      <c r="M24" s="3" t="s">
        <v>293</v>
      </c>
      <c r="N24" s="3" t="s">
        <v>64</v>
      </c>
      <c r="O24" s="4">
        <v>46234</v>
      </c>
    </row>
    <row r="25" spans="1:15">
      <c r="A25" s="3">
        <v>22</v>
      </c>
      <c r="B25" s="3" t="s">
        <v>436</v>
      </c>
      <c r="C25" s="4">
        <v>46229</v>
      </c>
      <c r="D25" s="3" t="s">
        <v>76</v>
      </c>
      <c r="E25" s="5" t="s">
        <v>31</v>
      </c>
      <c r="F25" s="5" t="s">
        <v>58</v>
      </c>
      <c r="G25" s="3" t="s">
        <v>31</v>
      </c>
      <c r="H25" s="3" t="s">
        <v>7</v>
      </c>
      <c r="I25" s="3">
        <v>34</v>
      </c>
      <c r="J25" s="3">
        <v>3</v>
      </c>
      <c r="K25" s="3">
        <v>7</v>
      </c>
      <c r="L25" s="3" t="s">
        <v>17</v>
      </c>
      <c r="M25" s="3" t="s">
        <v>293</v>
      </c>
      <c r="N25" s="3" t="s">
        <v>49</v>
      </c>
      <c r="O25" s="4">
        <v>46256</v>
      </c>
    </row>
    <row r="26" spans="1:15">
      <c r="A26" s="3">
        <v>23</v>
      </c>
      <c r="B26" s="3" t="s">
        <v>437</v>
      </c>
      <c r="C26" s="4">
        <v>46209</v>
      </c>
      <c r="D26" s="3" t="s">
        <v>76</v>
      </c>
      <c r="E26" s="5" t="s">
        <v>35</v>
      </c>
      <c r="F26" s="5" t="s">
        <v>13</v>
      </c>
      <c r="G26" s="3" t="s">
        <v>51</v>
      </c>
      <c r="H26" s="3" t="s">
        <v>22</v>
      </c>
      <c r="I26" s="3">
        <v>26</v>
      </c>
      <c r="J26" s="3">
        <v>0</v>
      </c>
      <c r="K26" s="3">
        <v>4</v>
      </c>
      <c r="L26" s="3" t="s">
        <v>17</v>
      </c>
      <c r="M26" s="3" t="s">
        <v>297</v>
      </c>
      <c r="N26" s="3" t="s">
        <v>4</v>
      </c>
      <c r="O26" s="4">
        <v>46226</v>
      </c>
    </row>
    <row r="27" spans="1:15">
      <c r="A27" s="3">
        <v>24</v>
      </c>
      <c r="B27" s="3" t="s">
        <v>438</v>
      </c>
      <c r="C27" s="4">
        <v>46229</v>
      </c>
      <c r="D27" s="3" t="s">
        <v>76</v>
      </c>
      <c r="E27" s="5" t="s">
        <v>82</v>
      </c>
      <c r="F27" s="5" t="s">
        <v>89</v>
      </c>
      <c r="G27" s="3" t="s">
        <v>14</v>
      </c>
      <c r="H27" s="3" t="s">
        <v>66</v>
      </c>
      <c r="I27" s="3">
        <v>49</v>
      </c>
      <c r="J27" s="3">
        <v>5</v>
      </c>
      <c r="K27" s="3">
        <v>1</v>
      </c>
      <c r="L27" s="3" t="s">
        <v>10</v>
      </c>
      <c r="M27" s="3" t="s">
        <v>238</v>
      </c>
      <c r="N27" s="3" t="s">
        <v>49</v>
      </c>
      <c r="O27" s="4">
        <v>46270</v>
      </c>
    </row>
    <row r="28" spans="1:15">
      <c r="A28" s="3">
        <v>25</v>
      </c>
      <c r="B28" s="3" t="s">
        <v>439</v>
      </c>
      <c r="C28" s="4">
        <v>46240</v>
      </c>
      <c r="D28" s="3" t="s">
        <v>86</v>
      </c>
      <c r="E28" s="5" t="s">
        <v>77</v>
      </c>
      <c r="F28" s="5" t="s">
        <v>50</v>
      </c>
      <c r="G28" s="3" t="s">
        <v>80</v>
      </c>
      <c r="H28" s="3" t="s">
        <v>15</v>
      </c>
      <c r="I28" s="3">
        <v>23</v>
      </c>
      <c r="J28" s="3">
        <v>2</v>
      </c>
      <c r="K28" s="3">
        <v>5</v>
      </c>
      <c r="L28" s="3" t="s">
        <v>10</v>
      </c>
      <c r="M28" s="3" t="s">
        <v>238</v>
      </c>
      <c r="N28" s="3" t="s">
        <v>49</v>
      </c>
      <c r="O28" s="4">
        <v>46249</v>
      </c>
    </row>
    <row r="29" spans="1:15">
      <c r="A29" s="3">
        <v>26</v>
      </c>
      <c r="B29" s="3" t="s">
        <v>440</v>
      </c>
      <c r="C29" s="4">
        <v>46250</v>
      </c>
      <c r="D29" s="3" t="s">
        <v>86</v>
      </c>
      <c r="E29" s="5" t="s">
        <v>14</v>
      </c>
      <c r="F29" s="5" t="s">
        <v>27</v>
      </c>
      <c r="G29" s="3" t="s">
        <v>77</v>
      </c>
      <c r="H29" s="3" t="s">
        <v>104</v>
      </c>
      <c r="I29" s="3">
        <v>20</v>
      </c>
      <c r="J29" s="3">
        <v>7</v>
      </c>
      <c r="K29" s="3">
        <v>5</v>
      </c>
      <c r="L29" s="3" t="s">
        <v>96</v>
      </c>
      <c r="M29" s="3" t="s">
        <v>293</v>
      </c>
      <c r="N29" s="3" t="s">
        <v>16</v>
      </c>
      <c r="O29" s="4">
        <v>46258</v>
      </c>
    </row>
    <row r="30" spans="1:15">
      <c r="A30" s="3">
        <v>27</v>
      </c>
      <c r="B30" s="3" t="s">
        <v>441</v>
      </c>
      <c r="C30" s="4">
        <v>46248</v>
      </c>
      <c r="D30" s="3" t="s">
        <v>86</v>
      </c>
      <c r="E30" s="5" t="s">
        <v>14</v>
      </c>
      <c r="F30" s="5" t="s">
        <v>13</v>
      </c>
      <c r="G30" s="3" t="s">
        <v>21</v>
      </c>
      <c r="H30" s="3" t="s">
        <v>68</v>
      </c>
      <c r="I30" s="3">
        <v>22</v>
      </c>
      <c r="J30" s="3">
        <v>7</v>
      </c>
      <c r="K30" s="3">
        <v>7</v>
      </c>
      <c r="L30" s="3" t="s">
        <v>96</v>
      </c>
      <c r="M30" s="3" t="s">
        <v>254</v>
      </c>
      <c r="N30" s="3" t="s">
        <v>4</v>
      </c>
      <c r="O30" s="4">
        <v>46271</v>
      </c>
    </row>
    <row r="31" spans="1:15">
      <c r="A31" s="3">
        <v>28</v>
      </c>
      <c r="B31" s="3" t="s">
        <v>442</v>
      </c>
      <c r="C31" s="4">
        <v>46245</v>
      </c>
      <c r="D31" s="3" t="s">
        <v>86</v>
      </c>
      <c r="E31" s="5" t="s">
        <v>35</v>
      </c>
      <c r="F31" s="5" t="s">
        <v>65</v>
      </c>
      <c r="G31" s="3" t="s">
        <v>51</v>
      </c>
      <c r="H31" s="3" t="s">
        <v>36</v>
      </c>
      <c r="I31" s="3">
        <v>21</v>
      </c>
      <c r="J31" s="3">
        <v>5</v>
      </c>
      <c r="K31" s="3">
        <v>4</v>
      </c>
      <c r="L31" s="3" t="s">
        <v>96</v>
      </c>
      <c r="M31" s="3" t="s">
        <v>293</v>
      </c>
      <c r="N31" s="3" t="s">
        <v>4</v>
      </c>
      <c r="O31" s="4">
        <v>46263</v>
      </c>
    </row>
    <row r="32" spans="1:15">
      <c r="A32" s="3">
        <v>29</v>
      </c>
      <c r="B32" s="3" t="s">
        <v>443</v>
      </c>
      <c r="C32" s="4">
        <v>46235</v>
      </c>
      <c r="D32" s="3" t="s">
        <v>86</v>
      </c>
      <c r="E32" s="5" t="s">
        <v>6</v>
      </c>
      <c r="F32" s="5" t="s">
        <v>46</v>
      </c>
      <c r="G32" s="3" t="s">
        <v>35</v>
      </c>
      <c r="H32" s="3" t="s">
        <v>68</v>
      </c>
      <c r="I32" s="3">
        <v>33</v>
      </c>
      <c r="J32" s="3">
        <v>4</v>
      </c>
      <c r="K32" s="3">
        <v>3</v>
      </c>
      <c r="L32" s="3" t="s">
        <v>10</v>
      </c>
      <c r="M32" s="3" t="s">
        <v>293</v>
      </c>
      <c r="N32" s="3" t="s">
        <v>16</v>
      </c>
      <c r="O32" s="4">
        <v>46270</v>
      </c>
    </row>
    <row r="33" spans="1:15">
      <c r="A33" s="3">
        <v>30</v>
      </c>
      <c r="B33" s="3" t="s">
        <v>444</v>
      </c>
      <c r="C33" s="4">
        <v>46239</v>
      </c>
      <c r="D33" s="3" t="s">
        <v>86</v>
      </c>
      <c r="E33" s="5" t="s">
        <v>87</v>
      </c>
      <c r="F33" s="5" t="s">
        <v>50</v>
      </c>
      <c r="G33" s="3" t="s">
        <v>87</v>
      </c>
      <c r="H33" s="3" t="s">
        <v>70</v>
      </c>
      <c r="I33" s="3">
        <v>23</v>
      </c>
      <c r="J33" s="3">
        <v>0</v>
      </c>
      <c r="K33" s="3">
        <v>2</v>
      </c>
      <c r="L33" s="3" t="s">
        <v>96</v>
      </c>
      <c r="M33" s="3" t="s">
        <v>293</v>
      </c>
      <c r="N33" s="3" t="s">
        <v>49</v>
      </c>
      <c r="O33" s="4">
        <v>46272</v>
      </c>
    </row>
    <row r="34" spans="1:15">
      <c r="A34" s="3">
        <v>31</v>
      </c>
      <c r="B34" s="3" t="s">
        <v>445</v>
      </c>
      <c r="C34" s="4">
        <v>46252</v>
      </c>
      <c r="D34" s="3" t="s">
        <v>86</v>
      </c>
      <c r="E34" s="5" t="s">
        <v>87</v>
      </c>
      <c r="F34" s="5" t="s">
        <v>92</v>
      </c>
      <c r="G34" s="3" t="s">
        <v>35</v>
      </c>
      <c r="H34" s="3" t="s">
        <v>70</v>
      </c>
      <c r="I34" s="3">
        <v>15</v>
      </c>
      <c r="J34" s="3">
        <v>8</v>
      </c>
      <c r="K34" s="3">
        <v>1</v>
      </c>
      <c r="L34" s="3" t="s">
        <v>10</v>
      </c>
      <c r="M34" s="3" t="s">
        <v>293</v>
      </c>
      <c r="N34" s="3" t="s">
        <v>4</v>
      </c>
      <c r="O34" s="4">
        <v>46265</v>
      </c>
    </row>
    <row r="35" spans="1:15">
      <c r="A35" s="3">
        <v>32</v>
      </c>
      <c r="B35" s="3" t="s">
        <v>446</v>
      </c>
      <c r="C35" s="4">
        <v>46256</v>
      </c>
      <c r="D35" s="3" t="s">
        <v>86</v>
      </c>
      <c r="E35" s="5" t="s">
        <v>77</v>
      </c>
      <c r="F35" s="5" t="s">
        <v>27</v>
      </c>
      <c r="G35" s="3" t="s">
        <v>80</v>
      </c>
      <c r="H35" s="3" t="s">
        <v>78</v>
      </c>
      <c r="I35" s="3">
        <v>38</v>
      </c>
      <c r="J35" s="3">
        <v>7</v>
      </c>
      <c r="K35" s="3">
        <v>6</v>
      </c>
      <c r="L35" s="3" t="s">
        <v>10</v>
      </c>
      <c r="M35" s="3" t="s">
        <v>293</v>
      </c>
      <c r="N35" s="3" t="s">
        <v>16</v>
      </c>
      <c r="O35" s="4">
        <v>46283</v>
      </c>
    </row>
    <row r="36" spans="1:15">
      <c r="A36" s="3">
        <v>33</v>
      </c>
      <c r="B36" s="3" t="s">
        <v>447</v>
      </c>
      <c r="C36" s="4">
        <v>46258</v>
      </c>
      <c r="D36" s="3" t="s">
        <v>86</v>
      </c>
      <c r="E36" s="5" t="s">
        <v>95</v>
      </c>
      <c r="F36" s="5" t="s">
        <v>46</v>
      </c>
      <c r="G36" s="3" t="s">
        <v>77</v>
      </c>
      <c r="H36" s="3" t="s">
        <v>7</v>
      </c>
      <c r="I36" s="3">
        <v>50</v>
      </c>
      <c r="J36" s="3">
        <v>3</v>
      </c>
      <c r="K36" s="3">
        <v>5</v>
      </c>
      <c r="L36" s="3" t="s">
        <v>96</v>
      </c>
      <c r="M36" s="3" t="s">
        <v>254</v>
      </c>
      <c r="N36" s="3" t="s">
        <v>61</v>
      </c>
      <c r="O36" s="4">
        <v>46299</v>
      </c>
    </row>
    <row r="37" spans="1:15">
      <c r="A37" s="3">
        <v>34</v>
      </c>
      <c r="B37" s="3" t="s">
        <v>448</v>
      </c>
      <c r="C37" s="4">
        <v>46282</v>
      </c>
      <c r="D37" s="3" t="s">
        <v>102</v>
      </c>
      <c r="E37" s="5" t="s">
        <v>6</v>
      </c>
      <c r="F37" s="5" t="s">
        <v>5</v>
      </c>
      <c r="G37" s="3" t="s">
        <v>14</v>
      </c>
      <c r="H37" s="3" t="s">
        <v>68</v>
      </c>
      <c r="I37" s="3">
        <v>27</v>
      </c>
      <c r="J37" s="3">
        <v>8</v>
      </c>
      <c r="K37" s="3">
        <v>3</v>
      </c>
      <c r="L37" s="3" t="s">
        <v>42</v>
      </c>
      <c r="M37" s="3" t="s">
        <v>293</v>
      </c>
      <c r="N37" s="3" t="s">
        <v>38</v>
      </c>
      <c r="O37" s="4">
        <v>46288</v>
      </c>
    </row>
    <row r="38" spans="1:15">
      <c r="A38" s="3">
        <v>35</v>
      </c>
      <c r="B38" s="3" t="s">
        <v>449</v>
      </c>
      <c r="C38" s="4">
        <v>46297</v>
      </c>
      <c r="D38" s="3" t="s">
        <v>106</v>
      </c>
      <c r="E38" s="5" t="s">
        <v>40</v>
      </c>
      <c r="F38" s="5" t="s">
        <v>13</v>
      </c>
      <c r="G38" s="3" t="s">
        <v>95</v>
      </c>
      <c r="H38" s="3" t="s">
        <v>28</v>
      </c>
      <c r="I38" s="3">
        <v>44</v>
      </c>
      <c r="J38" s="3">
        <v>3</v>
      </c>
      <c r="K38" s="3">
        <v>2</v>
      </c>
      <c r="L38" s="3" t="s">
        <v>96</v>
      </c>
      <c r="M38" s="3" t="s">
        <v>293</v>
      </c>
      <c r="N38" s="3" t="s">
        <v>57</v>
      </c>
      <c r="O38" s="4">
        <v>46322</v>
      </c>
    </row>
    <row r="39" spans="1:15">
      <c r="A39" s="3">
        <v>36</v>
      </c>
      <c r="B39" s="3" t="s">
        <v>450</v>
      </c>
      <c r="C39" s="4">
        <v>46310</v>
      </c>
      <c r="D39" s="3" t="s">
        <v>106</v>
      </c>
      <c r="E39" s="5" t="s">
        <v>40</v>
      </c>
      <c r="F39" s="5" t="s">
        <v>89</v>
      </c>
      <c r="G39" s="3" t="s">
        <v>51</v>
      </c>
      <c r="H39" s="3" t="s">
        <v>15</v>
      </c>
      <c r="I39" s="3">
        <v>42</v>
      </c>
      <c r="J39" s="3">
        <v>6</v>
      </c>
      <c r="K39" s="3">
        <v>6</v>
      </c>
      <c r="L39" s="3" t="s">
        <v>24</v>
      </c>
      <c r="M39" s="3" t="s">
        <v>293</v>
      </c>
      <c r="N39" s="3" t="s">
        <v>16</v>
      </c>
      <c r="O39" s="4">
        <v>46352</v>
      </c>
    </row>
    <row r="40" spans="1:15">
      <c r="A40" s="3">
        <v>37</v>
      </c>
      <c r="B40" s="3" t="s">
        <v>451</v>
      </c>
      <c r="C40" s="4">
        <v>46302</v>
      </c>
      <c r="D40" s="3" t="s">
        <v>106</v>
      </c>
      <c r="E40" s="5" t="s">
        <v>14</v>
      </c>
      <c r="F40" s="5" t="s">
        <v>46</v>
      </c>
      <c r="G40" s="3" t="s">
        <v>35</v>
      </c>
      <c r="H40" s="3" t="s">
        <v>22</v>
      </c>
      <c r="I40" s="3">
        <v>44</v>
      </c>
      <c r="J40" s="3">
        <v>4</v>
      </c>
      <c r="K40" s="3">
        <v>6</v>
      </c>
      <c r="L40" s="3" t="s">
        <v>42</v>
      </c>
      <c r="M40" s="3" t="s">
        <v>293</v>
      </c>
      <c r="N40" s="3" t="s">
        <v>12</v>
      </c>
      <c r="O40" s="4">
        <v>46346</v>
      </c>
    </row>
    <row r="41" spans="1:15">
      <c r="A41" s="3">
        <v>38</v>
      </c>
      <c r="B41" s="3" t="s">
        <v>452</v>
      </c>
      <c r="C41" s="4">
        <v>46323</v>
      </c>
      <c r="D41" s="3" t="s">
        <v>106</v>
      </c>
      <c r="E41" s="5" t="s">
        <v>77</v>
      </c>
      <c r="F41" s="5" t="s">
        <v>50</v>
      </c>
      <c r="G41" s="3" t="s">
        <v>14</v>
      </c>
      <c r="H41" s="3" t="s">
        <v>22</v>
      </c>
      <c r="I41" s="3">
        <v>35</v>
      </c>
      <c r="J41" s="3">
        <v>3</v>
      </c>
      <c r="K41" s="3">
        <v>0</v>
      </c>
      <c r="L41" s="3" t="s">
        <v>24</v>
      </c>
      <c r="M41" s="3" t="s">
        <v>297</v>
      </c>
      <c r="N41" s="3" t="s">
        <v>12</v>
      </c>
      <c r="O41" s="4">
        <v>46337</v>
      </c>
    </row>
    <row r="42" spans="1:15">
      <c r="A42" s="3">
        <v>39</v>
      </c>
      <c r="B42" s="3" t="s">
        <v>453</v>
      </c>
      <c r="C42" s="4">
        <v>46352</v>
      </c>
      <c r="D42" s="3" t="s">
        <v>111</v>
      </c>
      <c r="E42" s="5" t="s">
        <v>82</v>
      </c>
      <c r="F42" s="5" t="s">
        <v>13</v>
      </c>
      <c r="G42" s="3" t="s">
        <v>35</v>
      </c>
      <c r="H42" s="3" t="s">
        <v>22</v>
      </c>
      <c r="I42" s="3">
        <v>45</v>
      </c>
      <c r="J42" s="3">
        <v>6</v>
      </c>
      <c r="K42" s="3">
        <v>1</v>
      </c>
      <c r="L42" s="3" t="s">
        <v>42</v>
      </c>
      <c r="M42" s="3" t="s">
        <v>293</v>
      </c>
      <c r="N42" s="3" t="s">
        <v>61</v>
      </c>
      <c r="O42" s="4">
        <v>46392</v>
      </c>
    </row>
    <row r="43" spans="1:15">
      <c r="A43" s="3">
        <v>40</v>
      </c>
      <c r="B43" s="3" t="s">
        <v>454</v>
      </c>
      <c r="C43" s="4">
        <v>46333</v>
      </c>
      <c r="D43" s="3" t="s">
        <v>111</v>
      </c>
      <c r="E43" s="5" t="s">
        <v>80</v>
      </c>
      <c r="F43" s="5" t="s">
        <v>46</v>
      </c>
      <c r="G43" s="3" t="s">
        <v>21</v>
      </c>
      <c r="H43" s="3" t="s">
        <v>68</v>
      </c>
      <c r="I43" s="3">
        <v>29</v>
      </c>
      <c r="J43" s="3">
        <v>6</v>
      </c>
      <c r="K43" s="3">
        <v>6</v>
      </c>
      <c r="L43" s="3" t="s">
        <v>42</v>
      </c>
      <c r="M43" s="3" t="s">
        <v>293</v>
      </c>
      <c r="N43" s="3" t="s">
        <v>26</v>
      </c>
      <c r="O43" s="4">
        <v>46357</v>
      </c>
    </row>
    <row r="44" spans="1:15">
      <c r="A44" s="3">
        <v>41</v>
      </c>
      <c r="B44" s="3" t="s">
        <v>455</v>
      </c>
      <c r="C44" s="4">
        <v>46342</v>
      </c>
      <c r="D44" s="3" t="s">
        <v>111</v>
      </c>
      <c r="E44" s="5" t="s">
        <v>77</v>
      </c>
      <c r="F44" s="5" t="s">
        <v>89</v>
      </c>
      <c r="G44" s="3" t="s">
        <v>40</v>
      </c>
      <c r="H44" s="3" t="s">
        <v>36</v>
      </c>
      <c r="I44" s="3">
        <v>49</v>
      </c>
      <c r="J44" s="3">
        <v>1</v>
      </c>
      <c r="K44" s="3">
        <v>8</v>
      </c>
      <c r="L44" s="3" t="s">
        <v>17</v>
      </c>
      <c r="M44" s="3" t="s">
        <v>238</v>
      </c>
      <c r="N44" s="3" t="s">
        <v>91</v>
      </c>
      <c r="O44" s="4">
        <v>46386</v>
      </c>
    </row>
    <row r="45" spans="1:15">
      <c r="A45" s="3">
        <v>42</v>
      </c>
      <c r="B45" s="3" t="s">
        <v>456</v>
      </c>
      <c r="C45" s="4">
        <v>46337</v>
      </c>
      <c r="D45" s="3" t="s">
        <v>111</v>
      </c>
      <c r="E45" s="5" t="s">
        <v>14</v>
      </c>
      <c r="F45" s="5" t="s">
        <v>5</v>
      </c>
      <c r="G45" s="3" t="s">
        <v>21</v>
      </c>
      <c r="H45" s="3" t="s">
        <v>68</v>
      </c>
      <c r="I45" s="3">
        <v>29</v>
      </c>
      <c r="J45" s="3">
        <v>2</v>
      </c>
      <c r="K45" s="3">
        <v>8</v>
      </c>
      <c r="L45" s="3" t="s">
        <v>42</v>
      </c>
      <c r="M45" s="3" t="s">
        <v>293</v>
      </c>
      <c r="N45" s="3" t="s">
        <v>26</v>
      </c>
      <c r="O45" s="4">
        <v>46343</v>
      </c>
    </row>
    <row r="46" spans="1:15">
      <c r="A46" s="3">
        <v>43</v>
      </c>
      <c r="B46" s="3" t="s">
        <v>457</v>
      </c>
      <c r="C46" s="4">
        <v>46354</v>
      </c>
      <c r="D46" s="3" t="s">
        <v>111</v>
      </c>
      <c r="E46" s="5" t="s">
        <v>87</v>
      </c>
      <c r="F46" s="5" t="s">
        <v>39</v>
      </c>
      <c r="G46" s="3" t="s">
        <v>82</v>
      </c>
      <c r="H46" s="3" t="s">
        <v>66</v>
      </c>
      <c r="I46" s="3">
        <v>36</v>
      </c>
      <c r="J46" s="3">
        <v>8</v>
      </c>
      <c r="K46" s="3">
        <v>8</v>
      </c>
      <c r="L46" s="3" t="s">
        <v>42</v>
      </c>
      <c r="M46" s="3" t="s">
        <v>254</v>
      </c>
      <c r="N46" s="3" t="s">
        <v>54</v>
      </c>
      <c r="O46" s="4">
        <v>46365</v>
      </c>
    </row>
    <row r="47" spans="1:15">
      <c r="A47" s="3">
        <v>44</v>
      </c>
      <c r="B47" s="3" t="s">
        <v>458</v>
      </c>
      <c r="C47" s="4">
        <v>46362</v>
      </c>
      <c r="D47" s="3" t="s">
        <v>122</v>
      </c>
      <c r="E47" s="5" t="s">
        <v>51</v>
      </c>
      <c r="F47" s="5" t="s">
        <v>5</v>
      </c>
      <c r="G47" s="3" t="s">
        <v>31</v>
      </c>
      <c r="H47" s="3" t="s">
        <v>32</v>
      </c>
      <c r="I47" s="3">
        <v>30</v>
      </c>
      <c r="J47" s="3">
        <v>7</v>
      </c>
      <c r="K47" s="3">
        <v>0</v>
      </c>
      <c r="L47" s="3" t="s">
        <v>96</v>
      </c>
      <c r="M47" s="3" t="s">
        <v>293</v>
      </c>
      <c r="N47" s="3" t="s">
        <v>20</v>
      </c>
      <c r="O47" s="4">
        <v>46367</v>
      </c>
    </row>
    <row r="48" spans="1:15">
      <c r="A48" s="3">
        <v>45</v>
      </c>
      <c r="B48" s="3" t="s">
        <v>459</v>
      </c>
      <c r="C48" s="4">
        <v>46376</v>
      </c>
      <c r="D48" s="3" t="s">
        <v>122</v>
      </c>
      <c r="E48" s="5" t="s">
        <v>80</v>
      </c>
      <c r="F48" s="5" t="s">
        <v>27</v>
      </c>
      <c r="G48" s="3" t="s">
        <v>51</v>
      </c>
      <c r="H48" s="3" t="s">
        <v>7</v>
      </c>
      <c r="I48" s="3">
        <v>48</v>
      </c>
      <c r="J48" s="3">
        <v>7</v>
      </c>
      <c r="K48" s="3">
        <v>6</v>
      </c>
      <c r="L48" s="3" t="s">
        <v>10</v>
      </c>
      <c r="M48" s="3" t="s">
        <v>254</v>
      </c>
      <c r="N48" s="3" t="s">
        <v>54</v>
      </c>
      <c r="O48" s="4">
        <v>46402</v>
      </c>
    </row>
    <row r="49" spans="1:15">
      <c r="A49" s="3">
        <v>46</v>
      </c>
      <c r="B49" s="3" t="s">
        <v>460</v>
      </c>
      <c r="C49" s="4">
        <v>46365</v>
      </c>
      <c r="D49" s="3" t="s">
        <v>122</v>
      </c>
      <c r="E49" s="5" t="s">
        <v>21</v>
      </c>
      <c r="F49" s="5" t="s">
        <v>58</v>
      </c>
      <c r="G49" s="3" t="s">
        <v>95</v>
      </c>
      <c r="H49" s="3" t="s">
        <v>62</v>
      </c>
      <c r="I49" s="3">
        <v>31</v>
      </c>
      <c r="J49" s="3">
        <v>5</v>
      </c>
      <c r="K49" s="3">
        <v>2</v>
      </c>
      <c r="L49" s="3" t="s">
        <v>42</v>
      </c>
      <c r="M49" s="3" t="s">
        <v>293</v>
      </c>
      <c r="N49" s="3" t="s">
        <v>64</v>
      </c>
      <c r="O49" s="4">
        <v>46391</v>
      </c>
    </row>
    <row r="50" spans="1:15">
      <c r="A50" s="3">
        <v>47</v>
      </c>
      <c r="B50" s="3" t="s">
        <v>461</v>
      </c>
      <c r="C50" s="4">
        <v>46361</v>
      </c>
      <c r="D50" s="3" t="s">
        <v>122</v>
      </c>
      <c r="E50" s="5" t="s">
        <v>14</v>
      </c>
      <c r="F50" s="5" t="s">
        <v>65</v>
      </c>
      <c r="G50" s="3" t="s">
        <v>77</v>
      </c>
      <c r="H50" s="3" t="s">
        <v>104</v>
      </c>
      <c r="I50" s="3">
        <v>50</v>
      </c>
      <c r="J50" s="3">
        <v>1</v>
      </c>
      <c r="K50" s="3">
        <v>1</v>
      </c>
      <c r="L50" s="3" t="s">
        <v>17</v>
      </c>
      <c r="M50" s="3" t="s">
        <v>254</v>
      </c>
      <c r="N50" s="3" t="s">
        <v>38</v>
      </c>
      <c r="O50" s="4">
        <v>46390</v>
      </c>
    </row>
    <row r="51" spans="1:15">
      <c r="A51" s="3">
        <v>48</v>
      </c>
      <c r="B51" s="3" t="s">
        <v>462</v>
      </c>
      <c r="C51" s="4">
        <v>46360</v>
      </c>
      <c r="D51" s="3" t="s">
        <v>122</v>
      </c>
      <c r="E51" s="5" t="s">
        <v>6</v>
      </c>
      <c r="F51" s="5" t="s">
        <v>50</v>
      </c>
      <c r="G51" s="3" t="s">
        <v>80</v>
      </c>
      <c r="H51" s="3" t="s">
        <v>36</v>
      </c>
      <c r="I51" s="3">
        <v>37</v>
      </c>
      <c r="J51" s="3">
        <v>5</v>
      </c>
      <c r="K51" s="3">
        <v>8</v>
      </c>
      <c r="L51" s="3" t="s">
        <v>17</v>
      </c>
      <c r="M51" s="3" t="s">
        <v>254</v>
      </c>
      <c r="N51" s="3" t="s">
        <v>61</v>
      </c>
      <c r="O51" s="4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1.7109375" customWidth="1"/>
    <col min="9" max="9" width="23.7109375" customWidth="1"/>
    <col min="10" max="10" width="18.7109375" customWidth="1"/>
    <col min="11" max="11" width="19.7109375" customWidth="1"/>
    <col min="12" max="12" width="16.7109375" customWidth="1"/>
    <col min="13" max="13" width="9.7109375" customWidth="1"/>
    <col min="14" max="14" width="19.7109375" customWidth="1"/>
    <col min="15" max="15" width="10.7109375" customWidth="1"/>
  </cols>
  <sheetData>
    <row r="1" spans="1:17" ht="22" customHeight="1">
      <c r="A1" s="1" t="s">
        <v>463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407</v>
      </c>
      <c r="F3" t="s">
        <v>129</v>
      </c>
      <c r="G3" t="s">
        <v>130</v>
      </c>
      <c r="H3" t="s">
        <v>408</v>
      </c>
      <c r="I3" t="s">
        <v>409</v>
      </c>
      <c r="J3" t="s">
        <v>410</v>
      </c>
      <c r="K3" t="s">
        <v>411</v>
      </c>
      <c r="L3" t="s">
        <v>412</v>
      </c>
      <c r="M3" t="s">
        <v>287</v>
      </c>
      <c r="N3" t="s">
        <v>413</v>
      </c>
      <c r="O3" t="s">
        <v>357</v>
      </c>
    </row>
    <row r="4" spans="1:17">
      <c r="A4" s="3">
        <v>1</v>
      </c>
      <c r="B4" s="3" t="s">
        <v>464</v>
      </c>
      <c r="C4" s="4">
        <v>46024</v>
      </c>
      <c r="D4" s="3" t="s">
        <v>3</v>
      </c>
      <c r="E4" s="5" t="s">
        <v>21</v>
      </c>
      <c r="F4" s="5" t="s">
        <v>89</v>
      </c>
      <c r="G4" s="3" t="s">
        <v>80</v>
      </c>
      <c r="H4" s="3" t="s">
        <v>78</v>
      </c>
      <c r="I4" s="3">
        <v>48</v>
      </c>
      <c r="J4" s="3">
        <v>4</v>
      </c>
      <c r="K4" s="3">
        <v>2</v>
      </c>
      <c r="L4" s="3" t="s">
        <v>10</v>
      </c>
      <c r="M4" s="3" t="s">
        <v>297</v>
      </c>
      <c r="N4" s="3" t="s">
        <v>57</v>
      </c>
      <c r="O4" s="4">
        <v>46031</v>
      </c>
    </row>
    <row r="5" spans="1:17">
      <c r="A5" s="3">
        <v>2</v>
      </c>
      <c r="B5" s="3" t="s">
        <v>465</v>
      </c>
      <c r="C5" s="4">
        <v>46026</v>
      </c>
      <c r="D5" s="3" t="s">
        <v>3</v>
      </c>
      <c r="E5" s="5" t="s">
        <v>95</v>
      </c>
      <c r="F5" s="5" t="s">
        <v>46</v>
      </c>
      <c r="G5" s="3" t="s">
        <v>51</v>
      </c>
      <c r="H5" s="3" t="s">
        <v>70</v>
      </c>
      <c r="I5" s="3">
        <v>44</v>
      </c>
      <c r="J5" s="3">
        <v>2</v>
      </c>
      <c r="K5" s="3">
        <v>2</v>
      </c>
      <c r="L5" s="3" t="s">
        <v>17</v>
      </c>
      <c r="M5" s="3" t="s">
        <v>254</v>
      </c>
      <c r="N5" s="3" t="s">
        <v>26</v>
      </c>
      <c r="O5" s="4">
        <v>46068</v>
      </c>
    </row>
    <row r="6" spans="1:17">
      <c r="A6" s="3">
        <v>3</v>
      </c>
      <c r="B6" s="3" t="s">
        <v>466</v>
      </c>
      <c r="C6" s="4">
        <v>46045</v>
      </c>
      <c r="D6" s="3" t="s">
        <v>3</v>
      </c>
      <c r="E6" s="5" t="s">
        <v>40</v>
      </c>
      <c r="F6" s="5" t="s">
        <v>39</v>
      </c>
      <c r="G6" s="3" t="s">
        <v>80</v>
      </c>
      <c r="H6" s="3" t="s">
        <v>32</v>
      </c>
      <c r="I6" s="3">
        <v>32</v>
      </c>
      <c r="J6" s="3">
        <v>0</v>
      </c>
      <c r="K6" s="3">
        <v>8</v>
      </c>
      <c r="L6" s="3" t="s">
        <v>10</v>
      </c>
      <c r="M6" s="3" t="s">
        <v>293</v>
      </c>
      <c r="N6" s="3" t="s">
        <v>61</v>
      </c>
      <c r="O6" s="4">
        <v>46071</v>
      </c>
    </row>
    <row r="7" spans="1:17">
      <c r="A7" s="3">
        <v>4</v>
      </c>
      <c r="B7" s="3" t="s">
        <v>467</v>
      </c>
      <c r="C7" s="4">
        <v>46037</v>
      </c>
      <c r="D7" s="3" t="s">
        <v>3</v>
      </c>
      <c r="E7" s="5" t="s">
        <v>82</v>
      </c>
      <c r="F7" s="5" t="s">
        <v>92</v>
      </c>
      <c r="G7" s="3" t="s">
        <v>31</v>
      </c>
      <c r="H7" s="3" t="s">
        <v>104</v>
      </c>
      <c r="I7" s="3">
        <v>34</v>
      </c>
      <c r="J7" s="3">
        <v>3</v>
      </c>
      <c r="K7" s="3">
        <v>6</v>
      </c>
      <c r="L7" s="3" t="s">
        <v>24</v>
      </c>
      <c r="M7" s="3" t="s">
        <v>293</v>
      </c>
      <c r="N7" s="3" t="s">
        <v>16</v>
      </c>
      <c r="O7" s="4">
        <v>46071</v>
      </c>
    </row>
    <row r="8" spans="1:17">
      <c r="A8" s="3">
        <v>5</v>
      </c>
      <c r="B8" s="3" t="s">
        <v>468</v>
      </c>
      <c r="C8" s="4">
        <v>46023</v>
      </c>
      <c r="D8" s="3" t="s">
        <v>3</v>
      </c>
      <c r="E8" s="5" t="s">
        <v>80</v>
      </c>
      <c r="F8" s="5" t="s">
        <v>5</v>
      </c>
      <c r="G8" s="3" t="s">
        <v>40</v>
      </c>
      <c r="H8" s="3" t="s">
        <v>41</v>
      </c>
      <c r="I8" s="3">
        <v>50</v>
      </c>
      <c r="J8" s="3">
        <v>6</v>
      </c>
      <c r="K8" s="3">
        <v>5</v>
      </c>
      <c r="L8" s="3" t="s">
        <v>24</v>
      </c>
      <c r="M8" s="3" t="s">
        <v>293</v>
      </c>
      <c r="N8" s="3" t="s">
        <v>64</v>
      </c>
      <c r="O8" s="4">
        <v>46053</v>
      </c>
    </row>
    <row r="9" spans="1:17">
      <c r="A9" s="3">
        <v>6</v>
      </c>
      <c r="B9" s="3" t="s">
        <v>469</v>
      </c>
      <c r="C9" s="4">
        <v>46055</v>
      </c>
      <c r="D9" s="3" t="s">
        <v>19</v>
      </c>
      <c r="E9" s="5" t="s">
        <v>31</v>
      </c>
      <c r="F9" s="5" t="s">
        <v>58</v>
      </c>
      <c r="G9" s="3" t="s">
        <v>77</v>
      </c>
      <c r="H9" s="3" t="s">
        <v>15</v>
      </c>
      <c r="I9" s="3">
        <v>19</v>
      </c>
      <c r="J9" s="3">
        <v>7</v>
      </c>
      <c r="K9" s="3">
        <v>0</v>
      </c>
      <c r="L9" s="3" t="s">
        <v>42</v>
      </c>
      <c r="M9" s="3" t="s">
        <v>293</v>
      </c>
      <c r="N9" s="3" t="s">
        <v>26</v>
      </c>
      <c r="O9" s="4">
        <v>46082</v>
      </c>
    </row>
    <row r="10" spans="1:17">
      <c r="A10" s="3">
        <v>7</v>
      </c>
      <c r="B10" s="3" t="s">
        <v>470</v>
      </c>
      <c r="C10" s="4">
        <v>46073</v>
      </c>
      <c r="D10" s="3" t="s">
        <v>19</v>
      </c>
      <c r="E10" s="5" t="s">
        <v>77</v>
      </c>
      <c r="F10" s="5" t="s">
        <v>46</v>
      </c>
      <c r="G10" s="3" t="s">
        <v>77</v>
      </c>
      <c r="H10" s="3" t="s">
        <v>7</v>
      </c>
      <c r="I10" s="3">
        <v>15</v>
      </c>
      <c r="J10" s="3">
        <v>5</v>
      </c>
      <c r="K10" s="3">
        <v>2</v>
      </c>
      <c r="L10" s="3" t="s">
        <v>17</v>
      </c>
      <c r="M10" s="3" t="s">
        <v>293</v>
      </c>
      <c r="N10" s="3" t="s">
        <v>91</v>
      </c>
      <c r="O10" s="4">
        <v>46107</v>
      </c>
    </row>
    <row r="11" spans="1:17">
      <c r="A11" s="3">
        <v>8</v>
      </c>
      <c r="B11" s="3" t="s">
        <v>471</v>
      </c>
      <c r="C11" s="4">
        <v>46072</v>
      </c>
      <c r="D11" s="3" t="s">
        <v>19</v>
      </c>
      <c r="E11" s="5" t="s">
        <v>51</v>
      </c>
      <c r="F11" s="5" t="s">
        <v>5</v>
      </c>
      <c r="G11" s="3" t="s">
        <v>82</v>
      </c>
      <c r="H11" s="3" t="s">
        <v>68</v>
      </c>
      <c r="I11" s="3">
        <v>31</v>
      </c>
      <c r="J11" s="3">
        <v>8</v>
      </c>
      <c r="K11" s="3">
        <v>1</v>
      </c>
      <c r="L11" s="3" t="s">
        <v>42</v>
      </c>
      <c r="M11" s="3" t="s">
        <v>293</v>
      </c>
      <c r="N11" s="3" t="s">
        <v>20</v>
      </c>
      <c r="O11" s="4">
        <v>46097</v>
      </c>
    </row>
    <row r="12" spans="1:17">
      <c r="A12" s="3">
        <v>9</v>
      </c>
      <c r="B12" s="3" t="s">
        <v>472</v>
      </c>
      <c r="C12" s="4">
        <v>46084</v>
      </c>
      <c r="D12" s="3" t="s">
        <v>44</v>
      </c>
      <c r="E12" s="5" t="s">
        <v>95</v>
      </c>
      <c r="F12" s="5" t="s">
        <v>50</v>
      </c>
      <c r="G12" s="3" t="s">
        <v>77</v>
      </c>
      <c r="H12" s="3" t="s">
        <v>36</v>
      </c>
      <c r="I12" s="3">
        <v>31</v>
      </c>
      <c r="J12" s="3">
        <v>6</v>
      </c>
      <c r="K12" s="3">
        <v>1</v>
      </c>
      <c r="L12" s="3" t="s">
        <v>42</v>
      </c>
      <c r="M12" s="3" t="s">
        <v>293</v>
      </c>
      <c r="N12" s="3" t="s">
        <v>4</v>
      </c>
      <c r="O12" s="4">
        <v>46128</v>
      </c>
    </row>
    <row r="13" spans="1:17">
      <c r="A13" s="3">
        <v>10</v>
      </c>
      <c r="B13" s="3" t="s">
        <v>473</v>
      </c>
      <c r="C13" s="4">
        <v>46103</v>
      </c>
      <c r="D13" s="3" t="s">
        <v>44</v>
      </c>
      <c r="E13" s="5" t="s">
        <v>80</v>
      </c>
      <c r="F13" s="5" t="s">
        <v>27</v>
      </c>
      <c r="G13" s="3" t="s">
        <v>40</v>
      </c>
      <c r="H13" s="3" t="s">
        <v>62</v>
      </c>
      <c r="I13" s="3">
        <v>46</v>
      </c>
      <c r="J13" s="3">
        <v>0</v>
      </c>
      <c r="K13" s="3">
        <v>1</v>
      </c>
      <c r="L13" s="3" t="s">
        <v>10</v>
      </c>
      <c r="M13" s="3" t="s">
        <v>293</v>
      </c>
      <c r="N13" s="3" t="s">
        <v>45</v>
      </c>
      <c r="O13" s="4">
        <v>46129</v>
      </c>
    </row>
    <row r="14" spans="1:17">
      <c r="A14" s="3">
        <v>11</v>
      </c>
      <c r="B14" s="3" t="s">
        <v>474</v>
      </c>
      <c r="C14" s="4">
        <v>46114</v>
      </c>
      <c r="D14" s="3" t="s">
        <v>53</v>
      </c>
      <c r="E14" s="5" t="s">
        <v>87</v>
      </c>
      <c r="F14" s="5" t="s">
        <v>46</v>
      </c>
      <c r="G14" s="3" t="s">
        <v>35</v>
      </c>
      <c r="H14" s="3" t="s">
        <v>68</v>
      </c>
      <c r="I14" s="3">
        <v>15</v>
      </c>
      <c r="J14" s="3">
        <v>1</v>
      </c>
      <c r="K14" s="3">
        <v>5</v>
      </c>
      <c r="L14" s="3" t="s">
        <v>42</v>
      </c>
      <c r="M14" s="3" t="s">
        <v>293</v>
      </c>
      <c r="N14" s="3" t="s">
        <v>26</v>
      </c>
      <c r="O14" s="4">
        <v>46125</v>
      </c>
    </row>
    <row r="15" spans="1:17">
      <c r="A15" s="3">
        <v>12</v>
      </c>
      <c r="B15" s="3" t="s">
        <v>475</v>
      </c>
      <c r="C15" s="4">
        <v>46117</v>
      </c>
      <c r="D15" s="3" t="s">
        <v>53</v>
      </c>
      <c r="E15" s="5" t="s">
        <v>35</v>
      </c>
      <c r="F15" s="5" t="s">
        <v>92</v>
      </c>
      <c r="G15" s="3" t="s">
        <v>87</v>
      </c>
      <c r="H15" s="3" t="s">
        <v>28</v>
      </c>
      <c r="I15" s="3">
        <v>44</v>
      </c>
      <c r="J15" s="3">
        <v>2</v>
      </c>
      <c r="K15" s="3">
        <v>5</v>
      </c>
      <c r="L15" s="3" t="s">
        <v>96</v>
      </c>
      <c r="M15" s="3" t="s">
        <v>293</v>
      </c>
      <c r="N15" s="3" t="s">
        <v>12</v>
      </c>
      <c r="O15" s="4">
        <v>46124</v>
      </c>
    </row>
    <row r="16" spans="1:17">
      <c r="A16" s="3">
        <v>13</v>
      </c>
      <c r="B16" s="3" t="s">
        <v>476</v>
      </c>
      <c r="C16" s="4">
        <v>46140</v>
      </c>
      <c r="D16" s="3" t="s">
        <v>53</v>
      </c>
      <c r="E16" s="5" t="s">
        <v>82</v>
      </c>
      <c r="F16" s="5" t="s">
        <v>50</v>
      </c>
      <c r="G16" s="3" t="s">
        <v>80</v>
      </c>
      <c r="H16" s="3" t="s">
        <v>22</v>
      </c>
      <c r="I16" s="3">
        <v>38</v>
      </c>
      <c r="J16" s="3">
        <v>4</v>
      </c>
      <c r="K16" s="3">
        <v>6</v>
      </c>
      <c r="L16" s="3" t="s">
        <v>42</v>
      </c>
      <c r="M16" s="3" t="s">
        <v>254</v>
      </c>
      <c r="N16" s="3" t="s">
        <v>20</v>
      </c>
      <c r="O16" s="4">
        <v>46166</v>
      </c>
    </row>
    <row r="17" spans="1:15">
      <c r="A17" s="3">
        <v>14</v>
      </c>
      <c r="B17" s="3" t="s">
        <v>477</v>
      </c>
      <c r="C17" s="4">
        <v>46133</v>
      </c>
      <c r="D17" s="3" t="s">
        <v>53</v>
      </c>
      <c r="E17" s="5" t="s">
        <v>14</v>
      </c>
      <c r="F17" s="5" t="s">
        <v>50</v>
      </c>
      <c r="G17" s="3" t="s">
        <v>21</v>
      </c>
      <c r="H17" s="3" t="s">
        <v>93</v>
      </c>
      <c r="I17" s="3">
        <v>40</v>
      </c>
      <c r="J17" s="3">
        <v>5</v>
      </c>
      <c r="K17" s="3">
        <v>3</v>
      </c>
      <c r="L17" s="3" t="s">
        <v>24</v>
      </c>
      <c r="M17" s="3" t="s">
        <v>293</v>
      </c>
      <c r="N17" s="3" t="s">
        <v>20</v>
      </c>
      <c r="O17" s="4">
        <v>46146</v>
      </c>
    </row>
    <row r="18" spans="1:15">
      <c r="A18" s="3">
        <v>15</v>
      </c>
      <c r="B18" s="3" t="s">
        <v>478</v>
      </c>
      <c r="C18" s="4">
        <v>46128</v>
      </c>
      <c r="D18" s="3" t="s">
        <v>53</v>
      </c>
      <c r="E18" s="5" t="s">
        <v>6</v>
      </c>
      <c r="F18" s="5" t="s">
        <v>50</v>
      </c>
      <c r="G18" s="3" t="s">
        <v>31</v>
      </c>
      <c r="H18" s="3" t="s">
        <v>22</v>
      </c>
      <c r="I18" s="3">
        <v>49</v>
      </c>
      <c r="J18" s="3">
        <v>3</v>
      </c>
      <c r="K18" s="3">
        <v>4</v>
      </c>
      <c r="L18" s="3" t="s">
        <v>42</v>
      </c>
      <c r="M18" s="3" t="s">
        <v>297</v>
      </c>
      <c r="N18" s="3" t="s">
        <v>12</v>
      </c>
      <c r="O18" s="4">
        <v>46156</v>
      </c>
    </row>
    <row r="19" spans="1:15">
      <c r="A19" s="3">
        <v>16</v>
      </c>
      <c r="B19" s="3" t="s">
        <v>479</v>
      </c>
      <c r="C19" s="4">
        <v>46130</v>
      </c>
      <c r="D19" s="3" t="s">
        <v>53</v>
      </c>
      <c r="E19" s="5" t="s">
        <v>95</v>
      </c>
      <c r="F19" s="5" t="s">
        <v>92</v>
      </c>
      <c r="G19" s="3" t="s">
        <v>14</v>
      </c>
      <c r="H19" s="3" t="s">
        <v>78</v>
      </c>
      <c r="I19" s="3">
        <v>30</v>
      </c>
      <c r="J19" s="3">
        <v>4</v>
      </c>
      <c r="K19" s="3">
        <v>7</v>
      </c>
      <c r="L19" s="3" t="s">
        <v>96</v>
      </c>
      <c r="M19" s="3" t="s">
        <v>254</v>
      </c>
      <c r="N19" s="3" t="s">
        <v>20</v>
      </c>
      <c r="O19" s="4">
        <v>46159</v>
      </c>
    </row>
    <row r="20" spans="1:15">
      <c r="A20" s="3">
        <v>17</v>
      </c>
      <c r="B20" s="3" t="s">
        <v>480</v>
      </c>
      <c r="C20" s="4">
        <v>46166</v>
      </c>
      <c r="D20" s="3" t="s">
        <v>60</v>
      </c>
      <c r="E20" s="5" t="s">
        <v>6</v>
      </c>
      <c r="F20" s="5" t="s">
        <v>89</v>
      </c>
      <c r="G20" s="3" t="s">
        <v>77</v>
      </c>
      <c r="H20" s="3" t="s">
        <v>41</v>
      </c>
      <c r="I20" s="3">
        <v>40</v>
      </c>
      <c r="J20" s="3">
        <v>4</v>
      </c>
      <c r="K20" s="3">
        <v>1</v>
      </c>
      <c r="L20" s="3" t="s">
        <v>10</v>
      </c>
      <c r="M20" s="3" t="s">
        <v>293</v>
      </c>
      <c r="N20" s="3" t="s">
        <v>57</v>
      </c>
      <c r="O20" s="4">
        <v>46173</v>
      </c>
    </row>
    <row r="21" spans="1:15">
      <c r="A21" s="3">
        <v>18</v>
      </c>
      <c r="B21" s="3" t="s">
        <v>481</v>
      </c>
      <c r="C21" s="4">
        <v>46162</v>
      </c>
      <c r="D21" s="3" t="s">
        <v>60</v>
      </c>
      <c r="E21" s="5" t="s">
        <v>6</v>
      </c>
      <c r="F21" s="5" t="s">
        <v>92</v>
      </c>
      <c r="G21" s="3" t="s">
        <v>6</v>
      </c>
      <c r="H21" s="3" t="s">
        <v>36</v>
      </c>
      <c r="I21" s="3">
        <v>46</v>
      </c>
      <c r="J21" s="3">
        <v>8</v>
      </c>
      <c r="K21" s="3">
        <v>5</v>
      </c>
      <c r="L21" s="3" t="s">
        <v>17</v>
      </c>
      <c r="M21" s="3" t="s">
        <v>254</v>
      </c>
      <c r="N21" s="3" t="s">
        <v>30</v>
      </c>
      <c r="O21" s="4">
        <v>46175</v>
      </c>
    </row>
    <row r="22" spans="1:15">
      <c r="A22" s="3">
        <v>19</v>
      </c>
      <c r="B22" s="3" t="s">
        <v>482</v>
      </c>
      <c r="C22" s="4">
        <v>46144</v>
      </c>
      <c r="D22" s="3" t="s">
        <v>60</v>
      </c>
      <c r="E22" s="5" t="s">
        <v>51</v>
      </c>
      <c r="F22" s="5" t="s">
        <v>5</v>
      </c>
      <c r="G22" s="3" t="s">
        <v>80</v>
      </c>
      <c r="H22" s="3" t="s">
        <v>36</v>
      </c>
      <c r="I22" s="3">
        <v>33</v>
      </c>
      <c r="J22" s="3">
        <v>8</v>
      </c>
      <c r="K22" s="3">
        <v>6</v>
      </c>
      <c r="L22" s="3" t="s">
        <v>10</v>
      </c>
      <c r="M22" s="3" t="s">
        <v>293</v>
      </c>
      <c r="N22" s="3" t="s">
        <v>45</v>
      </c>
      <c r="O22" s="4">
        <v>46186</v>
      </c>
    </row>
    <row r="23" spans="1:15">
      <c r="A23" s="3">
        <v>20</v>
      </c>
      <c r="B23" s="3" t="s">
        <v>483</v>
      </c>
      <c r="C23" s="4">
        <v>46153</v>
      </c>
      <c r="D23" s="3" t="s">
        <v>60</v>
      </c>
      <c r="E23" s="5" t="s">
        <v>87</v>
      </c>
      <c r="F23" s="5" t="s">
        <v>89</v>
      </c>
      <c r="G23" s="3" t="s">
        <v>95</v>
      </c>
      <c r="H23" s="3" t="s">
        <v>41</v>
      </c>
      <c r="I23" s="3">
        <v>34</v>
      </c>
      <c r="J23" s="3">
        <v>4</v>
      </c>
      <c r="K23" s="3">
        <v>1</v>
      </c>
      <c r="L23" s="3" t="s">
        <v>42</v>
      </c>
      <c r="M23" s="3" t="s">
        <v>293</v>
      </c>
      <c r="N23" s="3" t="s">
        <v>45</v>
      </c>
      <c r="O23" s="4">
        <v>46188</v>
      </c>
    </row>
    <row r="24" spans="1:15">
      <c r="A24" s="3">
        <v>21</v>
      </c>
      <c r="B24" s="3" t="s">
        <v>484</v>
      </c>
      <c r="C24" s="4">
        <v>46186</v>
      </c>
      <c r="D24" s="3" t="s">
        <v>73</v>
      </c>
      <c r="E24" s="5" t="s">
        <v>21</v>
      </c>
      <c r="F24" s="5" t="s">
        <v>39</v>
      </c>
      <c r="G24" s="3" t="s">
        <v>35</v>
      </c>
      <c r="H24" s="3" t="s">
        <v>7</v>
      </c>
      <c r="I24" s="3">
        <v>18</v>
      </c>
      <c r="J24" s="3">
        <v>1</v>
      </c>
      <c r="K24" s="3">
        <v>1</v>
      </c>
      <c r="L24" s="3" t="s">
        <v>10</v>
      </c>
      <c r="M24" s="3" t="s">
        <v>293</v>
      </c>
      <c r="N24" s="3" t="s">
        <v>54</v>
      </c>
      <c r="O24" s="4">
        <v>46211</v>
      </c>
    </row>
    <row r="25" spans="1:15">
      <c r="A25" s="3">
        <v>22</v>
      </c>
      <c r="B25" s="3" t="s">
        <v>485</v>
      </c>
      <c r="C25" s="4">
        <v>46182</v>
      </c>
      <c r="D25" s="3" t="s">
        <v>73</v>
      </c>
      <c r="E25" s="5" t="s">
        <v>14</v>
      </c>
      <c r="F25" s="5" t="s">
        <v>13</v>
      </c>
      <c r="G25" s="3" t="s">
        <v>31</v>
      </c>
      <c r="H25" s="3" t="s">
        <v>22</v>
      </c>
      <c r="I25" s="3">
        <v>47</v>
      </c>
      <c r="J25" s="3">
        <v>6</v>
      </c>
      <c r="K25" s="3">
        <v>4</v>
      </c>
      <c r="L25" s="3" t="s">
        <v>42</v>
      </c>
      <c r="M25" s="3" t="s">
        <v>293</v>
      </c>
      <c r="N25" s="3" t="s">
        <v>64</v>
      </c>
      <c r="O25" s="4">
        <v>46222</v>
      </c>
    </row>
    <row r="26" spans="1:15">
      <c r="A26" s="3">
        <v>23</v>
      </c>
      <c r="B26" s="3" t="s">
        <v>486</v>
      </c>
      <c r="C26" s="4">
        <v>46178</v>
      </c>
      <c r="D26" s="3" t="s">
        <v>73</v>
      </c>
      <c r="E26" s="5" t="s">
        <v>35</v>
      </c>
      <c r="F26" s="5" t="s">
        <v>50</v>
      </c>
      <c r="G26" s="3" t="s">
        <v>6</v>
      </c>
      <c r="H26" s="3" t="s">
        <v>70</v>
      </c>
      <c r="I26" s="3">
        <v>47</v>
      </c>
      <c r="J26" s="3">
        <v>8</v>
      </c>
      <c r="K26" s="3">
        <v>1</v>
      </c>
      <c r="L26" s="3" t="s">
        <v>42</v>
      </c>
      <c r="M26" s="3" t="s">
        <v>293</v>
      </c>
      <c r="N26" s="3" t="s">
        <v>16</v>
      </c>
      <c r="O26" s="4">
        <v>46200</v>
      </c>
    </row>
    <row r="27" spans="1:15">
      <c r="A27" s="3">
        <v>24</v>
      </c>
      <c r="B27" s="3" t="s">
        <v>487</v>
      </c>
      <c r="C27" s="4">
        <v>46198</v>
      </c>
      <c r="D27" s="3" t="s">
        <v>73</v>
      </c>
      <c r="E27" s="5" t="s">
        <v>80</v>
      </c>
      <c r="F27" s="5" t="s">
        <v>92</v>
      </c>
      <c r="G27" s="3" t="s">
        <v>35</v>
      </c>
      <c r="H27" s="3" t="s">
        <v>66</v>
      </c>
      <c r="I27" s="3">
        <v>30</v>
      </c>
      <c r="J27" s="3">
        <v>0</v>
      </c>
      <c r="K27" s="3">
        <v>2</v>
      </c>
      <c r="L27" s="3" t="s">
        <v>17</v>
      </c>
      <c r="M27" s="3" t="s">
        <v>293</v>
      </c>
      <c r="N27" s="3" t="s">
        <v>20</v>
      </c>
      <c r="O27" s="4">
        <v>46203</v>
      </c>
    </row>
    <row r="28" spans="1:15">
      <c r="A28" s="3">
        <v>25</v>
      </c>
      <c r="B28" s="3" t="s">
        <v>488</v>
      </c>
      <c r="C28" s="4">
        <v>46218</v>
      </c>
      <c r="D28" s="3" t="s">
        <v>76</v>
      </c>
      <c r="E28" s="5" t="s">
        <v>31</v>
      </c>
      <c r="F28" s="5" t="s">
        <v>50</v>
      </c>
      <c r="G28" s="3" t="s">
        <v>87</v>
      </c>
      <c r="H28" s="3" t="s">
        <v>41</v>
      </c>
      <c r="I28" s="3">
        <v>24</v>
      </c>
      <c r="J28" s="3">
        <v>6</v>
      </c>
      <c r="K28" s="3">
        <v>5</v>
      </c>
      <c r="L28" s="3" t="s">
        <v>10</v>
      </c>
      <c r="M28" s="3" t="s">
        <v>254</v>
      </c>
      <c r="N28" s="3" t="s">
        <v>91</v>
      </c>
      <c r="O28" s="4">
        <v>46237</v>
      </c>
    </row>
    <row r="29" spans="1:15">
      <c r="A29" s="3">
        <v>26</v>
      </c>
      <c r="B29" s="3" t="s">
        <v>489</v>
      </c>
      <c r="C29" s="4">
        <v>46205</v>
      </c>
      <c r="D29" s="3" t="s">
        <v>76</v>
      </c>
      <c r="E29" s="5" t="s">
        <v>80</v>
      </c>
      <c r="F29" s="5" t="s">
        <v>89</v>
      </c>
      <c r="G29" s="3" t="s">
        <v>14</v>
      </c>
      <c r="H29" s="3" t="s">
        <v>78</v>
      </c>
      <c r="I29" s="3">
        <v>17</v>
      </c>
      <c r="J29" s="3">
        <v>2</v>
      </c>
      <c r="K29" s="3">
        <v>3</v>
      </c>
      <c r="L29" s="3" t="s">
        <v>96</v>
      </c>
      <c r="M29" s="3" t="s">
        <v>297</v>
      </c>
      <c r="N29" s="3" t="s">
        <v>38</v>
      </c>
      <c r="O29" s="4">
        <v>46248</v>
      </c>
    </row>
    <row r="30" spans="1:15">
      <c r="A30" s="3">
        <v>27</v>
      </c>
      <c r="B30" s="3" t="s">
        <v>490</v>
      </c>
      <c r="C30" s="4">
        <v>46231</v>
      </c>
      <c r="D30" s="3" t="s">
        <v>76</v>
      </c>
      <c r="E30" s="5" t="s">
        <v>82</v>
      </c>
      <c r="F30" s="5" t="s">
        <v>92</v>
      </c>
      <c r="G30" s="3" t="s">
        <v>77</v>
      </c>
      <c r="H30" s="3" t="s">
        <v>28</v>
      </c>
      <c r="I30" s="3">
        <v>49</v>
      </c>
      <c r="J30" s="3">
        <v>5</v>
      </c>
      <c r="K30" s="3">
        <v>7</v>
      </c>
      <c r="L30" s="3" t="s">
        <v>10</v>
      </c>
      <c r="M30" s="3" t="s">
        <v>297</v>
      </c>
      <c r="N30" s="3" t="s">
        <v>57</v>
      </c>
      <c r="O30" s="4">
        <v>46246</v>
      </c>
    </row>
    <row r="31" spans="1:15">
      <c r="A31" s="3">
        <v>28</v>
      </c>
      <c r="B31" s="3" t="s">
        <v>491</v>
      </c>
      <c r="C31" s="4">
        <v>46207</v>
      </c>
      <c r="D31" s="3" t="s">
        <v>76</v>
      </c>
      <c r="E31" s="5" t="s">
        <v>21</v>
      </c>
      <c r="F31" s="5" t="s">
        <v>50</v>
      </c>
      <c r="G31" s="3" t="s">
        <v>95</v>
      </c>
      <c r="H31" s="3" t="s">
        <v>41</v>
      </c>
      <c r="I31" s="3">
        <v>48</v>
      </c>
      <c r="J31" s="3">
        <v>6</v>
      </c>
      <c r="K31" s="3">
        <v>6</v>
      </c>
      <c r="L31" s="3" t="s">
        <v>17</v>
      </c>
      <c r="M31" s="3" t="s">
        <v>254</v>
      </c>
      <c r="N31" s="3" t="s">
        <v>38</v>
      </c>
      <c r="O31" s="4">
        <v>46232</v>
      </c>
    </row>
    <row r="32" spans="1:15">
      <c r="A32" s="3">
        <v>29</v>
      </c>
      <c r="B32" s="3" t="s">
        <v>492</v>
      </c>
      <c r="C32" s="4">
        <v>46212</v>
      </c>
      <c r="D32" s="3" t="s">
        <v>76</v>
      </c>
      <c r="E32" s="5" t="s">
        <v>51</v>
      </c>
      <c r="F32" s="5" t="s">
        <v>50</v>
      </c>
      <c r="G32" s="3" t="s">
        <v>6</v>
      </c>
      <c r="H32" s="3" t="s">
        <v>68</v>
      </c>
      <c r="I32" s="3">
        <v>29</v>
      </c>
      <c r="J32" s="3">
        <v>1</v>
      </c>
      <c r="K32" s="3">
        <v>8</v>
      </c>
      <c r="L32" s="3" t="s">
        <v>17</v>
      </c>
      <c r="M32" s="3" t="s">
        <v>293</v>
      </c>
      <c r="N32" s="3" t="s">
        <v>38</v>
      </c>
      <c r="O32" s="4">
        <v>46223</v>
      </c>
    </row>
    <row r="33" spans="1:15">
      <c r="A33" s="3">
        <v>30</v>
      </c>
      <c r="B33" s="3" t="s">
        <v>493</v>
      </c>
      <c r="C33" s="4">
        <v>46222</v>
      </c>
      <c r="D33" s="3" t="s">
        <v>76</v>
      </c>
      <c r="E33" s="5" t="s">
        <v>82</v>
      </c>
      <c r="F33" s="5" t="s">
        <v>27</v>
      </c>
      <c r="G33" s="3" t="s">
        <v>87</v>
      </c>
      <c r="H33" s="3" t="s">
        <v>28</v>
      </c>
      <c r="I33" s="3">
        <v>32</v>
      </c>
      <c r="J33" s="3">
        <v>8</v>
      </c>
      <c r="K33" s="3">
        <v>1</v>
      </c>
      <c r="L33" s="3" t="s">
        <v>24</v>
      </c>
      <c r="M33" s="3" t="s">
        <v>293</v>
      </c>
      <c r="N33" s="3" t="s">
        <v>12</v>
      </c>
      <c r="O33" s="4">
        <v>46232</v>
      </c>
    </row>
    <row r="34" spans="1:15">
      <c r="A34" s="3">
        <v>31</v>
      </c>
      <c r="B34" s="3" t="s">
        <v>494</v>
      </c>
      <c r="C34" s="4">
        <v>46236</v>
      </c>
      <c r="D34" s="3" t="s">
        <v>86</v>
      </c>
      <c r="E34" s="5" t="s">
        <v>82</v>
      </c>
      <c r="F34" s="5" t="s">
        <v>13</v>
      </c>
      <c r="G34" s="3" t="s">
        <v>80</v>
      </c>
      <c r="H34" s="3" t="s">
        <v>22</v>
      </c>
      <c r="I34" s="3">
        <v>16</v>
      </c>
      <c r="J34" s="3">
        <v>8</v>
      </c>
      <c r="K34" s="3">
        <v>3</v>
      </c>
      <c r="L34" s="3" t="s">
        <v>24</v>
      </c>
      <c r="M34" s="3" t="s">
        <v>297</v>
      </c>
      <c r="N34" s="3" t="s">
        <v>57</v>
      </c>
      <c r="O34" s="4">
        <v>46255</v>
      </c>
    </row>
    <row r="35" spans="1:15">
      <c r="A35" s="3">
        <v>32</v>
      </c>
      <c r="B35" s="3" t="s">
        <v>495</v>
      </c>
      <c r="C35" s="4">
        <v>46247</v>
      </c>
      <c r="D35" s="3" t="s">
        <v>86</v>
      </c>
      <c r="E35" s="5" t="s">
        <v>77</v>
      </c>
      <c r="F35" s="5" t="s">
        <v>65</v>
      </c>
      <c r="G35" s="3" t="s">
        <v>31</v>
      </c>
      <c r="H35" s="3" t="s">
        <v>66</v>
      </c>
      <c r="I35" s="3">
        <v>34</v>
      </c>
      <c r="J35" s="3">
        <v>7</v>
      </c>
      <c r="K35" s="3">
        <v>7</v>
      </c>
      <c r="L35" s="3" t="s">
        <v>10</v>
      </c>
      <c r="M35" s="3" t="s">
        <v>293</v>
      </c>
      <c r="N35" s="3" t="s">
        <v>4</v>
      </c>
      <c r="O35" s="4">
        <v>46276</v>
      </c>
    </row>
    <row r="36" spans="1:15">
      <c r="A36" s="3">
        <v>33</v>
      </c>
      <c r="B36" s="3" t="s">
        <v>496</v>
      </c>
      <c r="C36" s="4">
        <v>46245</v>
      </c>
      <c r="D36" s="3" t="s">
        <v>86</v>
      </c>
      <c r="E36" s="5" t="s">
        <v>95</v>
      </c>
      <c r="F36" s="5" t="s">
        <v>92</v>
      </c>
      <c r="G36" s="3" t="s">
        <v>95</v>
      </c>
      <c r="H36" s="3" t="s">
        <v>62</v>
      </c>
      <c r="I36" s="3">
        <v>16</v>
      </c>
      <c r="J36" s="3">
        <v>8</v>
      </c>
      <c r="K36" s="3">
        <v>5</v>
      </c>
      <c r="L36" s="3" t="s">
        <v>96</v>
      </c>
      <c r="M36" s="3" t="s">
        <v>254</v>
      </c>
      <c r="N36" s="3" t="s">
        <v>61</v>
      </c>
      <c r="O36" s="4">
        <v>46253</v>
      </c>
    </row>
    <row r="37" spans="1:15">
      <c r="A37" s="3">
        <v>34</v>
      </c>
      <c r="B37" s="3" t="s">
        <v>497</v>
      </c>
      <c r="C37" s="4">
        <v>46262</v>
      </c>
      <c r="D37" s="3" t="s">
        <v>86</v>
      </c>
      <c r="E37" s="5" t="s">
        <v>14</v>
      </c>
      <c r="F37" s="5" t="s">
        <v>13</v>
      </c>
      <c r="G37" s="3" t="s">
        <v>51</v>
      </c>
      <c r="H37" s="3" t="s">
        <v>15</v>
      </c>
      <c r="I37" s="3">
        <v>31</v>
      </c>
      <c r="J37" s="3">
        <v>8</v>
      </c>
      <c r="K37" s="3">
        <v>6</v>
      </c>
      <c r="L37" s="3" t="s">
        <v>17</v>
      </c>
      <c r="M37" s="3" t="s">
        <v>293</v>
      </c>
      <c r="N37" s="3" t="s">
        <v>30</v>
      </c>
      <c r="O37" s="4">
        <v>46292</v>
      </c>
    </row>
    <row r="38" spans="1:15">
      <c r="A38" s="3">
        <v>35</v>
      </c>
      <c r="B38" s="3" t="s">
        <v>498</v>
      </c>
      <c r="C38" s="4">
        <v>46238</v>
      </c>
      <c r="D38" s="3" t="s">
        <v>86</v>
      </c>
      <c r="E38" s="5" t="s">
        <v>35</v>
      </c>
      <c r="F38" s="5" t="s">
        <v>13</v>
      </c>
      <c r="G38" s="3" t="s">
        <v>40</v>
      </c>
      <c r="H38" s="3" t="s">
        <v>62</v>
      </c>
      <c r="I38" s="3">
        <v>31</v>
      </c>
      <c r="J38" s="3">
        <v>1</v>
      </c>
      <c r="K38" s="3">
        <v>6</v>
      </c>
      <c r="L38" s="3" t="s">
        <v>24</v>
      </c>
      <c r="M38" s="3" t="s">
        <v>238</v>
      </c>
      <c r="N38" s="3" t="s">
        <v>12</v>
      </c>
      <c r="O38" s="4">
        <v>46281</v>
      </c>
    </row>
    <row r="39" spans="1:15">
      <c r="A39" s="3">
        <v>36</v>
      </c>
      <c r="B39" s="3" t="s">
        <v>499</v>
      </c>
      <c r="C39" s="4">
        <v>46274</v>
      </c>
      <c r="D39" s="3" t="s">
        <v>102</v>
      </c>
      <c r="E39" s="5" t="s">
        <v>14</v>
      </c>
      <c r="F39" s="5" t="s">
        <v>58</v>
      </c>
      <c r="G39" s="3" t="s">
        <v>21</v>
      </c>
      <c r="H39" s="3" t="s">
        <v>66</v>
      </c>
      <c r="I39" s="3">
        <v>17</v>
      </c>
      <c r="J39" s="3">
        <v>4</v>
      </c>
      <c r="K39" s="3">
        <v>0</v>
      </c>
      <c r="L39" s="3" t="s">
        <v>17</v>
      </c>
      <c r="M39" s="3" t="s">
        <v>254</v>
      </c>
      <c r="N39" s="3" t="s">
        <v>61</v>
      </c>
      <c r="O39" s="4">
        <v>46283</v>
      </c>
    </row>
    <row r="40" spans="1:15">
      <c r="A40" s="3">
        <v>37</v>
      </c>
      <c r="B40" s="3" t="s">
        <v>500</v>
      </c>
      <c r="C40" s="4">
        <v>46266</v>
      </c>
      <c r="D40" s="3" t="s">
        <v>102</v>
      </c>
      <c r="E40" s="5" t="s">
        <v>21</v>
      </c>
      <c r="F40" s="5" t="s">
        <v>5</v>
      </c>
      <c r="G40" s="3" t="s">
        <v>82</v>
      </c>
      <c r="H40" s="3" t="s">
        <v>41</v>
      </c>
      <c r="I40" s="3">
        <v>17</v>
      </c>
      <c r="J40" s="3">
        <v>1</v>
      </c>
      <c r="K40" s="3">
        <v>1</v>
      </c>
      <c r="L40" s="3" t="s">
        <v>24</v>
      </c>
      <c r="M40" s="3" t="s">
        <v>254</v>
      </c>
      <c r="N40" s="3" t="s">
        <v>12</v>
      </c>
      <c r="O40" s="4">
        <v>46280</v>
      </c>
    </row>
    <row r="41" spans="1:15">
      <c r="A41" s="3">
        <v>38</v>
      </c>
      <c r="B41" s="3" t="s">
        <v>501</v>
      </c>
      <c r="C41" s="4">
        <v>46276</v>
      </c>
      <c r="D41" s="3" t="s">
        <v>102</v>
      </c>
      <c r="E41" s="5" t="s">
        <v>14</v>
      </c>
      <c r="F41" s="5" t="s">
        <v>89</v>
      </c>
      <c r="G41" s="3" t="s">
        <v>31</v>
      </c>
      <c r="H41" s="3" t="s">
        <v>93</v>
      </c>
      <c r="I41" s="3">
        <v>47</v>
      </c>
      <c r="J41" s="3">
        <v>3</v>
      </c>
      <c r="K41" s="3">
        <v>2</v>
      </c>
      <c r="L41" s="3" t="s">
        <v>42</v>
      </c>
      <c r="M41" s="3" t="s">
        <v>297</v>
      </c>
      <c r="N41" s="3" t="s">
        <v>61</v>
      </c>
      <c r="O41" s="4">
        <v>46294</v>
      </c>
    </row>
    <row r="42" spans="1:15">
      <c r="A42" s="3">
        <v>39</v>
      </c>
      <c r="B42" s="3" t="s">
        <v>502</v>
      </c>
      <c r="C42" s="4">
        <v>46305</v>
      </c>
      <c r="D42" s="3" t="s">
        <v>106</v>
      </c>
      <c r="E42" s="5" t="s">
        <v>87</v>
      </c>
      <c r="F42" s="5" t="s">
        <v>58</v>
      </c>
      <c r="G42" s="3" t="s">
        <v>80</v>
      </c>
      <c r="H42" s="3" t="s">
        <v>41</v>
      </c>
      <c r="I42" s="3">
        <v>24</v>
      </c>
      <c r="J42" s="3">
        <v>3</v>
      </c>
      <c r="K42" s="3">
        <v>1</v>
      </c>
      <c r="L42" s="3" t="s">
        <v>42</v>
      </c>
      <c r="M42" s="3" t="s">
        <v>293</v>
      </c>
      <c r="N42" s="3" t="s">
        <v>61</v>
      </c>
      <c r="O42" s="4">
        <v>46311</v>
      </c>
    </row>
    <row r="43" spans="1:15">
      <c r="A43" s="3">
        <v>40</v>
      </c>
      <c r="B43" s="3" t="s">
        <v>503</v>
      </c>
      <c r="C43" s="4">
        <v>46297</v>
      </c>
      <c r="D43" s="3" t="s">
        <v>106</v>
      </c>
      <c r="E43" s="5" t="s">
        <v>6</v>
      </c>
      <c r="F43" s="5" t="s">
        <v>27</v>
      </c>
      <c r="G43" s="3" t="s">
        <v>82</v>
      </c>
      <c r="H43" s="3" t="s">
        <v>7</v>
      </c>
      <c r="I43" s="3">
        <v>28</v>
      </c>
      <c r="J43" s="3">
        <v>4</v>
      </c>
      <c r="K43" s="3">
        <v>5</v>
      </c>
      <c r="L43" s="3" t="s">
        <v>17</v>
      </c>
      <c r="M43" s="3" t="s">
        <v>293</v>
      </c>
      <c r="N43" s="3" t="s">
        <v>12</v>
      </c>
      <c r="O43" s="4">
        <v>46311</v>
      </c>
    </row>
    <row r="44" spans="1:15">
      <c r="A44" s="3">
        <v>41</v>
      </c>
      <c r="B44" s="3" t="s">
        <v>504</v>
      </c>
      <c r="C44" s="4">
        <v>46310</v>
      </c>
      <c r="D44" s="3" t="s">
        <v>106</v>
      </c>
      <c r="E44" s="5" t="s">
        <v>87</v>
      </c>
      <c r="F44" s="5" t="s">
        <v>5</v>
      </c>
      <c r="G44" s="3" t="s">
        <v>51</v>
      </c>
      <c r="H44" s="3" t="s">
        <v>28</v>
      </c>
      <c r="I44" s="3">
        <v>43</v>
      </c>
      <c r="J44" s="3">
        <v>3</v>
      </c>
      <c r="K44" s="3">
        <v>4</v>
      </c>
      <c r="L44" s="3" t="s">
        <v>17</v>
      </c>
      <c r="M44" s="3" t="s">
        <v>254</v>
      </c>
      <c r="N44" s="3" t="s">
        <v>12</v>
      </c>
      <c r="O44" s="4">
        <v>46322</v>
      </c>
    </row>
    <row r="45" spans="1:15">
      <c r="A45" s="3">
        <v>42</v>
      </c>
      <c r="B45" s="3" t="s">
        <v>505</v>
      </c>
      <c r="C45" s="4">
        <v>46345</v>
      </c>
      <c r="D45" s="3" t="s">
        <v>111</v>
      </c>
      <c r="E45" s="5" t="s">
        <v>14</v>
      </c>
      <c r="F45" s="5" t="s">
        <v>65</v>
      </c>
      <c r="G45" s="3" t="s">
        <v>77</v>
      </c>
      <c r="H45" s="3" t="s">
        <v>22</v>
      </c>
      <c r="I45" s="3">
        <v>21</v>
      </c>
      <c r="J45" s="3">
        <v>0</v>
      </c>
      <c r="K45" s="3">
        <v>7</v>
      </c>
      <c r="L45" s="3" t="s">
        <v>10</v>
      </c>
      <c r="M45" s="3" t="s">
        <v>293</v>
      </c>
      <c r="N45" s="3" t="s">
        <v>57</v>
      </c>
      <c r="O45" s="4">
        <v>46380</v>
      </c>
    </row>
    <row r="46" spans="1:15">
      <c r="A46" s="3">
        <v>43</v>
      </c>
      <c r="B46" s="3" t="s">
        <v>506</v>
      </c>
      <c r="C46" s="4">
        <v>46333</v>
      </c>
      <c r="D46" s="3" t="s">
        <v>111</v>
      </c>
      <c r="E46" s="5" t="s">
        <v>87</v>
      </c>
      <c r="F46" s="5" t="s">
        <v>50</v>
      </c>
      <c r="G46" s="3" t="s">
        <v>40</v>
      </c>
      <c r="H46" s="3" t="s">
        <v>22</v>
      </c>
      <c r="I46" s="3">
        <v>40</v>
      </c>
      <c r="J46" s="3">
        <v>1</v>
      </c>
      <c r="K46" s="3">
        <v>3</v>
      </c>
      <c r="L46" s="3" t="s">
        <v>42</v>
      </c>
      <c r="M46" s="3" t="s">
        <v>297</v>
      </c>
      <c r="N46" s="3" t="s">
        <v>61</v>
      </c>
      <c r="O46" s="4">
        <v>46362</v>
      </c>
    </row>
    <row r="47" spans="1:15">
      <c r="A47" s="3">
        <v>44</v>
      </c>
      <c r="B47" s="3" t="s">
        <v>507</v>
      </c>
      <c r="C47" s="4">
        <v>46338</v>
      </c>
      <c r="D47" s="3" t="s">
        <v>111</v>
      </c>
      <c r="E47" s="5" t="s">
        <v>21</v>
      </c>
      <c r="F47" s="5" t="s">
        <v>50</v>
      </c>
      <c r="G47" s="3" t="s">
        <v>21</v>
      </c>
      <c r="H47" s="3" t="s">
        <v>32</v>
      </c>
      <c r="I47" s="3">
        <v>46</v>
      </c>
      <c r="J47" s="3">
        <v>5</v>
      </c>
      <c r="K47" s="3">
        <v>1</v>
      </c>
      <c r="L47" s="3" t="s">
        <v>96</v>
      </c>
      <c r="M47" s="3" t="s">
        <v>293</v>
      </c>
      <c r="N47" s="3" t="s">
        <v>16</v>
      </c>
      <c r="O47" s="4">
        <v>46361</v>
      </c>
    </row>
    <row r="48" spans="1:15">
      <c r="A48" s="3">
        <v>45</v>
      </c>
      <c r="B48" s="3" t="s">
        <v>508</v>
      </c>
      <c r="C48" s="4">
        <v>46351</v>
      </c>
      <c r="D48" s="3" t="s">
        <v>111</v>
      </c>
      <c r="E48" s="5" t="s">
        <v>87</v>
      </c>
      <c r="F48" s="5" t="s">
        <v>65</v>
      </c>
      <c r="G48" s="3" t="s">
        <v>31</v>
      </c>
      <c r="H48" s="3" t="s">
        <v>41</v>
      </c>
      <c r="I48" s="3">
        <v>32</v>
      </c>
      <c r="J48" s="3">
        <v>5</v>
      </c>
      <c r="K48" s="3">
        <v>8</v>
      </c>
      <c r="L48" s="3" t="s">
        <v>24</v>
      </c>
      <c r="M48" s="3" t="s">
        <v>293</v>
      </c>
      <c r="N48" s="3" t="s">
        <v>91</v>
      </c>
      <c r="O48" s="4">
        <v>46374</v>
      </c>
    </row>
    <row r="49" spans="1:15">
      <c r="A49" s="3">
        <v>46</v>
      </c>
      <c r="B49" s="3" t="s">
        <v>509</v>
      </c>
      <c r="C49" s="4">
        <v>46378</v>
      </c>
      <c r="D49" s="3" t="s">
        <v>122</v>
      </c>
      <c r="E49" s="5" t="s">
        <v>95</v>
      </c>
      <c r="F49" s="5" t="s">
        <v>46</v>
      </c>
      <c r="G49" s="3" t="s">
        <v>77</v>
      </c>
      <c r="H49" s="3" t="s">
        <v>104</v>
      </c>
      <c r="I49" s="3">
        <v>18</v>
      </c>
      <c r="J49" s="3">
        <v>5</v>
      </c>
      <c r="K49" s="3">
        <v>1</v>
      </c>
      <c r="L49" s="3" t="s">
        <v>96</v>
      </c>
      <c r="M49" s="3" t="s">
        <v>254</v>
      </c>
      <c r="N49" s="3" t="s">
        <v>64</v>
      </c>
      <c r="O49" s="4">
        <v>46390</v>
      </c>
    </row>
    <row r="50" spans="1:15">
      <c r="A50" s="3">
        <v>47</v>
      </c>
      <c r="B50" s="3" t="s">
        <v>510</v>
      </c>
      <c r="C50" s="4">
        <v>46375</v>
      </c>
      <c r="D50" s="3" t="s">
        <v>122</v>
      </c>
      <c r="E50" s="5" t="s">
        <v>21</v>
      </c>
      <c r="F50" s="5" t="s">
        <v>58</v>
      </c>
      <c r="G50" s="3" t="s">
        <v>14</v>
      </c>
      <c r="H50" s="3" t="s">
        <v>41</v>
      </c>
      <c r="I50" s="3">
        <v>39</v>
      </c>
      <c r="J50" s="3">
        <v>5</v>
      </c>
      <c r="K50" s="3">
        <v>4</v>
      </c>
      <c r="L50" s="3" t="s">
        <v>96</v>
      </c>
      <c r="M50" s="3" t="s">
        <v>293</v>
      </c>
      <c r="N50" s="3" t="s">
        <v>91</v>
      </c>
      <c r="O50" s="4">
        <v>46403</v>
      </c>
    </row>
    <row r="51" spans="1:15">
      <c r="A51" s="3">
        <v>48</v>
      </c>
      <c r="B51" s="3" t="s">
        <v>511</v>
      </c>
      <c r="C51" s="4">
        <v>46374</v>
      </c>
      <c r="D51" s="3" t="s">
        <v>122</v>
      </c>
      <c r="E51" s="5" t="s">
        <v>87</v>
      </c>
      <c r="F51" s="5" t="s">
        <v>27</v>
      </c>
      <c r="G51" s="3" t="s">
        <v>40</v>
      </c>
      <c r="H51" s="3" t="s">
        <v>36</v>
      </c>
      <c r="I51" s="3">
        <v>22</v>
      </c>
      <c r="J51" s="3">
        <v>7</v>
      </c>
      <c r="K51" s="3">
        <v>3</v>
      </c>
      <c r="L51" s="3" t="s">
        <v>17</v>
      </c>
      <c r="M51" s="3" t="s">
        <v>293</v>
      </c>
      <c r="N51" s="3" t="s">
        <v>57</v>
      </c>
      <c r="O51" s="4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2.7109375" customWidth="1"/>
    <col min="3" max="4" width="9.7109375" customWidth="1"/>
    <col min="5" max="5" width="11.7109375" customWidth="1"/>
    <col min="6" max="6" width="14.7109375" customWidth="1"/>
    <col min="7" max="8" width="12.7109375" customWidth="1"/>
    <col min="9" max="9" width="9.7109375" customWidth="1"/>
    <col min="10" max="10" width="10.7109375" customWidth="1"/>
    <col min="11" max="11" width="14.7109375" customWidth="1"/>
    <col min="12" max="12" width="16.7109375" customWidth="1"/>
    <col min="13" max="13" width="21.7109375" customWidth="1"/>
    <col min="14" max="14" width="16.7109375" customWidth="1"/>
    <col min="15" max="15" width="13.7109375" customWidth="1"/>
    <col min="16" max="16" width="16.7109375" customWidth="1"/>
  </cols>
  <sheetData>
    <row r="1" spans="1:18" ht="22" customHeight="1">
      <c r="A1" s="1" t="s">
        <v>512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565</v>
      </c>
      <c r="C3" t="s">
        <v>126</v>
      </c>
      <c r="D3" t="s">
        <v>127</v>
      </c>
      <c r="E3" t="s">
        <v>566</v>
      </c>
      <c r="F3" t="s">
        <v>567</v>
      </c>
      <c r="G3" t="s">
        <v>129</v>
      </c>
      <c r="H3" t="s">
        <v>568</v>
      </c>
      <c r="I3" t="s">
        <v>569</v>
      </c>
      <c r="J3" t="s">
        <v>570</v>
      </c>
      <c r="K3" t="s">
        <v>134</v>
      </c>
      <c r="L3" t="s">
        <v>135</v>
      </c>
      <c r="M3" t="s">
        <v>571</v>
      </c>
      <c r="N3" t="s">
        <v>572</v>
      </c>
      <c r="O3" t="s">
        <v>573</v>
      </c>
      <c r="P3" t="s">
        <v>574</v>
      </c>
    </row>
    <row r="4" spans="1:18">
      <c r="A4" s="3">
        <v>1</v>
      </c>
      <c r="B4" s="3" t="s">
        <v>513</v>
      </c>
      <c r="C4" s="4">
        <v>46031</v>
      </c>
      <c r="D4" s="3" t="s">
        <v>3</v>
      </c>
      <c r="E4" s="5" t="s">
        <v>514</v>
      </c>
      <c r="F4" s="5" t="s">
        <v>26</v>
      </c>
      <c r="G4" s="3" t="s">
        <v>27</v>
      </c>
      <c r="H4" s="3" t="s">
        <v>68</v>
      </c>
      <c r="I4" s="3">
        <v>26</v>
      </c>
      <c r="J4" s="3">
        <v>42</v>
      </c>
      <c r="K4" s="6">
        <f>IFERROR(J4/I4*100,0)</f>
        <v>0</v>
      </c>
      <c r="L4" s="3">
        <v>67</v>
      </c>
      <c r="M4" s="3">
        <v>1</v>
      </c>
      <c r="N4" s="3">
        <v>2</v>
      </c>
      <c r="O4" s="6">
        <f>IFERROR(N4/M4*100,0)</f>
        <v>0</v>
      </c>
      <c r="P4" s="3" t="s">
        <v>23</v>
      </c>
    </row>
    <row r="5" spans="1:18">
      <c r="A5" s="3">
        <v>2</v>
      </c>
      <c r="B5" s="3" t="s">
        <v>515</v>
      </c>
      <c r="C5" s="4">
        <v>46042</v>
      </c>
      <c r="D5" s="3" t="s">
        <v>3</v>
      </c>
      <c r="E5" s="5" t="s">
        <v>516</v>
      </c>
      <c r="F5" s="5" t="s">
        <v>64</v>
      </c>
      <c r="G5" s="3" t="s">
        <v>89</v>
      </c>
      <c r="H5" s="3" t="s">
        <v>66</v>
      </c>
      <c r="I5" s="3">
        <v>23</v>
      </c>
      <c r="J5" s="3">
        <v>11</v>
      </c>
      <c r="K5" s="6">
        <f>IFERROR(J5/I5*100,0)</f>
        <v>0</v>
      </c>
      <c r="L5" s="3">
        <v>51</v>
      </c>
      <c r="M5" s="3">
        <v>0</v>
      </c>
      <c r="N5" s="3">
        <v>5</v>
      </c>
      <c r="O5" s="6">
        <f>IFERROR(N5/M5*100,0)</f>
        <v>0</v>
      </c>
      <c r="P5" s="3" t="s">
        <v>23</v>
      </c>
    </row>
    <row r="6" spans="1:18">
      <c r="A6" s="3">
        <v>3</v>
      </c>
      <c r="B6" s="3" t="s">
        <v>517</v>
      </c>
      <c r="C6" s="4">
        <v>46032</v>
      </c>
      <c r="D6" s="3" t="s">
        <v>3</v>
      </c>
      <c r="E6" s="5" t="s">
        <v>518</v>
      </c>
      <c r="F6" s="5" t="s">
        <v>30</v>
      </c>
      <c r="G6" s="3" t="s">
        <v>13</v>
      </c>
      <c r="H6" s="3" t="s">
        <v>70</v>
      </c>
      <c r="I6" s="3">
        <v>40</v>
      </c>
      <c r="J6" s="3">
        <v>45</v>
      </c>
      <c r="K6" s="6">
        <f>IFERROR(J6/I6*100,0)</f>
        <v>0</v>
      </c>
      <c r="L6" s="3">
        <v>48</v>
      </c>
      <c r="M6" s="3">
        <v>0</v>
      </c>
      <c r="N6" s="3">
        <v>4</v>
      </c>
      <c r="O6" s="6">
        <f>IFERROR(N6/M6*100,0)</f>
        <v>0</v>
      </c>
      <c r="P6" s="3" t="s">
        <v>9</v>
      </c>
    </row>
    <row r="7" spans="1:18">
      <c r="A7" s="3">
        <v>4</v>
      </c>
      <c r="B7" s="3" t="s">
        <v>519</v>
      </c>
      <c r="C7" s="4">
        <v>46065</v>
      </c>
      <c r="D7" s="3" t="s">
        <v>19</v>
      </c>
      <c r="E7" s="5" t="s">
        <v>516</v>
      </c>
      <c r="F7" s="5" t="s">
        <v>4</v>
      </c>
      <c r="G7" s="3" t="s">
        <v>46</v>
      </c>
      <c r="H7" s="3" t="s">
        <v>68</v>
      </c>
      <c r="I7" s="3">
        <v>43</v>
      </c>
      <c r="J7" s="3">
        <v>55</v>
      </c>
      <c r="K7" s="6">
        <f>IFERROR(J7/I7*100,0)</f>
        <v>0</v>
      </c>
      <c r="L7" s="3">
        <v>101</v>
      </c>
      <c r="M7" s="3">
        <v>0</v>
      </c>
      <c r="N7" s="3">
        <v>3</v>
      </c>
      <c r="O7" s="6">
        <f>IFERROR(N7/M7*100,0)</f>
        <v>0</v>
      </c>
      <c r="P7" s="3" t="s">
        <v>9</v>
      </c>
    </row>
    <row r="8" spans="1:18">
      <c r="A8" s="3">
        <v>5</v>
      </c>
      <c r="B8" s="3" t="s">
        <v>520</v>
      </c>
      <c r="C8" s="4">
        <v>46072</v>
      </c>
      <c r="D8" s="3" t="s">
        <v>19</v>
      </c>
      <c r="E8" s="5" t="s">
        <v>518</v>
      </c>
      <c r="F8" s="5" t="s">
        <v>49</v>
      </c>
      <c r="G8" s="3" t="s">
        <v>39</v>
      </c>
      <c r="H8" s="3" t="s">
        <v>22</v>
      </c>
      <c r="I8" s="3">
        <v>26</v>
      </c>
      <c r="J8" s="3">
        <v>60</v>
      </c>
      <c r="K8" s="6">
        <f>IFERROR(J8/I8*100,0)</f>
        <v>0</v>
      </c>
      <c r="L8" s="3">
        <v>44</v>
      </c>
      <c r="M8" s="3">
        <v>2</v>
      </c>
      <c r="N8" s="3">
        <v>8</v>
      </c>
      <c r="O8" s="6">
        <f>IFERROR(N8/M8*100,0)</f>
        <v>0</v>
      </c>
      <c r="P8" s="3" t="s">
        <v>23</v>
      </c>
    </row>
    <row r="9" spans="1:18">
      <c r="A9" s="3">
        <v>6</v>
      </c>
      <c r="B9" s="3" t="s">
        <v>521</v>
      </c>
      <c r="C9" s="4">
        <v>46060</v>
      </c>
      <c r="D9" s="3" t="s">
        <v>19</v>
      </c>
      <c r="E9" s="5" t="s">
        <v>518</v>
      </c>
      <c r="F9" s="5" t="s">
        <v>26</v>
      </c>
      <c r="G9" s="3" t="s">
        <v>92</v>
      </c>
      <c r="H9" s="3" t="s">
        <v>7</v>
      </c>
      <c r="I9" s="3">
        <v>58</v>
      </c>
      <c r="J9" s="3">
        <v>48</v>
      </c>
      <c r="K9" s="6">
        <f>IFERROR(J9/I9*100,0)</f>
        <v>0</v>
      </c>
      <c r="L9" s="3">
        <v>21</v>
      </c>
      <c r="M9" s="3">
        <v>5</v>
      </c>
      <c r="N9" s="3">
        <v>7</v>
      </c>
      <c r="O9" s="6">
        <f>IFERROR(N9/M9*100,0)</f>
        <v>0</v>
      </c>
      <c r="P9" s="3" t="s">
        <v>23</v>
      </c>
    </row>
    <row r="10" spans="1:18">
      <c r="A10" s="3">
        <v>7</v>
      </c>
      <c r="B10" s="3" t="s">
        <v>522</v>
      </c>
      <c r="C10" s="4">
        <v>46070</v>
      </c>
      <c r="D10" s="3" t="s">
        <v>19</v>
      </c>
      <c r="E10" s="5" t="s">
        <v>523</v>
      </c>
      <c r="F10" s="5" t="s">
        <v>12</v>
      </c>
      <c r="G10" s="3" t="s">
        <v>46</v>
      </c>
      <c r="H10" s="3" t="s">
        <v>93</v>
      </c>
      <c r="I10" s="3">
        <v>20</v>
      </c>
      <c r="J10" s="3">
        <v>44</v>
      </c>
      <c r="K10" s="6">
        <f>IFERROR(J10/I10*100,0)</f>
        <v>0</v>
      </c>
      <c r="L10" s="3">
        <v>107</v>
      </c>
      <c r="M10" s="3">
        <v>4</v>
      </c>
      <c r="N10" s="3">
        <v>6</v>
      </c>
      <c r="O10" s="6">
        <f>IFERROR(N10/M10*100,0)</f>
        <v>0</v>
      </c>
      <c r="P10" s="3" t="s">
        <v>9</v>
      </c>
    </row>
    <row r="11" spans="1:18">
      <c r="A11" s="3">
        <v>8</v>
      </c>
      <c r="B11" s="3" t="s">
        <v>524</v>
      </c>
      <c r="C11" s="4">
        <v>46059</v>
      </c>
      <c r="D11" s="3" t="s">
        <v>19</v>
      </c>
      <c r="E11" s="5" t="s">
        <v>523</v>
      </c>
      <c r="F11" s="5" t="s">
        <v>54</v>
      </c>
      <c r="G11" s="3" t="s">
        <v>92</v>
      </c>
      <c r="H11" s="3" t="s">
        <v>15</v>
      </c>
      <c r="I11" s="3">
        <v>59</v>
      </c>
      <c r="J11" s="3">
        <v>40</v>
      </c>
      <c r="K11" s="6">
        <f>IFERROR(J11/I11*100,0)</f>
        <v>0</v>
      </c>
      <c r="L11" s="3">
        <v>90</v>
      </c>
      <c r="M11" s="3">
        <v>2</v>
      </c>
      <c r="N11" s="3">
        <v>6</v>
      </c>
      <c r="O11" s="6">
        <f>IFERROR(N11/M11*100,0)</f>
        <v>0</v>
      </c>
      <c r="P11" s="3" t="s">
        <v>9</v>
      </c>
    </row>
    <row r="12" spans="1:18">
      <c r="A12" s="3">
        <v>9</v>
      </c>
      <c r="B12" s="3" t="s">
        <v>525</v>
      </c>
      <c r="C12" s="4">
        <v>46078</v>
      </c>
      <c r="D12" s="3" t="s">
        <v>19</v>
      </c>
      <c r="E12" s="5" t="s">
        <v>514</v>
      </c>
      <c r="F12" s="5" t="s">
        <v>64</v>
      </c>
      <c r="G12" s="3" t="s">
        <v>5</v>
      </c>
      <c r="H12" s="3" t="s">
        <v>68</v>
      </c>
      <c r="I12" s="3">
        <v>37</v>
      </c>
      <c r="J12" s="3">
        <v>11</v>
      </c>
      <c r="K12" s="6">
        <f>IFERROR(J12/I12*100,0)</f>
        <v>0</v>
      </c>
      <c r="L12" s="3">
        <v>36</v>
      </c>
      <c r="M12" s="3">
        <v>1</v>
      </c>
      <c r="N12" s="3">
        <v>3</v>
      </c>
      <c r="O12" s="6">
        <f>IFERROR(N12/M12*100,0)</f>
        <v>0</v>
      </c>
      <c r="P12" s="3" t="s">
        <v>9</v>
      </c>
    </row>
    <row r="13" spans="1:18">
      <c r="A13" s="3">
        <v>10</v>
      </c>
      <c r="B13" s="3" t="s">
        <v>526</v>
      </c>
      <c r="C13" s="4">
        <v>46056</v>
      </c>
      <c r="D13" s="3" t="s">
        <v>19</v>
      </c>
      <c r="E13" s="5" t="s">
        <v>516</v>
      </c>
      <c r="F13" s="5" t="s">
        <v>12</v>
      </c>
      <c r="G13" s="3" t="s">
        <v>92</v>
      </c>
      <c r="H13" s="3" t="s">
        <v>36</v>
      </c>
      <c r="I13" s="3">
        <v>49</v>
      </c>
      <c r="J13" s="3">
        <v>29</v>
      </c>
      <c r="K13" s="6">
        <f>IFERROR(J13/I13*100,0)</f>
        <v>0</v>
      </c>
      <c r="L13" s="3">
        <v>111</v>
      </c>
      <c r="M13" s="3">
        <v>5</v>
      </c>
      <c r="N13" s="3">
        <v>7</v>
      </c>
      <c r="O13" s="6">
        <f>IFERROR(N13/M13*100,0)</f>
        <v>0</v>
      </c>
      <c r="P13" s="3" t="s">
        <v>9</v>
      </c>
    </row>
    <row r="14" spans="1:18">
      <c r="A14" s="3">
        <v>11</v>
      </c>
      <c r="B14" s="3" t="s">
        <v>527</v>
      </c>
      <c r="C14" s="4">
        <v>46080</v>
      </c>
      <c r="D14" s="3" t="s">
        <v>19</v>
      </c>
      <c r="E14" s="5" t="s">
        <v>523</v>
      </c>
      <c r="F14" s="5" t="s">
        <v>26</v>
      </c>
      <c r="G14" s="3" t="s">
        <v>46</v>
      </c>
      <c r="H14" s="3" t="s">
        <v>41</v>
      </c>
      <c r="I14" s="3">
        <v>41</v>
      </c>
      <c r="J14" s="3">
        <v>51</v>
      </c>
      <c r="K14" s="6">
        <f>IFERROR(J14/I14*100,0)</f>
        <v>0</v>
      </c>
      <c r="L14" s="3">
        <v>99</v>
      </c>
      <c r="M14" s="3">
        <v>2</v>
      </c>
      <c r="N14" s="3">
        <v>0</v>
      </c>
      <c r="O14" s="6">
        <f>IFERROR(N14/M14*100,0)</f>
        <v>0</v>
      </c>
      <c r="P14" s="3" t="s">
        <v>23</v>
      </c>
    </row>
    <row r="15" spans="1:18">
      <c r="A15" s="3">
        <v>12</v>
      </c>
      <c r="B15" s="3" t="s">
        <v>528</v>
      </c>
      <c r="C15" s="4">
        <v>46054</v>
      </c>
      <c r="D15" s="3" t="s">
        <v>19</v>
      </c>
      <c r="E15" s="5" t="s">
        <v>523</v>
      </c>
      <c r="F15" s="5" t="s">
        <v>16</v>
      </c>
      <c r="G15" s="3" t="s">
        <v>92</v>
      </c>
      <c r="H15" s="3" t="s">
        <v>66</v>
      </c>
      <c r="I15" s="3">
        <v>41</v>
      </c>
      <c r="J15" s="3">
        <v>10</v>
      </c>
      <c r="K15" s="6">
        <f>IFERROR(J15/I15*100,0)</f>
        <v>0</v>
      </c>
      <c r="L15" s="3">
        <v>40</v>
      </c>
      <c r="M15" s="3">
        <v>0</v>
      </c>
      <c r="N15" s="3">
        <v>4</v>
      </c>
      <c r="O15" s="6">
        <f>IFERROR(N15/M15*100,0)</f>
        <v>0</v>
      </c>
      <c r="P15" s="3" t="s">
        <v>23</v>
      </c>
    </row>
    <row r="16" spans="1:18">
      <c r="A16" s="3">
        <v>13</v>
      </c>
      <c r="B16" s="3" t="s">
        <v>529</v>
      </c>
      <c r="C16" s="4">
        <v>46077</v>
      </c>
      <c r="D16" s="3" t="s">
        <v>19</v>
      </c>
      <c r="E16" s="5" t="s">
        <v>518</v>
      </c>
      <c r="F16" s="5" t="s">
        <v>16</v>
      </c>
      <c r="G16" s="3" t="s">
        <v>13</v>
      </c>
      <c r="H16" s="3" t="s">
        <v>93</v>
      </c>
      <c r="I16" s="3">
        <v>29</v>
      </c>
      <c r="J16" s="3">
        <v>15</v>
      </c>
      <c r="K16" s="6">
        <f>IFERROR(J16/I16*100,0)</f>
        <v>0</v>
      </c>
      <c r="L16" s="3">
        <v>55</v>
      </c>
      <c r="M16" s="3">
        <v>5</v>
      </c>
      <c r="N16" s="3">
        <v>3</v>
      </c>
      <c r="O16" s="6">
        <f>IFERROR(N16/M16*100,0)</f>
        <v>0</v>
      </c>
      <c r="P16" s="3" t="s">
        <v>23</v>
      </c>
    </row>
    <row r="17" spans="1:16">
      <c r="A17" s="3">
        <v>14</v>
      </c>
      <c r="B17" s="3" t="s">
        <v>530</v>
      </c>
      <c r="C17" s="4">
        <v>46092</v>
      </c>
      <c r="D17" s="3" t="s">
        <v>44</v>
      </c>
      <c r="E17" s="5" t="s">
        <v>514</v>
      </c>
      <c r="F17" s="5" t="s">
        <v>30</v>
      </c>
      <c r="G17" s="3" t="s">
        <v>89</v>
      </c>
      <c r="H17" s="3" t="s">
        <v>66</v>
      </c>
      <c r="I17" s="3">
        <v>10</v>
      </c>
      <c r="J17" s="3">
        <v>17</v>
      </c>
      <c r="K17" s="6">
        <f>IFERROR(J17/I17*100,0)</f>
        <v>0</v>
      </c>
      <c r="L17" s="3">
        <v>104</v>
      </c>
      <c r="M17" s="3">
        <v>4</v>
      </c>
      <c r="N17" s="3">
        <v>1</v>
      </c>
      <c r="O17" s="6">
        <f>IFERROR(N17/M17*100,0)</f>
        <v>0</v>
      </c>
      <c r="P17" s="3" t="s">
        <v>9</v>
      </c>
    </row>
    <row r="18" spans="1:16">
      <c r="A18" s="3">
        <v>15</v>
      </c>
      <c r="B18" s="3" t="s">
        <v>531</v>
      </c>
      <c r="C18" s="4">
        <v>46109</v>
      </c>
      <c r="D18" s="3" t="s">
        <v>44</v>
      </c>
      <c r="E18" s="5" t="s">
        <v>516</v>
      </c>
      <c r="F18" s="5" t="s">
        <v>61</v>
      </c>
      <c r="G18" s="3" t="s">
        <v>13</v>
      </c>
      <c r="H18" s="3" t="s">
        <v>62</v>
      </c>
      <c r="I18" s="3">
        <v>13</v>
      </c>
      <c r="J18" s="3">
        <v>39</v>
      </c>
      <c r="K18" s="6">
        <f>IFERROR(J18/I18*100,0)</f>
        <v>0</v>
      </c>
      <c r="L18" s="3">
        <v>116</v>
      </c>
      <c r="M18" s="3">
        <v>3</v>
      </c>
      <c r="N18" s="3">
        <v>0</v>
      </c>
      <c r="O18" s="6">
        <f>IFERROR(N18/M18*100,0)</f>
        <v>0</v>
      </c>
      <c r="P18" s="3" t="s">
        <v>23</v>
      </c>
    </row>
    <row r="19" spans="1:16">
      <c r="A19" s="3">
        <v>16</v>
      </c>
      <c r="B19" s="3" t="s">
        <v>532</v>
      </c>
      <c r="C19" s="4">
        <v>46108</v>
      </c>
      <c r="D19" s="3" t="s">
        <v>44</v>
      </c>
      <c r="E19" s="5" t="s">
        <v>523</v>
      </c>
      <c r="F19" s="5" t="s">
        <v>64</v>
      </c>
      <c r="G19" s="3" t="s">
        <v>89</v>
      </c>
      <c r="H19" s="3" t="s">
        <v>41</v>
      </c>
      <c r="I19" s="3">
        <v>13</v>
      </c>
      <c r="J19" s="3">
        <v>14</v>
      </c>
      <c r="K19" s="6">
        <f>IFERROR(J19/I19*100,0)</f>
        <v>0</v>
      </c>
      <c r="L19" s="3">
        <v>109</v>
      </c>
      <c r="M19" s="3">
        <v>7</v>
      </c>
      <c r="N19" s="3">
        <v>8</v>
      </c>
      <c r="O19" s="6">
        <f>IFERROR(N19/M19*100,0)</f>
        <v>0</v>
      </c>
      <c r="P19" s="3" t="s">
        <v>9</v>
      </c>
    </row>
    <row r="20" spans="1:16">
      <c r="A20" s="3">
        <v>17</v>
      </c>
      <c r="B20" s="3" t="s">
        <v>533</v>
      </c>
      <c r="C20" s="4">
        <v>46082</v>
      </c>
      <c r="D20" s="3" t="s">
        <v>44</v>
      </c>
      <c r="E20" s="5" t="s">
        <v>518</v>
      </c>
      <c r="F20" s="5" t="s">
        <v>64</v>
      </c>
      <c r="G20" s="3" t="s">
        <v>46</v>
      </c>
      <c r="H20" s="3" t="s">
        <v>68</v>
      </c>
      <c r="I20" s="3">
        <v>46</v>
      </c>
      <c r="J20" s="3">
        <v>26</v>
      </c>
      <c r="K20" s="6">
        <f>IFERROR(J20/I20*100,0)</f>
        <v>0</v>
      </c>
      <c r="L20" s="3">
        <v>30</v>
      </c>
      <c r="M20" s="3">
        <v>6</v>
      </c>
      <c r="N20" s="3">
        <v>5</v>
      </c>
      <c r="O20" s="6">
        <f>IFERROR(N20/M20*100,0)</f>
        <v>0</v>
      </c>
      <c r="P20" s="3" t="s">
        <v>23</v>
      </c>
    </row>
    <row r="21" spans="1:16">
      <c r="A21" s="3">
        <v>18</v>
      </c>
      <c r="B21" s="3" t="s">
        <v>534</v>
      </c>
      <c r="C21" s="4">
        <v>46109</v>
      </c>
      <c r="D21" s="3" t="s">
        <v>44</v>
      </c>
      <c r="E21" s="5" t="s">
        <v>516</v>
      </c>
      <c r="F21" s="5" t="s">
        <v>30</v>
      </c>
      <c r="G21" s="3" t="s">
        <v>92</v>
      </c>
      <c r="H21" s="3" t="s">
        <v>36</v>
      </c>
      <c r="I21" s="3">
        <v>40</v>
      </c>
      <c r="J21" s="3">
        <v>40</v>
      </c>
      <c r="K21" s="6">
        <f>IFERROR(J21/I21*100,0)</f>
        <v>0</v>
      </c>
      <c r="L21" s="3">
        <v>108</v>
      </c>
      <c r="M21" s="3">
        <v>1</v>
      </c>
      <c r="N21" s="3">
        <v>2</v>
      </c>
      <c r="O21" s="6">
        <f>IFERROR(N21/M21*100,0)</f>
        <v>0</v>
      </c>
      <c r="P21" s="3" t="s">
        <v>23</v>
      </c>
    </row>
    <row r="22" spans="1:16">
      <c r="A22" s="3">
        <v>19</v>
      </c>
      <c r="B22" s="3" t="s">
        <v>535</v>
      </c>
      <c r="C22" s="4">
        <v>46118</v>
      </c>
      <c r="D22" s="3" t="s">
        <v>53</v>
      </c>
      <c r="E22" s="5" t="s">
        <v>516</v>
      </c>
      <c r="F22" s="5" t="s">
        <v>16</v>
      </c>
      <c r="G22" s="3" t="s">
        <v>65</v>
      </c>
      <c r="H22" s="3" t="s">
        <v>41</v>
      </c>
      <c r="I22" s="3">
        <v>10</v>
      </c>
      <c r="J22" s="3">
        <v>30</v>
      </c>
      <c r="K22" s="6">
        <f>IFERROR(J22/I22*100,0)</f>
        <v>0</v>
      </c>
      <c r="L22" s="3">
        <v>48</v>
      </c>
      <c r="M22" s="3">
        <v>3</v>
      </c>
      <c r="N22" s="3">
        <v>4</v>
      </c>
      <c r="O22" s="6">
        <f>IFERROR(N22/M22*100,0)</f>
        <v>0</v>
      </c>
      <c r="P22" s="3" t="s">
        <v>23</v>
      </c>
    </row>
    <row r="23" spans="1:16">
      <c r="A23" s="3">
        <v>20</v>
      </c>
      <c r="B23" s="3" t="s">
        <v>536</v>
      </c>
      <c r="C23" s="4">
        <v>46139</v>
      </c>
      <c r="D23" s="3" t="s">
        <v>53</v>
      </c>
      <c r="E23" s="5" t="s">
        <v>523</v>
      </c>
      <c r="F23" s="5" t="s">
        <v>4</v>
      </c>
      <c r="G23" s="3" t="s">
        <v>89</v>
      </c>
      <c r="H23" s="3" t="s">
        <v>15</v>
      </c>
      <c r="I23" s="3">
        <v>57</v>
      </c>
      <c r="J23" s="3">
        <v>57</v>
      </c>
      <c r="K23" s="6">
        <f>IFERROR(J23/I23*100,0)</f>
        <v>0</v>
      </c>
      <c r="L23" s="3">
        <v>35</v>
      </c>
      <c r="M23" s="3">
        <v>8</v>
      </c>
      <c r="N23" s="3">
        <v>3</v>
      </c>
      <c r="O23" s="6">
        <f>IFERROR(N23/M23*100,0)</f>
        <v>0</v>
      </c>
      <c r="P23" s="3" t="s">
        <v>23</v>
      </c>
    </row>
    <row r="24" spans="1:16">
      <c r="A24" s="3">
        <v>21</v>
      </c>
      <c r="B24" s="3" t="s">
        <v>537</v>
      </c>
      <c r="C24" s="4">
        <v>46130</v>
      </c>
      <c r="D24" s="3" t="s">
        <v>53</v>
      </c>
      <c r="E24" s="5" t="s">
        <v>514</v>
      </c>
      <c r="F24" s="5" t="s">
        <v>20</v>
      </c>
      <c r="G24" s="3" t="s">
        <v>89</v>
      </c>
      <c r="H24" s="3" t="s">
        <v>68</v>
      </c>
      <c r="I24" s="3">
        <v>29</v>
      </c>
      <c r="J24" s="3">
        <v>16</v>
      </c>
      <c r="K24" s="6">
        <f>IFERROR(J24/I24*100,0)</f>
        <v>0</v>
      </c>
      <c r="L24" s="3">
        <v>70</v>
      </c>
      <c r="M24" s="3">
        <v>4</v>
      </c>
      <c r="N24" s="3">
        <v>4</v>
      </c>
      <c r="O24" s="6">
        <f>IFERROR(N24/M24*100,0)</f>
        <v>0</v>
      </c>
      <c r="P24" s="3" t="s">
        <v>9</v>
      </c>
    </row>
    <row r="25" spans="1:16">
      <c r="A25" s="3">
        <v>22</v>
      </c>
      <c r="B25" s="3" t="s">
        <v>538</v>
      </c>
      <c r="C25" s="4">
        <v>46124</v>
      </c>
      <c r="D25" s="3" t="s">
        <v>53</v>
      </c>
      <c r="E25" s="5" t="s">
        <v>514</v>
      </c>
      <c r="F25" s="5" t="s">
        <v>30</v>
      </c>
      <c r="G25" s="3" t="s">
        <v>89</v>
      </c>
      <c r="H25" s="3" t="s">
        <v>78</v>
      </c>
      <c r="I25" s="3">
        <v>58</v>
      </c>
      <c r="J25" s="3">
        <v>16</v>
      </c>
      <c r="K25" s="6">
        <f>IFERROR(J25/I25*100,0)</f>
        <v>0</v>
      </c>
      <c r="L25" s="3">
        <v>111</v>
      </c>
      <c r="M25" s="3">
        <v>7</v>
      </c>
      <c r="N25" s="3">
        <v>5</v>
      </c>
      <c r="O25" s="6">
        <f>IFERROR(N25/M25*100,0)</f>
        <v>0</v>
      </c>
      <c r="P25" s="3" t="s">
        <v>9</v>
      </c>
    </row>
    <row r="26" spans="1:16">
      <c r="A26" s="3">
        <v>23</v>
      </c>
      <c r="B26" s="3" t="s">
        <v>539</v>
      </c>
      <c r="C26" s="4">
        <v>46118</v>
      </c>
      <c r="D26" s="3" t="s">
        <v>53</v>
      </c>
      <c r="E26" s="5" t="s">
        <v>516</v>
      </c>
      <c r="F26" s="5" t="s">
        <v>57</v>
      </c>
      <c r="G26" s="3" t="s">
        <v>58</v>
      </c>
      <c r="H26" s="3" t="s">
        <v>36</v>
      </c>
      <c r="I26" s="3">
        <v>34</v>
      </c>
      <c r="J26" s="3">
        <v>31</v>
      </c>
      <c r="K26" s="6">
        <f>IFERROR(J26/I26*100,0)</f>
        <v>0</v>
      </c>
      <c r="L26" s="3">
        <v>95</v>
      </c>
      <c r="M26" s="3">
        <v>3</v>
      </c>
      <c r="N26" s="3">
        <v>7</v>
      </c>
      <c r="O26" s="6">
        <f>IFERROR(N26/M26*100,0)</f>
        <v>0</v>
      </c>
      <c r="P26" s="3" t="s">
        <v>9</v>
      </c>
    </row>
    <row r="27" spans="1:16">
      <c r="A27" s="3">
        <v>24</v>
      </c>
      <c r="B27" s="3" t="s">
        <v>540</v>
      </c>
      <c r="C27" s="4">
        <v>46121</v>
      </c>
      <c r="D27" s="3" t="s">
        <v>53</v>
      </c>
      <c r="E27" s="5" t="s">
        <v>514</v>
      </c>
      <c r="F27" s="5" t="s">
        <v>91</v>
      </c>
      <c r="G27" s="3" t="s">
        <v>65</v>
      </c>
      <c r="H27" s="3" t="s">
        <v>66</v>
      </c>
      <c r="I27" s="3">
        <v>57</v>
      </c>
      <c r="J27" s="3">
        <v>23</v>
      </c>
      <c r="K27" s="6">
        <f>IFERROR(J27/I27*100,0)</f>
        <v>0</v>
      </c>
      <c r="L27" s="3">
        <v>87</v>
      </c>
      <c r="M27" s="3">
        <v>3</v>
      </c>
      <c r="N27" s="3">
        <v>5</v>
      </c>
      <c r="O27" s="6">
        <f>IFERROR(N27/M27*100,0)</f>
        <v>0</v>
      </c>
      <c r="P27" s="3" t="s">
        <v>9</v>
      </c>
    </row>
    <row r="28" spans="1:16">
      <c r="A28" s="3">
        <v>25</v>
      </c>
      <c r="B28" s="3" t="s">
        <v>541</v>
      </c>
      <c r="C28" s="4">
        <v>46118</v>
      </c>
      <c r="D28" s="3" t="s">
        <v>53</v>
      </c>
      <c r="E28" s="5" t="s">
        <v>516</v>
      </c>
      <c r="F28" s="5" t="s">
        <v>38</v>
      </c>
      <c r="G28" s="3" t="s">
        <v>58</v>
      </c>
      <c r="H28" s="3" t="s">
        <v>104</v>
      </c>
      <c r="I28" s="3">
        <v>56</v>
      </c>
      <c r="J28" s="3">
        <v>11</v>
      </c>
      <c r="K28" s="6">
        <f>IFERROR(J28/I28*100,0)</f>
        <v>0</v>
      </c>
      <c r="L28" s="3">
        <v>46</v>
      </c>
      <c r="M28" s="3">
        <v>0</v>
      </c>
      <c r="N28" s="3">
        <v>4</v>
      </c>
      <c r="O28" s="6">
        <f>IFERROR(N28/M28*100,0)</f>
        <v>0</v>
      </c>
      <c r="P28" s="3" t="s">
        <v>23</v>
      </c>
    </row>
    <row r="29" spans="1:16">
      <c r="A29" s="3">
        <v>26</v>
      </c>
      <c r="B29" s="3" t="s">
        <v>542</v>
      </c>
      <c r="C29" s="4">
        <v>46177</v>
      </c>
      <c r="D29" s="3" t="s">
        <v>73</v>
      </c>
      <c r="E29" s="5" t="s">
        <v>523</v>
      </c>
      <c r="F29" s="5" t="s">
        <v>61</v>
      </c>
      <c r="G29" s="3" t="s">
        <v>39</v>
      </c>
      <c r="H29" s="3" t="s">
        <v>66</v>
      </c>
      <c r="I29" s="3">
        <v>33</v>
      </c>
      <c r="J29" s="3">
        <v>56</v>
      </c>
      <c r="K29" s="6">
        <f>IFERROR(J29/I29*100,0)</f>
        <v>0</v>
      </c>
      <c r="L29" s="3">
        <v>77</v>
      </c>
      <c r="M29" s="3">
        <v>0</v>
      </c>
      <c r="N29" s="3">
        <v>8</v>
      </c>
      <c r="O29" s="6">
        <f>IFERROR(N29/M29*100,0)</f>
        <v>0</v>
      </c>
      <c r="P29" s="3" t="s">
        <v>9</v>
      </c>
    </row>
    <row r="30" spans="1:16">
      <c r="A30" s="3">
        <v>27</v>
      </c>
      <c r="B30" s="3" t="s">
        <v>543</v>
      </c>
      <c r="C30" s="4">
        <v>46195</v>
      </c>
      <c r="D30" s="3" t="s">
        <v>73</v>
      </c>
      <c r="E30" s="5" t="s">
        <v>518</v>
      </c>
      <c r="F30" s="5" t="s">
        <v>61</v>
      </c>
      <c r="G30" s="3" t="s">
        <v>65</v>
      </c>
      <c r="H30" s="3" t="s">
        <v>7</v>
      </c>
      <c r="I30" s="3">
        <v>59</v>
      </c>
      <c r="J30" s="3">
        <v>44</v>
      </c>
      <c r="K30" s="6">
        <f>IFERROR(J30/I30*100,0)</f>
        <v>0</v>
      </c>
      <c r="L30" s="3">
        <v>54</v>
      </c>
      <c r="M30" s="3">
        <v>5</v>
      </c>
      <c r="N30" s="3">
        <v>4</v>
      </c>
      <c r="O30" s="6">
        <f>IFERROR(N30/M30*100,0)</f>
        <v>0</v>
      </c>
      <c r="P30" s="3" t="s">
        <v>9</v>
      </c>
    </row>
    <row r="31" spans="1:16">
      <c r="A31" s="3">
        <v>28</v>
      </c>
      <c r="B31" s="3" t="s">
        <v>544</v>
      </c>
      <c r="C31" s="4">
        <v>46174</v>
      </c>
      <c r="D31" s="3" t="s">
        <v>73</v>
      </c>
      <c r="E31" s="5" t="s">
        <v>518</v>
      </c>
      <c r="F31" s="5" t="s">
        <v>49</v>
      </c>
      <c r="G31" s="3" t="s">
        <v>27</v>
      </c>
      <c r="H31" s="3" t="s">
        <v>22</v>
      </c>
      <c r="I31" s="3">
        <v>10</v>
      </c>
      <c r="J31" s="3">
        <v>16</v>
      </c>
      <c r="K31" s="6">
        <f>IFERROR(J31/I31*100,0)</f>
        <v>0</v>
      </c>
      <c r="L31" s="3">
        <v>41</v>
      </c>
      <c r="M31" s="3">
        <v>1</v>
      </c>
      <c r="N31" s="3">
        <v>4</v>
      </c>
      <c r="O31" s="6">
        <f>IFERROR(N31/M31*100,0)</f>
        <v>0</v>
      </c>
      <c r="P31" s="3" t="s">
        <v>9</v>
      </c>
    </row>
    <row r="32" spans="1:16">
      <c r="A32" s="3">
        <v>29</v>
      </c>
      <c r="B32" s="3" t="s">
        <v>545</v>
      </c>
      <c r="C32" s="4">
        <v>46228</v>
      </c>
      <c r="D32" s="3" t="s">
        <v>76</v>
      </c>
      <c r="E32" s="5" t="s">
        <v>523</v>
      </c>
      <c r="F32" s="5" t="s">
        <v>4</v>
      </c>
      <c r="G32" s="3" t="s">
        <v>5</v>
      </c>
      <c r="H32" s="3" t="s">
        <v>93</v>
      </c>
      <c r="I32" s="3">
        <v>12</v>
      </c>
      <c r="J32" s="3">
        <v>58</v>
      </c>
      <c r="K32" s="6">
        <f>IFERROR(J32/I32*100,0)</f>
        <v>0</v>
      </c>
      <c r="L32" s="3">
        <v>39</v>
      </c>
      <c r="M32" s="3">
        <v>5</v>
      </c>
      <c r="N32" s="3">
        <v>0</v>
      </c>
      <c r="O32" s="6">
        <f>IFERROR(N32/M32*100,0)</f>
        <v>0</v>
      </c>
      <c r="P32" s="3" t="s">
        <v>23</v>
      </c>
    </row>
    <row r="33" spans="1:16">
      <c r="A33" s="3">
        <v>30</v>
      </c>
      <c r="B33" s="3" t="s">
        <v>546</v>
      </c>
      <c r="C33" s="4">
        <v>46236</v>
      </c>
      <c r="D33" s="3" t="s">
        <v>86</v>
      </c>
      <c r="E33" s="5" t="s">
        <v>523</v>
      </c>
      <c r="F33" s="5" t="s">
        <v>57</v>
      </c>
      <c r="G33" s="3" t="s">
        <v>50</v>
      </c>
      <c r="H33" s="3" t="s">
        <v>68</v>
      </c>
      <c r="I33" s="3">
        <v>17</v>
      </c>
      <c r="J33" s="3">
        <v>49</v>
      </c>
      <c r="K33" s="6">
        <f>IFERROR(J33/I33*100,0)</f>
        <v>0</v>
      </c>
      <c r="L33" s="3">
        <v>19</v>
      </c>
      <c r="M33" s="3">
        <v>3</v>
      </c>
      <c r="N33" s="3">
        <v>2</v>
      </c>
      <c r="O33" s="6">
        <f>IFERROR(N33/M33*100,0)</f>
        <v>0</v>
      </c>
      <c r="P33" s="3" t="s">
        <v>23</v>
      </c>
    </row>
    <row r="34" spans="1:16">
      <c r="A34" s="3">
        <v>31</v>
      </c>
      <c r="B34" s="3" t="s">
        <v>547</v>
      </c>
      <c r="C34" s="4">
        <v>46236</v>
      </c>
      <c r="D34" s="3" t="s">
        <v>86</v>
      </c>
      <c r="E34" s="5" t="s">
        <v>514</v>
      </c>
      <c r="F34" s="5" t="s">
        <v>54</v>
      </c>
      <c r="G34" s="3" t="s">
        <v>92</v>
      </c>
      <c r="H34" s="3" t="s">
        <v>28</v>
      </c>
      <c r="I34" s="3">
        <v>54</v>
      </c>
      <c r="J34" s="3">
        <v>52</v>
      </c>
      <c r="K34" s="6">
        <f>IFERROR(J34/I34*100,0)</f>
        <v>0</v>
      </c>
      <c r="L34" s="3">
        <v>119</v>
      </c>
      <c r="M34" s="3">
        <v>4</v>
      </c>
      <c r="N34" s="3">
        <v>4</v>
      </c>
      <c r="O34" s="6">
        <f>IFERROR(N34/M34*100,0)</f>
        <v>0</v>
      </c>
      <c r="P34" s="3" t="s">
        <v>23</v>
      </c>
    </row>
    <row r="35" spans="1:16">
      <c r="A35" s="3">
        <v>32</v>
      </c>
      <c r="B35" s="3" t="s">
        <v>548</v>
      </c>
      <c r="C35" s="4">
        <v>46242</v>
      </c>
      <c r="D35" s="3" t="s">
        <v>86</v>
      </c>
      <c r="E35" s="5" t="s">
        <v>523</v>
      </c>
      <c r="F35" s="5" t="s">
        <v>45</v>
      </c>
      <c r="G35" s="3" t="s">
        <v>50</v>
      </c>
      <c r="H35" s="3" t="s">
        <v>62</v>
      </c>
      <c r="I35" s="3">
        <v>26</v>
      </c>
      <c r="J35" s="3">
        <v>16</v>
      </c>
      <c r="K35" s="6">
        <f>IFERROR(J35/I35*100,0)</f>
        <v>0</v>
      </c>
      <c r="L35" s="3">
        <v>113</v>
      </c>
      <c r="M35" s="3">
        <v>5</v>
      </c>
      <c r="N35" s="3">
        <v>5</v>
      </c>
      <c r="O35" s="6">
        <f>IFERROR(N35/M35*100,0)</f>
        <v>0</v>
      </c>
      <c r="P35" s="3" t="s">
        <v>23</v>
      </c>
    </row>
    <row r="36" spans="1:16">
      <c r="A36" s="3">
        <v>33</v>
      </c>
      <c r="B36" s="3" t="s">
        <v>549</v>
      </c>
      <c r="C36" s="4">
        <v>46244</v>
      </c>
      <c r="D36" s="3" t="s">
        <v>86</v>
      </c>
      <c r="E36" s="5" t="s">
        <v>516</v>
      </c>
      <c r="F36" s="5" t="s">
        <v>91</v>
      </c>
      <c r="G36" s="3" t="s">
        <v>13</v>
      </c>
      <c r="H36" s="3" t="s">
        <v>22</v>
      </c>
      <c r="I36" s="3">
        <v>15</v>
      </c>
      <c r="J36" s="3">
        <v>21</v>
      </c>
      <c r="K36" s="6">
        <f>IFERROR(J36/I36*100,0)</f>
        <v>0</v>
      </c>
      <c r="L36" s="3">
        <v>37</v>
      </c>
      <c r="M36" s="3">
        <v>8</v>
      </c>
      <c r="N36" s="3">
        <v>2</v>
      </c>
      <c r="O36" s="6">
        <f>IFERROR(N36/M36*100,0)</f>
        <v>0</v>
      </c>
      <c r="P36" s="3" t="s">
        <v>9</v>
      </c>
    </row>
    <row r="37" spans="1:16">
      <c r="A37" s="3">
        <v>34</v>
      </c>
      <c r="B37" s="3" t="s">
        <v>550</v>
      </c>
      <c r="C37" s="4">
        <v>46239</v>
      </c>
      <c r="D37" s="3" t="s">
        <v>86</v>
      </c>
      <c r="E37" s="5" t="s">
        <v>516</v>
      </c>
      <c r="F37" s="5" t="s">
        <v>57</v>
      </c>
      <c r="G37" s="3" t="s">
        <v>13</v>
      </c>
      <c r="H37" s="3" t="s">
        <v>28</v>
      </c>
      <c r="I37" s="3">
        <v>35</v>
      </c>
      <c r="J37" s="3">
        <v>53</v>
      </c>
      <c r="K37" s="6">
        <f>IFERROR(J37/I37*100,0)</f>
        <v>0</v>
      </c>
      <c r="L37" s="3">
        <v>70</v>
      </c>
      <c r="M37" s="3">
        <v>7</v>
      </c>
      <c r="N37" s="3">
        <v>7</v>
      </c>
      <c r="O37" s="6">
        <f>IFERROR(N37/M37*100,0)</f>
        <v>0</v>
      </c>
      <c r="P37" s="3" t="s">
        <v>23</v>
      </c>
    </row>
    <row r="38" spans="1:16">
      <c r="A38" s="3">
        <v>35</v>
      </c>
      <c r="B38" s="3" t="s">
        <v>551</v>
      </c>
      <c r="C38" s="4">
        <v>46288</v>
      </c>
      <c r="D38" s="3" t="s">
        <v>102</v>
      </c>
      <c r="E38" s="5" t="s">
        <v>514</v>
      </c>
      <c r="F38" s="5" t="s">
        <v>38</v>
      </c>
      <c r="G38" s="3" t="s">
        <v>50</v>
      </c>
      <c r="H38" s="3" t="s">
        <v>62</v>
      </c>
      <c r="I38" s="3">
        <v>11</v>
      </c>
      <c r="J38" s="3">
        <v>51</v>
      </c>
      <c r="K38" s="6">
        <f>IFERROR(J38/I38*100,0)</f>
        <v>0</v>
      </c>
      <c r="L38" s="3">
        <v>100</v>
      </c>
      <c r="M38" s="3">
        <v>2</v>
      </c>
      <c r="N38" s="3">
        <v>2</v>
      </c>
      <c r="O38" s="6">
        <f>IFERROR(N38/M38*100,0)</f>
        <v>0</v>
      </c>
      <c r="P38" s="3" t="s">
        <v>9</v>
      </c>
    </row>
    <row r="39" spans="1:16">
      <c r="A39" s="3">
        <v>36</v>
      </c>
      <c r="B39" s="3" t="s">
        <v>552</v>
      </c>
      <c r="C39" s="4">
        <v>46268</v>
      </c>
      <c r="D39" s="3" t="s">
        <v>102</v>
      </c>
      <c r="E39" s="5" t="s">
        <v>516</v>
      </c>
      <c r="F39" s="5" t="s">
        <v>54</v>
      </c>
      <c r="G39" s="3" t="s">
        <v>50</v>
      </c>
      <c r="H39" s="3" t="s">
        <v>104</v>
      </c>
      <c r="I39" s="3">
        <v>24</v>
      </c>
      <c r="J39" s="3">
        <v>10</v>
      </c>
      <c r="K39" s="6">
        <f>IFERROR(J39/I39*100,0)</f>
        <v>0</v>
      </c>
      <c r="L39" s="3">
        <v>117</v>
      </c>
      <c r="M39" s="3">
        <v>8</v>
      </c>
      <c r="N39" s="3">
        <v>6</v>
      </c>
      <c r="O39" s="6">
        <f>IFERROR(N39/M39*100,0)</f>
        <v>0</v>
      </c>
      <c r="P39" s="3" t="s">
        <v>23</v>
      </c>
    </row>
    <row r="40" spans="1:16">
      <c r="A40" s="3">
        <v>37</v>
      </c>
      <c r="B40" s="3" t="s">
        <v>553</v>
      </c>
      <c r="C40" s="4">
        <v>46318</v>
      </c>
      <c r="D40" s="3" t="s">
        <v>106</v>
      </c>
      <c r="E40" s="5" t="s">
        <v>514</v>
      </c>
      <c r="F40" s="5" t="s">
        <v>54</v>
      </c>
      <c r="G40" s="3" t="s">
        <v>5</v>
      </c>
      <c r="H40" s="3" t="s">
        <v>104</v>
      </c>
      <c r="I40" s="3">
        <v>49</v>
      </c>
      <c r="J40" s="3">
        <v>58</v>
      </c>
      <c r="K40" s="6">
        <f>IFERROR(J40/I40*100,0)</f>
        <v>0</v>
      </c>
      <c r="L40" s="3">
        <v>37</v>
      </c>
      <c r="M40" s="3">
        <v>2</v>
      </c>
      <c r="N40" s="3">
        <v>3</v>
      </c>
      <c r="O40" s="6">
        <f>IFERROR(N40/M40*100,0)</f>
        <v>0</v>
      </c>
      <c r="P40" s="3" t="s">
        <v>9</v>
      </c>
    </row>
    <row r="41" spans="1:16">
      <c r="A41" s="3">
        <v>38</v>
      </c>
      <c r="B41" s="3" t="s">
        <v>554</v>
      </c>
      <c r="C41" s="4">
        <v>46304</v>
      </c>
      <c r="D41" s="3" t="s">
        <v>106</v>
      </c>
      <c r="E41" s="5" t="s">
        <v>523</v>
      </c>
      <c r="F41" s="5" t="s">
        <v>38</v>
      </c>
      <c r="G41" s="3" t="s">
        <v>89</v>
      </c>
      <c r="H41" s="3" t="s">
        <v>70</v>
      </c>
      <c r="I41" s="3">
        <v>59</v>
      </c>
      <c r="J41" s="3">
        <v>28</v>
      </c>
      <c r="K41" s="6">
        <f>IFERROR(J41/I41*100,0)</f>
        <v>0</v>
      </c>
      <c r="L41" s="3">
        <v>50</v>
      </c>
      <c r="M41" s="3">
        <v>5</v>
      </c>
      <c r="N41" s="3">
        <v>6</v>
      </c>
      <c r="O41" s="6">
        <f>IFERROR(N41/M41*100,0)</f>
        <v>0</v>
      </c>
      <c r="P41" s="3" t="s">
        <v>23</v>
      </c>
    </row>
    <row r="42" spans="1:16">
      <c r="A42" s="3">
        <v>39</v>
      </c>
      <c r="B42" s="3" t="s">
        <v>555</v>
      </c>
      <c r="C42" s="4">
        <v>46305</v>
      </c>
      <c r="D42" s="3" t="s">
        <v>106</v>
      </c>
      <c r="E42" s="5" t="s">
        <v>514</v>
      </c>
      <c r="F42" s="5" t="s">
        <v>16</v>
      </c>
      <c r="G42" s="3" t="s">
        <v>50</v>
      </c>
      <c r="H42" s="3" t="s">
        <v>41</v>
      </c>
      <c r="I42" s="3">
        <v>27</v>
      </c>
      <c r="J42" s="3">
        <v>18</v>
      </c>
      <c r="K42" s="6">
        <f>IFERROR(J42/I42*100,0)</f>
        <v>0</v>
      </c>
      <c r="L42" s="3">
        <v>68</v>
      </c>
      <c r="M42" s="3">
        <v>8</v>
      </c>
      <c r="N42" s="3">
        <v>1</v>
      </c>
      <c r="O42" s="6">
        <f>IFERROR(N42/M42*100,0)</f>
        <v>0</v>
      </c>
      <c r="P42" s="3" t="s">
        <v>23</v>
      </c>
    </row>
    <row r="43" spans="1:16">
      <c r="A43" s="3">
        <v>40</v>
      </c>
      <c r="B43" s="3" t="s">
        <v>556</v>
      </c>
      <c r="C43" s="4">
        <v>46347</v>
      </c>
      <c r="D43" s="3" t="s">
        <v>111</v>
      </c>
      <c r="E43" s="5" t="s">
        <v>518</v>
      </c>
      <c r="F43" s="5" t="s">
        <v>54</v>
      </c>
      <c r="G43" s="3" t="s">
        <v>13</v>
      </c>
      <c r="H43" s="3" t="s">
        <v>7</v>
      </c>
      <c r="I43" s="3">
        <v>25</v>
      </c>
      <c r="J43" s="3">
        <v>51</v>
      </c>
      <c r="K43" s="6">
        <f>IFERROR(J43/I43*100,0)</f>
        <v>0</v>
      </c>
      <c r="L43" s="3">
        <v>116</v>
      </c>
      <c r="M43" s="3">
        <v>6</v>
      </c>
      <c r="N43" s="3">
        <v>4</v>
      </c>
      <c r="O43" s="6">
        <f>IFERROR(N43/M43*100,0)</f>
        <v>0</v>
      </c>
      <c r="P43" s="3" t="s">
        <v>9</v>
      </c>
    </row>
    <row r="44" spans="1:16">
      <c r="A44" s="3">
        <v>41</v>
      </c>
      <c r="B44" s="3" t="s">
        <v>557</v>
      </c>
      <c r="C44" s="4">
        <v>46342</v>
      </c>
      <c r="D44" s="3" t="s">
        <v>111</v>
      </c>
      <c r="E44" s="5" t="s">
        <v>518</v>
      </c>
      <c r="F44" s="5" t="s">
        <v>64</v>
      </c>
      <c r="G44" s="3" t="s">
        <v>92</v>
      </c>
      <c r="H44" s="3" t="s">
        <v>78</v>
      </c>
      <c r="I44" s="3">
        <v>45</v>
      </c>
      <c r="J44" s="3">
        <v>22</v>
      </c>
      <c r="K44" s="6">
        <f>IFERROR(J44/I44*100,0)</f>
        <v>0</v>
      </c>
      <c r="L44" s="3">
        <v>30</v>
      </c>
      <c r="M44" s="3">
        <v>4</v>
      </c>
      <c r="N44" s="3">
        <v>8</v>
      </c>
      <c r="O44" s="6">
        <f>IFERROR(N44/M44*100,0)</f>
        <v>0</v>
      </c>
      <c r="P44" s="3" t="s">
        <v>23</v>
      </c>
    </row>
    <row r="45" spans="1:16">
      <c r="A45" s="3">
        <v>42</v>
      </c>
      <c r="B45" s="3" t="s">
        <v>558</v>
      </c>
      <c r="C45" s="4">
        <v>46331</v>
      </c>
      <c r="D45" s="3" t="s">
        <v>111</v>
      </c>
      <c r="E45" s="5" t="s">
        <v>523</v>
      </c>
      <c r="F45" s="5" t="s">
        <v>4</v>
      </c>
      <c r="G45" s="3" t="s">
        <v>50</v>
      </c>
      <c r="H45" s="3" t="s">
        <v>32</v>
      </c>
      <c r="I45" s="3">
        <v>60</v>
      </c>
      <c r="J45" s="3">
        <v>56</v>
      </c>
      <c r="K45" s="6">
        <f>IFERROR(J45/I45*100,0)</f>
        <v>0</v>
      </c>
      <c r="L45" s="3">
        <v>66</v>
      </c>
      <c r="M45" s="3">
        <v>8</v>
      </c>
      <c r="N45" s="3">
        <v>7</v>
      </c>
      <c r="O45" s="6">
        <f>IFERROR(N45/M45*100,0)</f>
        <v>0</v>
      </c>
      <c r="P45" s="3" t="s">
        <v>23</v>
      </c>
    </row>
    <row r="46" spans="1:16">
      <c r="A46" s="3">
        <v>43</v>
      </c>
      <c r="B46" s="3" t="s">
        <v>559</v>
      </c>
      <c r="C46" s="4">
        <v>46344</v>
      </c>
      <c r="D46" s="3" t="s">
        <v>111</v>
      </c>
      <c r="E46" s="5" t="s">
        <v>523</v>
      </c>
      <c r="F46" s="5" t="s">
        <v>30</v>
      </c>
      <c r="G46" s="3" t="s">
        <v>50</v>
      </c>
      <c r="H46" s="3" t="s">
        <v>41</v>
      </c>
      <c r="I46" s="3">
        <v>29</v>
      </c>
      <c r="J46" s="3">
        <v>28</v>
      </c>
      <c r="K46" s="6">
        <f>IFERROR(J46/I46*100,0)</f>
        <v>0</v>
      </c>
      <c r="L46" s="3">
        <v>69</v>
      </c>
      <c r="M46" s="3">
        <v>4</v>
      </c>
      <c r="N46" s="3">
        <v>4</v>
      </c>
      <c r="O46" s="6">
        <f>IFERROR(N46/M46*100,0)</f>
        <v>0</v>
      </c>
      <c r="P46" s="3" t="s">
        <v>9</v>
      </c>
    </row>
    <row r="47" spans="1:16">
      <c r="A47" s="3">
        <v>44</v>
      </c>
      <c r="B47" s="3" t="s">
        <v>560</v>
      </c>
      <c r="C47" s="4">
        <v>46350</v>
      </c>
      <c r="D47" s="3" t="s">
        <v>111</v>
      </c>
      <c r="E47" s="5" t="s">
        <v>518</v>
      </c>
      <c r="F47" s="5" t="s">
        <v>30</v>
      </c>
      <c r="G47" s="3" t="s">
        <v>65</v>
      </c>
      <c r="H47" s="3" t="s">
        <v>66</v>
      </c>
      <c r="I47" s="3">
        <v>19</v>
      </c>
      <c r="J47" s="3">
        <v>17</v>
      </c>
      <c r="K47" s="6">
        <f>IFERROR(J47/I47*100,0)</f>
        <v>0</v>
      </c>
      <c r="L47" s="3">
        <v>19</v>
      </c>
      <c r="M47" s="3">
        <v>2</v>
      </c>
      <c r="N47" s="3">
        <v>2</v>
      </c>
      <c r="O47" s="6">
        <f>IFERROR(N47/M47*100,0)</f>
        <v>0</v>
      </c>
      <c r="P47" s="3" t="s">
        <v>23</v>
      </c>
    </row>
    <row r="48" spans="1:16">
      <c r="A48" s="3">
        <v>45</v>
      </c>
      <c r="B48" s="3" t="s">
        <v>561</v>
      </c>
      <c r="C48" s="4">
        <v>46372</v>
      </c>
      <c r="D48" s="3" t="s">
        <v>122</v>
      </c>
      <c r="E48" s="5" t="s">
        <v>516</v>
      </c>
      <c r="F48" s="5" t="s">
        <v>54</v>
      </c>
      <c r="G48" s="3" t="s">
        <v>27</v>
      </c>
      <c r="H48" s="3" t="s">
        <v>22</v>
      </c>
      <c r="I48" s="3">
        <v>30</v>
      </c>
      <c r="J48" s="3">
        <v>30</v>
      </c>
      <c r="K48" s="6">
        <f>IFERROR(J48/I48*100,0)</f>
        <v>0</v>
      </c>
      <c r="L48" s="3">
        <v>50</v>
      </c>
      <c r="M48" s="3">
        <v>0</v>
      </c>
      <c r="N48" s="3">
        <v>8</v>
      </c>
      <c r="O48" s="6">
        <f>IFERROR(N48/M48*100,0)</f>
        <v>0</v>
      </c>
      <c r="P48" s="3" t="s">
        <v>9</v>
      </c>
    </row>
    <row r="49" spans="1:16">
      <c r="A49" s="3">
        <v>46</v>
      </c>
      <c r="B49" s="3" t="s">
        <v>562</v>
      </c>
      <c r="C49" s="4">
        <v>46363</v>
      </c>
      <c r="D49" s="3" t="s">
        <v>122</v>
      </c>
      <c r="E49" s="5" t="s">
        <v>514</v>
      </c>
      <c r="F49" s="5" t="s">
        <v>54</v>
      </c>
      <c r="G49" s="3" t="s">
        <v>39</v>
      </c>
      <c r="H49" s="3" t="s">
        <v>78</v>
      </c>
      <c r="I49" s="3">
        <v>33</v>
      </c>
      <c r="J49" s="3">
        <v>50</v>
      </c>
      <c r="K49" s="6">
        <f>IFERROR(J49/I49*100,0)</f>
        <v>0</v>
      </c>
      <c r="L49" s="3">
        <v>46</v>
      </c>
      <c r="M49" s="3">
        <v>6</v>
      </c>
      <c r="N49" s="3">
        <v>4</v>
      </c>
      <c r="O49" s="6">
        <f>IFERROR(N49/M49*100,0)</f>
        <v>0</v>
      </c>
      <c r="P49" s="3" t="s">
        <v>23</v>
      </c>
    </row>
    <row r="50" spans="1:16">
      <c r="A50" s="3">
        <v>47</v>
      </c>
      <c r="B50" s="3" t="s">
        <v>563</v>
      </c>
      <c r="C50" s="4">
        <v>46366</v>
      </c>
      <c r="D50" s="3" t="s">
        <v>122</v>
      </c>
      <c r="E50" s="5" t="s">
        <v>514</v>
      </c>
      <c r="F50" s="5" t="s">
        <v>54</v>
      </c>
      <c r="G50" s="3" t="s">
        <v>13</v>
      </c>
      <c r="H50" s="3" t="s">
        <v>68</v>
      </c>
      <c r="I50" s="3">
        <v>35</v>
      </c>
      <c r="J50" s="3">
        <v>56</v>
      </c>
      <c r="K50" s="6">
        <f>IFERROR(J50/I50*100,0)</f>
        <v>0</v>
      </c>
      <c r="L50" s="3">
        <v>107</v>
      </c>
      <c r="M50" s="3">
        <v>1</v>
      </c>
      <c r="N50" s="3">
        <v>3</v>
      </c>
      <c r="O50" s="6">
        <f>IFERROR(N50/M50*100,0)</f>
        <v>0</v>
      </c>
      <c r="P50" s="3" t="s">
        <v>23</v>
      </c>
    </row>
    <row r="51" spans="1:16">
      <c r="A51" s="3">
        <v>48</v>
      </c>
      <c r="B51" s="3" t="s">
        <v>564</v>
      </c>
      <c r="C51" s="4">
        <v>46363</v>
      </c>
      <c r="D51" s="3" t="s">
        <v>122</v>
      </c>
      <c r="E51" s="5" t="s">
        <v>516</v>
      </c>
      <c r="F51" s="5" t="s">
        <v>61</v>
      </c>
      <c r="G51" s="3" t="s">
        <v>5</v>
      </c>
      <c r="H51" s="3" t="s">
        <v>66</v>
      </c>
      <c r="I51" s="3">
        <v>37</v>
      </c>
      <c r="J51" s="3">
        <v>29</v>
      </c>
      <c r="K51" s="6">
        <f>IFERROR(J51/I51*100,0)</f>
        <v>0</v>
      </c>
      <c r="L51" s="3">
        <v>19</v>
      </c>
      <c r="M51" s="3">
        <v>8</v>
      </c>
      <c r="N51" s="3">
        <v>8</v>
      </c>
      <c r="O51" s="6">
        <f>IFERROR(N51/M51*100,0)</f>
        <v>0</v>
      </c>
      <c r="P51" s="3" t="s">
        <v>23</v>
      </c>
    </row>
  </sheetData>
  <mergeCells count="2">
    <mergeCell ref="A1:P1"/>
    <mergeCell ref="A2:P2"/>
  </mergeCells>
  <dataValidations count="1">
    <dataValidation type="list" allowBlank="1" showInputMessage="1" showErrorMessage="1" sqref="G4:G5003">
      <formula1>L_Dept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4.7109375" customWidth="1"/>
    <col min="3" max="3" width="13.7109375" customWidth="1"/>
    <col min="4" max="5" width="9.7109375" customWidth="1"/>
    <col min="6" max="6" width="15.7109375" customWidth="1"/>
    <col min="7" max="7" width="17.7109375" customWidth="1"/>
    <col min="8" max="8" width="11.7109375" customWidth="1"/>
    <col min="9" max="9" width="21.7109375" customWidth="1"/>
    <col min="10" max="10" width="10.7109375" customWidth="1"/>
    <col min="11" max="11" width="9.7109375" customWidth="1"/>
    <col min="12" max="13" width="14.7109375" customWidth="1"/>
    <col min="14" max="14" width="9.7109375" customWidth="1"/>
  </cols>
  <sheetData>
    <row r="1" spans="1:16" ht="22" customHeight="1">
      <c r="A1" s="1" t="s">
        <v>575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634</v>
      </c>
      <c r="C3" t="s">
        <v>635</v>
      </c>
      <c r="D3" t="s">
        <v>127</v>
      </c>
      <c r="E3" t="s">
        <v>636</v>
      </c>
      <c r="F3" t="s">
        <v>637</v>
      </c>
      <c r="G3" t="s">
        <v>638</v>
      </c>
      <c r="H3" t="s">
        <v>639</v>
      </c>
      <c r="I3" t="s">
        <v>640</v>
      </c>
      <c r="J3" t="s">
        <v>641</v>
      </c>
      <c r="K3" t="s">
        <v>287</v>
      </c>
      <c r="L3" t="s">
        <v>642</v>
      </c>
      <c r="M3" t="s">
        <v>643</v>
      </c>
      <c r="N3" t="s">
        <v>644</v>
      </c>
    </row>
    <row r="4" spans="1:16">
      <c r="A4" s="3">
        <v>1</v>
      </c>
      <c r="B4" s="3" t="s">
        <v>576</v>
      </c>
      <c r="C4" s="4">
        <v>46036</v>
      </c>
      <c r="D4" s="3" t="s">
        <v>3</v>
      </c>
      <c r="E4" s="5" t="s">
        <v>577</v>
      </c>
      <c r="F4" s="5" t="s">
        <v>4</v>
      </c>
      <c r="G4" s="3" t="s">
        <v>35</v>
      </c>
      <c r="H4" s="3" t="s">
        <v>7</v>
      </c>
      <c r="I4" s="3" t="s">
        <v>578</v>
      </c>
      <c r="J4" s="3" t="s">
        <v>154</v>
      </c>
      <c r="K4" s="3" t="s">
        <v>293</v>
      </c>
      <c r="L4" s="3">
        <v>44</v>
      </c>
      <c r="M4" s="3">
        <v>26</v>
      </c>
      <c r="N4" s="6">
        <f>IFERROR(M4/L4*100,0)</f>
        <v>0</v>
      </c>
    </row>
    <row r="5" spans="1:16">
      <c r="A5" s="3">
        <v>2</v>
      </c>
      <c r="B5" s="3" t="s">
        <v>579</v>
      </c>
      <c r="C5" s="4">
        <v>46029</v>
      </c>
      <c r="D5" s="3" t="s">
        <v>3</v>
      </c>
      <c r="E5" s="5" t="s">
        <v>580</v>
      </c>
      <c r="F5" s="5" t="s">
        <v>64</v>
      </c>
      <c r="G5" s="3" t="s">
        <v>35</v>
      </c>
      <c r="H5" s="3" t="s">
        <v>32</v>
      </c>
      <c r="I5" s="3" t="s">
        <v>581</v>
      </c>
      <c r="J5" s="3" t="s">
        <v>154</v>
      </c>
      <c r="K5" s="3" t="s">
        <v>293</v>
      </c>
      <c r="L5" s="3">
        <v>60</v>
      </c>
      <c r="M5" s="3">
        <v>24</v>
      </c>
      <c r="N5" s="6">
        <f>IFERROR(M5/L5*100,0)</f>
        <v>0</v>
      </c>
    </row>
    <row r="6" spans="1:16">
      <c r="A6" s="3">
        <v>3</v>
      </c>
      <c r="B6" s="3" t="s">
        <v>582</v>
      </c>
      <c r="C6" s="4">
        <v>46047</v>
      </c>
      <c r="D6" s="3" t="s">
        <v>3</v>
      </c>
      <c r="E6" s="5" t="s">
        <v>577</v>
      </c>
      <c r="F6" s="5" t="s">
        <v>12</v>
      </c>
      <c r="G6" s="3" t="s">
        <v>80</v>
      </c>
      <c r="H6" s="3" t="s">
        <v>104</v>
      </c>
      <c r="I6" s="3" t="s">
        <v>578</v>
      </c>
      <c r="J6" s="3" t="s">
        <v>142</v>
      </c>
      <c r="K6" s="3" t="s">
        <v>293</v>
      </c>
      <c r="L6" s="3">
        <v>16</v>
      </c>
      <c r="M6" s="3">
        <v>33</v>
      </c>
      <c r="N6" s="6">
        <f>IFERROR(M6/L6*100,0)</f>
        <v>0</v>
      </c>
    </row>
    <row r="7" spans="1:16">
      <c r="A7" s="3">
        <v>4</v>
      </c>
      <c r="B7" s="3" t="s">
        <v>583</v>
      </c>
      <c r="C7" s="4">
        <v>46025</v>
      </c>
      <c r="D7" s="3" t="s">
        <v>3</v>
      </c>
      <c r="E7" s="5" t="s">
        <v>584</v>
      </c>
      <c r="F7" s="5" t="s">
        <v>4</v>
      </c>
      <c r="G7" s="3" t="s">
        <v>14</v>
      </c>
      <c r="H7" s="3" t="s">
        <v>28</v>
      </c>
      <c r="I7" s="3" t="s">
        <v>585</v>
      </c>
      <c r="J7" s="3" t="s">
        <v>162</v>
      </c>
      <c r="K7" s="3" t="s">
        <v>254</v>
      </c>
      <c r="L7" s="3">
        <v>17</v>
      </c>
      <c r="M7" s="3">
        <v>46</v>
      </c>
      <c r="N7" s="6">
        <f>IFERROR(M7/L7*100,0)</f>
        <v>0</v>
      </c>
    </row>
    <row r="8" spans="1:16">
      <c r="A8" s="3">
        <v>5</v>
      </c>
      <c r="B8" s="3" t="s">
        <v>586</v>
      </c>
      <c r="C8" s="4">
        <v>46058</v>
      </c>
      <c r="D8" s="3" t="s">
        <v>19</v>
      </c>
      <c r="E8" s="5" t="s">
        <v>584</v>
      </c>
      <c r="F8" s="5" t="s">
        <v>64</v>
      </c>
      <c r="G8" s="3" t="s">
        <v>14</v>
      </c>
      <c r="H8" s="3" t="s">
        <v>7</v>
      </c>
      <c r="I8" s="3" t="s">
        <v>578</v>
      </c>
      <c r="J8" s="3" t="s">
        <v>159</v>
      </c>
      <c r="K8" s="3" t="s">
        <v>293</v>
      </c>
      <c r="L8" s="3">
        <v>41</v>
      </c>
      <c r="M8" s="3">
        <v>41</v>
      </c>
      <c r="N8" s="6">
        <f>IFERROR(M8/L8*100,0)</f>
        <v>0</v>
      </c>
    </row>
    <row r="9" spans="1:16">
      <c r="A9" s="3">
        <v>6</v>
      </c>
      <c r="B9" s="3" t="s">
        <v>587</v>
      </c>
      <c r="C9" s="4">
        <v>46058</v>
      </c>
      <c r="D9" s="3" t="s">
        <v>19</v>
      </c>
      <c r="E9" s="5" t="s">
        <v>588</v>
      </c>
      <c r="F9" s="5" t="s">
        <v>49</v>
      </c>
      <c r="G9" s="3" t="s">
        <v>14</v>
      </c>
      <c r="H9" s="3" t="s">
        <v>93</v>
      </c>
      <c r="I9" s="3" t="s">
        <v>578</v>
      </c>
      <c r="J9" s="3" t="s">
        <v>159</v>
      </c>
      <c r="K9" s="3" t="s">
        <v>238</v>
      </c>
      <c r="L9" s="3">
        <v>30</v>
      </c>
      <c r="M9" s="3">
        <v>16</v>
      </c>
      <c r="N9" s="6">
        <f>IFERROR(M9/L9*100,0)</f>
        <v>0</v>
      </c>
    </row>
    <row r="10" spans="1:16">
      <c r="A10" s="3">
        <v>7</v>
      </c>
      <c r="B10" s="3" t="s">
        <v>589</v>
      </c>
      <c r="C10" s="4">
        <v>46074</v>
      </c>
      <c r="D10" s="3" t="s">
        <v>19</v>
      </c>
      <c r="E10" s="5" t="s">
        <v>590</v>
      </c>
      <c r="F10" s="5" t="s">
        <v>49</v>
      </c>
      <c r="G10" s="3" t="s">
        <v>51</v>
      </c>
      <c r="H10" s="3" t="s">
        <v>93</v>
      </c>
      <c r="I10" s="3" t="s">
        <v>578</v>
      </c>
      <c r="J10" s="3" t="s">
        <v>162</v>
      </c>
      <c r="K10" s="3" t="s">
        <v>254</v>
      </c>
      <c r="L10" s="3">
        <v>25</v>
      </c>
      <c r="M10" s="3">
        <v>16</v>
      </c>
      <c r="N10" s="6">
        <f>IFERROR(M10/L10*100,0)</f>
        <v>0</v>
      </c>
    </row>
    <row r="11" spans="1:16">
      <c r="A11" s="3">
        <v>8</v>
      </c>
      <c r="B11" s="3" t="s">
        <v>591</v>
      </c>
      <c r="C11" s="4">
        <v>46060</v>
      </c>
      <c r="D11" s="3" t="s">
        <v>19</v>
      </c>
      <c r="E11" s="5" t="s">
        <v>584</v>
      </c>
      <c r="F11" s="5" t="s">
        <v>26</v>
      </c>
      <c r="G11" s="3" t="s">
        <v>51</v>
      </c>
      <c r="H11" s="3" t="s">
        <v>70</v>
      </c>
      <c r="I11" s="3" t="s">
        <v>585</v>
      </c>
      <c r="J11" s="3" t="s">
        <v>154</v>
      </c>
      <c r="K11" s="3" t="s">
        <v>293</v>
      </c>
      <c r="L11" s="3">
        <v>56</v>
      </c>
      <c r="M11" s="3">
        <v>55</v>
      </c>
      <c r="N11" s="6">
        <f>IFERROR(M11/L11*100,0)</f>
        <v>0</v>
      </c>
    </row>
    <row r="12" spans="1:16">
      <c r="A12" s="3">
        <v>9</v>
      </c>
      <c r="B12" s="3" t="s">
        <v>592</v>
      </c>
      <c r="C12" s="4">
        <v>46080</v>
      </c>
      <c r="D12" s="3" t="s">
        <v>19</v>
      </c>
      <c r="E12" s="5" t="s">
        <v>590</v>
      </c>
      <c r="F12" s="5" t="s">
        <v>54</v>
      </c>
      <c r="G12" s="3" t="s">
        <v>95</v>
      </c>
      <c r="H12" s="3" t="s">
        <v>7</v>
      </c>
      <c r="I12" s="3" t="s">
        <v>578</v>
      </c>
      <c r="J12" s="3" t="s">
        <v>162</v>
      </c>
      <c r="K12" s="3" t="s">
        <v>297</v>
      </c>
      <c r="L12" s="3">
        <v>25</v>
      </c>
      <c r="M12" s="3">
        <v>18</v>
      </c>
      <c r="N12" s="6">
        <f>IFERROR(M12/L12*100,0)</f>
        <v>0</v>
      </c>
    </row>
    <row r="13" spans="1:16">
      <c r="A13" s="3">
        <v>10</v>
      </c>
      <c r="B13" s="3" t="s">
        <v>593</v>
      </c>
      <c r="C13" s="4">
        <v>46092</v>
      </c>
      <c r="D13" s="3" t="s">
        <v>44</v>
      </c>
      <c r="E13" s="5" t="s">
        <v>594</v>
      </c>
      <c r="F13" s="5" t="s">
        <v>20</v>
      </c>
      <c r="G13" s="3" t="s">
        <v>31</v>
      </c>
      <c r="H13" s="3" t="s">
        <v>70</v>
      </c>
      <c r="I13" s="3" t="s">
        <v>581</v>
      </c>
      <c r="J13" s="3" t="s">
        <v>159</v>
      </c>
      <c r="K13" s="3" t="s">
        <v>293</v>
      </c>
      <c r="L13" s="3">
        <v>44</v>
      </c>
      <c r="M13" s="3">
        <v>51</v>
      </c>
      <c r="N13" s="6">
        <f>IFERROR(M13/L13*100,0)</f>
        <v>0</v>
      </c>
    </row>
    <row r="14" spans="1:16">
      <c r="A14" s="3">
        <v>11</v>
      </c>
      <c r="B14" s="3" t="s">
        <v>595</v>
      </c>
      <c r="C14" s="4">
        <v>46098</v>
      </c>
      <c r="D14" s="3" t="s">
        <v>44</v>
      </c>
      <c r="E14" s="5" t="s">
        <v>584</v>
      </c>
      <c r="F14" s="5" t="s">
        <v>64</v>
      </c>
      <c r="G14" s="3" t="s">
        <v>40</v>
      </c>
      <c r="H14" s="3" t="s">
        <v>36</v>
      </c>
      <c r="I14" s="3" t="s">
        <v>578</v>
      </c>
      <c r="J14" s="3" t="s">
        <v>142</v>
      </c>
      <c r="K14" s="3" t="s">
        <v>293</v>
      </c>
      <c r="L14" s="3">
        <v>44</v>
      </c>
      <c r="M14" s="3">
        <v>53</v>
      </c>
      <c r="N14" s="6">
        <f>IFERROR(M14/L14*100,0)</f>
        <v>0</v>
      </c>
    </row>
    <row r="15" spans="1:16">
      <c r="A15" s="3">
        <v>12</v>
      </c>
      <c r="B15" s="3" t="s">
        <v>596</v>
      </c>
      <c r="C15" s="4">
        <v>46105</v>
      </c>
      <c r="D15" s="3" t="s">
        <v>44</v>
      </c>
      <c r="E15" s="5" t="s">
        <v>588</v>
      </c>
      <c r="F15" s="5" t="s">
        <v>64</v>
      </c>
      <c r="G15" s="3" t="s">
        <v>95</v>
      </c>
      <c r="H15" s="3" t="s">
        <v>93</v>
      </c>
      <c r="I15" s="3" t="s">
        <v>585</v>
      </c>
      <c r="J15" s="3" t="s">
        <v>162</v>
      </c>
      <c r="K15" s="3" t="s">
        <v>293</v>
      </c>
      <c r="L15" s="3">
        <v>40</v>
      </c>
      <c r="M15" s="3">
        <v>43</v>
      </c>
      <c r="N15" s="6">
        <f>IFERROR(M15/L15*100,0)</f>
        <v>0</v>
      </c>
    </row>
    <row r="16" spans="1:16">
      <c r="A16" s="3">
        <v>13</v>
      </c>
      <c r="B16" s="3" t="s">
        <v>597</v>
      </c>
      <c r="C16" s="4">
        <v>46096</v>
      </c>
      <c r="D16" s="3" t="s">
        <v>44</v>
      </c>
      <c r="E16" s="5" t="s">
        <v>590</v>
      </c>
      <c r="F16" s="5" t="s">
        <v>49</v>
      </c>
      <c r="G16" s="3" t="s">
        <v>31</v>
      </c>
      <c r="H16" s="3" t="s">
        <v>41</v>
      </c>
      <c r="I16" s="3" t="s">
        <v>581</v>
      </c>
      <c r="J16" s="3" t="s">
        <v>162</v>
      </c>
      <c r="K16" s="3" t="s">
        <v>293</v>
      </c>
      <c r="L16" s="3">
        <v>38</v>
      </c>
      <c r="M16" s="3">
        <v>23</v>
      </c>
      <c r="N16" s="6">
        <f>IFERROR(M16/L16*100,0)</f>
        <v>0</v>
      </c>
    </row>
    <row r="17" spans="1:14">
      <c r="A17" s="3">
        <v>14</v>
      </c>
      <c r="B17" s="3" t="s">
        <v>598</v>
      </c>
      <c r="C17" s="4">
        <v>46092</v>
      </c>
      <c r="D17" s="3" t="s">
        <v>44</v>
      </c>
      <c r="E17" s="5" t="s">
        <v>594</v>
      </c>
      <c r="F17" s="5" t="s">
        <v>64</v>
      </c>
      <c r="G17" s="3" t="s">
        <v>21</v>
      </c>
      <c r="H17" s="3" t="s">
        <v>68</v>
      </c>
      <c r="I17" s="3" t="s">
        <v>585</v>
      </c>
      <c r="J17" s="3" t="s">
        <v>142</v>
      </c>
      <c r="K17" s="3" t="s">
        <v>293</v>
      </c>
      <c r="L17" s="3">
        <v>44</v>
      </c>
      <c r="M17" s="3">
        <v>23</v>
      </c>
      <c r="N17" s="6">
        <f>IFERROR(M17/L17*100,0)</f>
        <v>0</v>
      </c>
    </row>
    <row r="18" spans="1:14">
      <c r="A18" s="3">
        <v>15</v>
      </c>
      <c r="B18" s="3" t="s">
        <v>599</v>
      </c>
      <c r="C18" s="4">
        <v>46099</v>
      </c>
      <c r="D18" s="3" t="s">
        <v>44</v>
      </c>
      <c r="E18" s="5" t="s">
        <v>590</v>
      </c>
      <c r="F18" s="5" t="s">
        <v>64</v>
      </c>
      <c r="G18" s="3" t="s">
        <v>51</v>
      </c>
      <c r="H18" s="3" t="s">
        <v>66</v>
      </c>
      <c r="I18" s="3" t="s">
        <v>581</v>
      </c>
      <c r="J18" s="3" t="s">
        <v>142</v>
      </c>
      <c r="K18" s="3" t="s">
        <v>297</v>
      </c>
      <c r="L18" s="3">
        <v>41</v>
      </c>
      <c r="M18" s="3">
        <v>53</v>
      </c>
      <c r="N18" s="6">
        <f>IFERROR(M18/L18*100,0)</f>
        <v>0</v>
      </c>
    </row>
    <row r="19" spans="1:14">
      <c r="A19" s="3">
        <v>16</v>
      </c>
      <c r="B19" s="3" t="s">
        <v>600</v>
      </c>
      <c r="C19" s="4">
        <v>46103</v>
      </c>
      <c r="D19" s="3" t="s">
        <v>44</v>
      </c>
      <c r="E19" s="5" t="s">
        <v>577</v>
      </c>
      <c r="F19" s="5" t="s">
        <v>38</v>
      </c>
      <c r="G19" s="3" t="s">
        <v>51</v>
      </c>
      <c r="H19" s="3" t="s">
        <v>66</v>
      </c>
      <c r="I19" s="3" t="s">
        <v>601</v>
      </c>
      <c r="J19" s="3" t="s">
        <v>154</v>
      </c>
      <c r="K19" s="3" t="s">
        <v>293</v>
      </c>
      <c r="L19" s="3">
        <v>41</v>
      </c>
      <c r="M19" s="3">
        <v>11</v>
      </c>
      <c r="N19" s="6">
        <f>IFERROR(M19/L19*100,0)</f>
        <v>0</v>
      </c>
    </row>
    <row r="20" spans="1:14">
      <c r="A20" s="3">
        <v>17</v>
      </c>
      <c r="B20" s="3" t="s">
        <v>602</v>
      </c>
      <c r="C20" s="4">
        <v>46119</v>
      </c>
      <c r="D20" s="3" t="s">
        <v>53</v>
      </c>
      <c r="E20" s="5" t="s">
        <v>584</v>
      </c>
      <c r="F20" s="5" t="s">
        <v>12</v>
      </c>
      <c r="G20" s="3" t="s">
        <v>31</v>
      </c>
      <c r="H20" s="3" t="s">
        <v>15</v>
      </c>
      <c r="I20" s="3" t="s">
        <v>585</v>
      </c>
      <c r="J20" s="3" t="s">
        <v>159</v>
      </c>
      <c r="K20" s="3" t="s">
        <v>293</v>
      </c>
      <c r="L20" s="3">
        <v>58</v>
      </c>
      <c r="M20" s="3">
        <v>39</v>
      </c>
      <c r="N20" s="6">
        <f>IFERROR(M20/L20*100,0)</f>
        <v>0</v>
      </c>
    </row>
    <row r="21" spans="1:14">
      <c r="A21" s="3">
        <v>18</v>
      </c>
      <c r="B21" s="3" t="s">
        <v>603</v>
      </c>
      <c r="C21" s="4">
        <v>46140</v>
      </c>
      <c r="D21" s="3" t="s">
        <v>53</v>
      </c>
      <c r="E21" s="5" t="s">
        <v>577</v>
      </c>
      <c r="F21" s="5" t="s">
        <v>57</v>
      </c>
      <c r="G21" s="3" t="s">
        <v>31</v>
      </c>
      <c r="H21" s="3" t="s">
        <v>22</v>
      </c>
      <c r="I21" s="3" t="s">
        <v>578</v>
      </c>
      <c r="J21" s="3" t="s">
        <v>154</v>
      </c>
      <c r="K21" s="3" t="s">
        <v>293</v>
      </c>
      <c r="L21" s="3">
        <v>49</v>
      </c>
      <c r="M21" s="3">
        <v>24</v>
      </c>
      <c r="N21" s="6">
        <f>IFERROR(M21/L21*100,0)</f>
        <v>0</v>
      </c>
    </row>
    <row r="22" spans="1:14">
      <c r="A22" s="3">
        <v>19</v>
      </c>
      <c r="B22" s="3" t="s">
        <v>604</v>
      </c>
      <c r="C22" s="4">
        <v>46140</v>
      </c>
      <c r="D22" s="3" t="s">
        <v>53</v>
      </c>
      <c r="E22" s="5" t="s">
        <v>594</v>
      </c>
      <c r="F22" s="5" t="s">
        <v>16</v>
      </c>
      <c r="G22" s="3" t="s">
        <v>95</v>
      </c>
      <c r="H22" s="3" t="s">
        <v>36</v>
      </c>
      <c r="I22" s="3" t="s">
        <v>578</v>
      </c>
      <c r="J22" s="3" t="s">
        <v>159</v>
      </c>
      <c r="K22" s="3" t="s">
        <v>293</v>
      </c>
      <c r="L22" s="3">
        <v>34</v>
      </c>
      <c r="M22" s="3">
        <v>59</v>
      </c>
      <c r="N22" s="6">
        <f>IFERROR(M22/L22*100,0)</f>
        <v>0</v>
      </c>
    </row>
    <row r="23" spans="1:14">
      <c r="A23" s="3">
        <v>20</v>
      </c>
      <c r="B23" s="3" t="s">
        <v>605</v>
      </c>
      <c r="C23" s="4">
        <v>46127</v>
      </c>
      <c r="D23" s="3" t="s">
        <v>53</v>
      </c>
      <c r="E23" s="5" t="s">
        <v>584</v>
      </c>
      <c r="F23" s="5" t="s">
        <v>26</v>
      </c>
      <c r="G23" s="3" t="s">
        <v>51</v>
      </c>
      <c r="H23" s="3" t="s">
        <v>62</v>
      </c>
      <c r="I23" s="3" t="s">
        <v>585</v>
      </c>
      <c r="J23" s="3" t="s">
        <v>162</v>
      </c>
      <c r="K23" s="3" t="s">
        <v>293</v>
      </c>
      <c r="L23" s="3">
        <v>30</v>
      </c>
      <c r="M23" s="3">
        <v>51</v>
      </c>
      <c r="N23" s="6">
        <f>IFERROR(M23/L23*100,0)</f>
        <v>0</v>
      </c>
    </row>
    <row r="24" spans="1:14">
      <c r="A24" s="3">
        <v>21</v>
      </c>
      <c r="B24" s="3" t="s">
        <v>606</v>
      </c>
      <c r="C24" s="4">
        <v>46163</v>
      </c>
      <c r="D24" s="3" t="s">
        <v>60</v>
      </c>
      <c r="E24" s="5" t="s">
        <v>588</v>
      </c>
      <c r="F24" s="5" t="s">
        <v>38</v>
      </c>
      <c r="G24" s="3" t="s">
        <v>21</v>
      </c>
      <c r="H24" s="3" t="s">
        <v>28</v>
      </c>
      <c r="I24" s="3" t="s">
        <v>581</v>
      </c>
      <c r="J24" s="3" t="s">
        <v>162</v>
      </c>
      <c r="K24" s="3" t="s">
        <v>293</v>
      </c>
      <c r="L24" s="3">
        <v>47</v>
      </c>
      <c r="M24" s="3">
        <v>41</v>
      </c>
      <c r="N24" s="6">
        <f>IFERROR(M24/L24*100,0)</f>
        <v>0</v>
      </c>
    </row>
    <row r="25" spans="1:14">
      <c r="A25" s="3">
        <v>22</v>
      </c>
      <c r="B25" s="3" t="s">
        <v>607</v>
      </c>
      <c r="C25" s="4">
        <v>46145</v>
      </c>
      <c r="D25" s="3" t="s">
        <v>60</v>
      </c>
      <c r="E25" s="5" t="s">
        <v>588</v>
      </c>
      <c r="F25" s="5" t="s">
        <v>64</v>
      </c>
      <c r="G25" s="3" t="s">
        <v>31</v>
      </c>
      <c r="H25" s="3" t="s">
        <v>7</v>
      </c>
      <c r="I25" s="3" t="s">
        <v>601</v>
      </c>
      <c r="J25" s="3" t="s">
        <v>154</v>
      </c>
      <c r="K25" s="3" t="s">
        <v>254</v>
      </c>
      <c r="L25" s="3">
        <v>29</v>
      </c>
      <c r="M25" s="3">
        <v>16</v>
      </c>
      <c r="N25" s="6">
        <f>IFERROR(M25/L25*100,0)</f>
        <v>0</v>
      </c>
    </row>
    <row r="26" spans="1:14">
      <c r="A26" s="3">
        <v>23</v>
      </c>
      <c r="B26" s="3" t="s">
        <v>608</v>
      </c>
      <c r="C26" s="4">
        <v>46175</v>
      </c>
      <c r="D26" s="3" t="s">
        <v>73</v>
      </c>
      <c r="E26" s="5" t="s">
        <v>594</v>
      </c>
      <c r="F26" s="5" t="s">
        <v>45</v>
      </c>
      <c r="G26" s="3" t="s">
        <v>87</v>
      </c>
      <c r="H26" s="3" t="s">
        <v>22</v>
      </c>
      <c r="I26" s="3" t="s">
        <v>578</v>
      </c>
      <c r="J26" s="3" t="s">
        <v>154</v>
      </c>
      <c r="K26" s="3" t="s">
        <v>293</v>
      </c>
      <c r="L26" s="3">
        <v>33</v>
      </c>
      <c r="M26" s="3">
        <v>47</v>
      </c>
      <c r="N26" s="6">
        <f>IFERROR(M26/L26*100,0)</f>
        <v>0</v>
      </c>
    </row>
    <row r="27" spans="1:14">
      <c r="A27" s="3">
        <v>24</v>
      </c>
      <c r="B27" s="3" t="s">
        <v>609</v>
      </c>
      <c r="C27" s="4">
        <v>46180</v>
      </c>
      <c r="D27" s="3" t="s">
        <v>73</v>
      </c>
      <c r="E27" s="5" t="s">
        <v>588</v>
      </c>
      <c r="F27" s="5" t="s">
        <v>91</v>
      </c>
      <c r="G27" s="3" t="s">
        <v>31</v>
      </c>
      <c r="H27" s="3" t="s">
        <v>93</v>
      </c>
      <c r="I27" s="3" t="s">
        <v>601</v>
      </c>
      <c r="J27" s="3" t="s">
        <v>159</v>
      </c>
      <c r="K27" s="3" t="s">
        <v>293</v>
      </c>
      <c r="L27" s="3">
        <v>41</v>
      </c>
      <c r="M27" s="3">
        <v>12</v>
      </c>
      <c r="N27" s="6">
        <f>IFERROR(M27/L27*100,0)</f>
        <v>0</v>
      </c>
    </row>
    <row r="28" spans="1:14">
      <c r="A28" s="3">
        <v>25</v>
      </c>
      <c r="B28" s="3" t="s">
        <v>610</v>
      </c>
      <c r="C28" s="4">
        <v>46189</v>
      </c>
      <c r="D28" s="3" t="s">
        <v>73</v>
      </c>
      <c r="E28" s="5" t="s">
        <v>588</v>
      </c>
      <c r="F28" s="5" t="s">
        <v>57</v>
      </c>
      <c r="G28" s="3" t="s">
        <v>35</v>
      </c>
      <c r="H28" s="3" t="s">
        <v>93</v>
      </c>
      <c r="I28" s="3" t="s">
        <v>585</v>
      </c>
      <c r="J28" s="3" t="s">
        <v>142</v>
      </c>
      <c r="K28" s="3" t="s">
        <v>297</v>
      </c>
      <c r="L28" s="3">
        <v>21</v>
      </c>
      <c r="M28" s="3">
        <v>58</v>
      </c>
      <c r="N28" s="6">
        <f>IFERROR(M28/L28*100,0)</f>
        <v>0</v>
      </c>
    </row>
    <row r="29" spans="1:14">
      <c r="A29" s="3">
        <v>26</v>
      </c>
      <c r="B29" s="3" t="s">
        <v>611</v>
      </c>
      <c r="C29" s="4">
        <v>46177</v>
      </c>
      <c r="D29" s="3" t="s">
        <v>73</v>
      </c>
      <c r="E29" s="5" t="s">
        <v>594</v>
      </c>
      <c r="F29" s="5" t="s">
        <v>12</v>
      </c>
      <c r="G29" s="3" t="s">
        <v>87</v>
      </c>
      <c r="H29" s="3" t="s">
        <v>62</v>
      </c>
      <c r="I29" s="3" t="s">
        <v>581</v>
      </c>
      <c r="J29" s="3" t="s">
        <v>154</v>
      </c>
      <c r="K29" s="3" t="s">
        <v>254</v>
      </c>
      <c r="L29" s="3">
        <v>20</v>
      </c>
      <c r="M29" s="3">
        <v>24</v>
      </c>
      <c r="N29" s="6">
        <f>IFERROR(M29/L29*100,0)</f>
        <v>0</v>
      </c>
    </row>
    <row r="30" spans="1:14">
      <c r="A30" s="3">
        <v>27</v>
      </c>
      <c r="B30" s="3" t="s">
        <v>612</v>
      </c>
      <c r="C30" s="4">
        <v>46198</v>
      </c>
      <c r="D30" s="3" t="s">
        <v>73</v>
      </c>
      <c r="E30" s="5" t="s">
        <v>588</v>
      </c>
      <c r="F30" s="5" t="s">
        <v>20</v>
      </c>
      <c r="G30" s="3" t="s">
        <v>51</v>
      </c>
      <c r="H30" s="3" t="s">
        <v>22</v>
      </c>
      <c r="I30" s="3" t="s">
        <v>581</v>
      </c>
      <c r="J30" s="3" t="s">
        <v>162</v>
      </c>
      <c r="K30" s="3" t="s">
        <v>293</v>
      </c>
      <c r="L30" s="3">
        <v>11</v>
      </c>
      <c r="M30" s="3">
        <v>38</v>
      </c>
      <c r="N30" s="6">
        <f>IFERROR(M30/L30*100,0)</f>
        <v>0</v>
      </c>
    </row>
    <row r="31" spans="1:14">
      <c r="A31" s="3">
        <v>28</v>
      </c>
      <c r="B31" s="3" t="s">
        <v>613</v>
      </c>
      <c r="C31" s="4">
        <v>46207</v>
      </c>
      <c r="D31" s="3" t="s">
        <v>76</v>
      </c>
      <c r="E31" s="5" t="s">
        <v>588</v>
      </c>
      <c r="F31" s="5" t="s">
        <v>16</v>
      </c>
      <c r="G31" s="3" t="s">
        <v>40</v>
      </c>
      <c r="H31" s="3" t="s">
        <v>66</v>
      </c>
      <c r="I31" s="3" t="s">
        <v>578</v>
      </c>
      <c r="J31" s="3" t="s">
        <v>159</v>
      </c>
      <c r="K31" s="3" t="s">
        <v>297</v>
      </c>
      <c r="L31" s="3">
        <v>30</v>
      </c>
      <c r="M31" s="3">
        <v>31</v>
      </c>
      <c r="N31" s="6">
        <f>IFERROR(M31/L31*100,0)</f>
        <v>0</v>
      </c>
    </row>
    <row r="32" spans="1:14">
      <c r="A32" s="3">
        <v>29</v>
      </c>
      <c r="B32" s="3" t="s">
        <v>614</v>
      </c>
      <c r="C32" s="4">
        <v>46242</v>
      </c>
      <c r="D32" s="3" t="s">
        <v>86</v>
      </c>
      <c r="E32" s="5" t="s">
        <v>580</v>
      </c>
      <c r="F32" s="5" t="s">
        <v>4</v>
      </c>
      <c r="G32" s="3" t="s">
        <v>40</v>
      </c>
      <c r="H32" s="3" t="s">
        <v>78</v>
      </c>
      <c r="I32" s="3" t="s">
        <v>578</v>
      </c>
      <c r="J32" s="3" t="s">
        <v>162</v>
      </c>
      <c r="K32" s="3" t="s">
        <v>297</v>
      </c>
      <c r="L32" s="3">
        <v>19</v>
      </c>
      <c r="M32" s="3">
        <v>49</v>
      </c>
      <c r="N32" s="6">
        <f>IFERROR(M32/L32*100,0)</f>
        <v>0</v>
      </c>
    </row>
    <row r="33" spans="1:14">
      <c r="A33" s="3">
        <v>30</v>
      </c>
      <c r="B33" s="3" t="s">
        <v>615</v>
      </c>
      <c r="C33" s="4">
        <v>46242</v>
      </c>
      <c r="D33" s="3" t="s">
        <v>86</v>
      </c>
      <c r="E33" s="5" t="s">
        <v>590</v>
      </c>
      <c r="F33" s="5" t="s">
        <v>49</v>
      </c>
      <c r="G33" s="3" t="s">
        <v>35</v>
      </c>
      <c r="H33" s="3" t="s">
        <v>22</v>
      </c>
      <c r="I33" s="3" t="s">
        <v>585</v>
      </c>
      <c r="J33" s="3" t="s">
        <v>162</v>
      </c>
      <c r="K33" s="3" t="s">
        <v>238</v>
      </c>
      <c r="L33" s="3">
        <v>60</v>
      </c>
      <c r="M33" s="3">
        <v>12</v>
      </c>
      <c r="N33" s="6">
        <f>IFERROR(M33/L33*100,0)</f>
        <v>0</v>
      </c>
    </row>
    <row r="34" spans="1:14">
      <c r="A34" s="3">
        <v>31</v>
      </c>
      <c r="B34" s="3" t="s">
        <v>616</v>
      </c>
      <c r="C34" s="4">
        <v>46262</v>
      </c>
      <c r="D34" s="3" t="s">
        <v>86</v>
      </c>
      <c r="E34" s="5" t="s">
        <v>588</v>
      </c>
      <c r="F34" s="5" t="s">
        <v>64</v>
      </c>
      <c r="G34" s="3" t="s">
        <v>87</v>
      </c>
      <c r="H34" s="3" t="s">
        <v>66</v>
      </c>
      <c r="I34" s="3" t="s">
        <v>581</v>
      </c>
      <c r="J34" s="3" t="s">
        <v>162</v>
      </c>
      <c r="K34" s="3" t="s">
        <v>297</v>
      </c>
      <c r="L34" s="3">
        <v>59</v>
      </c>
      <c r="M34" s="3">
        <v>59</v>
      </c>
      <c r="N34" s="6">
        <f>IFERROR(M34/L34*100,0)</f>
        <v>0</v>
      </c>
    </row>
    <row r="35" spans="1:14">
      <c r="A35" s="3">
        <v>32</v>
      </c>
      <c r="B35" s="3" t="s">
        <v>617</v>
      </c>
      <c r="C35" s="4">
        <v>46249</v>
      </c>
      <c r="D35" s="3" t="s">
        <v>86</v>
      </c>
      <c r="E35" s="5" t="s">
        <v>584</v>
      </c>
      <c r="F35" s="5" t="s">
        <v>64</v>
      </c>
      <c r="G35" s="3" t="s">
        <v>14</v>
      </c>
      <c r="H35" s="3" t="s">
        <v>104</v>
      </c>
      <c r="I35" s="3" t="s">
        <v>578</v>
      </c>
      <c r="J35" s="3" t="s">
        <v>159</v>
      </c>
      <c r="K35" s="3" t="s">
        <v>297</v>
      </c>
      <c r="L35" s="3">
        <v>36</v>
      </c>
      <c r="M35" s="3">
        <v>48</v>
      </c>
      <c r="N35" s="6">
        <f>IFERROR(M35/L35*100,0)</f>
        <v>0</v>
      </c>
    </row>
    <row r="36" spans="1:14">
      <c r="A36" s="3">
        <v>33</v>
      </c>
      <c r="B36" s="3" t="s">
        <v>618</v>
      </c>
      <c r="C36" s="4">
        <v>46250</v>
      </c>
      <c r="D36" s="3" t="s">
        <v>86</v>
      </c>
      <c r="E36" s="5" t="s">
        <v>580</v>
      </c>
      <c r="F36" s="5" t="s">
        <v>54</v>
      </c>
      <c r="G36" s="3" t="s">
        <v>80</v>
      </c>
      <c r="H36" s="3" t="s">
        <v>41</v>
      </c>
      <c r="I36" s="3" t="s">
        <v>585</v>
      </c>
      <c r="J36" s="3" t="s">
        <v>142</v>
      </c>
      <c r="K36" s="3" t="s">
        <v>297</v>
      </c>
      <c r="L36" s="3">
        <v>58</v>
      </c>
      <c r="M36" s="3">
        <v>11</v>
      </c>
      <c r="N36" s="6">
        <f>IFERROR(M36/L36*100,0)</f>
        <v>0</v>
      </c>
    </row>
    <row r="37" spans="1:14">
      <c r="A37" s="3">
        <v>34</v>
      </c>
      <c r="B37" s="3" t="s">
        <v>619</v>
      </c>
      <c r="C37" s="4">
        <v>46283</v>
      </c>
      <c r="D37" s="3" t="s">
        <v>102</v>
      </c>
      <c r="E37" s="5" t="s">
        <v>580</v>
      </c>
      <c r="F37" s="5" t="s">
        <v>26</v>
      </c>
      <c r="G37" s="3" t="s">
        <v>31</v>
      </c>
      <c r="H37" s="3" t="s">
        <v>70</v>
      </c>
      <c r="I37" s="3" t="s">
        <v>601</v>
      </c>
      <c r="J37" s="3" t="s">
        <v>159</v>
      </c>
      <c r="K37" s="3" t="s">
        <v>293</v>
      </c>
      <c r="L37" s="3">
        <v>19</v>
      </c>
      <c r="M37" s="3">
        <v>30</v>
      </c>
      <c r="N37" s="6">
        <f>IFERROR(M37/L37*100,0)</f>
        <v>0</v>
      </c>
    </row>
    <row r="38" spans="1:14">
      <c r="A38" s="3">
        <v>35</v>
      </c>
      <c r="B38" s="3" t="s">
        <v>620</v>
      </c>
      <c r="C38" s="4">
        <v>46288</v>
      </c>
      <c r="D38" s="3" t="s">
        <v>102</v>
      </c>
      <c r="E38" s="5" t="s">
        <v>590</v>
      </c>
      <c r="F38" s="5" t="s">
        <v>54</v>
      </c>
      <c r="G38" s="3" t="s">
        <v>40</v>
      </c>
      <c r="H38" s="3" t="s">
        <v>15</v>
      </c>
      <c r="I38" s="3" t="s">
        <v>581</v>
      </c>
      <c r="J38" s="3" t="s">
        <v>159</v>
      </c>
      <c r="K38" s="3" t="s">
        <v>293</v>
      </c>
      <c r="L38" s="3">
        <v>14</v>
      </c>
      <c r="M38" s="3">
        <v>31</v>
      </c>
      <c r="N38" s="6">
        <f>IFERROR(M38/L38*100,0)</f>
        <v>0</v>
      </c>
    </row>
    <row r="39" spans="1:14">
      <c r="A39" s="3">
        <v>36</v>
      </c>
      <c r="B39" s="3" t="s">
        <v>621</v>
      </c>
      <c r="C39" s="4">
        <v>46292</v>
      </c>
      <c r="D39" s="3" t="s">
        <v>102</v>
      </c>
      <c r="E39" s="5" t="s">
        <v>590</v>
      </c>
      <c r="F39" s="5" t="s">
        <v>45</v>
      </c>
      <c r="G39" s="3" t="s">
        <v>35</v>
      </c>
      <c r="H39" s="3" t="s">
        <v>62</v>
      </c>
      <c r="I39" s="3" t="s">
        <v>601</v>
      </c>
      <c r="J39" s="3" t="s">
        <v>162</v>
      </c>
      <c r="K39" s="3" t="s">
        <v>238</v>
      </c>
      <c r="L39" s="3">
        <v>35</v>
      </c>
      <c r="M39" s="3">
        <v>24</v>
      </c>
      <c r="N39" s="6">
        <f>IFERROR(M39/L39*100,0)</f>
        <v>0</v>
      </c>
    </row>
    <row r="40" spans="1:14">
      <c r="A40" s="3">
        <v>37</v>
      </c>
      <c r="B40" s="3" t="s">
        <v>622</v>
      </c>
      <c r="C40" s="4">
        <v>46280</v>
      </c>
      <c r="D40" s="3" t="s">
        <v>102</v>
      </c>
      <c r="E40" s="5" t="s">
        <v>590</v>
      </c>
      <c r="F40" s="5" t="s">
        <v>38</v>
      </c>
      <c r="G40" s="3" t="s">
        <v>82</v>
      </c>
      <c r="H40" s="3" t="s">
        <v>22</v>
      </c>
      <c r="I40" s="3" t="s">
        <v>581</v>
      </c>
      <c r="J40" s="3" t="s">
        <v>142</v>
      </c>
      <c r="K40" s="3" t="s">
        <v>297</v>
      </c>
      <c r="L40" s="3">
        <v>29</v>
      </c>
      <c r="M40" s="3">
        <v>23</v>
      </c>
      <c r="N40" s="6">
        <f>IFERROR(M40/L40*100,0)</f>
        <v>0</v>
      </c>
    </row>
    <row r="41" spans="1:14">
      <c r="A41" s="3">
        <v>38</v>
      </c>
      <c r="B41" s="3" t="s">
        <v>623</v>
      </c>
      <c r="C41" s="4">
        <v>46304</v>
      </c>
      <c r="D41" s="3" t="s">
        <v>106</v>
      </c>
      <c r="E41" s="5" t="s">
        <v>580</v>
      </c>
      <c r="F41" s="5" t="s">
        <v>4</v>
      </c>
      <c r="G41" s="3" t="s">
        <v>21</v>
      </c>
      <c r="H41" s="3" t="s">
        <v>22</v>
      </c>
      <c r="I41" s="3" t="s">
        <v>581</v>
      </c>
      <c r="J41" s="3" t="s">
        <v>142</v>
      </c>
      <c r="K41" s="3" t="s">
        <v>293</v>
      </c>
      <c r="L41" s="3">
        <v>29</v>
      </c>
      <c r="M41" s="3">
        <v>36</v>
      </c>
      <c r="N41" s="6">
        <f>IFERROR(M41/L41*100,0)</f>
        <v>0</v>
      </c>
    </row>
    <row r="42" spans="1:14">
      <c r="A42" s="3">
        <v>39</v>
      </c>
      <c r="B42" s="3" t="s">
        <v>624</v>
      </c>
      <c r="C42" s="4">
        <v>46338</v>
      </c>
      <c r="D42" s="3" t="s">
        <v>111</v>
      </c>
      <c r="E42" s="5" t="s">
        <v>584</v>
      </c>
      <c r="F42" s="5" t="s">
        <v>20</v>
      </c>
      <c r="G42" s="3" t="s">
        <v>82</v>
      </c>
      <c r="H42" s="3" t="s">
        <v>66</v>
      </c>
      <c r="I42" s="3" t="s">
        <v>581</v>
      </c>
      <c r="J42" s="3" t="s">
        <v>159</v>
      </c>
      <c r="K42" s="3" t="s">
        <v>297</v>
      </c>
      <c r="L42" s="3">
        <v>24</v>
      </c>
      <c r="M42" s="3">
        <v>14</v>
      </c>
      <c r="N42" s="6">
        <f>IFERROR(M42/L42*100,0)</f>
        <v>0</v>
      </c>
    </row>
    <row r="43" spans="1:14">
      <c r="A43" s="3">
        <v>40</v>
      </c>
      <c r="B43" s="3" t="s">
        <v>625</v>
      </c>
      <c r="C43" s="4">
        <v>46342</v>
      </c>
      <c r="D43" s="3" t="s">
        <v>111</v>
      </c>
      <c r="E43" s="5" t="s">
        <v>588</v>
      </c>
      <c r="F43" s="5" t="s">
        <v>45</v>
      </c>
      <c r="G43" s="3" t="s">
        <v>51</v>
      </c>
      <c r="H43" s="3" t="s">
        <v>66</v>
      </c>
      <c r="I43" s="3" t="s">
        <v>581</v>
      </c>
      <c r="J43" s="3" t="s">
        <v>159</v>
      </c>
      <c r="K43" s="3" t="s">
        <v>293</v>
      </c>
      <c r="L43" s="3">
        <v>26</v>
      </c>
      <c r="M43" s="3">
        <v>48</v>
      </c>
      <c r="N43" s="6">
        <f>IFERROR(M43/L43*100,0)</f>
        <v>0</v>
      </c>
    </row>
    <row r="44" spans="1:14">
      <c r="A44" s="3">
        <v>41</v>
      </c>
      <c r="B44" s="3" t="s">
        <v>626</v>
      </c>
      <c r="C44" s="4">
        <v>46330</v>
      </c>
      <c r="D44" s="3" t="s">
        <v>111</v>
      </c>
      <c r="E44" s="5" t="s">
        <v>588</v>
      </c>
      <c r="F44" s="5" t="s">
        <v>30</v>
      </c>
      <c r="G44" s="3" t="s">
        <v>31</v>
      </c>
      <c r="H44" s="3" t="s">
        <v>62</v>
      </c>
      <c r="I44" s="3" t="s">
        <v>581</v>
      </c>
      <c r="J44" s="3" t="s">
        <v>154</v>
      </c>
      <c r="K44" s="3" t="s">
        <v>293</v>
      </c>
      <c r="L44" s="3">
        <v>22</v>
      </c>
      <c r="M44" s="3">
        <v>32</v>
      </c>
      <c r="N44" s="6">
        <f>IFERROR(M44/L44*100,0)</f>
        <v>0</v>
      </c>
    </row>
    <row r="45" spans="1:14">
      <c r="A45" s="3">
        <v>42</v>
      </c>
      <c r="B45" s="3" t="s">
        <v>627</v>
      </c>
      <c r="C45" s="4">
        <v>46354</v>
      </c>
      <c r="D45" s="3" t="s">
        <v>111</v>
      </c>
      <c r="E45" s="5" t="s">
        <v>584</v>
      </c>
      <c r="F45" s="5" t="s">
        <v>91</v>
      </c>
      <c r="G45" s="3" t="s">
        <v>21</v>
      </c>
      <c r="H45" s="3" t="s">
        <v>78</v>
      </c>
      <c r="I45" s="3" t="s">
        <v>601</v>
      </c>
      <c r="J45" s="3" t="s">
        <v>154</v>
      </c>
      <c r="K45" s="3" t="s">
        <v>293</v>
      </c>
      <c r="L45" s="3">
        <v>18</v>
      </c>
      <c r="M45" s="3">
        <v>26</v>
      </c>
      <c r="N45" s="6">
        <f>IFERROR(M45/L45*100,0)</f>
        <v>0</v>
      </c>
    </row>
    <row r="46" spans="1:14">
      <c r="A46" s="3">
        <v>43</v>
      </c>
      <c r="B46" s="3" t="s">
        <v>628</v>
      </c>
      <c r="C46" s="4">
        <v>46331</v>
      </c>
      <c r="D46" s="3" t="s">
        <v>111</v>
      </c>
      <c r="E46" s="5" t="s">
        <v>590</v>
      </c>
      <c r="F46" s="5" t="s">
        <v>45</v>
      </c>
      <c r="G46" s="3" t="s">
        <v>82</v>
      </c>
      <c r="H46" s="3" t="s">
        <v>66</v>
      </c>
      <c r="I46" s="3" t="s">
        <v>581</v>
      </c>
      <c r="J46" s="3" t="s">
        <v>159</v>
      </c>
      <c r="K46" s="3" t="s">
        <v>297</v>
      </c>
      <c r="L46" s="3">
        <v>29</v>
      </c>
      <c r="M46" s="3">
        <v>13</v>
      </c>
      <c r="N46" s="6">
        <f>IFERROR(M46/L46*100,0)</f>
        <v>0</v>
      </c>
    </row>
    <row r="47" spans="1:14">
      <c r="A47" s="3">
        <v>44</v>
      </c>
      <c r="B47" s="3" t="s">
        <v>629</v>
      </c>
      <c r="C47" s="4">
        <v>46341</v>
      </c>
      <c r="D47" s="3" t="s">
        <v>111</v>
      </c>
      <c r="E47" s="5" t="s">
        <v>594</v>
      </c>
      <c r="F47" s="5" t="s">
        <v>57</v>
      </c>
      <c r="G47" s="3" t="s">
        <v>95</v>
      </c>
      <c r="H47" s="3" t="s">
        <v>36</v>
      </c>
      <c r="I47" s="3" t="s">
        <v>601</v>
      </c>
      <c r="J47" s="3" t="s">
        <v>142</v>
      </c>
      <c r="K47" s="3" t="s">
        <v>254</v>
      </c>
      <c r="L47" s="3">
        <v>37</v>
      </c>
      <c r="M47" s="3">
        <v>42</v>
      </c>
      <c r="N47" s="6">
        <f>IFERROR(M47/L47*100,0)</f>
        <v>0</v>
      </c>
    </row>
    <row r="48" spans="1:14">
      <c r="A48" s="3">
        <v>45</v>
      </c>
      <c r="B48" s="3" t="s">
        <v>630</v>
      </c>
      <c r="C48" s="4">
        <v>46342</v>
      </c>
      <c r="D48" s="3" t="s">
        <v>111</v>
      </c>
      <c r="E48" s="5" t="s">
        <v>590</v>
      </c>
      <c r="F48" s="5" t="s">
        <v>12</v>
      </c>
      <c r="G48" s="3" t="s">
        <v>77</v>
      </c>
      <c r="H48" s="3" t="s">
        <v>41</v>
      </c>
      <c r="I48" s="3" t="s">
        <v>601</v>
      </c>
      <c r="J48" s="3" t="s">
        <v>154</v>
      </c>
      <c r="K48" s="3" t="s">
        <v>254</v>
      </c>
      <c r="L48" s="3">
        <v>40</v>
      </c>
      <c r="M48" s="3">
        <v>21</v>
      </c>
      <c r="N48" s="6">
        <f>IFERROR(M48/L48*100,0)</f>
        <v>0</v>
      </c>
    </row>
    <row r="49" spans="1:14">
      <c r="A49" s="3">
        <v>46</v>
      </c>
      <c r="B49" s="3" t="s">
        <v>631</v>
      </c>
      <c r="C49" s="4">
        <v>46341</v>
      </c>
      <c r="D49" s="3" t="s">
        <v>111</v>
      </c>
      <c r="E49" s="5" t="s">
        <v>577</v>
      </c>
      <c r="F49" s="5" t="s">
        <v>16</v>
      </c>
      <c r="G49" s="3" t="s">
        <v>31</v>
      </c>
      <c r="H49" s="3" t="s">
        <v>78</v>
      </c>
      <c r="I49" s="3" t="s">
        <v>581</v>
      </c>
      <c r="J49" s="3" t="s">
        <v>142</v>
      </c>
      <c r="K49" s="3" t="s">
        <v>293</v>
      </c>
      <c r="L49" s="3">
        <v>54</v>
      </c>
      <c r="M49" s="3">
        <v>20</v>
      </c>
      <c r="N49" s="6">
        <f>IFERROR(M49/L49*100,0)</f>
        <v>0</v>
      </c>
    </row>
    <row r="50" spans="1:14">
      <c r="A50" s="3">
        <v>47</v>
      </c>
      <c r="B50" s="3" t="s">
        <v>632</v>
      </c>
      <c r="C50" s="4">
        <v>46371</v>
      </c>
      <c r="D50" s="3" t="s">
        <v>122</v>
      </c>
      <c r="E50" s="5" t="s">
        <v>584</v>
      </c>
      <c r="F50" s="5" t="s">
        <v>38</v>
      </c>
      <c r="G50" s="3" t="s">
        <v>21</v>
      </c>
      <c r="H50" s="3" t="s">
        <v>93</v>
      </c>
      <c r="I50" s="3" t="s">
        <v>601</v>
      </c>
      <c r="J50" s="3" t="s">
        <v>162</v>
      </c>
      <c r="K50" s="3" t="s">
        <v>293</v>
      </c>
      <c r="L50" s="3">
        <v>46</v>
      </c>
      <c r="M50" s="3">
        <v>29</v>
      </c>
      <c r="N50" s="6">
        <f>IFERROR(M50/L50*100,0)</f>
        <v>0</v>
      </c>
    </row>
    <row r="51" spans="1:14">
      <c r="A51" s="3">
        <v>48</v>
      </c>
      <c r="B51" s="3" t="s">
        <v>633</v>
      </c>
      <c r="C51" s="4">
        <v>46371</v>
      </c>
      <c r="D51" s="3" t="s">
        <v>122</v>
      </c>
      <c r="E51" s="5" t="s">
        <v>590</v>
      </c>
      <c r="F51" s="5" t="s">
        <v>20</v>
      </c>
      <c r="G51" s="3" t="s">
        <v>82</v>
      </c>
      <c r="H51" s="3" t="s">
        <v>93</v>
      </c>
      <c r="I51" s="3" t="s">
        <v>585</v>
      </c>
      <c r="J51" s="3" t="s">
        <v>142</v>
      </c>
      <c r="K51" s="3" t="s">
        <v>293</v>
      </c>
      <c r="L51" s="3">
        <v>57</v>
      </c>
      <c r="M51" s="3">
        <v>44</v>
      </c>
      <c r="N51" s="6">
        <f>IFERROR(M51/L51*100,0)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5003">
      <formula1>L_Status</formula1>
    </dataValidation>
    <dataValidation type="list" allowBlank="1" showInputMessage="1" showErrorMessage="1" sqref="J4:J5003">
      <formula1>L_Risk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5" width="12.7109375" customWidth="1"/>
    <col min="6" max="6" width="10.7109375" customWidth="1"/>
    <col min="7" max="7" width="14.7109375" customWidth="1"/>
    <col min="8" max="9" width="21.7109375" customWidth="1"/>
    <col min="10" max="10" width="17.7109375" customWidth="1"/>
    <col min="11" max="12" width="23.7109375" customWidth="1"/>
    <col min="13" max="13" width="16.7109375" customWidth="1"/>
    <col min="14" max="14" width="19.7109375" customWidth="1"/>
    <col min="15" max="15" width="9.7109375" customWidth="1"/>
  </cols>
  <sheetData>
    <row r="1" spans="1:17" ht="22" customHeight="1">
      <c r="A1" s="1" t="s">
        <v>645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700</v>
      </c>
      <c r="C3" t="s">
        <v>126</v>
      </c>
      <c r="D3" t="s">
        <v>127</v>
      </c>
      <c r="E3" t="s">
        <v>701</v>
      </c>
      <c r="F3" t="s">
        <v>130</v>
      </c>
      <c r="G3" t="s">
        <v>702</v>
      </c>
      <c r="H3" t="s">
        <v>703</v>
      </c>
      <c r="I3" t="s">
        <v>704</v>
      </c>
      <c r="J3" t="s">
        <v>705</v>
      </c>
      <c r="K3" t="s">
        <v>706</v>
      </c>
      <c r="L3" t="s">
        <v>707</v>
      </c>
      <c r="M3" t="s">
        <v>412</v>
      </c>
      <c r="N3" t="s">
        <v>708</v>
      </c>
      <c r="O3" t="s">
        <v>287</v>
      </c>
    </row>
    <row r="4" spans="1:17">
      <c r="A4" s="3">
        <v>1</v>
      </c>
      <c r="B4" s="3" t="s">
        <v>646</v>
      </c>
      <c r="C4" s="4">
        <v>46029</v>
      </c>
      <c r="D4" s="3" t="s">
        <v>3</v>
      </c>
      <c r="E4" s="5" t="s">
        <v>647</v>
      </c>
      <c r="F4" s="5" t="s">
        <v>14</v>
      </c>
      <c r="G4" s="3" t="s">
        <v>28</v>
      </c>
      <c r="H4" s="3">
        <v>37</v>
      </c>
      <c r="I4" s="3">
        <v>58</v>
      </c>
      <c r="J4" s="6">
        <f>IFERROR(I4/H4*100,0)</f>
        <v>0</v>
      </c>
      <c r="K4" s="3">
        <v>21</v>
      </c>
      <c r="L4" s="3">
        <v>4</v>
      </c>
      <c r="M4" s="3" t="s">
        <v>17</v>
      </c>
      <c r="N4" s="3" t="s">
        <v>40</v>
      </c>
      <c r="O4" s="3" t="s">
        <v>254</v>
      </c>
    </row>
    <row r="5" spans="1:17">
      <c r="A5" s="3">
        <v>2</v>
      </c>
      <c r="B5" s="3" t="s">
        <v>648</v>
      </c>
      <c r="C5" s="4">
        <v>46029</v>
      </c>
      <c r="D5" s="3" t="s">
        <v>3</v>
      </c>
      <c r="E5" s="5" t="s">
        <v>649</v>
      </c>
      <c r="F5" s="5" t="s">
        <v>51</v>
      </c>
      <c r="G5" s="3" t="s">
        <v>15</v>
      </c>
      <c r="H5" s="3">
        <v>13</v>
      </c>
      <c r="I5" s="3">
        <v>29</v>
      </c>
      <c r="J5" s="6">
        <f>IFERROR(I5/H5*100,0)</f>
        <v>0</v>
      </c>
      <c r="K5" s="3">
        <v>6</v>
      </c>
      <c r="L5" s="3">
        <v>11</v>
      </c>
      <c r="M5" s="3" t="s">
        <v>17</v>
      </c>
      <c r="N5" s="3" t="s">
        <v>40</v>
      </c>
      <c r="O5" s="3" t="s">
        <v>293</v>
      </c>
    </row>
    <row r="6" spans="1:17">
      <c r="A6" s="3">
        <v>3</v>
      </c>
      <c r="B6" s="3" t="s">
        <v>650</v>
      </c>
      <c r="C6" s="4">
        <v>46050</v>
      </c>
      <c r="D6" s="3" t="s">
        <v>3</v>
      </c>
      <c r="E6" s="5" t="s">
        <v>651</v>
      </c>
      <c r="F6" s="5" t="s">
        <v>35</v>
      </c>
      <c r="G6" s="3" t="s">
        <v>41</v>
      </c>
      <c r="H6" s="3">
        <v>25</v>
      </c>
      <c r="I6" s="3">
        <v>53</v>
      </c>
      <c r="J6" s="6">
        <f>IFERROR(I6/H6*100,0)</f>
        <v>0</v>
      </c>
      <c r="K6" s="3">
        <v>0</v>
      </c>
      <c r="L6" s="3">
        <v>30</v>
      </c>
      <c r="M6" s="3" t="s">
        <v>24</v>
      </c>
      <c r="N6" s="3" t="s">
        <v>95</v>
      </c>
      <c r="O6" s="3" t="s">
        <v>293</v>
      </c>
    </row>
    <row r="7" spans="1:17">
      <c r="A7" s="3">
        <v>4</v>
      </c>
      <c r="B7" s="3" t="s">
        <v>652</v>
      </c>
      <c r="C7" s="4">
        <v>46038</v>
      </c>
      <c r="D7" s="3" t="s">
        <v>3</v>
      </c>
      <c r="E7" s="5" t="s">
        <v>651</v>
      </c>
      <c r="F7" s="5" t="s">
        <v>80</v>
      </c>
      <c r="G7" s="3" t="s">
        <v>66</v>
      </c>
      <c r="H7" s="3">
        <v>12</v>
      </c>
      <c r="I7" s="3">
        <v>35</v>
      </c>
      <c r="J7" s="6">
        <f>IFERROR(I7/H7*100,0)</f>
        <v>0</v>
      </c>
      <c r="K7" s="3">
        <v>3</v>
      </c>
      <c r="L7" s="3">
        <v>14</v>
      </c>
      <c r="M7" s="3" t="s">
        <v>96</v>
      </c>
      <c r="N7" s="3" t="s">
        <v>40</v>
      </c>
      <c r="O7" s="3" t="s">
        <v>293</v>
      </c>
    </row>
    <row r="8" spans="1:17">
      <c r="A8" s="3">
        <v>5</v>
      </c>
      <c r="B8" s="3" t="s">
        <v>653</v>
      </c>
      <c r="C8" s="4">
        <v>46049</v>
      </c>
      <c r="D8" s="3" t="s">
        <v>3</v>
      </c>
      <c r="E8" s="5" t="s">
        <v>654</v>
      </c>
      <c r="F8" s="5" t="s">
        <v>40</v>
      </c>
      <c r="G8" s="3" t="s">
        <v>15</v>
      </c>
      <c r="H8" s="3">
        <v>26</v>
      </c>
      <c r="I8" s="3">
        <v>29</v>
      </c>
      <c r="J8" s="6">
        <f>IFERROR(I8/H8*100,0)</f>
        <v>0</v>
      </c>
      <c r="K8" s="3">
        <v>20</v>
      </c>
      <c r="L8" s="3">
        <v>18</v>
      </c>
      <c r="M8" s="3" t="s">
        <v>17</v>
      </c>
      <c r="N8" s="3" t="s">
        <v>14</v>
      </c>
      <c r="O8" s="3" t="s">
        <v>293</v>
      </c>
    </row>
    <row r="9" spans="1:17">
      <c r="A9" s="3">
        <v>6</v>
      </c>
      <c r="B9" s="3" t="s">
        <v>655</v>
      </c>
      <c r="C9" s="4">
        <v>46065</v>
      </c>
      <c r="D9" s="3" t="s">
        <v>19</v>
      </c>
      <c r="E9" s="5" t="s">
        <v>651</v>
      </c>
      <c r="F9" s="5" t="s">
        <v>31</v>
      </c>
      <c r="G9" s="3" t="s">
        <v>7</v>
      </c>
      <c r="H9" s="3">
        <v>55</v>
      </c>
      <c r="I9" s="3">
        <v>39</v>
      </c>
      <c r="J9" s="6">
        <f>IFERROR(I9/H9*100,0)</f>
        <v>0</v>
      </c>
      <c r="K9" s="3">
        <v>10</v>
      </c>
      <c r="L9" s="3">
        <v>14</v>
      </c>
      <c r="M9" s="3" t="s">
        <v>42</v>
      </c>
      <c r="N9" s="3" t="s">
        <v>77</v>
      </c>
      <c r="O9" s="3" t="s">
        <v>293</v>
      </c>
    </row>
    <row r="10" spans="1:17">
      <c r="A10" s="3">
        <v>7</v>
      </c>
      <c r="B10" s="3" t="s">
        <v>656</v>
      </c>
      <c r="C10" s="4">
        <v>46057</v>
      </c>
      <c r="D10" s="3" t="s">
        <v>19</v>
      </c>
      <c r="E10" s="5" t="s">
        <v>657</v>
      </c>
      <c r="F10" s="5" t="s">
        <v>31</v>
      </c>
      <c r="G10" s="3" t="s">
        <v>32</v>
      </c>
      <c r="H10" s="3">
        <v>38</v>
      </c>
      <c r="I10" s="3">
        <v>25</v>
      </c>
      <c r="J10" s="6">
        <f>IFERROR(I10/H10*100,0)</f>
        <v>0</v>
      </c>
      <c r="K10" s="3">
        <v>26</v>
      </c>
      <c r="L10" s="3">
        <v>12</v>
      </c>
      <c r="M10" s="3" t="s">
        <v>10</v>
      </c>
      <c r="N10" s="3" t="s">
        <v>51</v>
      </c>
      <c r="O10" s="3" t="s">
        <v>254</v>
      </c>
    </row>
    <row r="11" spans="1:17">
      <c r="A11" s="3">
        <v>8</v>
      </c>
      <c r="B11" s="3" t="s">
        <v>658</v>
      </c>
      <c r="C11" s="4">
        <v>46091</v>
      </c>
      <c r="D11" s="3" t="s">
        <v>44</v>
      </c>
      <c r="E11" s="5" t="s">
        <v>659</v>
      </c>
      <c r="F11" s="5" t="s">
        <v>40</v>
      </c>
      <c r="G11" s="3" t="s">
        <v>32</v>
      </c>
      <c r="H11" s="3">
        <v>35</v>
      </c>
      <c r="I11" s="3">
        <v>39</v>
      </c>
      <c r="J11" s="6">
        <f>IFERROR(I11/H11*100,0)</f>
        <v>0</v>
      </c>
      <c r="K11" s="3">
        <v>8</v>
      </c>
      <c r="L11" s="3">
        <v>10</v>
      </c>
      <c r="M11" s="3" t="s">
        <v>42</v>
      </c>
      <c r="N11" s="3" t="s">
        <v>51</v>
      </c>
      <c r="O11" s="3" t="s">
        <v>293</v>
      </c>
    </row>
    <row r="12" spans="1:17">
      <c r="A12" s="3">
        <v>9</v>
      </c>
      <c r="B12" s="3" t="s">
        <v>660</v>
      </c>
      <c r="C12" s="4">
        <v>46097</v>
      </c>
      <c r="D12" s="3" t="s">
        <v>44</v>
      </c>
      <c r="E12" s="5" t="s">
        <v>657</v>
      </c>
      <c r="F12" s="5" t="s">
        <v>87</v>
      </c>
      <c r="G12" s="3" t="s">
        <v>93</v>
      </c>
      <c r="H12" s="3">
        <v>50</v>
      </c>
      <c r="I12" s="3">
        <v>21</v>
      </c>
      <c r="J12" s="6">
        <f>IFERROR(I12/H12*100,0)</f>
        <v>0</v>
      </c>
      <c r="K12" s="3">
        <v>4</v>
      </c>
      <c r="L12" s="3">
        <v>25</v>
      </c>
      <c r="M12" s="3" t="s">
        <v>96</v>
      </c>
      <c r="N12" s="3" t="s">
        <v>35</v>
      </c>
      <c r="O12" s="3" t="s">
        <v>293</v>
      </c>
    </row>
    <row r="13" spans="1:17">
      <c r="A13" s="3">
        <v>10</v>
      </c>
      <c r="B13" s="3" t="s">
        <v>661</v>
      </c>
      <c r="C13" s="4">
        <v>46109</v>
      </c>
      <c r="D13" s="3" t="s">
        <v>44</v>
      </c>
      <c r="E13" s="5" t="s">
        <v>657</v>
      </c>
      <c r="F13" s="5" t="s">
        <v>35</v>
      </c>
      <c r="G13" s="3" t="s">
        <v>93</v>
      </c>
      <c r="H13" s="3">
        <v>26</v>
      </c>
      <c r="I13" s="3">
        <v>36</v>
      </c>
      <c r="J13" s="6">
        <f>IFERROR(I13/H13*100,0)</f>
        <v>0</v>
      </c>
      <c r="K13" s="3">
        <v>10</v>
      </c>
      <c r="L13" s="3">
        <v>24</v>
      </c>
      <c r="M13" s="3" t="s">
        <v>42</v>
      </c>
      <c r="N13" s="3" t="s">
        <v>82</v>
      </c>
      <c r="O13" s="3" t="s">
        <v>293</v>
      </c>
    </row>
    <row r="14" spans="1:17">
      <c r="A14" s="3">
        <v>11</v>
      </c>
      <c r="B14" s="3" t="s">
        <v>662</v>
      </c>
      <c r="C14" s="4">
        <v>46093</v>
      </c>
      <c r="D14" s="3" t="s">
        <v>44</v>
      </c>
      <c r="E14" s="5" t="s">
        <v>651</v>
      </c>
      <c r="F14" s="5" t="s">
        <v>21</v>
      </c>
      <c r="G14" s="3" t="s">
        <v>7</v>
      </c>
      <c r="H14" s="3">
        <v>26</v>
      </c>
      <c r="I14" s="3">
        <v>58</v>
      </c>
      <c r="J14" s="6">
        <f>IFERROR(I14/H14*100,0)</f>
        <v>0</v>
      </c>
      <c r="K14" s="3">
        <v>1</v>
      </c>
      <c r="L14" s="3">
        <v>4</v>
      </c>
      <c r="M14" s="3" t="s">
        <v>96</v>
      </c>
      <c r="N14" s="3" t="s">
        <v>21</v>
      </c>
      <c r="O14" s="3" t="s">
        <v>254</v>
      </c>
    </row>
    <row r="15" spans="1:17">
      <c r="A15" s="3">
        <v>12</v>
      </c>
      <c r="B15" s="3" t="s">
        <v>663</v>
      </c>
      <c r="C15" s="4">
        <v>46098</v>
      </c>
      <c r="D15" s="3" t="s">
        <v>44</v>
      </c>
      <c r="E15" s="5" t="s">
        <v>657</v>
      </c>
      <c r="F15" s="5" t="s">
        <v>40</v>
      </c>
      <c r="G15" s="3" t="s">
        <v>32</v>
      </c>
      <c r="H15" s="3">
        <v>53</v>
      </c>
      <c r="I15" s="3">
        <v>35</v>
      </c>
      <c r="J15" s="6">
        <f>IFERROR(I15/H15*100,0)</f>
        <v>0</v>
      </c>
      <c r="K15" s="3">
        <v>22</v>
      </c>
      <c r="L15" s="3">
        <v>19</v>
      </c>
      <c r="M15" s="3" t="s">
        <v>96</v>
      </c>
      <c r="N15" s="3" t="s">
        <v>31</v>
      </c>
      <c r="O15" s="3" t="s">
        <v>293</v>
      </c>
    </row>
    <row r="16" spans="1:17">
      <c r="A16" s="3">
        <v>13</v>
      </c>
      <c r="B16" s="3" t="s">
        <v>664</v>
      </c>
      <c r="C16" s="4">
        <v>46120</v>
      </c>
      <c r="D16" s="3" t="s">
        <v>53</v>
      </c>
      <c r="E16" s="5" t="s">
        <v>657</v>
      </c>
      <c r="F16" s="5" t="s">
        <v>77</v>
      </c>
      <c r="G16" s="3" t="s">
        <v>93</v>
      </c>
      <c r="H16" s="3">
        <v>35</v>
      </c>
      <c r="I16" s="3">
        <v>11</v>
      </c>
      <c r="J16" s="6">
        <f>IFERROR(I16/H16*100,0)</f>
        <v>0</v>
      </c>
      <c r="K16" s="3">
        <v>2</v>
      </c>
      <c r="L16" s="3">
        <v>6</v>
      </c>
      <c r="M16" s="3" t="s">
        <v>17</v>
      </c>
      <c r="N16" s="3" t="s">
        <v>87</v>
      </c>
      <c r="O16" s="3" t="s">
        <v>293</v>
      </c>
    </row>
    <row r="17" spans="1:15">
      <c r="A17" s="3">
        <v>14</v>
      </c>
      <c r="B17" s="3" t="s">
        <v>665</v>
      </c>
      <c r="C17" s="4">
        <v>46117</v>
      </c>
      <c r="D17" s="3" t="s">
        <v>53</v>
      </c>
      <c r="E17" s="5" t="s">
        <v>649</v>
      </c>
      <c r="F17" s="5" t="s">
        <v>14</v>
      </c>
      <c r="G17" s="3" t="s">
        <v>68</v>
      </c>
      <c r="H17" s="3">
        <v>34</v>
      </c>
      <c r="I17" s="3">
        <v>58</v>
      </c>
      <c r="J17" s="6">
        <f>IFERROR(I17/H17*100,0)</f>
        <v>0</v>
      </c>
      <c r="K17" s="3">
        <v>15</v>
      </c>
      <c r="L17" s="3">
        <v>1</v>
      </c>
      <c r="M17" s="3" t="s">
        <v>96</v>
      </c>
      <c r="N17" s="3" t="s">
        <v>21</v>
      </c>
      <c r="O17" s="3" t="s">
        <v>293</v>
      </c>
    </row>
    <row r="18" spans="1:15">
      <c r="A18" s="3">
        <v>15</v>
      </c>
      <c r="B18" s="3" t="s">
        <v>666</v>
      </c>
      <c r="C18" s="4">
        <v>46136</v>
      </c>
      <c r="D18" s="3" t="s">
        <v>53</v>
      </c>
      <c r="E18" s="5" t="s">
        <v>659</v>
      </c>
      <c r="F18" s="5" t="s">
        <v>14</v>
      </c>
      <c r="G18" s="3" t="s">
        <v>93</v>
      </c>
      <c r="H18" s="3">
        <v>42</v>
      </c>
      <c r="I18" s="3">
        <v>57</v>
      </c>
      <c r="J18" s="6">
        <f>IFERROR(I18/H18*100,0)</f>
        <v>0</v>
      </c>
      <c r="K18" s="3">
        <v>14</v>
      </c>
      <c r="L18" s="3">
        <v>30</v>
      </c>
      <c r="M18" s="3" t="s">
        <v>96</v>
      </c>
      <c r="N18" s="3" t="s">
        <v>51</v>
      </c>
      <c r="O18" s="3" t="s">
        <v>293</v>
      </c>
    </row>
    <row r="19" spans="1:15">
      <c r="A19" s="3">
        <v>16</v>
      </c>
      <c r="B19" s="3" t="s">
        <v>667</v>
      </c>
      <c r="C19" s="4">
        <v>46132</v>
      </c>
      <c r="D19" s="3" t="s">
        <v>53</v>
      </c>
      <c r="E19" s="5" t="s">
        <v>659</v>
      </c>
      <c r="F19" s="5" t="s">
        <v>87</v>
      </c>
      <c r="G19" s="3" t="s">
        <v>78</v>
      </c>
      <c r="H19" s="3">
        <v>11</v>
      </c>
      <c r="I19" s="3">
        <v>44</v>
      </c>
      <c r="J19" s="6">
        <f>IFERROR(I19/H19*100,0)</f>
        <v>0</v>
      </c>
      <c r="K19" s="3">
        <v>29</v>
      </c>
      <c r="L19" s="3">
        <v>0</v>
      </c>
      <c r="M19" s="3" t="s">
        <v>17</v>
      </c>
      <c r="N19" s="3" t="s">
        <v>21</v>
      </c>
      <c r="O19" s="3" t="s">
        <v>254</v>
      </c>
    </row>
    <row r="20" spans="1:15">
      <c r="A20" s="3">
        <v>17</v>
      </c>
      <c r="B20" s="3" t="s">
        <v>668</v>
      </c>
      <c r="C20" s="4">
        <v>46147</v>
      </c>
      <c r="D20" s="3" t="s">
        <v>60</v>
      </c>
      <c r="E20" s="5" t="s">
        <v>651</v>
      </c>
      <c r="F20" s="5" t="s">
        <v>95</v>
      </c>
      <c r="G20" s="3" t="s">
        <v>7</v>
      </c>
      <c r="H20" s="3">
        <v>31</v>
      </c>
      <c r="I20" s="3">
        <v>25</v>
      </c>
      <c r="J20" s="6">
        <f>IFERROR(I20/H20*100,0)</f>
        <v>0</v>
      </c>
      <c r="K20" s="3">
        <v>8</v>
      </c>
      <c r="L20" s="3">
        <v>10</v>
      </c>
      <c r="M20" s="3" t="s">
        <v>17</v>
      </c>
      <c r="N20" s="3" t="s">
        <v>51</v>
      </c>
      <c r="O20" s="3" t="s">
        <v>293</v>
      </c>
    </row>
    <row r="21" spans="1:15">
      <c r="A21" s="3">
        <v>18</v>
      </c>
      <c r="B21" s="3" t="s">
        <v>669</v>
      </c>
      <c r="C21" s="4">
        <v>46168</v>
      </c>
      <c r="D21" s="3" t="s">
        <v>60</v>
      </c>
      <c r="E21" s="5" t="s">
        <v>649</v>
      </c>
      <c r="F21" s="5" t="s">
        <v>6</v>
      </c>
      <c r="G21" s="3" t="s">
        <v>28</v>
      </c>
      <c r="H21" s="3">
        <v>44</v>
      </c>
      <c r="I21" s="3">
        <v>30</v>
      </c>
      <c r="J21" s="6">
        <f>IFERROR(I21/H21*100,0)</f>
        <v>0</v>
      </c>
      <c r="K21" s="3">
        <v>18</v>
      </c>
      <c r="L21" s="3">
        <v>15</v>
      </c>
      <c r="M21" s="3" t="s">
        <v>10</v>
      </c>
      <c r="N21" s="3" t="s">
        <v>95</v>
      </c>
      <c r="O21" s="3" t="s">
        <v>297</v>
      </c>
    </row>
    <row r="22" spans="1:15">
      <c r="A22" s="3">
        <v>19</v>
      </c>
      <c r="B22" s="3" t="s">
        <v>670</v>
      </c>
      <c r="C22" s="4">
        <v>46144</v>
      </c>
      <c r="D22" s="3" t="s">
        <v>60</v>
      </c>
      <c r="E22" s="5" t="s">
        <v>649</v>
      </c>
      <c r="F22" s="5" t="s">
        <v>77</v>
      </c>
      <c r="G22" s="3" t="s">
        <v>78</v>
      </c>
      <c r="H22" s="3">
        <v>27</v>
      </c>
      <c r="I22" s="3">
        <v>45</v>
      </c>
      <c r="J22" s="6">
        <f>IFERROR(I22/H22*100,0)</f>
        <v>0</v>
      </c>
      <c r="K22" s="3">
        <v>28</v>
      </c>
      <c r="L22" s="3">
        <v>14</v>
      </c>
      <c r="M22" s="3" t="s">
        <v>42</v>
      </c>
      <c r="N22" s="3" t="s">
        <v>6</v>
      </c>
      <c r="O22" s="3" t="s">
        <v>297</v>
      </c>
    </row>
    <row r="23" spans="1:15">
      <c r="A23" s="3">
        <v>20</v>
      </c>
      <c r="B23" s="3" t="s">
        <v>671</v>
      </c>
      <c r="C23" s="4">
        <v>46158</v>
      </c>
      <c r="D23" s="3" t="s">
        <v>60</v>
      </c>
      <c r="E23" s="5" t="s">
        <v>657</v>
      </c>
      <c r="F23" s="5" t="s">
        <v>35</v>
      </c>
      <c r="G23" s="3" t="s">
        <v>22</v>
      </c>
      <c r="H23" s="3">
        <v>49</v>
      </c>
      <c r="I23" s="3">
        <v>28</v>
      </c>
      <c r="J23" s="6">
        <f>IFERROR(I23/H23*100,0)</f>
        <v>0</v>
      </c>
      <c r="K23" s="3">
        <v>4</v>
      </c>
      <c r="L23" s="3">
        <v>24</v>
      </c>
      <c r="M23" s="3" t="s">
        <v>17</v>
      </c>
      <c r="N23" s="3" t="s">
        <v>21</v>
      </c>
      <c r="O23" s="3" t="s">
        <v>293</v>
      </c>
    </row>
    <row r="24" spans="1:15">
      <c r="A24" s="3">
        <v>21</v>
      </c>
      <c r="B24" s="3" t="s">
        <v>672</v>
      </c>
      <c r="C24" s="4">
        <v>46189</v>
      </c>
      <c r="D24" s="3" t="s">
        <v>73</v>
      </c>
      <c r="E24" s="5" t="s">
        <v>654</v>
      </c>
      <c r="F24" s="5" t="s">
        <v>40</v>
      </c>
      <c r="G24" s="3" t="s">
        <v>62</v>
      </c>
      <c r="H24" s="3">
        <v>42</v>
      </c>
      <c r="I24" s="3">
        <v>33</v>
      </c>
      <c r="J24" s="6">
        <f>IFERROR(I24/H24*100,0)</f>
        <v>0</v>
      </c>
      <c r="K24" s="3">
        <v>8</v>
      </c>
      <c r="L24" s="3">
        <v>23</v>
      </c>
      <c r="M24" s="3" t="s">
        <v>96</v>
      </c>
      <c r="N24" s="3" t="s">
        <v>87</v>
      </c>
      <c r="O24" s="3" t="s">
        <v>254</v>
      </c>
    </row>
    <row r="25" spans="1:15">
      <c r="A25" s="3">
        <v>22</v>
      </c>
      <c r="B25" s="3" t="s">
        <v>673</v>
      </c>
      <c r="C25" s="4">
        <v>46179</v>
      </c>
      <c r="D25" s="3" t="s">
        <v>73</v>
      </c>
      <c r="E25" s="5" t="s">
        <v>647</v>
      </c>
      <c r="F25" s="5" t="s">
        <v>87</v>
      </c>
      <c r="G25" s="3" t="s">
        <v>78</v>
      </c>
      <c r="H25" s="3">
        <v>16</v>
      </c>
      <c r="I25" s="3">
        <v>41</v>
      </c>
      <c r="J25" s="6">
        <f>IFERROR(I25/H25*100,0)</f>
        <v>0</v>
      </c>
      <c r="K25" s="3">
        <v>21</v>
      </c>
      <c r="L25" s="3">
        <v>12</v>
      </c>
      <c r="M25" s="3" t="s">
        <v>17</v>
      </c>
      <c r="N25" s="3" t="s">
        <v>35</v>
      </c>
      <c r="O25" s="3" t="s">
        <v>293</v>
      </c>
    </row>
    <row r="26" spans="1:15">
      <c r="A26" s="3">
        <v>23</v>
      </c>
      <c r="B26" s="3" t="s">
        <v>674</v>
      </c>
      <c r="C26" s="4">
        <v>46189</v>
      </c>
      <c r="D26" s="3" t="s">
        <v>73</v>
      </c>
      <c r="E26" s="5" t="s">
        <v>651</v>
      </c>
      <c r="F26" s="5" t="s">
        <v>82</v>
      </c>
      <c r="G26" s="3" t="s">
        <v>32</v>
      </c>
      <c r="H26" s="3">
        <v>56</v>
      </c>
      <c r="I26" s="3">
        <v>16</v>
      </c>
      <c r="J26" s="6">
        <f>IFERROR(I26/H26*100,0)</f>
        <v>0</v>
      </c>
      <c r="K26" s="3">
        <v>3</v>
      </c>
      <c r="L26" s="3">
        <v>25</v>
      </c>
      <c r="M26" s="3" t="s">
        <v>17</v>
      </c>
      <c r="N26" s="3" t="s">
        <v>31</v>
      </c>
      <c r="O26" s="3" t="s">
        <v>254</v>
      </c>
    </row>
    <row r="27" spans="1:15">
      <c r="A27" s="3">
        <v>24</v>
      </c>
      <c r="B27" s="3" t="s">
        <v>675</v>
      </c>
      <c r="C27" s="4">
        <v>46183</v>
      </c>
      <c r="D27" s="3" t="s">
        <v>73</v>
      </c>
      <c r="E27" s="5" t="s">
        <v>649</v>
      </c>
      <c r="F27" s="5" t="s">
        <v>95</v>
      </c>
      <c r="G27" s="3" t="s">
        <v>7</v>
      </c>
      <c r="H27" s="3">
        <v>43</v>
      </c>
      <c r="I27" s="3">
        <v>12</v>
      </c>
      <c r="J27" s="6">
        <f>IFERROR(I27/H27*100,0)</f>
        <v>0</v>
      </c>
      <c r="K27" s="3">
        <v>22</v>
      </c>
      <c r="L27" s="3">
        <v>27</v>
      </c>
      <c r="M27" s="3" t="s">
        <v>24</v>
      </c>
      <c r="N27" s="3" t="s">
        <v>82</v>
      </c>
      <c r="O27" s="3" t="s">
        <v>293</v>
      </c>
    </row>
    <row r="28" spans="1:15">
      <c r="A28" s="3">
        <v>25</v>
      </c>
      <c r="B28" s="3" t="s">
        <v>676</v>
      </c>
      <c r="C28" s="4">
        <v>46196</v>
      </c>
      <c r="D28" s="3" t="s">
        <v>73</v>
      </c>
      <c r="E28" s="5" t="s">
        <v>651</v>
      </c>
      <c r="F28" s="5" t="s">
        <v>21</v>
      </c>
      <c r="G28" s="3" t="s">
        <v>15</v>
      </c>
      <c r="H28" s="3">
        <v>52</v>
      </c>
      <c r="I28" s="3">
        <v>16</v>
      </c>
      <c r="J28" s="6">
        <f>IFERROR(I28/H28*100,0)</f>
        <v>0</v>
      </c>
      <c r="K28" s="3">
        <v>23</v>
      </c>
      <c r="L28" s="3">
        <v>0</v>
      </c>
      <c r="M28" s="3" t="s">
        <v>24</v>
      </c>
      <c r="N28" s="3" t="s">
        <v>14</v>
      </c>
      <c r="O28" s="3" t="s">
        <v>293</v>
      </c>
    </row>
    <row r="29" spans="1:15">
      <c r="A29" s="3">
        <v>26</v>
      </c>
      <c r="B29" s="3" t="s">
        <v>677</v>
      </c>
      <c r="C29" s="4">
        <v>46182</v>
      </c>
      <c r="D29" s="3" t="s">
        <v>73</v>
      </c>
      <c r="E29" s="5" t="s">
        <v>657</v>
      </c>
      <c r="F29" s="5" t="s">
        <v>87</v>
      </c>
      <c r="G29" s="3" t="s">
        <v>104</v>
      </c>
      <c r="H29" s="3">
        <v>22</v>
      </c>
      <c r="I29" s="3">
        <v>11</v>
      </c>
      <c r="J29" s="6">
        <f>IFERROR(I29/H29*100,0)</f>
        <v>0</v>
      </c>
      <c r="K29" s="3">
        <v>23</v>
      </c>
      <c r="L29" s="3">
        <v>24</v>
      </c>
      <c r="M29" s="3" t="s">
        <v>42</v>
      </c>
      <c r="N29" s="3" t="s">
        <v>21</v>
      </c>
      <c r="O29" s="3" t="s">
        <v>297</v>
      </c>
    </row>
    <row r="30" spans="1:15">
      <c r="A30" s="3">
        <v>27</v>
      </c>
      <c r="B30" s="3" t="s">
        <v>678</v>
      </c>
      <c r="C30" s="4">
        <v>46194</v>
      </c>
      <c r="D30" s="3" t="s">
        <v>73</v>
      </c>
      <c r="E30" s="5" t="s">
        <v>651</v>
      </c>
      <c r="F30" s="5" t="s">
        <v>14</v>
      </c>
      <c r="G30" s="3" t="s">
        <v>70</v>
      </c>
      <c r="H30" s="3">
        <v>30</v>
      </c>
      <c r="I30" s="3">
        <v>45</v>
      </c>
      <c r="J30" s="6">
        <f>IFERROR(I30/H30*100,0)</f>
        <v>0</v>
      </c>
      <c r="K30" s="3">
        <v>19</v>
      </c>
      <c r="L30" s="3">
        <v>24</v>
      </c>
      <c r="M30" s="3" t="s">
        <v>42</v>
      </c>
      <c r="N30" s="3" t="s">
        <v>51</v>
      </c>
      <c r="O30" s="3" t="s">
        <v>297</v>
      </c>
    </row>
    <row r="31" spans="1:15">
      <c r="A31" s="3">
        <v>28</v>
      </c>
      <c r="B31" s="3" t="s">
        <v>679</v>
      </c>
      <c r="C31" s="4">
        <v>46226</v>
      </c>
      <c r="D31" s="3" t="s">
        <v>76</v>
      </c>
      <c r="E31" s="5" t="s">
        <v>657</v>
      </c>
      <c r="F31" s="5" t="s">
        <v>14</v>
      </c>
      <c r="G31" s="3" t="s">
        <v>22</v>
      </c>
      <c r="H31" s="3">
        <v>58</v>
      </c>
      <c r="I31" s="3">
        <v>48</v>
      </c>
      <c r="J31" s="6">
        <f>IFERROR(I31/H31*100,0)</f>
        <v>0</v>
      </c>
      <c r="K31" s="3">
        <v>21</v>
      </c>
      <c r="L31" s="3">
        <v>30</v>
      </c>
      <c r="M31" s="3" t="s">
        <v>96</v>
      </c>
      <c r="N31" s="3" t="s">
        <v>95</v>
      </c>
      <c r="O31" s="3" t="s">
        <v>293</v>
      </c>
    </row>
    <row r="32" spans="1:15">
      <c r="A32" s="3">
        <v>29</v>
      </c>
      <c r="B32" s="3" t="s">
        <v>680</v>
      </c>
      <c r="C32" s="4">
        <v>46210</v>
      </c>
      <c r="D32" s="3" t="s">
        <v>76</v>
      </c>
      <c r="E32" s="5" t="s">
        <v>651</v>
      </c>
      <c r="F32" s="5" t="s">
        <v>51</v>
      </c>
      <c r="G32" s="3" t="s">
        <v>104</v>
      </c>
      <c r="H32" s="3">
        <v>38</v>
      </c>
      <c r="I32" s="3">
        <v>55</v>
      </c>
      <c r="J32" s="6">
        <f>IFERROR(I32/H32*100,0)</f>
        <v>0</v>
      </c>
      <c r="K32" s="3">
        <v>30</v>
      </c>
      <c r="L32" s="3">
        <v>16</v>
      </c>
      <c r="M32" s="3" t="s">
        <v>17</v>
      </c>
      <c r="N32" s="3" t="s">
        <v>82</v>
      </c>
      <c r="O32" s="3" t="s">
        <v>293</v>
      </c>
    </row>
    <row r="33" spans="1:15">
      <c r="A33" s="3">
        <v>30</v>
      </c>
      <c r="B33" s="3" t="s">
        <v>681</v>
      </c>
      <c r="C33" s="4">
        <v>46218</v>
      </c>
      <c r="D33" s="3" t="s">
        <v>76</v>
      </c>
      <c r="E33" s="5" t="s">
        <v>657</v>
      </c>
      <c r="F33" s="5" t="s">
        <v>35</v>
      </c>
      <c r="G33" s="3" t="s">
        <v>68</v>
      </c>
      <c r="H33" s="3">
        <v>18</v>
      </c>
      <c r="I33" s="3">
        <v>27</v>
      </c>
      <c r="J33" s="6">
        <f>IFERROR(I33/H33*100,0)</f>
        <v>0</v>
      </c>
      <c r="K33" s="3">
        <v>22</v>
      </c>
      <c r="L33" s="3">
        <v>15</v>
      </c>
      <c r="M33" s="3" t="s">
        <v>17</v>
      </c>
      <c r="N33" s="3" t="s">
        <v>87</v>
      </c>
      <c r="O33" s="3" t="s">
        <v>293</v>
      </c>
    </row>
    <row r="34" spans="1:15">
      <c r="A34" s="3">
        <v>31</v>
      </c>
      <c r="B34" s="3" t="s">
        <v>682</v>
      </c>
      <c r="C34" s="4">
        <v>46249</v>
      </c>
      <c r="D34" s="3" t="s">
        <v>86</v>
      </c>
      <c r="E34" s="5" t="s">
        <v>649</v>
      </c>
      <c r="F34" s="5" t="s">
        <v>31</v>
      </c>
      <c r="G34" s="3" t="s">
        <v>28</v>
      </c>
      <c r="H34" s="3">
        <v>35</v>
      </c>
      <c r="I34" s="3">
        <v>56</v>
      </c>
      <c r="J34" s="6">
        <f>IFERROR(I34/H34*100,0)</f>
        <v>0</v>
      </c>
      <c r="K34" s="3">
        <v>25</v>
      </c>
      <c r="L34" s="3">
        <v>8</v>
      </c>
      <c r="M34" s="3" t="s">
        <v>10</v>
      </c>
      <c r="N34" s="3" t="s">
        <v>6</v>
      </c>
      <c r="O34" s="3" t="s">
        <v>293</v>
      </c>
    </row>
    <row r="35" spans="1:15">
      <c r="A35" s="3">
        <v>32</v>
      </c>
      <c r="B35" s="3" t="s">
        <v>683</v>
      </c>
      <c r="C35" s="4">
        <v>46254</v>
      </c>
      <c r="D35" s="3" t="s">
        <v>86</v>
      </c>
      <c r="E35" s="5" t="s">
        <v>657</v>
      </c>
      <c r="F35" s="5" t="s">
        <v>95</v>
      </c>
      <c r="G35" s="3" t="s">
        <v>93</v>
      </c>
      <c r="H35" s="3">
        <v>10</v>
      </c>
      <c r="I35" s="3">
        <v>40</v>
      </c>
      <c r="J35" s="6">
        <f>IFERROR(I35/H35*100,0)</f>
        <v>0</v>
      </c>
      <c r="K35" s="3">
        <v>14</v>
      </c>
      <c r="L35" s="3">
        <v>15</v>
      </c>
      <c r="M35" s="3" t="s">
        <v>96</v>
      </c>
      <c r="N35" s="3" t="s">
        <v>95</v>
      </c>
      <c r="O35" s="3" t="s">
        <v>293</v>
      </c>
    </row>
    <row r="36" spans="1:15">
      <c r="A36" s="3">
        <v>33</v>
      </c>
      <c r="B36" s="3" t="s">
        <v>684</v>
      </c>
      <c r="C36" s="4">
        <v>46238</v>
      </c>
      <c r="D36" s="3" t="s">
        <v>86</v>
      </c>
      <c r="E36" s="5" t="s">
        <v>651</v>
      </c>
      <c r="F36" s="5" t="s">
        <v>40</v>
      </c>
      <c r="G36" s="3" t="s">
        <v>36</v>
      </c>
      <c r="H36" s="3">
        <v>50</v>
      </c>
      <c r="I36" s="3">
        <v>26</v>
      </c>
      <c r="J36" s="6">
        <f>IFERROR(I36/H36*100,0)</f>
        <v>0</v>
      </c>
      <c r="K36" s="3">
        <v>14</v>
      </c>
      <c r="L36" s="3">
        <v>5</v>
      </c>
      <c r="M36" s="3" t="s">
        <v>96</v>
      </c>
      <c r="N36" s="3" t="s">
        <v>40</v>
      </c>
      <c r="O36" s="3" t="s">
        <v>293</v>
      </c>
    </row>
    <row r="37" spans="1:15">
      <c r="A37" s="3">
        <v>34</v>
      </c>
      <c r="B37" s="3" t="s">
        <v>685</v>
      </c>
      <c r="C37" s="4">
        <v>46247</v>
      </c>
      <c r="D37" s="3" t="s">
        <v>86</v>
      </c>
      <c r="E37" s="5" t="s">
        <v>654</v>
      </c>
      <c r="F37" s="5" t="s">
        <v>14</v>
      </c>
      <c r="G37" s="3" t="s">
        <v>104</v>
      </c>
      <c r="H37" s="3">
        <v>60</v>
      </c>
      <c r="I37" s="3">
        <v>53</v>
      </c>
      <c r="J37" s="6">
        <f>IFERROR(I37/H37*100,0)</f>
        <v>0</v>
      </c>
      <c r="K37" s="3">
        <v>29</v>
      </c>
      <c r="L37" s="3">
        <v>10</v>
      </c>
      <c r="M37" s="3" t="s">
        <v>10</v>
      </c>
      <c r="N37" s="3" t="s">
        <v>35</v>
      </c>
      <c r="O37" s="3" t="s">
        <v>254</v>
      </c>
    </row>
    <row r="38" spans="1:15">
      <c r="A38" s="3">
        <v>35</v>
      </c>
      <c r="B38" s="3" t="s">
        <v>686</v>
      </c>
      <c r="C38" s="4">
        <v>46255</v>
      </c>
      <c r="D38" s="3" t="s">
        <v>86</v>
      </c>
      <c r="E38" s="5" t="s">
        <v>651</v>
      </c>
      <c r="F38" s="5" t="s">
        <v>14</v>
      </c>
      <c r="G38" s="3" t="s">
        <v>32</v>
      </c>
      <c r="H38" s="3">
        <v>17</v>
      </c>
      <c r="I38" s="3">
        <v>17</v>
      </c>
      <c r="J38" s="6">
        <f>IFERROR(I38/H38*100,0)</f>
        <v>0</v>
      </c>
      <c r="K38" s="3">
        <v>4</v>
      </c>
      <c r="L38" s="3">
        <v>6</v>
      </c>
      <c r="M38" s="3" t="s">
        <v>17</v>
      </c>
      <c r="N38" s="3" t="s">
        <v>95</v>
      </c>
      <c r="O38" s="3" t="s">
        <v>293</v>
      </c>
    </row>
    <row r="39" spans="1:15">
      <c r="A39" s="3">
        <v>36</v>
      </c>
      <c r="B39" s="3" t="s">
        <v>687</v>
      </c>
      <c r="C39" s="4">
        <v>46288</v>
      </c>
      <c r="D39" s="3" t="s">
        <v>102</v>
      </c>
      <c r="E39" s="5" t="s">
        <v>657</v>
      </c>
      <c r="F39" s="5" t="s">
        <v>6</v>
      </c>
      <c r="G39" s="3" t="s">
        <v>66</v>
      </c>
      <c r="H39" s="3">
        <v>45</v>
      </c>
      <c r="I39" s="3">
        <v>30</v>
      </c>
      <c r="J39" s="6">
        <f>IFERROR(I39/H39*100,0)</f>
        <v>0</v>
      </c>
      <c r="K39" s="3">
        <v>27</v>
      </c>
      <c r="L39" s="3">
        <v>14</v>
      </c>
      <c r="M39" s="3" t="s">
        <v>42</v>
      </c>
      <c r="N39" s="3" t="s">
        <v>82</v>
      </c>
      <c r="O39" s="3" t="s">
        <v>293</v>
      </c>
    </row>
    <row r="40" spans="1:15">
      <c r="A40" s="3">
        <v>37</v>
      </c>
      <c r="B40" s="3" t="s">
        <v>688</v>
      </c>
      <c r="C40" s="4">
        <v>46279</v>
      </c>
      <c r="D40" s="3" t="s">
        <v>102</v>
      </c>
      <c r="E40" s="5" t="s">
        <v>657</v>
      </c>
      <c r="F40" s="5" t="s">
        <v>6</v>
      </c>
      <c r="G40" s="3" t="s">
        <v>66</v>
      </c>
      <c r="H40" s="3">
        <v>12</v>
      </c>
      <c r="I40" s="3">
        <v>29</v>
      </c>
      <c r="J40" s="6">
        <f>IFERROR(I40/H40*100,0)</f>
        <v>0</v>
      </c>
      <c r="K40" s="3">
        <v>15</v>
      </c>
      <c r="L40" s="3">
        <v>5</v>
      </c>
      <c r="M40" s="3" t="s">
        <v>24</v>
      </c>
      <c r="N40" s="3" t="s">
        <v>77</v>
      </c>
      <c r="O40" s="3" t="s">
        <v>293</v>
      </c>
    </row>
    <row r="41" spans="1:15">
      <c r="A41" s="3">
        <v>38</v>
      </c>
      <c r="B41" s="3" t="s">
        <v>689</v>
      </c>
      <c r="C41" s="4">
        <v>46290</v>
      </c>
      <c r="D41" s="3" t="s">
        <v>102</v>
      </c>
      <c r="E41" s="5" t="s">
        <v>649</v>
      </c>
      <c r="F41" s="5" t="s">
        <v>6</v>
      </c>
      <c r="G41" s="3" t="s">
        <v>7</v>
      </c>
      <c r="H41" s="3">
        <v>14</v>
      </c>
      <c r="I41" s="3">
        <v>50</v>
      </c>
      <c r="J41" s="6">
        <f>IFERROR(I41/H41*100,0)</f>
        <v>0</v>
      </c>
      <c r="K41" s="3">
        <v>26</v>
      </c>
      <c r="L41" s="3">
        <v>2</v>
      </c>
      <c r="M41" s="3" t="s">
        <v>42</v>
      </c>
      <c r="N41" s="3" t="s">
        <v>31</v>
      </c>
      <c r="O41" s="3" t="s">
        <v>238</v>
      </c>
    </row>
    <row r="42" spans="1:15">
      <c r="A42" s="3">
        <v>39</v>
      </c>
      <c r="B42" s="3" t="s">
        <v>690</v>
      </c>
      <c r="C42" s="4">
        <v>46282</v>
      </c>
      <c r="D42" s="3" t="s">
        <v>102</v>
      </c>
      <c r="E42" s="5" t="s">
        <v>654</v>
      </c>
      <c r="F42" s="5" t="s">
        <v>95</v>
      </c>
      <c r="G42" s="3" t="s">
        <v>70</v>
      </c>
      <c r="H42" s="3">
        <v>16</v>
      </c>
      <c r="I42" s="3">
        <v>33</v>
      </c>
      <c r="J42" s="6">
        <f>IFERROR(I42/H42*100,0)</f>
        <v>0</v>
      </c>
      <c r="K42" s="3">
        <v>4</v>
      </c>
      <c r="L42" s="3">
        <v>30</v>
      </c>
      <c r="M42" s="3" t="s">
        <v>96</v>
      </c>
      <c r="N42" s="3" t="s">
        <v>82</v>
      </c>
      <c r="O42" s="3" t="s">
        <v>297</v>
      </c>
    </row>
    <row r="43" spans="1:15">
      <c r="A43" s="3">
        <v>40</v>
      </c>
      <c r="B43" s="3" t="s">
        <v>691</v>
      </c>
      <c r="C43" s="4">
        <v>46287</v>
      </c>
      <c r="D43" s="3" t="s">
        <v>102</v>
      </c>
      <c r="E43" s="5" t="s">
        <v>651</v>
      </c>
      <c r="F43" s="5" t="s">
        <v>77</v>
      </c>
      <c r="G43" s="3" t="s">
        <v>7</v>
      </c>
      <c r="H43" s="3">
        <v>21</v>
      </c>
      <c r="I43" s="3">
        <v>25</v>
      </c>
      <c r="J43" s="6">
        <f>IFERROR(I43/H43*100,0)</f>
        <v>0</v>
      </c>
      <c r="K43" s="3">
        <v>23</v>
      </c>
      <c r="L43" s="3">
        <v>19</v>
      </c>
      <c r="M43" s="3" t="s">
        <v>42</v>
      </c>
      <c r="N43" s="3" t="s">
        <v>95</v>
      </c>
      <c r="O43" s="3" t="s">
        <v>293</v>
      </c>
    </row>
    <row r="44" spans="1:15">
      <c r="A44" s="3">
        <v>41</v>
      </c>
      <c r="B44" s="3" t="s">
        <v>692</v>
      </c>
      <c r="C44" s="4">
        <v>46281</v>
      </c>
      <c r="D44" s="3" t="s">
        <v>102</v>
      </c>
      <c r="E44" s="5" t="s">
        <v>649</v>
      </c>
      <c r="F44" s="5" t="s">
        <v>77</v>
      </c>
      <c r="G44" s="3" t="s">
        <v>41</v>
      </c>
      <c r="H44" s="3">
        <v>43</v>
      </c>
      <c r="I44" s="3">
        <v>33</v>
      </c>
      <c r="J44" s="6">
        <f>IFERROR(I44/H44*100,0)</f>
        <v>0</v>
      </c>
      <c r="K44" s="3">
        <v>22</v>
      </c>
      <c r="L44" s="3">
        <v>13</v>
      </c>
      <c r="M44" s="3" t="s">
        <v>10</v>
      </c>
      <c r="N44" s="3" t="s">
        <v>31</v>
      </c>
      <c r="O44" s="3" t="s">
        <v>293</v>
      </c>
    </row>
    <row r="45" spans="1:15">
      <c r="A45" s="3">
        <v>42</v>
      </c>
      <c r="B45" s="3" t="s">
        <v>693</v>
      </c>
      <c r="C45" s="4">
        <v>46267</v>
      </c>
      <c r="D45" s="3" t="s">
        <v>102</v>
      </c>
      <c r="E45" s="5" t="s">
        <v>649</v>
      </c>
      <c r="F45" s="5" t="s">
        <v>95</v>
      </c>
      <c r="G45" s="3" t="s">
        <v>7</v>
      </c>
      <c r="H45" s="3">
        <v>45</v>
      </c>
      <c r="I45" s="3">
        <v>60</v>
      </c>
      <c r="J45" s="6">
        <f>IFERROR(I45/H45*100,0)</f>
        <v>0</v>
      </c>
      <c r="K45" s="3">
        <v>24</v>
      </c>
      <c r="L45" s="3">
        <v>7</v>
      </c>
      <c r="M45" s="3" t="s">
        <v>10</v>
      </c>
      <c r="N45" s="3" t="s">
        <v>77</v>
      </c>
      <c r="O45" s="3" t="s">
        <v>293</v>
      </c>
    </row>
    <row r="46" spans="1:15">
      <c r="A46" s="3">
        <v>43</v>
      </c>
      <c r="B46" s="3" t="s">
        <v>694</v>
      </c>
      <c r="C46" s="4">
        <v>46317</v>
      </c>
      <c r="D46" s="3" t="s">
        <v>106</v>
      </c>
      <c r="E46" s="5" t="s">
        <v>649</v>
      </c>
      <c r="F46" s="5" t="s">
        <v>87</v>
      </c>
      <c r="G46" s="3" t="s">
        <v>15</v>
      </c>
      <c r="H46" s="3">
        <v>49</v>
      </c>
      <c r="I46" s="3">
        <v>28</v>
      </c>
      <c r="J46" s="6">
        <f>IFERROR(I46/H46*100,0)</f>
        <v>0</v>
      </c>
      <c r="K46" s="3">
        <v>29</v>
      </c>
      <c r="L46" s="3">
        <v>27</v>
      </c>
      <c r="M46" s="3" t="s">
        <v>24</v>
      </c>
      <c r="N46" s="3" t="s">
        <v>95</v>
      </c>
      <c r="O46" s="3" t="s">
        <v>254</v>
      </c>
    </row>
    <row r="47" spans="1:15">
      <c r="A47" s="3">
        <v>44</v>
      </c>
      <c r="B47" s="3" t="s">
        <v>695</v>
      </c>
      <c r="C47" s="4">
        <v>46296</v>
      </c>
      <c r="D47" s="3" t="s">
        <v>106</v>
      </c>
      <c r="E47" s="5" t="s">
        <v>654</v>
      </c>
      <c r="F47" s="5" t="s">
        <v>14</v>
      </c>
      <c r="G47" s="3" t="s">
        <v>66</v>
      </c>
      <c r="H47" s="3">
        <v>30</v>
      </c>
      <c r="I47" s="3">
        <v>37</v>
      </c>
      <c r="J47" s="6">
        <f>IFERROR(I47/H47*100,0)</f>
        <v>0</v>
      </c>
      <c r="K47" s="3">
        <v>10</v>
      </c>
      <c r="L47" s="3">
        <v>14</v>
      </c>
      <c r="M47" s="3" t="s">
        <v>10</v>
      </c>
      <c r="N47" s="3" t="s">
        <v>6</v>
      </c>
      <c r="O47" s="3" t="s">
        <v>293</v>
      </c>
    </row>
    <row r="48" spans="1:15">
      <c r="A48" s="3">
        <v>45</v>
      </c>
      <c r="B48" s="3" t="s">
        <v>696</v>
      </c>
      <c r="C48" s="4">
        <v>46306</v>
      </c>
      <c r="D48" s="3" t="s">
        <v>106</v>
      </c>
      <c r="E48" s="5" t="s">
        <v>659</v>
      </c>
      <c r="F48" s="5" t="s">
        <v>77</v>
      </c>
      <c r="G48" s="3" t="s">
        <v>32</v>
      </c>
      <c r="H48" s="3">
        <v>55</v>
      </c>
      <c r="I48" s="3">
        <v>31</v>
      </c>
      <c r="J48" s="6">
        <f>IFERROR(I48/H48*100,0)</f>
        <v>0</v>
      </c>
      <c r="K48" s="3">
        <v>6</v>
      </c>
      <c r="L48" s="3">
        <v>29</v>
      </c>
      <c r="M48" s="3" t="s">
        <v>96</v>
      </c>
      <c r="N48" s="3" t="s">
        <v>80</v>
      </c>
      <c r="O48" s="3" t="s">
        <v>293</v>
      </c>
    </row>
    <row r="49" spans="1:15">
      <c r="A49" s="3">
        <v>46</v>
      </c>
      <c r="B49" s="3" t="s">
        <v>697</v>
      </c>
      <c r="C49" s="4">
        <v>46345</v>
      </c>
      <c r="D49" s="3" t="s">
        <v>111</v>
      </c>
      <c r="E49" s="5" t="s">
        <v>657</v>
      </c>
      <c r="F49" s="5" t="s">
        <v>31</v>
      </c>
      <c r="G49" s="3" t="s">
        <v>32</v>
      </c>
      <c r="H49" s="3">
        <v>58</v>
      </c>
      <c r="I49" s="3">
        <v>43</v>
      </c>
      <c r="J49" s="6">
        <f>IFERROR(I49/H49*100,0)</f>
        <v>0</v>
      </c>
      <c r="K49" s="3">
        <v>4</v>
      </c>
      <c r="L49" s="3">
        <v>15</v>
      </c>
      <c r="M49" s="3" t="s">
        <v>17</v>
      </c>
      <c r="N49" s="3" t="s">
        <v>6</v>
      </c>
      <c r="O49" s="3" t="s">
        <v>293</v>
      </c>
    </row>
    <row r="50" spans="1:15">
      <c r="A50" s="3">
        <v>47</v>
      </c>
      <c r="B50" s="3" t="s">
        <v>698</v>
      </c>
      <c r="C50" s="4">
        <v>46350</v>
      </c>
      <c r="D50" s="3" t="s">
        <v>111</v>
      </c>
      <c r="E50" s="5" t="s">
        <v>654</v>
      </c>
      <c r="F50" s="5" t="s">
        <v>14</v>
      </c>
      <c r="G50" s="3" t="s">
        <v>41</v>
      </c>
      <c r="H50" s="3">
        <v>29</v>
      </c>
      <c r="I50" s="3">
        <v>58</v>
      </c>
      <c r="J50" s="6">
        <f>IFERROR(I50/H50*100,0)</f>
        <v>0</v>
      </c>
      <c r="K50" s="3">
        <v>3</v>
      </c>
      <c r="L50" s="3">
        <v>9</v>
      </c>
      <c r="M50" s="3" t="s">
        <v>24</v>
      </c>
      <c r="N50" s="3" t="s">
        <v>31</v>
      </c>
      <c r="O50" s="3" t="s">
        <v>293</v>
      </c>
    </row>
    <row r="51" spans="1:15">
      <c r="A51" s="3">
        <v>48</v>
      </c>
      <c r="B51" s="3" t="s">
        <v>699</v>
      </c>
      <c r="C51" s="4">
        <v>46367</v>
      </c>
      <c r="D51" s="3" t="s">
        <v>122</v>
      </c>
      <c r="E51" s="5" t="s">
        <v>659</v>
      </c>
      <c r="F51" s="5" t="s">
        <v>82</v>
      </c>
      <c r="G51" s="3" t="s">
        <v>70</v>
      </c>
      <c r="H51" s="3">
        <v>59</v>
      </c>
      <c r="I51" s="3">
        <v>45</v>
      </c>
      <c r="J51" s="6">
        <f>IFERROR(I51/H51*100,0)</f>
        <v>0</v>
      </c>
      <c r="K51" s="3">
        <v>1</v>
      </c>
      <c r="L51" s="3">
        <v>12</v>
      </c>
      <c r="M51" s="3" t="s">
        <v>24</v>
      </c>
      <c r="N51" s="3" t="s">
        <v>6</v>
      </c>
      <c r="O51" s="3" t="s">
        <v>293</v>
      </c>
    </row>
  </sheetData>
  <mergeCells count="2">
    <mergeCell ref="A1:O1"/>
    <mergeCell ref="A2:O2"/>
  </mergeCells>
  <dataValidations count="2">
    <dataValidation type="list" allowBlank="1" showInputMessage="1" showErrorMessage="1" sqref="F4:F5003">
      <formula1>L_Loc</formula1>
    </dataValidation>
    <dataValidation type="list" allowBlank="1" showInputMessage="1" showErrorMessage="1" sqref="O4:O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13.7109375" customWidth="1"/>
    <col min="6" max="7" width="12.7109375" customWidth="1"/>
    <col min="8" max="8" width="10.7109375" customWidth="1"/>
    <col min="9" max="9" width="14.7109375" customWidth="1"/>
    <col min="10" max="10" width="13.7109375" customWidth="1"/>
    <col min="11" max="11" width="17.7109375" customWidth="1"/>
    <col min="12" max="13" width="10.7109375" customWidth="1"/>
    <col min="14" max="14" width="14.7109375" customWidth="1"/>
    <col min="15" max="15" width="17.7109375" customWidth="1"/>
    <col min="16" max="16" width="9.7109375" customWidth="1"/>
  </cols>
  <sheetData>
    <row r="1" spans="1:18" ht="22" customHeight="1">
      <c r="A1" s="1" t="s">
        <v>709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764</v>
      </c>
      <c r="C3" t="s">
        <v>126</v>
      </c>
      <c r="D3" t="s">
        <v>127</v>
      </c>
      <c r="E3" t="s">
        <v>765</v>
      </c>
      <c r="F3" t="s">
        <v>766</v>
      </c>
      <c r="G3" t="s">
        <v>129</v>
      </c>
      <c r="H3" t="s">
        <v>130</v>
      </c>
      <c r="I3" t="s">
        <v>767</v>
      </c>
      <c r="J3" t="s">
        <v>209</v>
      </c>
      <c r="K3" t="s">
        <v>768</v>
      </c>
      <c r="L3" t="s">
        <v>769</v>
      </c>
      <c r="M3" t="s">
        <v>770</v>
      </c>
      <c r="N3" t="s">
        <v>771</v>
      </c>
      <c r="O3" t="s">
        <v>772</v>
      </c>
      <c r="P3" t="s">
        <v>287</v>
      </c>
    </row>
    <row r="4" spans="1:18">
      <c r="A4" s="3">
        <v>1</v>
      </c>
      <c r="B4" s="3" t="s">
        <v>710</v>
      </c>
      <c r="C4" s="4">
        <v>46031</v>
      </c>
      <c r="D4" s="3" t="s">
        <v>3</v>
      </c>
      <c r="E4" s="5" t="s">
        <v>45</v>
      </c>
      <c r="F4" s="5" t="s">
        <v>711</v>
      </c>
      <c r="G4" s="3" t="s">
        <v>39</v>
      </c>
      <c r="H4" s="3" t="s">
        <v>87</v>
      </c>
      <c r="I4" s="3" t="s">
        <v>41</v>
      </c>
      <c r="J4" s="3" t="s">
        <v>22</v>
      </c>
      <c r="K4" s="3" t="s">
        <v>49</v>
      </c>
      <c r="L4" s="3">
        <v>7</v>
      </c>
      <c r="M4" s="3">
        <v>1</v>
      </c>
      <c r="N4" s="3">
        <v>7</v>
      </c>
      <c r="O4" s="3">
        <v>4</v>
      </c>
      <c r="P4" s="3" t="s">
        <v>238</v>
      </c>
    </row>
    <row r="5" spans="1:18">
      <c r="A5" s="3">
        <v>2</v>
      </c>
      <c r="B5" s="3" t="s">
        <v>712</v>
      </c>
      <c r="C5" s="4">
        <v>46042</v>
      </c>
      <c r="D5" s="3" t="s">
        <v>3</v>
      </c>
      <c r="E5" s="5" t="s">
        <v>4</v>
      </c>
      <c r="F5" s="5" t="s">
        <v>713</v>
      </c>
      <c r="G5" s="3" t="s">
        <v>46</v>
      </c>
      <c r="H5" s="3" t="s">
        <v>35</v>
      </c>
      <c r="I5" s="3" t="s">
        <v>22</v>
      </c>
      <c r="J5" s="3" t="s">
        <v>7</v>
      </c>
      <c r="K5" s="3" t="s">
        <v>38</v>
      </c>
      <c r="L5" s="3">
        <v>2</v>
      </c>
      <c r="M5" s="3">
        <v>1</v>
      </c>
      <c r="N5" s="3">
        <v>6</v>
      </c>
      <c r="O5" s="3">
        <v>5</v>
      </c>
      <c r="P5" s="3" t="s">
        <v>293</v>
      </c>
    </row>
    <row r="6" spans="1:18">
      <c r="A6" s="3">
        <v>3</v>
      </c>
      <c r="B6" s="3" t="s">
        <v>714</v>
      </c>
      <c r="C6" s="4">
        <v>46026</v>
      </c>
      <c r="D6" s="3" t="s">
        <v>3</v>
      </c>
      <c r="E6" s="5" t="s">
        <v>26</v>
      </c>
      <c r="F6" s="5" t="s">
        <v>715</v>
      </c>
      <c r="G6" s="3" t="s">
        <v>92</v>
      </c>
      <c r="H6" s="3" t="s">
        <v>21</v>
      </c>
      <c r="I6" s="3" t="s">
        <v>7</v>
      </c>
      <c r="J6" s="3" t="s">
        <v>32</v>
      </c>
      <c r="K6" s="3" t="s">
        <v>16</v>
      </c>
      <c r="L6" s="3">
        <v>3</v>
      </c>
      <c r="M6" s="3">
        <v>1</v>
      </c>
      <c r="N6" s="3">
        <v>7</v>
      </c>
      <c r="O6" s="3">
        <v>3</v>
      </c>
      <c r="P6" s="3" t="s">
        <v>293</v>
      </c>
    </row>
    <row r="7" spans="1:18">
      <c r="A7" s="3">
        <v>4</v>
      </c>
      <c r="B7" s="3" t="s">
        <v>716</v>
      </c>
      <c r="C7" s="4">
        <v>46037</v>
      </c>
      <c r="D7" s="3" t="s">
        <v>3</v>
      </c>
      <c r="E7" s="5" t="s">
        <v>57</v>
      </c>
      <c r="F7" s="5" t="s">
        <v>717</v>
      </c>
      <c r="G7" s="3" t="s">
        <v>27</v>
      </c>
      <c r="H7" s="3" t="s">
        <v>6</v>
      </c>
      <c r="I7" s="3" t="s">
        <v>70</v>
      </c>
      <c r="J7" s="3" t="s">
        <v>68</v>
      </c>
      <c r="K7" s="3" t="s">
        <v>38</v>
      </c>
      <c r="L7" s="3">
        <v>4</v>
      </c>
      <c r="M7" s="3">
        <v>8</v>
      </c>
      <c r="N7" s="3">
        <v>0</v>
      </c>
      <c r="O7" s="3">
        <v>8</v>
      </c>
      <c r="P7" s="3" t="s">
        <v>293</v>
      </c>
    </row>
    <row r="8" spans="1:18">
      <c r="A8" s="3">
        <v>5</v>
      </c>
      <c r="B8" s="3" t="s">
        <v>718</v>
      </c>
      <c r="C8" s="4">
        <v>46047</v>
      </c>
      <c r="D8" s="3" t="s">
        <v>3</v>
      </c>
      <c r="E8" s="5" t="s">
        <v>30</v>
      </c>
      <c r="F8" s="5" t="s">
        <v>717</v>
      </c>
      <c r="G8" s="3" t="s">
        <v>13</v>
      </c>
      <c r="H8" s="3" t="s">
        <v>80</v>
      </c>
      <c r="I8" s="3" t="s">
        <v>22</v>
      </c>
      <c r="J8" s="3" t="s">
        <v>7</v>
      </c>
      <c r="K8" s="3" t="s">
        <v>57</v>
      </c>
      <c r="L8" s="3">
        <v>8</v>
      </c>
      <c r="M8" s="3">
        <v>5</v>
      </c>
      <c r="N8" s="3">
        <v>0</v>
      </c>
      <c r="O8" s="3">
        <v>1</v>
      </c>
      <c r="P8" s="3" t="s">
        <v>293</v>
      </c>
    </row>
    <row r="9" spans="1:18">
      <c r="A9" s="3">
        <v>6</v>
      </c>
      <c r="B9" s="3" t="s">
        <v>719</v>
      </c>
      <c r="C9" s="4">
        <v>46067</v>
      </c>
      <c r="D9" s="3" t="s">
        <v>19</v>
      </c>
      <c r="E9" s="5" t="s">
        <v>61</v>
      </c>
      <c r="F9" s="5" t="s">
        <v>711</v>
      </c>
      <c r="G9" s="3" t="s">
        <v>5</v>
      </c>
      <c r="H9" s="3" t="s">
        <v>82</v>
      </c>
      <c r="I9" s="3" t="s">
        <v>41</v>
      </c>
      <c r="J9" s="3" t="s">
        <v>36</v>
      </c>
      <c r="K9" s="3" t="s">
        <v>91</v>
      </c>
      <c r="L9" s="3">
        <v>5</v>
      </c>
      <c r="M9" s="3">
        <v>0</v>
      </c>
      <c r="N9" s="3">
        <v>2</v>
      </c>
      <c r="O9" s="3">
        <v>5</v>
      </c>
      <c r="P9" s="3" t="s">
        <v>293</v>
      </c>
    </row>
    <row r="10" spans="1:18">
      <c r="A10" s="3">
        <v>7</v>
      </c>
      <c r="B10" s="3" t="s">
        <v>720</v>
      </c>
      <c r="C10" s="4">
        <v>46075</v>
      </c>
      <c r="D10" s="3" t="s">
        <v>19</v>
      </c>
      <c r="E10" s="5" t="s">
        <v>91</v>
      </c>
      <c r="F10" s="5" t="s">
        <v>711</v>
      </c>
      <c r="G10" s="3" t="s">
        <v>89</v>
      </c>
      <c r="H10" s="3" t="s">
        <v>40</v>
      </c>
      <c r="I10" s="3" t="s">
        <v>104</v>
      </c>
      <c r="J10" s="3" t="s">
        <v>78</v>
      </c>
      <c r="K10" s="3" t="s">
        <v>49</v>
      </c>
      <c r="L10" s="3">
        <v>7</v>
      </c>
      <c r="M10" s="3">
        <v>7</v>
      </c>
      <c r="N10" s="3">
        <v>0</v>
      </c>
      <c r="O10" s="3">
        <v>0</v>
      </c>
      <c r="P10" s="3" t="s">
        <v>254</v>
      </c>
    </row>
    <row r="11" spans="1:18">
      <c r="A11" s="3">
        <v>8</v>
      </c>
      <c r="B11" s="3" t="s">
        <v>721</v>
      </c>
      <c r="C11" s="4">
        <v>46068</v>
      </c>
      <c r="D11" s="3" t="s">
        <v>19</v>
      </c>
      <c r="E11" s="5" t="s">
        <v>61</v>
      </c>
      <c r="F11" s="5" t="s">
        <v>722</v>
      </c>
      <c r="G11" s="3" t="s">
        <v>39</v>
      </c>
      <c r="H11" s="3" t="s">
        <v>77</v>
      </c>
      <c r="I11" s="3" t="s">
        <v>28</v>
      </c>
      <c r="J11" s="3" t="s">
        <v>62</v>
      </c>
      <c r="K11" s="3" t="s">
        <v>45</v>
      </c>
      <c r="L11" s="3">
        <v>7</v>
      </c>
      <c r="M11" s="3">
        <v>5</v>
      </c>
      <c r="N11" s="3">
        <v>5</v>
      </c>
      <c r="O11" s="3">
        <v>8</v>
      </c>
      <c r="P11" s="3" t="s">
        <v>238</v>
      </c>
    </row>
    <row r="12" spans="1:18">
      <c r="A12" s="3">
        <v>9</v>
      </c>
      <c r="B12" s="3" t="s">
        <v>723</v>
      </c>
      <c r="C12" s="4">
        <v>46080</v>
      </c>
      <c r="D12" s="3" t="s">
        <v>19</v>
      </c>
      <c r="E12" s="5" t="s">
        <v>26</v>
      </c>
      <c r="F12" s="5" t="s">
        <v>717</v>
      </c>
      <c r="G12" s="3" t="s">
        <v>27</v>
      </c>
      <c r="H12" s="3" t="s">
        <v>14</v>
      </c>
      <c r="I12" s="3" t="s">
        <v>28</v>
      </c>
      <c r="J12" s="3" t="s">
        <v>93</v>
      </c>
      <c r="K12" s="3" t="s">
        <v>20</v>
      </c>
      <c r="L12" s="3">
        <v>0</v>
      </c>
      <c r="M12" s="3">
        <v>4</v>
      </c>
      <c r="N12" s="3">
        <v>3</v>
      </c>
      <c r="O12" s="3">
        <v>3</v>
      </c>
      <c r="P12" s="3" t="s">
        <v>254</v>
      </c>
    </row>
    <row r="13" spans="1:18">
      <c r="A13" s="3">
        <v>10</v>
      </c>
      <c r="B13" s="3" t="s">
        <v>724</v>
      </c>
      <c r="C13" s="4">
        <v>46104</v>
      </c>
      <c r="D13" s="3" t="s">
        <v>44</v>
      </c>
      <c r="E13" s="5" t="s">
        <v>49</v>
      </c>
      <c r="F13" s="5" t="s">
        <v>717</v>
      </c>
      <c r="G13" s="3" t="s">
        <v>5</v>
      </c>
      <c r="H13" s="3" t="s">
        <v>31</v>
      </c>
      <c r="I13" s="3" t="s">
        <v>28</v>
      </c>
      <c r="J13" s="3" t="s">
        <v>104</v>
      </c>
      <c r="K13" s="3" t="s">
        <v>49</v>
      </c>
      <c r="L13" s="3">
        <v>1</v>
      </c>
      <c r="M13" s="3">
        <v>4</v>
      </c>
      <c r="N13" s="3">
        <v>7</v>
      </c>
      <c r="O13" s="3">
        <v>5</v>
      </c>
      <c r="P13" s="3" t="s">
        <v>254</v>
      </c>
    </row>
    <row r="14" spans="1:18">
      <c r="A14" s="3">
        <v>11</v>
      </c>
      <c r="B14" s="3" t="s">
        <v>725</v>
      </c>
      <c r="C14" s="4">
        <v>46092</v>
      </c>
      <c r="D14" s="3" t="s">
        <v>44</v>
      </c>
      <c r="E14" s="5" t="s">
        <v>26</v>
      </c>
      <c r="F14" s="5" t="s">
        <v>713</v>
      </c>
      <c r="G14" s="3" t="s">
        <v>50</v>
      </c>
      <c r="H14" s="3" t="s">
        <v>31</v>
      </c>
      <c r="I14" s="3" t="s">
        <v>36</v>
      </c>
      <c r="J14" s="3" t="s">
        <v>7</v>
      </c>
      <c r="K14" s="3" t="s">
        <v>64</v>
      </c>
      <c r="L14" s="3">
        <v>5</v>
      </c>
      <c r="M14" s="3">
        <v>5</v>
      </c>
      <c r="N14" s="3">
        <v>4</v>
      </c>
      <c r="O14" s="3">
        <v>7</v>
      </c>
      <c r="P14" s="3" t="s">
        <v>254</v>
      </c>
    </row>
    <row r="15" spans="1:18">
      <c r="A15" s="3">
        <v>12</v>
      </c>
      <c r="B15" s="3" t="s">
        <v>726</v>
      </c>
      <c r="C15" s="4">
        <v>46087</v>
      </c>
      <c r="D15" s="3" t="s">
        <v>44</v>
      </c>
      <c r="E15" s="5" t="s">
        <v>91</v>
      </c>
      <c r="F15" s="5" t="s">
        <v>717</v>
      </c>
      <c r="G15" s="3" t="s">
        <v>92</v>
      </c>
      <c r="H15" s="3" t="s">
        <v>21</v>
      </c>
      <c r="I15" s="3" t="s">
        <v>15</v>
      </c>
      <c r="J15" s="3" t="s">
        <v>15</v>
      </c>
      <c r="K15" s="3" t="s">
        <v>61</v>
      </c>
      <c r="L15" s="3">
        <v>7</v>
      </c>
      <c r="M15" s="3">
        <v>8</v>
      </c>
      <c r="N15" s="3">
        <v>0</v>
      </c>
      <c r="O15" s="3">
        <v>5</v>
      </c>
      <c r="P15" s="3" t="s">
        <v>293</v>
      </c>
    </row>
    <row r="16" spans="1:18">
      <c r="A16" s="3">
        <v>13</v>
      </c>
      <c r="B16" s="3" t="s">
        <v>727</v>
      </c>
      <c r="C16" s="4">
        <v>46086</v>
      </c>
      <c r="D16" s="3" t="s">
        <v>44</v>
      </c>
      <c r="E16" s="5" t="s">
        <v>49</v>
      </c>
      <c r="F16" s="5" t="s">
        <v>713</v>
      </c>
      <c r="G16" s="3" t="s">
        <v>5</v>
      </c>
      <c r="H16" s="3" t="s">
        <v>21</v>
      </c>
      <c r="I16" s="3" t="s">
        <v>78</v>
      </c>
      <c r="J16" s="3" t="s">
        <v>22</v>
      </c>
      <c r="K16" s="3" t="s">
        <v>12</v>
      </c>
      <c r="L16" s="3">
        <v>3</v>
      </c>
      <c r="M16" s="3">
        <v>6</v>
      </c>
      <c r="N16" s="3">
        <v>5</v>
      </c>
      <c r="O16" s="3">
        <v>4</v>
      </c>
      <c r="P16" s="3" t="s">
        <v>293</v>
      </c>
    </row>
    <row r="17" spans="1:16">
      <c r="A17" s="3">
        <v>14</v>
      </c>
      <c r="B17" s="3" t="s">
        <v>728</v>
      </c>
      <c r="C17" s="4">
        <v>46087</v>
      </c>
      <c r="D17" s="3" t="s">
        <v>44</v>
      </c>
      <c r="E17" s="5" t="s">
        <v>4</v>
      </c>
      <c r="F17" s="5" t="s">
        <v>722</v>
      </c>
      <c r="G17" s="3" t="s">
        <v>92</v>
      </c>
      <c r="H17" s="3" t="s">
        <v>51</v>
      </c>
      <c r="I17" s="3" t="s">
        <v>32</v>
      </c>
      <c r="J17" s="3" t="s">
        <v>78</v>
      </c>
      <c r="K17" s="3" t="s">
        <v>12</v>
      </c>
      <c r="L17" s="3">
        <v>1</v>
      </c>
      <c r="M17" s="3">
        <v>1</v>
      </c>
      <c r="N17" s="3">
        <v>8</v>
      </c>
      <c r="O17" s="3">
        <v>5</v>
      </c>
      <c r="P17" s="3" t="s">
        <v>238</v>
      </c>
    </row>
    <row r="18" spans="1:16">
      <c r="A18" s="3">
        <v>15</v>
      </c>
      <c r="B18" s="3" t="s">
        <v>729</v>
      </c>
      <c r="C18" s="4">
        <v>46122</v>
      </c>
      <c r="D18" s="3" t="s">
        <v>53</v>
      </c>
      <c r="E18" s="5" t="s">
        <v>20</v>
      </c>
      <c r="F18" s="5" t="s">
        <v>717</v>
      </c>
      <c r="G18" s="3" t="s">
        <v>13</v>
      </c>
      <c r="H18" s="3" t="s">
        <v>77</v>
      </c>
      <c r="I18" s="3" t="s">
        <v>15</v>
      </c>
      <c r="J18" s="3" t="s">
        <v>15</v>
      </c>
      <c r="K18" s="3" t="s">
        <v>91</v>
      </c>
      <c r="L18" s="3">
        <v>8</v>
      </c>
      <c r="M18" s="3">
        <v>5</v>
      </c>
      <c r="N18" s="3">
        <v>6</v>
      </c>
      <c r="O18" s="3">
        <v>2</v>
      </c>
      <c r="P18" s="3" t="s">
        <v>293</v>
      </c>
    </row>
    <row r="19" spans="1:16">
      <c r="A19" s="3">
        <v>16</v>
      </c>
      <c r="B19" s="3" t="s">
        <v>730</v>
      </c>
      <c r="C19" s="4">
        <v>46133</v>
      </c>
      <c r="D19" s="3" t="s">
        <v>53</v>
      </c>
      <c r="E19" s="5" t="s">
        <v>16</v>
      </c>
      <c r="F19" s="5" t="s">
        <v>715</v>
      </c>
      <c r="G19" s="3" t="s">
        <v>92</v>
      </c>
      <c r="H19" s="3" t="s">
        <v>31</v>
      </c>
      <c r="I19" s="3" t="s">
        <v>93</v>
      </c>
      <c r="J19" s="3" t="s">
        <v>78</v>
      </c>
      <c r="K19" s="3" t="s">
        <v>64</v>
      </c>
      <c r="L19" s="3">
        <v>8</v>
      </c>
      <c r="M19" s="3">
        <v>1</v>
      </c>
      <c r="N19" s="3">
        <v>3</v>
      </c>
      <c r="O19" s="3">
        <v>8</v>
      </c>
      <c r="P19" s="3" t="s">
        <v>293</v>
      </c>
    </row>
    <row r="20" spans="1:16">
      <c r="A20" s="3">
        <v>17</v>
      </c>
      <c r="B20" s="3" t="s">
        <v>731</v>
      </c>
      <c r="C20" s="4">
        <v>46120</v>
      </c>
      <c r="D20" s="3" t="s">
        <v>53</v>
      </c>
      <c r="E20" s="5" t="s">
        <v>12</v>
      </c>
      <c r="F20" s="5" t="s">
        <v>711</v>
      </c>
      <c r="G20" s="3" t="s">
        <v>5</v>
      </c>
      <c r="H20" s="3" t="s">
        <v>6</v>
      </c>
      <c r="I20" s="3" t="s">
        <v>68</v>
      </c>
      <c r="J20" s="3" t="s">
        <v>32</v>
      </c>
      <c r="K20" s="3" t="s">
        <v>38</v>
      </c>
      <c r="L20" s="3">
        <v>3</v>
      </c>
      <c r="M20" s="3">
        <v>5</v>
      </c>
      <c r="N20" s="3">
        <v>1</v>
      </c>
      <c r="O20" s="3">
        <v>0</v>
      </c>
      <c r="P20" s="3" t="s">
        <v>293</v>
      </c>
    </row>
    <row r="21" spans="1:16">
      <c r="A21" s="3">
        <v>18</v>
      </c>
      <c r="B21" s="3" t="s">
        <v>732</v>
      </c>
      <c r="C21" s="4">
        <v>46137</v>
      </c>
      <c r="D21" s="3" t="s">
        <v>53</v>
      </c>
      <c r="E21" s="5" t="s">
        <v>57</v>
      </c>
      <c r="F21" s="5" t="s">
        <v>717</v>
      </c>
      <c r="G21" s="3" t="s">
        <v>58</v>
      </c>
      <c r="H21" s="3" t="s">
        <v>95</v>
      </c>
      <c r="I21" s="3" t="s">
        <v>15</v>
      </c>
      <c r="J21" s="3" t="s">
        <v>104</v>
      </c>
      <c r="K21" s="3" t="s">
        <v>54</v>
      </c>
      <c r="L21" s="3">
        <v>5</v>
      </c>
      <c r="M21" s="3">
        <v>4</v>
      </c>
      <c r="N21" s="3">
        <v>0</v>
      </c>
      <c r="O21" s="3">
        <v>6</v>
      </c>
      <c r="P21" s="3" t="s">
        <v>297</v>
      </c>
    </row>
    <row r="22" spans="1:16">
      <c r="A22" s="3">
        <v>19</v>
      </c>
      <c r="B22" s="3" t="s">
        <v>733</v>
      </c>
      <c r="C22" s="4">
        <v>46122</v>
      </c>
      <c r="D22" s="3" t="s">
        <v>53</v>
      </c>
      <c r="E22" s="5" t="s">
        <v>30</v>
      </c>
      <c r="F22" s="5" t="s">
        <v>717</v>
      </c>
      <c r="G22" s="3" t="s">
        <v>39</v>
      </c>
      <c r="H22" s="3" t="s">
        <v>95</v>
      </c>
      <c r="I22" s="3" t="s">
        <v>78</v>
      </c>
      <c r="J22" s="3" t="s">
        <v>93</v>
      </c>
      <c r="K22" s="3" t="s">
        <v>26</v>
      </c>
      <c r="L22" s="3">
        <v>3</v>
      </c>
      <c r="M22" s="3">
        <v>0</v>
      </c>
      <c r="N22" s="3">
        <v>1</v>
      </c>
      <c r="O22" s="3">
        <v>0</v>
      </c>
      <c r="P22" s="3" t="s">
        <v>293</v>
      </c>
    </row>
    <row r="23" spans="1:16">
      <c r="A23" s="3">
        <v>20</v>
      </c>
      <c r="B23" s="3" t="s">
        <v>734</v>
      </c>
      <c r="C23" s="4">
        <v>46163</v>
      </c>
      <c r="D23" s="3" t="s">
        <v>60</v>
      </c>
      <c r="E23" s="5" t="s">
        <v>16</v>
      </c>
      <c r="F23" s="5" t="s">
        <v>713</v>
      </c>
      <c r="G23" s="3" t="s">
        <v>58</v>
      </c>
      <c r="H23" s="3" t="s">
        <v>31</v>
      </c>
      <c r="I23" s="3" t="s">
        <v>36</v>
      </c>
      <c r="J23" s="3" t="s">
        <v>7</v>
      </c>
      <c r="K23" s="3" t="s">
        <v>30</v>
      </c>
      <c r="L23" s="3">
        <v>7</v>
      </c>
      <c r="M23" s="3">
        <v>2</v>
      </c>
      <c r="N23" s="3">
        <v>1</v>
      </c>
      <c r="O23" s="3">
        <v>1</v>
      </c>
      <c r="P23" s="3" t="s">
        <v>297</v>
      </c>
    </row>
    <row r="24" spans="1:16">
      <c r="A24" s="3">
        <v>21</v>
      </c>
      <c r="B24" s="3" t="s">
        <v>735</v>
      </c>
      <c r="C24" s="4">
        <v>46168</v>
      </c>
      <c r="D24" s="3" t="s">
        <v>60</v>
      </c>
      <c r="E24" s="5" t="s">
        <v>57</v>
      </c>
      <c r="F24" s="5" t="s">
        <v>713</v>
      </c>
      <c r="G24" s="3" t="s">
        <v>50</v>
      </c>
      <c r="H24" s="3" t="s">
        <v>87</v>
      </c>
      <c r="I24" s="3" t="s">
        <v>66</v>
      </c>
      <c r="J24" s="3" t="s">
        <v>68</v>
      </c>
      <c r="K24" s="3" t="s">
        <v>26</v>
      </c>
      <c r="L24" s="3">
        <v>5</v>
      </c>
      <c r="M24" s="3">
        <v>5</v>
      </c>
      <c r="N24" s="3">
        <v>4</v>
      </c>
      <c r="O24" s="3">
        <v>8</v>
      </c>
      <c r="P24" s="3" t="s">
        <v>293</v>
      </c>
    </row>
    <row r="25" spans="1:16">
      <c r="A25" s="3">
        <v>22</v>
      </c>
      <c r="B25" s="3" t="s">
        <v>736</v>
      </c>
      <c r="C25" s="4">
        <v>46163</v>
      </c>
      <c r="D25" s="3" t="s">
        <v>60</v>
      </c>
      <c r="E25" s="5" t="s">
        <v>20</v>
      </c>
      <c r="F25" s="5" t="s">
        <v>715</v>
      </c>
      <c r="G25" s="3" t="s">
        <v>65</v>
      </c>
      <c r="H25" s="3" t="s">
        <v>95</v>
      </c>
      <c r="I25" s="3" t="s">
        <v>7</v>
      </c>
      <c r="J25" s="3" t="s">
        <v>32</v>
      </c>
      <c r="K25" s="3" t="s">
        <v>91</v>
      </c>
      <c r="L25" s="3">
        <v>8</v>
      </c>
      <c r="M25" s="3">
        <v>6</v>
      </c>
      <c r="N25" s="3">
        <v>2</v>
      </c>
      <c r="O25" s="3">
        <v>0</v>
      </c>
      <c r="P25" s="3" t="s">
        <v>293</v>
      </c>
    </row>
    <row r="26" spans="1:16">
      <c r="A26" s="3">
        <v>23</v>
      </c>
      <c r="B26" s="3" t="s">
        <v>737</v>
      </c>
      <c r="C26" s="4">
        <v>46195</v>
      </c>
      <c r="D26" s="3" t="s">
        <v>73</v>
      </c>
      <c r="E26" s="5" t="s">
        <v>30</v>
      </c>
      <c r="F26" s="5" t="s">
        <v>713</v>
      </c>
      <c r="G26" s="3" t="s">
        <v>46</v>
      </c>
      <c r="H26" s="3" t="s">
        <v>35</v>
      </c>
      <c r="I26" s="3" t="s">
        <v>32</v>
      </c>
      <c r="J26" s="3" t="s">
        <v>22</v>
      </c>
      <c r="K26" s="3" t="s">
        <v>38</v>
      </c>
      <c r="L26" s="3">
        <v>0</v>
      </c>
      <c r="M26" s="3">
        <v>2</v>
      </c>
      <c r="N26" s="3">
        <v>1</v>
      </c>
      <c r="O26" s="3">
        <v>1</v>
      </c>
      <c r="P26" s="3" t="s">
        <v>293</v>
      </c>
    </row>
    <row r="27" spans="1:16">
      <c r="A27" s="3">
        <v>24</v>
      </c>
      <c r="B27" s="3" t="s">
        <v>738</v>
      </c>
      <c r="C27" s="4">
        <v>46181</v>
      </c>
      <c r="D27" s="3" t="s">
        <v>73</v>
      </c>
      <c r="E27" s="5" t="s">
        <v>4</v>
      </c>
      <c r="F27" s="5" t="s">
        <v>715</v>
      </c>
      <c r="G27" s="3" t="s">
        <v>92</v>
      </c>
      <c r="H27" s="3" t="s">
        <v>6</v>
      </c>
      <c r="I27" s="3" t="s">
        <v>93</v>
      </c>
      <c r="J27" s="3" t="s">
        <v>68</v>
      </c>
      <c r="K27" s="3" t="s">
        <v>38</v>
      </c>
      <c r="L27" s="3">
        <v>8</v>
      </c>
      <c r="M27" s="3">
        <v>6</v>
      </c>
      <c r="N27" s="3">
        <v>1</v>
      </c>
      <c r="O27" s="3">
        <v>2</v>
      </c>
      <c r="P27" s="3" t="s">
        <v>293</v>
      </c>
    </row>
    <row r="28" spans="1:16">
      <c r="A28" s="3">
        <v>25</v>
      </c>
      <c r="B28" s="3" t="s">
        <v>739</v>
      </c>
      <c r="C28" s="4">
        <v>46184</v>
      </c>
      <c r="D28" s="3" t="s">
        <v>73</v>
      </c>
      <c r="E28" s="5" t="s">
        <v>57</v>
      </c>
      <c r="F28" s="5" t="s">
        <v>740</v>
      </c>
      <c r="G28" s="3" t="s">
        <v>46</v>
      </c>
      <c r="H28" s="3" t="s">
        <v>35</v>
      </c>
      <c r="I28" s="3" t="s">
        <v>104</v>
      </c>
      <c r="J28" s="3" t="s">
        <v>32</v>
      </c>
      <c r="K28" s="3" t="s">
        <v>4</v>
      </c>
      <c r="L28" s="3">
        <v>2</v>
      </c>
      <c r="M28" s="3">
        <v>5</v>
      </c>
      <c r="N28" s="3">
        <v>6</v>
      </c>
      <c r="O28" s="3">
        <v>7</v>
      </c>
      <c r="P28" s="3" t="s">
        <v>293</v>
      </c>
    </row>
    <row r="29" spans="1:16">
      <c r="A29" s="3">
        <v>26</v>
      </c>
      <c r="B29" s="3" t="s">
        <v>741</v>
      </c>
      <c r="C29" s="4">
        <v>46185</v>
      </c>
      <c r="D29" s="3" t="s">
        <v>73</v>
      </c>
      <c r="E29" s="5" t="s">
        <v>61</v>
      </c>
      <c r="F29" s="5" t="s">
        <v>717</v>
      </c>
      <c r="G29" s="3" t="s">
        <v>50</v>
      </c>
      <c r="H29" s="3" t="s">
        <v>82</v>
      </c>
      <c r="I29" s="3" t="s">
        <v>78</v>
      </c>
      <c r="J29" s="3" t="s">
        <v>41</v>
      </c>
      <c r="K29" s="3" t="s">
        <v>20</v>
      </c>
      <c r="L29" s="3">
        <v>1</v>
      </c>
      <c r="M29" s="3">
        <v>4</v>
      </c>
      <c r="N29" s="3">
        <v>3</v>
      </c>
      <c r="O29" s="3">
        <v>4</v>
      </c>
      <c r="P29" s="3" t="s">
        <v>293</v>
      </c>
    </row>
    <row r="30" spans="1:16">
      <c r="A30" s="3">
        <v>27</v>
      </c>
      <c r="B30" s="3" t="s">
        <v>742</v>
      </c>
      <c r="C30" s="4">
        <v>46188</v>
      </c>
      <c r="D30" s="3" t="s">
        <v>73</v>
      </c>
      <c r="E30" s="5" t="s">
        <v>61</v>
      </c>
      <c r="F30" s="5" t="s">
        <v>711</v>
      </c>
      <c r="G30" s="3" t="s">
        <v>5</v>
      </c>
      <c r="H30" s="3" t="s">
        <v>21</v>
      </c>
      <c r="I30" s="3" t="s">
        <v>15</v>
      </c>
      <c r="J30" s="3" t="s">
        <v>15</v>
      </c>
      <c r="K30" s="3" t="s">
        <v>38</v>
      </c>
      <c r="L30" s="3">
        <v>8</v>
      </c>
      <c r="M30" s="3">
        <v>5</v>
      </c>
      <c r="N30" s="3">
        <v>2</v>
      </c>
      <c r="O30" s="3">
        <v>8</v>
      </c>
      <c r="P30" s="3" t="s">
        <v>238</v>
      </c>
    </row>
    <row r="31" spans="1:16">
      <c r="A31" s="3">
        <v>28</v>
      </c>
      <c r="B31" s="3" t="s">
        <v>743</v>
      </c>
      <c r="C31" s="4">
        <v>46215</v>
      </c>
      <c r="D31" s="3" t="s">
        <v>76</v>
      </c>
      <c r="E31" s="5" t="s">
        <v>91</v>
      </c>
      <c r="F31" s="5" t="s">
        <v>715</v>
      </c>
      <c r="G31" s="3" t="s">
        <v>46</v>
      </c>
      <c r="H31" s="3" t="s">
        <v>82</v>
      </c>
      <c r="I31" s="3" t="s">
        <v>68</v>
      </c>
      <c r="J31" s="3" t="s">
        <v>36</v>
      </c>
      <c r="K31" s="3" t="s">
        <v>38</v>
      </c>
      <c r="L31" s="3">
        <v>7</v>
      </c>
      <c r="M31" s="3">
        <v>1</v>
      </c>
      <c r="N31" s="3">
        <v>0</v>
      </c>
      <c r="O31" s="3">
        <v>7</v>
      </c>
      <c r="P31" s="3" t="s">
        <v>293</v>
      </c>
    </row>
    <row r="32" spans="1:16">
      <c r="A32" s="3">
        <v>29</v>
      </c>
      <c r="B32" s="3" t="s">
        <v>744</v>
      </c>
      <c r="C32" s="4">
        <v>46256</v>
      </c>
      <c r="D32" s="3" t="s">
        <v>86</v>
      </c>
      <c r="E32" s="5" t="s">
        <v>12</v>
      </c>
      <c r="F32" s="5" t="s">
        <v>740</v>
      </c>
      <c r="G32" s="3" t="s">
        <v>92</v>
      </c>
      <c r="H32" s="3" t="s">
        <v>95</v>
      </c>
      <c r="I32" s="3" t="s">
        <v>104</v>
      </c>
      <c r="J32" s="3" t="s">
        <v>15</v>
      </c>
      <c r="K32" s="3" t="s">
        <v>49</v>
      </c>
      <c r="L32" s="3">
        <v>7</v>
      </c>
      <c r="M32" s="3">
        <v>4</v>
      </c>
      <c r="N32" s="3">
        <v>7</v>
      </c>
      <c r="O32" s="3">
        <v>4</v>
      </c>
      <c r="P32" s="3" t="s">
        <v>293</v>
      </c>
    </row>
    <row r="33" spans="1:16">
      <c r="A33" s="3">
        <v>30</v>
      </c>
      <c r="B33" s="3" t="s">
        <v>745</v>
      </c>
      <c r="C33" s="4">
        <v>46251</v>
      </c>
      <c r="D33" s="3" t="s">
        <v>86</v>
      </c>
      <c r="E33" s="5" t="s">
        <v>38</v>
      </c>
      <c r="F33" s="5" t="s">
        <v>715</v>
      </c>
      <c r="G33" s="3" t="s">
        <v>50</v>
      </c>
      <c r="H33" s="3" t="s">
        <v>21</v>
      </c>
      <c r="I33" s="3" t="s">
        <v>93</v>
      </c>
      <c r="J33" s="3" t="s">
        <v>36</v>
      </c>
      <c r="K33" s="3" t="s">
        <v>16</v>
      </c>
      <c r="L33" s="3">
        <v>2</v>
      </c>
      <c r="M33" s="3">
        <v>7</v>
      </c>
      <c r="N33" s="3">
        <v>2</v>
      </c>
      <c r="O33" s="3">
        <v>1</v>
      </c>
      <c r="P33" s="3" t="s">
        <v>293</v>
      </c>
    </row>
    <row r="34" spans="1:16">
      <c r="A34" s="3">
        <v>31</v>
      </c>
      <c r="B34" s="3" t="s">
        <v>746</v>
      </c>
      <c r="C34" s="4">
        <v>46237</v>
      </c>
      <c r="D34" s="3" t="s">
        <v>86</v>
      </c>
      <c r="E34" s="5" t="s">
        <v>16</v>
      </c>
      <c r="F34" s="5" t="s">
        <v>713</v>
      </c>
      <c r="G34" s="3" t="s">
        <v>13</v>
      </c>
      <c r="H34" s="3" t="s">
        <v>77</v>
      </c>
      <c r="I34" s="3" t="s">
        <v>68</v>
      </c>
      <c r="J34" s="3" t="s">
        <v>22</v>
      </c>
      <c r="K34" s="3" t="s">
        <v>38</v>
      </c>
      <c r="L34" s="3">
        <v>7</v>
      </c>
      <c r="M34" s="3">
        <v>0</v>
      </c>
      <c r="N34" s="3">
        <v>0</v>
      </c>
      <c r="O34" s="3">
        <v>4</v>
      </c>
      <c r="P34" s="3" t="s">
        <v>293</v>
      </c>
    </row>
    <row r="35" spans="1:16">
      <c r="A35" s="3">
        <v>32</v>
      </c>
      <c r="B35" s="3" t="s">
        <v>747</v>
      </c>
      <c r="C35" s="4">
        <v>46244</v>
      </c>
      <c r="D35" s="3" t="s">
        <v>86</v>
      </c>
      <c r="E35" s="5" t="s">
        <v>61</v>
      </c>
      <c r="F35" s="5" t="s">
        <v>717</v>
      </c>
      <c r="G35" s="3" t="s">
        <v>5</v>
      </c>
      <c r="H35" s="3" t="s">
        <v>87</v>
      </c>
      <c r="I35" s="3" t="s">
        <v>78</v>
      </c>
      <c r="J35" s="3" t="s">
        <v>70</v>
      </c>
      <c r="K35" s="3" t="s">
        <v>91</v>
      </c>
      <c r="L35" s="3">
        <v>8</v>
      </c>
      <c r="M35" s="3">
        <v>1</v>
      </c>
      <c r="N35" s="3">
        <v>8</v>
      </c>
      <c r="O35" s="3">
        <v>1</v>
      </c>
      <c r="P35" s="3" t="s">
        <v>293</v>
      </c>
    </row>
    <row r="36" spans="1:16">
      <c r="A36" s="3">
        <v>33</v>
      </c>
      <c r="B36" s="3" t="s">
        <v>748</v>
      </c>
      <c r="C36" s="4">
        <v>46239</v>
      </c>
      <c r="D36" s="3" t="s">
        <v>86</v>
      </c>
      <c r="E36" s="5" t="s">
        <v>49</v>
      </c>
      <c r="F36" s="5" t="s">
        <v>722</v>
      </c>
      <c r="G36" s="3" t="s">
        <v>39</v>
      </c>
      <c r="H36" s="3" t="s">
        <v>31</v>
      </c>
      <c r="I36" s="3" t="s">
        <v>36</v>
      </c>
      <c r="J36" s="3" t="s">
        <v>104</v>
      </c>
      <c r="K36" s="3" t="s">
        <v>64</v>
      </c>
      <c r="L36" s="3">
        <v>4</v>
      </c>
      <c r="M36" s="3">
        <v>1</v>
      </c>
      <c r="N36" s="3">
        <v>3</v>
      </c>
      <c r="O36" s="3">
        <v>3</v>
      </c>
      <c r="P36" s="3" t="s">
        <v>297</v>
      </c>
    </row>
    <row r="37" spans="1:16">
      <c r="A37" s="3">
        <v>34</v>
      </c>
      <c r="B37" s="3" t="s">
        <v>749</v>
      </c>
      <c r="C37" s="4">
        <v>46237</v>
      </c>
      <c r="D37" s="3" t="s">
        <v>86</v>
      </c>
      <c r="E37" s="5" t="s">
        <v>61</v>
      </c>
      <c r="F37" s="5" t="s">
        <v>713</v>
      </c>
      <c r="G37" s="3" t="s">
        <v>27</v>
      </c>
      <c r="H37" s="3" t="s">
        <v>31</v>
      </c>
      <c r="I37" s="3" t="s">
        <v>32</v>
      </c>
      <c r="J37" s="3" t="s">
        <v>66</v>
      </c>
      <c r="K37" s="3" t="s">
        <v>61</v>
      </c>
      <c r="L37" s="3">
        <v>5</v>
      </c>
      <c r="M37" s="3">
        <v>1</v>
      </c>
      <c r="N37" s="3">
        <v>4</v>
      </c>
      <c r="O37" s="3">
        <v>2</v>
      </c>
      <c r="P37" s="3" t="s">
        <v>254</v>
      </c>
    </row>
    <row r="38" spans="1:16">
      <c r="A38" s="3">
        <v>35</v>
      </c>
      <c r="B38" s="3" t="s">
        <v>750</v>
      </c>
      <c r="C38" s="4">
        <v>46243</v>
      </c>
      <c r="D38" s="3" t="s">
        <v>86</v>
      </c>
      <c r="E38" s="5" t="s">
        <v>49</v>
      </c>
      <c r="F38" s="5" t="s">
        <v>711</v>
      </c>
      <c r="G38" s="3" t="s">
        <v>89</v>
      </c>
      <c r="H38" s="3" t="s">
        <v>6</v>
      </c>
      <c r="I38" s="3" t="s">
        <v>68</v>
      </c>
      <c r="J38" s="3" t="s">
        <v>62</v>
      </c>
      <c r="K38" s="3" t="s">
        <v>4</v>
      </c>
      <c r="L38" s="3">
        <v>4</v>
      </c>
      <c r="M38" s="3">
        <v>7</v>
      </c>
      <c r="N38" s="3">
        <v>2</v>
      </c>
      <c r="O38" s="3">
        <v>2</v>
      </c>
      <c r="P38" s="3" t="s">
        <v>238</v>
      </c>
    </row>
    <row r="39" spans="1:16">
      <c r="A39" s="3">
        <v>36</v>
      </c>
      <c r="B39" s="3" t="s">
        <v>751</v>
      </c>
      <c r="C39" s="4">
        <v>46260</v>
      </c>
      <c r="D39" s="3" t="s">
        <v>86</v>
      </c>
      <c r="E39" s="5" t="s">
        <v>61</v>
      </c>
      <c r="F39" s="5" t="s">
        <v>715</v>
      </c>
      <c r="G39" s="3" t="s">
        <v>92</v>
      </c>
      <c r="H39" s="3" t="s">
        <v>87</v>
      </c>
      <c r="I39" s="3" t="s">
        <v>68</v>
      </c>
      <c r="J39" s="3" t="s">
        <v>70</v>
      </c>
      <c r="K39" s="3" t="s">
        <v>16</v>
      </c>
      <c r="L39" s="3">
        <v>7</v>
      </c>
      <c r="M39" s="3">
        <v>2</v>
      </c>
      <c r="N39" s="3">
        <v>1</v>
      </c>
      <c r="O39" s="3">
        <v>8</v>
      </c>
      <c r="P39" s="3" t="s">
        <v>254</v>
      </c>
    </row>
    <row r="40" spans="1:16">
      <c r="A40" s="3">
        <v>37</v>
      </c>
      <c r="B40" s="3" t="s">
        <v>752</v>
      </c>
      <c r="C40" s="4">
        <v>46237</v>
      </c>
      <c r="D40" s="3" t="s">
        <v>86</v>
      </c>
      <c r="E40" s="5" t="s">
        <v>54</v>
      </c>
      <c r="F40" s="5" t="s">
        <v>740</v>
      </c>
      <c r="G40" s="3" t="s">
        <v>46</v>
      </c>
      <c r="H40" s="3" t="s">
        <v>77</v>
      </c>
      <c r="I40" s="3" t="s">
        <v>70</v>
      </c>
      <c r="J40" s="3" t="s">
        <v>7</v>
      </c>
      <c r="K40" s="3" t="s">
        <v>12</v>
      </c>
      <c r="L40" s="3">
        <v>3</v>
      </c>
      <c r="M40" s="3">
        <v>0</v>
      </c>
      <c r="N40" s="3">
        <v>3</v>
      </c>
      <c r="O40" s="3">
        <v>0</v>
      </c>
      <c r="P40" s="3" t="s">
        <v>293</v>
      </c>
    </row>
    <row r="41" spans="1:16">
      <c r="A41" s="3">
        <v>38</v>
      </c>
      <c r="B41" s="3" t="s">
        <v>753</v>
      </c>
      <c r="C41" s="4">
        <v>46274</v>
      </c>
      <c r="D41" s="3" t="s">
        <v>102</v>
      </c>
      <c r="E41" s="5" t="s">
        <v>54</v>
      </c>
      <c r="F41" s="5" t="s">
        <v>715</v>
      </c>
      <c r="G41" s="3" t="s">
        <v>13</v>
      </c>
      <c r="H41" s="3" t="s">
        <v>35</v>
      </c>
      <c r="I41" s="3" t="s">
        <v>22</v>
      </c>
      <c r="J41" s="3" t="s">
        <v>15</v>
      </c>
      <c r="K41" s="3" t="s">
        <v>57</v>
      </c>
      <c r="L41" s="3">
        <v>5</v>
      </c>
      <c r="M41" s="3">
        <v>7</v>
      </c>
      <c r="N41" s="3">
        <v>7</v>
      </c>
      <c r="O41" s="3">
        <v>6</v>
      </c>
      <c r="P41" s="3" t="s">
        <v>297</v>
      </c>
    </row>
    <row r="42" spans="1:16">
      <c r="A42" s="3">
        <v>39</v>
      </c>
      <c r="B42" s="3" t="s">
        <v>754</v>
      </c>
      <c r="C42" s="4">
        <v>46278</v>
      </c>
      <c r="D42" s="3" t="s">
        <v>102</v>
      </c>
      <c r="E42" s="5" t="s">
        <v>12</v>
      </c>
      <c r="F42" s="5" t="s">
        <v>740</v>
      </c>
      <c r="G42" s="3" t="s">
        <v>27</v>
      </c>
      <c r="H42" s="3" t="s">
        <v>6</v>
      </c>
      <c r="I42" s="3" t="s">
        <v>7</v>
      </c>
      <c r="J42" s="3" t="s">
        <v>7</v>
      </c>
      <c r="K42" s="3" t="s">
        <v>49</v>
      </c>
      <c r="L42" s="3">
        <v>4</v>
      </c>
      <c r="M42" s="3">
        <v>3</v>
      </c>
      <c r="N42" s="3">
        <v>7</v>
      </c>
      <c r="O42" s="3">
        <v>1</v>
      </c>
      <c r="P42" s="3" t="s">
        <v>238</v>
      </c>
    </row>
    <row r="43" spans="1:16">
      <c r="A43" s="3">
        <v>40</v>
      </c>
      <c r="B43" s="3" t="s">
        <v>755</v>
      </c>
      <c r="C43" s="4">
        <v>46302</v>
      </c>
      <c r="D43" s="3" t="s">
        <v>106</v>
      </c>
      <c r="E43" s="5" t="s">
        <v>20</v>
      </c>
      <c r="F43" s="5" t="s">
        <v>711</v>
      </c>
      <c r="G43" s="3" t="s">
        <v>65</v>
      </c>
      <c r="H43" s="3" t="s">
        <v>21</v>
      </c>
      <c r="I43" s="3" t="s">
        <v>93</v>
      </c>
      <c r="J43" s="3" t="s">
        <v>68</v>
      </c>
      <c r="K43" s="3" t="s">
        <v>49</v>
      </c>
      <c r="L43" s="3">
        <v>7</v>
      </c>
      <c r="M43" s="3">
        <v>8</v>
      </c>
      <c r="N43" s="3">
        <v>5</v>
      </c>
      <c r="O43" s="3">
        <v>1</v>
      </c>
      <c r="P43" s="3" t="s">
        <v>293</v>
      </c>
    </row>
    <row r="44" spans="1:16">
      <c r="A44" s="3">
        <v>41</v>
      </c>
      <c r="B44" s="3" t="s">
        <v>756</v>
      </c>
      <c r="C44" s="4">
        <v>46328</v>
      </c>
      <c r="D44" s="3" t="s">
        <v>111</v>
      </c>
      <c r="E44" s="5" t="s">
        <v>64</v>
      </c>
      <c r="F44" s="5" t="s">
        <v>740</v>
      </c>
      <c r="G44" s="3" t="s">
        <v>65</v>
      </c>
      <c r="H44" s="3" t="s">
        <v>82</v>
      </c>
      <c r="I44" s="3" t="s">
        <v>15</v>
      </c>
      <c r="J44" s="3" t="s">
        <v>32</v>
      </c>
      <c r="K44" s="3" t="s">
        <v>64</v>
      </c>
      <c r="L44" s="3">
        <v>6</v>
      </c>
      <c r="M44" s="3">
        <v>1</v>
      </c>
      <c r="N44" s="3">
        <v>6</v>
      </c>
      <c r="O44" s="3">
        <v>4</v>
      </c>
      <c r="P44" s="3" t="s">
        <v>293</v>
      </c>
    </row>
    <row r="45" spans="1:16">
      <c r="A45" s="3">
        <v>42</v>
      </c>
      <c r="B45" s="3" t="s">
        <v>757</v>
      </c>
      <c r="C45" s="4">
        <v>46336</v>
      </c>
      <c r="D45" s="3" t="s">
        <v>111</v>
      </c>
      <c r="E45" s="5" t="s">
        <v>64</v>
      </c>
      <c r="F45" s="5" t="s">
        <v>711</v>
      </c>
      <c r="G45" s="3" t="s">
        <v>89</v>
      </c>
      <c r="H45" s="3" t="s">
        <v>40</v>
      </c>
      <c r="I45" s="3" t="s">
        <v>70</v>
      </c>
      <c r="J45" s="3" t="s">
        <v>41</v>
      </c>
      <c r="K45" s="3" t="s">
        <v>91</v>
      </c>
      <c r="L45" s="3">
        <v>8</v>
      </c>
      <c r="M45" s="3">
        <v>6</v>
      </c>
      <c r="N45" s="3">
        <v>1</v>
      </c>
      <c r="O45" s="3">
        <v>7</v>
      </c>
      <c r="P45" s="3" t="s">
        <v>293</v>
      </c>
    </row>
    <row r="46" spans="1:16">
      <c r="A46" s="3">
        <v>43</v>
      </c>
      <c r="B46" s="3" t="s">
        <v>758</v>
      </c>
      <c r="C46" s="4">
        <v>46347</v>
      </c>
      <c r="D46" s="3" t="s">
        <v>111</v>
      </c>
      <c r="E46" s="5" t="s">
        <v>61</v>
      </c>
      <c r="F46" s="5" t="s">
        <v>713</v>
      </c>
      <c r="G46" s="3" t="s">
        <v>65</v>
      </c>
      <c r="H46" s="3" t="s">
        <v>40</v>
      </c>
      <c r="I46" s="3" t="s">
        <v>22</v>
      </c>
      <c r="J46" s="3" t="s">
        <v>15</v>
      </c>
      <c r="K46" s="3" t="s">
        <v>4</v>
      </c>
      <c r="L46" s="3">
        <v>5</v>
      </c>
      <c r="M46" s="3">
        <v>5</v>
      </c>
      <c r="N46" s="3">
        <v>5</v>
      </c>
      <c r="O46" s="3">
        <v>6</v>
      </c>
      <c r="P46" s="3" t="s">
        <v>293</v>
      </c>
    </row>
    <row r="47" spans="1:16">
      <c r="A47" s="3">
        <v>44</v>
      </c>
      <c r="B47" s="3" t="s">
        <v>759</v>
      </c>
      <c r="C47" s="4">
        <v>46335</v>
      </c>
      <c r="D47" s="3" t="s">
        <v>111</v>
      </c>
      <c r="E47" s="5" t="s">
        <v>4</v>
      </c>
      <c r="F47" s="5" t="s">
        <v>717</v>
      </c>
      <c r="G47" s="3" t="s">
        <v>92</v>
      </c>
      <c r="H47" s="3" t="s">
        <v>87</v>
      </c>
      <c r="I47" s="3" t="s">
        <v>68</v>
      </c>
      <c r="J47" s="3" t="s">
        <v>70</v>
      </c>
      <c r="K47" s="3" t="s">
        <v>16</v>
      </c>
      <c r="L47" s="3">
        <v>4</v>
      </c>
      <c r="M47" s="3">
        <v>0</v>
      </c>
      <c r="N47" s="3">
        <v>5</v>
      </c>
      <c r="O47" s="3">
        <v>0</v>
      </c>
      <c r="P47" s="3" t="s">
        <v>293</v>
      </c>
    </row>
    <row r="48" spans="1:16">
      <c r="A48" s="3">
        <v>45</v>
      </c>
      <c r="B48" s="3" t="s">
        <v>760</v>
      </c>
      <c r="C48" s="4">
        <v>46336</v>
      </c>
      <c r="D48" s="3" t="s">
        <v>111</v>
      </c>
      <c r="E48" s="5" t="s">
        <v>64</v>
      </c>
      <c r="F48" s="5" t="s">
        <v>740</v>
      </c>
      <c r="G48" s="3" t="s">
        <v>92</v>
      </c>
      <c r="H48" s="3" t="s">
        <v>80</v>
      </c>
      <c r="I48" s="3" t="s">
        <v>32</v>
      </c>
      <c r="J48" s="3" t="s">
        <v>41</v>
      </c>
      <c r="K48" s="3" t="s">
        <v>57</v>
      </c>
      <c r="L48" s="3">
        <v>0</v>
      </c>
      <c r="M48" s="3">
        <v>7</v>
      </c>
      <c r="N48" s="3">
        <v>4</v>
      </c>
      <c r="O48" s="3">
        <v>3</v>
      </c>
      <c r="P48" s="3" t="s">
        <v>297</v>
      </c>
    </row>
    <row r="49" spans="1:16">
      <c r="A49" s="3">
        <v>46</v>
      </c>
      <c r="B49" s="3" t="s">
        <v>761</v>
      </c>
      <c r="C49" s="4">
        <v>46333</v>
      </c>
      <c r="D49" s="3" t="s">
        <v>111</v>
      </c>
      <c r="E49" s="5" t="s">
        <v>49</v>
      </c>
      <c r="F49" s="5" t="s">
        <v>722</v>
      </c>
      <c r="G49" s="3" t="s">
        <v>50</v>
      </c>
      <c r="H49" s="3" t="s">
        <v>80</v>
      </c>
      <c r="I49" s="3" t="s">
        <v>15</v>
      </c>
      <c r="J49" s="3" t="s">
        <v>68</v>
      </c>
      <c r="K49" s="3" t="s">
        <v>64</v>
      </c>
      <c r="L49" s="3">
        <v>0</v>
      </c>
      <c r="M49" s="3">
        <v>7</v>
      </c>
      <c r="N49" s="3">
        <v>3</v>
      </c>
      <c r="O49" s="3">
        <v>8</v>
      </c>
      <c r="P49" s="3" t="s">
        <v>254</v>
      </c>
    </row>
    <row r="50" spans="1:16">
      <c r="A50" s="3">
        <v>47</v>
      </c>
      <c r="B50" s="3" t="s">
        <v>762</v>
      </c>
      <c r="C50" s="4">
        <v>46350</v>
      </c>
      <c r="D50" s="3" t="s">
        <v>111</v>
      </c>
      <c r="E50" s="5" t="s">
        <v>4</v>
      </c>
      <c r="F50" s="5" t="s">
        <v>717</v>
      </c>
      <c r="G50" s="3" t="s">
        <v>50</v>
      </c>
      <c r="H50" s="3" t="s">
        <v>35</v>
      </c>
      <c r="I50" s="3" t="s">
        <v>78</v>
      </c>
      <c r="J50" s="3" t="s">
        <v>66</v>
      </c>
      <c r="K50" s="3" t="s">
        <v>57</v>
      </c>
      <c r="L50" s="3">
        <v>0</v>
      </c>
      <c r="M50" s="3">
        <v>1</v>
      </c>
      <c r="N50" s="3">
        <v>8</v>
      </c>
      <c r="O50" s="3">
        <v>8</v>
      </c>
      <c r="P50" s="3" t="s">
        <v>297</v>
      </c>
    </row>
    <row r="51" spans="1:16">
      <c r="A51" s="3">
        <v>48</v>
      </c>
      <c r="B51" s="3" t="s">
        <v>763</v>
      </c>
      <c r="C51" s="4">
        <v>46368</v>
      </c>
      <c r="D51" s="3" t="s">
        <v>122</v>
      </c>
      <c r="E51" s="5" t="s">
        <v>45</v>
      </c>
      <c r="F51" s="5" t="s">
        <v>713</v>
      </c>
      <c r="G51" s="3" t="s">
        <v>58</v>
      </c>
      <c r="H51" s="3" t="s">
        <v>82</v>
      </c>
      <c r="I51" s="3" t="s">
        <v>68</v>
      </c>
      <c r="J51" s="3" t="s">
        <v>62</v>
      </c>
      <c r="K51" s="3" t="s">
        <v>61</v>
      </c>
      <c r="L51" s="3">
        <v>0</v>
      </c>
      <c r="M51" s="3">
        <v>0</v>
      </c>
      <c r="N51" s="3">
        <v>1</v>
      </c>
      <c r="O51" s="3">
        <v>2</v>
      </c>
      <c r="P51" s="3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5003">
      <formula1>L_Dept</formula1>
    </dataValidation>
    <dataValidation type="list" allowBlank="1" showInputMessage="1" showErrorMessage="1" sqref="H4:H5003">
      <formula1>L_Loc</formula1>
    </dataValidation>
    <dataValidation type="list" allowBlank="1" showInputMessage="1" showErrorMessage="1" sqref="P4:P5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13.7109375" customWidth="1"/>
    <col min="6" max="7" width="12.7109375" customWidth="1"/>
    <col min="8" max="8" width="10.7109375" customWidth="1"/>
    <col min="9" max="9" width="14.7109375" customWidth="1"/>
    <col min="10" max="10" width="13.7109375" customWidth="1"/>
    <col min="11" max="11" width="17.7109375" customWidth="1"/>
    <col min="12" max="13" width="10.7109375" customWidth="1"/>
    <col min="14" max="14" width="14.7109375" customWidth="1"/>
    <col min="15" max="15" width="17.7109375" customWidth="1"/>
    <col min="16" max="16" width="9.7109375" customWidth="1"/>
  </cols>
  <sheetData>
    <row r="1" spans="1:18" ht="22" customHeight="1">
      <c r="A1" s="1" t="s">
        <v>773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764</v>
      </c>
      <c r="C3" t="s">
        <v>126</v>
      </c>
      <c r="D3" t="s">
        <v>127</v>
      </c>
      <c r="E3" t="s">
        <v>765</v>
      </c>
      <c r="F3" t="s">
        <v>766</v>
      </c>
      <c r="G3" t="s">
        <v>129</v>
      </c>
      <c r="H3" t="s">
        <v>130</v>
      </c>
      <c r="I3" t="s">
        <v>767</v>
      </c>
      <c r="J3" t="s">
        <v>209</v>
      </c>
      <c r="K3" t="s">
        <v>768</v>
      </c>
      <c r="L3" t="s">
        <v>769</v>
      </c>
      <c r="M3" t="s">
        <v>770</v>
      </c>
      <c r="N3" t="s">
        <v>771</v>
      </c>
      <c r="O3" t="s">
        <v>772</v>
      </c>
      <c r="P3" t="s">
        <v>287</v>
      </c>
    </row>
    <row r="4" spans="1:18">
      <c r="A4" s="3">
        <v>1</v>
      </c>
      <c r="B4" s="3" t="s">
        <v>774</v>
      </c>
      <c r="C4" s="4">
        <v>46037</v>
      </c>
      <c r="D4" s="3" t="s">
        <v>3</v>
      </c>
      <c r="E4" s="5" t="s">
        <v>54</v>
      </c>
      <c r="F4" s="5" t="s">
        <v>717</v>
      </c>
      <c r="G4" s="3" t="s">
        <v>27</v>
      </c>
      <c r="H4" s="3" t="s">
        <v>40</v>
      </c>
      <c r="I4" s="3" t="s">
        <v>32</v>
      </c>
      <c r="J4" s="3" t="s">
        <v>66</v>
      </c>
      <c r="K4" s="3" t="s">
        <v>91</v>
      </c>
      <c r="L4" s="3">
        <v>6</v>
      </c>
      <c r="M4" s="3">
        <v>8</v>
      </c>
      <c r="N4" s="3">
        <v>3</v>
      </c>
      <c r="O4" s="3">
        <v>8</v>
      </c>
      <c r="P4" s="3" t="s">
        <v>293</v>
      </c>
    </row>
    <row r="5" spans="1:18">
      <c r="A5" s="3">
        <v>2</v>
      </c>
      <c r="B5" s="3" t="s">
        <v>775</v>
      </c>
      <c r="C5" s="4">
        <v>46050</v>
      </c>
      <c r="D5" s="3" t="s">
        <v>3</v>
      </c>
      <c r="E5" s="5" t="s">
        <v>45</v>
      </c>
      <c r="F5" s="5" t="s">
        <v>740</v>
      </c>
      <c r="G5" s="3" t="s">
        <v>50</v>
      </c>
      <c r="H5" s="3" t="s">
        <v>95</v>
      </c>
      <c r="I5" s="3" t="s">
        <v>7</v>
      </c>
      <c r="J5" s="3" t="s">
        <v>28</v>
      </c>
      <c r="K5" s="3" t="s">
        <v>16</v>
      </c>
      <c r="L5" s="3">
        <v>4</v>
      </c>
      <c r="M5" s="3">
        <v>1</v>
      </c>
      <c r="N5" s="3">
        <v>7</v>
      </c>
      <c r="O5" s="3">
        <v>3</v>
      </c>
      <c r="P5" s="3" t="s">
        <v>254</v>
      </c>
    </row>
    <row r="6" spans="1:18">
      <c r="A6" s="3">
        <v>3</v>
      </c>
      <c r="B6" s="3" t="s">
        <v>776</v>
      </c>
      <c r="C6" s="4">
        <v>46039</v>
      </c>
      <c r="D6" s="3" t="s">
        <v>3</v>
      </c>
      <c r="E6" s="5" t="s">
        <v>64</v>
      </c>
      <c r="F6" s="5" t="s">
        <v>717</v>
      </c>
      <c r="G6" s="3" t="s">
        <v>46</v>
      </c>
      <c r="H6" s="3" t="s">
        <v>51</v>
      </c>
      <c r="I6" s="3" t="s">
        <v>7</v>
      </c>
      <c r="J6" s="3" t="s">
        <v>70</v>
      </c>
      <c r="K6" s="3" t="s">
        <v>61</v>
      </c>
      <c r="L6" s="3">
        <v>7</v>
      </c>
      <c r="M6" s="3">
        <v>3</v>
      </c>
      <c r="N6" s="3">
        <v>1</v>
      </c>
      <c r="O6" s="3">
        <v>6</v>
      </c>
      <c r="P6" s="3" t="s">
        <v>293</v>
      </c>
    </row>
    <row r="7" spans="1:18">
      <c r="A7" s="3">
        <v>4</v>
      </c>
      <c r="B7" s="3" t="s">
        <v>777</v>
      </c>
      <c r="C7" s="4">
        <v>46044</v>
      </c>
      <c r="D7" s="3" t="s">
        <v>3</v>
      </c>
      <c r="E7" s="5" t="s">
        <v>16</v>
      </c>
      <c r="F7" s="5" t="s">
        <v>740</v>
      </c>
      <c r="G7" s="3" t="s">
        <v>27</v>
      </c>
      <c r="H7" s="3" t="s">
        <v>87</v>
      </c>
      <c r="I7" s="3" t="s">
        <v>41</v>
      </c>
      <c r="J7" s="3" t="s">
        <v>41</v>
      </c>
      <c r="K7" s="3" t="s">
        <v>4</v>
      </c>
      <c r="L7" s="3">
        <v>4</v>
      </c>
      <c r="M7" s="3">
        <v>8</v>
      </c>
      <c r="N7" s="3">
        <v>5</v>
      </c>
      <c r="O7" s="3">
        <v>3</v>
      </c>
      <c r="P7" s="3" t="s">
        <v>293</v>
      </c>
    </row>
    <row r="8" spans="1:18">
      <c r="A8" s="3">
        <v>5</v>
      </c>
      <c r="B8" s="3" t="s">
        <v>778</v>
      </c>
      <c r="C8" s="4">
        <v>46078</v>
      </c>
      <c r="D8" s="3" t="s">
        <v>19</v>
      </c>
      <c r="E8" s="5" t="s">
        <v>16</v>
      </c>
      <c r="F8" s="5" t="s">
        <v>722</v>
      </c>
      <c r="G8" s="3" t="s">
        <v>5</v>
      </c>
      <c r="H8" s="3" t="s">
        <v>95</v>
      </c>
      <c r="I8" s="3" t="s">
        <v>36</v>
      </c>
      <c r="J8" s="3" t="s">
        <v>15</v>
      </c>
      <c r="K8" s="3" t="s">
        <v>20</v>
      </c>
      <c r="L8" s="3">
        <v>6</v>
      </c>
      <c r="M8" s="3">
        <v>3</v>
      </c>
      <c r="N8" s="3">
        <v>3</v>
      </c>
      <c r="O8" s="3">
        <v>0</v>
      </c>
      <c r="P8" s="3" t="s">
        <v>293</v>
      </c>
    </row>
    <row r="9" spans="1:18">
      <c r="A9" s="3">
        <v>6</v>
      </c>
      <c r="B9" s="3" t="s">
        <v>779</v>
      </c>
      <c r="C9" s="4">
        <v>46060</v>
      </c>
      <c r="D9" s="3" t="s">
        <v>19</v>
      </c>
      <c r="E9" s="5" t="s">
        <v>30</v>
      </c>
      <c r="F9" s="5" t="s">
        <v>740</v>
      </c>
      <c r="G9" s="3" t="s">
        <v>5</v>
      </c>
      <c r="H9" s="3" t="s">
        <v>6</v>
      </c>
      <c r="I9" s="3" t="s">
        <v>62</v>
      </c>
      <c r="J9" s="3" t="s">
        <v>66</v>
      </c>
      <c r="K9" s="3" t="s">
        <v>16</v>
      </c>
      <c r="L9" s="3">
        <v>1</v>
      </c>
      <c r="M9" s="3">
        <v>8</v>
      </c>
      <c r="N9" s="3">
        <v>0</v>
      </c>
      <c r="O9" s="3">
        <v>6</v>
      </c>
      <c r="P9" s="3" t="s">
        <v>293</v>
      </c>
    </row>
    <row r="10" spans="1:18">
      <c r="A10" s="3">
        <v>7</v>
      </c>
      <c r="B10" s="3" t="s">
        <v>780</v>
      </c>
      <c r="C10" s="4">
        <v>46069</v>
      </c>
      <c r="D10" s="3" t="s">
        <v>19</v>
      </c>
      <c r="E10" s="5" t="s">
        <v>38</v>
      </c>
      <c r="F10" s="5" t="s">
        <v>717</v>
      </c>
      <c r="G10" s="3" t="s">
        <v>50</v>
      </c>
      <c r="H10" s="3" t="s">
        <v>51</v>
      </c>
      <c r="I10" s="3" t="s">
        <v>66</v>
      </c>
      <c r="J10" s="3" t="s">
        <v>22</v>
      </c>
      <c r="K10" s="3" t="s">
        <v>64</v>
      </c>
      <c r="L10" s="3">
        <v>3</v>
      </c>
      <c r="M10" s="3">
        <v>1</v>
      </c>
      <c r="N10" s="3">
        <v>5</v>
      </c>
      <c r="O10" s="3">
        <v>7</v>
      </c>
      <c r="P10" s="3" t="s">
        <v>293</v>
      </c>
    </row>
    <row r="11" spans="1:18">
      <c r="A11" s="3">
        <v>8</v>
      </c>
      <c r="B11" s="3" t="s">
        <v>781</v>
      </c>
      <c r="C11" s="4">
        <v>46100</v>
      </c>
      <c r="D11" s="3" t="s">
        <v>44</v>
      </c>
      <c r="E11" s="5" t="s">
        <v>30</v>
      </c>
      <c r="F11" s="5" t="s">
        <v>711</v>
      </c>
      <c r="G11" s="3" t="s">
        <v>50</v>
      </c>
      <c r="H11" s="3" t="s">
        <v>40</v>
      </c>
      <c r="I11" s="3" t="s">
        <v>78</v>
      </c>
      <c r="J11" s="3" t="s">
        <v>78</v>
      </c>
      <c r="K11" s="3" t="s">
        <v>4</v>
      </c>
      <c r="L11" s="3">
        <v>6</v>
      </c>
      <c r="M11" s="3">
        <v>4</v>
      </c>
      <c r="N11" s="3">
        <v>6</v>
      </c>
      <c r="O11" s="3">
        <v>0</v>
      </c>
      <c r="P11" s="3" t="s">
        <v>293</v>
      </c>
    </row>
    <row r="12" spans="1:18">
      <c r="A12" s="3">
        <v>9</v>
      </c>
      <c r="B12" s="3" t="s">
        <v>782</v>
      </c>
      <c r="C12" s="4">
        <v>46082</v>
      </c>
      <c r="D12" s="3" t="s">
        <v>44</v>
      </c>
      <c r="E12" s="5" t="s">
        <v>30</v>
      </c>
      <c r="F12" s="5" t="s">
        <v>713</v>
      </c>
      <c r="G12" s="3" t="s">
        <v>65</v>
      </c>
      <c r="H12" s="3" t="s">
        <v>31</v>
      </c>
      <c r="I12" s="3" t="s">
        <v>104</v>
      </c>
      <c r="J12" s="3" t="s">
        <v>32</v>
      </c>
      <c r="K12" s="3" t="s">
        <v>16</v>
      </c>
      <c r="L12" s="3">
        <v>2</v>
      </c>
      <c r="M12" s="3">
        <v>0</v>
      </c>
      <c r="N12" s="3">
        <v>8</v>
      </c>
      <c r="O12" s="3">
        <v>3</v>
      </c>
      <c r="P12" s="3" t="s">
        <v>293</v>
      </c>
    </row>
    <row r="13" spans="1:18">
      <c r="A13" s="3">
        <v>10</v>
      </c>
      <c r="B13" s="3" t="s">
        <v>783</v>
      </c>
      <c r="C13" s="4">
        <v>46089</v>
      </c>
      <c r="D13" s="3" t="s">
        <v>44</v>
      </c>
      <c r="E13" s="5" t="s">
        <v>45</v>
      </c>
      <c r="F13" s="5" t="s">
        <v>711</v>
      </c>
      <c r="G13" s="3" t="s">
        <v>92</v>
      </c>
      <c r="H13" s="3" t="s">
        <v>21</v>
      </c>
      <c r="I13" s="3" t="s">
        <v>28</v>
      </c>
      <c r="J13" s="3" t="s">
        <v>22</v>
      </c>
      <c r="K13" s="3" t="s">
        <v>38</v>
      </c>
      <c r="L13" s="3">
        <v>4</v>
      </c>
      <c r="M13" s="3">
        <v>2</v>
      </c>
      <c r="N13" s="3">
        <v>4</v>
      </c>
      <c r="O13" s="3">
        <v>2</v>
      </c>
      <c r="P13" s="3" t="s">
        <v>293</v>
      </c>
    </row>
    <row r="14" spans="1:18">
      <c r="A14" s="3">
        <v>11</v>
      </c>
      <c r="B14" s="3" t="s">
        <v>784</v>
      </c>
      <c r="C14" s="4">
        <v>46136</v>
      </c>
      <c r="D14" s="3" t="s">
        <v>53</v>
      </c>
      <c r="E14" s="5" t="s">
        <v>4</v>
      </c>
      <c r="F14" s="5" t="s">
        <v>740</v>
      </c>
      <c r="G14" s="3" t="s">
        <v>58</v>
      </c>
      <c r="H14" s="3" t="s">
        <v>95</v>
      </c>
      <c r="I14" s="3" t="s">
        <v>66</v>
      </c>
      <c r="J14" s="3" t="s">
        <v>22</v>
      </c>
      <c r="K14" s="3" t="s">
        <v>12</v>
      </c>
      <c r="L14" s="3">
        <v>0</v>
      </c>
      <c r="M14" s="3">
        <v>3</v>
      </c>
      <c r="N14" s="3">
        <v>2</v>
      </c>
      <c r="O14" s="3">
        <v>7</v>
      </c>
      <c r="P14" s="3" t="s">
        <v>293</v>
      </c>
    </row>
    <row r="15" spans="1:18">
      <c r="A15" s="3">
        <v>12</v>
      </c>
      <c r="B15" s="3" t="s">
        <v>785</v>
      </c>
      <c r="C15" s="4">
        <v>46131</v>
      </c>
      <c r="D15" s="3" t="s">
        <v>53</v>
      </c>
      <c r="E15" s="5" t="s">
        <v>64</v>
      </c>
      <c r="F15" s="5" t="s">
        <v>715</v>
      </c>
      <c r="G15" s="3" t="s">
        <v>92</v>
      </c>
      <c r="H15" s="3" t="s">
        <v>87</v>
      </c>
      <c r="I15" s="3" t="s">
        <v>36</v>
      </c>
      <c r="J15" s="3" t="s">
        <v>41</v>
      </c>
      <c r="K15" s="3" t="s">
        <v>54</v>
      </c>
      <c r="L15" s="3">
        <v>5</v>
      </c>
      <c r="M15" s="3">
        <v>5</v>
      </c>
      <c r="N15" s="3">
        <v>6</v>
      </c>
      <c r="O15" s="3">
        <v>0</v>
      </c>
      <c r="P15" s="3" t="s">
        <v>293</v>
      </c>
    </row>
    <row r="16" spans="1:18">
      <c r="A16" s="3">
        <v>13</v>
      </c>
      <c r="B16" s="3" t="s">
        <v>786</v>
      </c>
      <c r="C16" s="4">
        <v>46137</v>
      </c>
      <c r="D16" s="3" t="s">
        <v>53</v>
      </c>
      <c r="E16" s="5" t="s">
        <v>12</v>
      </c>
      <c r="F16" s="5" t="s">
        <v>717</v>
      </c>
      <c r="G16" s="3" t="s">
        <v>92</v>
      </c>
      <c r="H16" s="3" t="s">
        <v>40</v>
      </c>
      <c r="I16" s="3" t="s">
        <v>66</v>
      </c>
      <c r="J16" s="3" t="s">
        <v>32</v>
      </c>
      <c r="K16" s="3" t="s">
        <v>4</v>
      </c>
      <c r="L16" s="3">
        <v>7</v>
      </c>
      <c r="M16" s="3">
        <v>4</v>
      </c>
      <c r="N16" s="3">
        <v>6</v>
      </c>
      <c r="O16" s="3">
        <v>7</v>
      </c>
      <c r="P16" s="3" t="s">
        <v>293</v>
      </c>
    </row>
    <row r="17" spans="1:16">
      <c r="A17" s="3">
        <v>14</v>
      </c>
      <c r="B17" s="3" t="s">
        <v>787</v>
      </c>
      <c r="C17" s="4">
        <v>46139</v>
      </c>
      <c r="D17" s="3" t="s">
        <v>53</v>
      </c>
      <c r="E17" s="5" t="s">
        <v>20</v>
      </c>
      <c r="F17" s="5" t="s">
        <v>722</v>
      </c>
      <c r="G17" s="3" t="s">
        <v>89</v>
      </c>
      <c r="H17" s="3" t="s">
        <v>80</v>
      </c>
      <c r="I17" s="3" t="s">
        <v>22</v>
      </c>
      <c r="J17" s="3" t="s">
        <v>93</v>
      </c>
      <c r="K17" s="3" t="s">
        <v>91</v>
      </c>
      <c r="L17" s="3">
        <v>0</v>
      </c>
      <c r="M17" s="3">
        <v>6</v>
      </c>
      <c r="N17" s="3">
        <v>3</v>
      </c>
      <c r="O17" s="3">
        <v>1</v>
      </c>
      <c r="P17" s="3" t="s">
        <v>293</v>
      </c>
    </row>
    <row r="18" spans="1:16">
      <c r="A18" s="3">
        <v>15</v>
      </c>
      <c r="B18" s="3" t="s">
        <v>788</v>
      </c>
      <c r="C18" s="4">
        <v>46170</v>
      </c>
      <c r="D18" s="3" t="s">
        <v>60</v>
      </c>
      <c r="E18" s="5" t="s">
        <v>57</v>
      </c>
      <c r="F18" s="5" t="s">
        <v>722</v>
      </c>
      <c r="G18" s="3" t="s">
        <v>27</v>
      </c>
      <c r="H18" s="3" t="s">
        <v>82</v>
      </c>
      <c r="I18" s="3" t="s">
        <v>32</v>
      </c>
      <c r="J18" s="3" t="s">
        <v>15</v>
      </c>
      <c r="K18" s="3" t="s">
        <v>30</v>
      </c>
      <c r="L18" s="3">
        <v>5</v>
      </c>
      <c r="M18" s="3">
        <v>3</v>
      </c>
      <c r="N18" s="3">
        <v>6</v>
      </c>
      <c r="O18" s="3">
        <v>0</v>
      </c>
      <c r="P18" s="3" t="s">
        <v>293</v>
      </c>
    </row>
    <row r="19" spans="1:16">
      <c r="A19" s="3">
        <v>16</v>
      </c>
      <c r="B19" s="3" t="s">
        <v>789</v>
      </c>
      <c r="C19" s="4">
        <v>46146</v>
      </c>
      <c r="D19" s="3" t="s">
        <v>60</v>
      </c>
      <c r="E19" s="5" t="s">
        <v>16</v>
      </c>
      <c r="F19" s="5" t="s">
        <v>740</v>
      </c>
      <c r="G19" s="3" t="s">
        <v>50</v>
      </c>
      <c r="H19" s="3" t="s">
        <v>35</v>
      </c>
      <c r="I19" s="3" t="s">
        <v>62</v>
      </c>
      <c r="J19" s="3" t="s">
        <v>15</v>
      </c>
      <c r="K19" s="3" t="s">
        <v>91</v>
      </c>
      <c r="L19" s="3">
        <v>1</v>
      </c>
      <c r="M19" s="3">
        <v>2</v>
      </c>
      <c r="N19" s="3">
        <v>5</v>
      </c>
      <c r="O19" s="3">
        <v>1</v>
      </c>
      <c r="P19" s="3" t="s">
        <v>293</v>
      </c>
    </row>
    <row r="20" spans="1:16">
      <c r="A20" s="3">
        <v>17</v>
      </c>
      <c r="B20" s="3" t="s">
        <v>790</v>
      </c>
      <c r="C20" s="4">
        <v>46160</v>
      </c>
      <c r="D20" s="3" t="s">
        <v>60</v>
      </c>
      <c r="E20" s="5" t="s">
        <v>57</v>
      </c>
      <c r="F20" s="5" t="s">
        <v>715</v>
      </c>
      <c r="G20" s="3" t="s">
        <v>46</v>
      </c>
      <c r="H20" s="3" t="s">
        <v>6</v>
      </c>
      <c r="I20" s="3" t="s">
        <v>104</v>
      </c>
      <c r="J20" s="3" t="s">
        <v>41</v>
      </c>
      <c r="K20" s="3" t="s">
        <v>91</v>
      </c>
      <c r="L20" s="3">
        <v>8</v>
      </c>
      <c r="M20" s="3">
        <v>1</v>
      </c>
      <c r="N20" s="3">
        <v>7</v>
      </c>
      <c r="O20" s="3">
        <v>0</v>
      </c>
      <c r="P20" s="3" t="s">
        <v>297</v>
      </c>
    </row>
    <row r="21" spans="1:16">
      <c r="A21" s="3">
        <v>18</v>
      </c>
      <c r="B21" s="3" t="s">
        <v>791</v>
      </c>
      <c r="C21" s="4">
        <v>46170</v>
      </c>
      <c r="D21" s="3" t="s">
        <v>60</v>
      </c>
      <c r="E21" s="5" t="s">
        <v>49</v>
      </c>
      <c r="F21" s="5" t="s">
        <v>722</v>
      </c>
      <c r="G21" s="3" t="s">
        <v>92</v>
      </c>
      <c r="H21" s="3" t="s">
        <v>51</v>
      </c>
      <c r="I21" s="3" t="s">
        <v>104</v>
      </c>
      <c r="J21" s="3" t="s">
        <v>7</v>
      </c>
      <c r="K21" s="3" t="s">
        <v>54</v>
      </c>
      <c r="L21" s="3">
        <v>3</v>
      </c>
      <c r="M21" s="3">
        <v>5</v>
      </c>
      <c r="N21" s="3">
        <v>7</v>
      </c>
      <c r="O21" s="3">
        <v>7</v>
      </c>
      <c r="P21" s="3" t="s">
        <v>297</v>
      </c>
    </row>
    <row r="22" spans="1:16">
      <c r="A22" s="3">
        <v>19</v>
      </c>
      <c r="B22" s="3" t="s">
        <v>792</v>
      </c>
      <c r="C22" s="4">
        <v>46178</v>
      </c>
      <c r="D22" s="3" t="s">
        <v>73</v>
      </c>
      <c r="E22" s="5" t="s">
        <v>49</v>
      </c>
      <c r="F22" s="5" t="s">
        <v>722</v>
      </c>
      <c r="G22" s="3" t="s">
        <v>92</v>
      </c>
      <c r="H22" s="3" t="s">
        <v>31</v>
      </c>
      <c r="I22" s="3" t="s">
        <v>7</v>
      </c>
      <c r="J22" s="3" t="s">
        <v>22</v>
      </c>
      <c r="K22" s="3" t="s">
        <v>38</v>
      </c>
      <c r="L22" s="3">
        <v>0</v>
      </c>
      <c r="M22" s="3">
        <v>6</v>
      </c>
      <c r="N22" s="3">
        <v>2</v>
      </c>
      <c r="O22" s="3">
        <v>8</v>
      </c>
      <c r="P22" s="3" t="s">
        <v>254</v>
      </c>
    </row>
    <row r="23" spans="1:16">
      <c r="A23" s="3">
        <v>20</v>
      </c>
      <c r="B23" s="3" t="s">
        <v>793</v>
      </c>
      <c r="C23" s="4">
        <v>46183</v>
      </c>
      <c r="D23" s="3" t="s">
        <v>73</v>
      </c>
      <c r="E23" s="5" t="s">
        <v>54</v>
      </c>
      <c r="F23" s="5" t="s">
        <v>717</v>
      </c>
      <c r="G23" s="3" t="s">
        <v>89</v>
      </c>
      <c r="H23" s="3" t="s">
        <v>77</v>
      </c>
      <c r="I23" s="3" t="s">
        <v>22</v>
      </c>
      <c r="J23" s="3" t="s">
        <v>22</v>
      </c>
      <c r="K23" s="3" t="s">
        <v>57</v>
      </c>
      <c r="L23" s="3">
        <v>5</v>
      </c>
      <c r="M23" s="3">
        <v>8</v>
      </c>
      <c r="N23" s="3">
        <v>2</v>
      </c>
      <c r="O23" s="3">
        <v>1</v>
      </c>
      <c r="P23" s="3" t="s">
        <v>293</v>
      </c>
    </row>
    <row r="24" spans="1:16">
      <c r="A24" s="3">
        <v>21</v>
      </c>
      <c r="B24" s="3" t="s">
        <v>794</v>
      </c>
      <c r="C24" s="4">
        <v>46182</v>
      </c>
      <c r="D24" s="3" t="s">
        <v>73</v>
      </c>
      <c r="E24" s="5" t="s">
        <v>20</v>
      </c>
      <c r="F24" s="5" t="s">
        <v>740</v>
      </c>
      <c r="G24" s="3" t="s">
        <v>92</v>
      </c>
      <c r="H24" s="3" t="s">
        <v>87</v>
      </c>
      <c r="I24" s="3" t="s">
        <v>70</v>
      </c>
      <c r="J24" s="3" t="s">
        <v>66</v>
      </c>
      <c r="K24" s="3" t="s">
        <v>54</v>
      </c>
      <c r="L24" s="3">
        <v>4</v>
      </c>
      <c r="M24" s="3">
        <v>3</v>
      </c>
      <c r="N24" s="3">
        <v>5</v>
      </c>
      <c r="O24" s="3">
        <v>4</v>
      </c>
      <c r="P24" s="3" t="s">
        <v>297</v>
      </c>
    </row>
    <row r="25" spans="1:16">
      <c r="A25" s="3">
        <v>22</v>
      </c>
      <c r="B25" s="3" t="s">
        <v>795</v>
      </c>
      <c r="C25" s="4">
        <v>46176</v>
      </c>
      <c r="D25" s="3" t="s">
        <v>73</v>
      </c>
      <c r="E25" s="5" t="s">
        <v>57</v>
      </c>
      <c r="F25" s="5" t="s">
        <v>740</v>
      </c>
      <c r="G25" s="3" t="s">
        <v>58</v>
      </c>
      <c r="H25" s="3" t="s">
        <v>21</v>
      </c>
      <c r="I25" s="3" t="s">
        <v>68</v>
      </c>
      <c r="J25" s="3" t="s">
        <v>104</v>
      </c>
      <c r="K25" s="3" t="s">
        <v>54</v>
      </c>
      <c r="L25" s="3">
        <v>3</v>
      </c>
      <c r="M25" s="3">
        <v>0</v>
      </c>
      <c r="N25" s="3">
        <v>5</v>
      </c>
      <c r="O25" s="3">
        <v>8</v>
      </c>
      <c r="P25" s="3" t="s">
        <v>293</v>
      </c>
    </row>
    <row r="26" spans="1:16">
      <c r="A26" s="3">
        <v>23</v>
      </c>
      <c r="B26" s="3" t="s">
        <v>796</v>
      </c>
      <c r="C26" s="4">
        <v>46178</v>
      </c>
      <c r="D26" s="3" t="s">
        <v>73</v>
      </c>
      <c r="E26" s="5" t="s">
        <v>20</v>
      </c>
      <c r="F26" s="5" t="s">
        <v>717</v>
      </c>
      <c r="G26" s="3" t="s">
        <v>5</v>
      </c>
      <c r="H26" s="3" t="s">
        <v>14</v>
      </c>
      <c r="I26" s="3" t="s">
        <v>41</v>
      </c>
      <c r="J26" s="3" t="s">
        <v>36</v>
      </c>
      <c r="K26" s="3" t="s">
        <v>49</v>
      </c>
      <c r="L26" s="3">
        <v>3</v>
      </c>
      <c r="M26" s="3">
        <v>1</v>
      </c>
      <c r="N26" s="3">
        <v>5</v>
      </c>
      <c r="O26" s="3">
        <v>2</v>
      </c>
      <c r="P26" s="3" t="s">
        <v>293</v>
      </c>
    </row>
    <row r="27" spans="1:16">
      <c r="A27" s="3">
        <v>24</v>
      </c>
      <c r="B27" s="3" t="s">
        <v>797</v>
      </c>
      <c r="C27" s="4">
        <v>46178</v>
      </c>
      <c r="D27" s="3" t="s">
        <v>73</v>
      </c>
      <c r="E27" s="5" t="s">
        <v>45</v>
      </c>
      <c r="F27" s="5" t="s">
        <v>713</v>
      </c>
      <c r="G27" s="3" t="s">
        <v>65</v>
      </c>
      <c r="H27" s="3" t="s">
        <v>6</v>
      </c>
      <c r="I27" s="3" t="s">
        <v>93</v>
      </c>
      <c r="J27" s="3" t="s">
        <v>41</v>
      </c>
      <c r="K27" s="3" t="s">
        <v>61</v>
      </c>
      <c r="L27" s="3">
        <v>5</v>
      </c>
      <c r="M27" s="3">
        <v>5</v>
      </c>
      <c r="N27" s="3">
        <v>8</v>
      </c>
      <c r="O27" s="3">
        <v>7</v>
      </c>
      <c r="P27" s="3" t="s">
        <v>293</v>
      </c>
    </row>
    <row r="28" spans="1:16">
      <c r="A28" s="3">
        <v>25</v>
      </c>
      <c r="B28" s="3" t="s">
        <v>798</v>
      </c>
      <c r="C28" s="4">
        <v>46174</v>
      </c>
      <c r="D28" s="3" t="s">
        <v>73</v>
      </c>
      <c r="E28" s="5" t="s">
        <v>12</v>
      </c>
      <c r="F28" s="5" t="s">
        <v>713</v>
      </c>
      <c r="G28" s="3" t="s">
        <v>89</v>
      </c>
      <c r="H28" s="3" t="s">
        <v>77</v>
      </c>
      <c r="I28" s="3" t="s">
        <v>68</v>
      </c>
      <c r="J28" s="3" t="s">
        <v>7</v>
      </c>
      <c r="K28" s="3" t="s">
        <v>64</v>
      </c>
      <c r="L28" s="3">
        <v>8</v>
      </c>
      <c r="M28" s="3">
        <v>6</v>
      </c>
      <c r="N28" s="3">
        <v>4</v>
      </c>
      <c r="O28" s="3">
        <v>5</v>
      </c>
      <c r="P28" s="3" t="s">
        <v>297</v>
      </c>
    </row>
    <row r="29" spans="1:16">
      <c r="A29" s="3">
        <v>26</v>
      </c>
      <c r="B29" s="3" t="s">
        <v>799</v>
      </c>
      <c r="C29" s="4">
        <v>46177</v>
      </c>
      <c r="D29" s="3" t="s">
        <v>73</v>
      </c>
      <c r="E29" s="5" t="s">
        <v>30</v>
      </c>
      <c r="F29" s="5" t="s">
        <v>722</v>
      </c>
      <c r="G29" s="3" t="s">
        <v>27</v>
      </c>
      <c r="H29" s="3" t="s">
        <v>80</v>
      </c>
      <c r="I29" s="3" t="s">
        <v>68</v>
      </c>
      <c r="J29" s="3" t="s">
        <v>28</v>
      </c>
      <c r="K29" s="3" t="s">
        <v>16</v>
      </c>
      <c r="L29" s="3">
        <v>2</v>
      </c>
      <c r="M29" s="3">
        <v>7</v>
      </c>
      <c r="N29" s="3">
        <v>0</v>
      </c>
      <c r="O29" s="3">
        <v>5</v>
      </c>
      <c r="P29" s="3" t="s">
        <v>293</v>
      </c>
    </row>
    <row r="30" spans="1:16">
      <c r="A30" s="3">
        <v>27</v>
      </c>
      <c r="B30" s="3" t="s">
        <v>800</v>
      </c>
      <c r="C30" s="4">
        <v>46209</v>
      </c>
      <c r="D30" s="3" t="s">
        <v>76</v>
      </c>
      <c r="E30" s="5" t="s">
        <v>49</v>
      </c>
      <c r="F30" s="5" t="s">
        <v>715</v>
      </c>
      <c r="G30" s="3" t="s">
        <v>5</v>
      </c>
      <c r="H30" s="3" t="s">
        <v>21</v>
      </c>
      <c r="I30" s="3" t="s">
        <v>15</v>
      </c>
      <c r="J30" s="3" t="s">
        <v>7</v>
      </c>
      <c r="K30" s="3" t="s">
        <v>38</v>
      </c>
      <c r="L30" s="3">
        <v>3</v>
      </c>
      <c r="M30" s="3">
        <v>7</v>
      </c>
      <c r="N30" s="3">
        <v>0</v>
      </c>
      <c r="O30" s="3">
        <v>1</v>
      </c>
      <c r="P30" s="3" t="s">
        <v>293</v>
      </c>
    </row>
    <row r="31" spans="1:16">
      <c r="A31" s="3">
        <v>28</v>
      </c>
      <c r="B31" s="3" t="s">
        <v>801</v>
      </c>
      <c r="C31" s="4">
        <v>46215</v>
      </c>
      <c r="D31" s="3" t="s">
        <v>76</v>
      </c>
      <c r="E31" s="5" t="s">
        <v>26</v>
      </c>
      <c r="F31" s="5" t="s">
        <v>711</v>
      </c>
      <c r="G31" s="3" t="s">
        <v>58</v>
      </c>
      <c r="H31" s="3" t="s">
        <v>51</v>
      </c>
      <c r="I31" s="3" t="s">
        <v>36</v>
      </c>
      <c r="J31" s="3" t="s">
        <v>7</v>
      </c>
      <c r="K31" s="3" t="s">
        <v>54</v>
      </c>
      <c r="L31" s="3">
        <v>6</v>
      </c>
      <c r="M31" s="3">
        <v>0</v>
      </c>
      <c r="N31" s="3">
        <v>4</v>
      </c>
      <c r="O31" s="3">
        <v>0</v>
      </c>
      <c r="P31" s="3" t="s">
        <v>297</v>
      </c>
    </row>
    <row r="32" spans="1:16">
      <c r="A32" s="3">
        <v>29</v>
      </c>
      <c r="B32" s="3" t="s">
        <v>802</v>
      </c>
      <c r="C32" s="4">
        <v>46208</v>
      </c>
      <c r="D32" s="3" t="s">
        <v>76</v>
      </c>
      <c r="E32" s="5" t="s">
        <v>38</v>
      </c>
      <c r="F32" s="5" t="s">
        <v>713</v>
      </c>
      <c r="G32" s="3" t="s">
        <v>46</v>
      </c>
      <c r="H32" s="3" t="s">
        <v>95</v>
      </c>
      <c r="I32" s="3" t="s">
        <v>68</v>
      </c>
      <c r="J32" s="3" t="s">
        <v>28</v>
      </c>
      <c r="K32" s="3" t="s">
        <v>26</v>
      </c>
      <c r="L32" s="3">
        <v>4</v>
      </c>
      <c r="M32" s="3">
        <v>5</v>
      </c>
      <c r="N32" s="3">
        <v>0</v>
      </c>
      <c r="O32" s="3">
        <v>4</v>
      </c>
      <c r="P32" s="3" t="s">
        <v>238</v>
      </c>
    </row>
    <row r="33" spans="1:16">
      <c r="A33" s="3">
        <v>30</v>
      </c>
      <c r="B33" s="3" t="s">
        <v>803</v>
      </c>
      <c r="C33" s="4">
        <v>46241</v>
      </c>
      <c r="D33" s="3" t="s">
        <v>86</v>
      </c>
      <c r="E33" s="5" t="s">
        <v>45</v>
      </c>
      <c r="F33" s="5" t="s">
        <v>740</v>
      </c>
      <c r="G33" s="3" t="s">
        <v>50</v>
      </c>
      <c r="H33" s="3" t="s">
        <v>31</v>
      </c>
      <c r="I33" s="3" t="s">
        <v>93</v>
      </c>
      <c r="J33" s="3" t="s">
        <v>32</v>
      </c>
      <c r="K33" s="3" t="s">
        <v>49</v>
      </c>
      <c r="L33" s="3">
        <v>8</v>
      </c>
      <c r="M33" s="3">
        <v>1</v>
      </c>
      <c r="N33" s="3">
        <v>7</v>
      </c>
      <c r="O33" s="3">
        <v>3</v>
      </c>
      <c r="P33" s="3" t="s">
        <v>293</v>
      </c>
    </row>
    <row r="34" spans="1:16">
      <c r="A34" s="3">
        <v>31</v>
      </c>
      <c r="B34" s="3" t="s">
        <v>804</v>
      </c>
      <c r="C34" s="4">
        <v>46243</v>
      </c>
      <c r="D34" s="3" t="s">
        <v>86</v>
      </c>
      <c r="E34" s="5" t="s">
        <v>49</v>
      </c>
      <c r="F34" s="5" t="s">
        <v>715</v>
      </c>
      <c r="G34" s="3" t="s">
        <v>27</v>
      </c>
      <c r="H34" s="3" t="s">
        <v>6</v>
      </c>
      <c r="I34" s="3" t="s">
        <v>36</v>
      </c>
      <c r="J34" s="3" t="s">
        <v>104</v>
      </c>
      <c r="K34" s="3" t="s">
        <v>20</v>
      </c>
      <c r="L34" s="3">
        <v>5</v>
      </c>
      <c r="M34" s="3">
        <v>2</v>
      </c>
      <c r="N34" s="3">
        <v>2</v>
      </c>
      <c r="O34" s="3">
        <v>5</v>
      </c>
      <c r="P34" s="3" t="s">
        <v>297</v>
      </c>
    </row>
    <row r="35" spans="1:16">
      <c r="A35" s="3">
        <v>32</v>
      </c>
      <c r="B35" s="3" t="s">
        <v>805</v>
      </c>
      <c r="C35" s="4">
        <v>46278</v>
      </c>
      <c r="D35" s="3" t="s">
        <v>102</v>
      </c>
      <c r="E35" s="5" t="s">
        <v>45</v>
      </c>
      <c r="F35" s="5" t="s">
        <v>722</v>
      </c>
      <c r="G35" s="3" t="s">
        <v>50</v>
      </c>
      <c r="H35" s="3" t="s">
        <v>6</v>
      </c>
      <c r="I35" s="3" t="s">
        <v>22</v>
      </c>
      <c r="J35" s="3" t="s">
        <v>28</v>
      </c>
      <c r="K35" s="3" t="s">
        <v>16</v>
      </c>
      <c r="L35" s="3">
        <v>7</v>
      </c>
      <c r="M35" s="3">
        <v>5</v>
      </c>
      <c r="N35" s="3">
        <v>0</v>
      </c>
      <c r="O35" s="3">
        <v>4</v>
      </c>
      <c r="P35" s="3" t="s">
        <v>293</v>
      </c>
    </row>
    <row r="36" spans="1:16">
      <c r="A36" s="3">
        <v>33</v>
      </c>
      <c r="B36" s="3" t="s">
        <v>806</v>
      </c>
      <c r="C36" s="4">
        <v>46281</v>
      </c>
      <c r="D36" s="3" t="s">
        <v>102</v>
      </c>
      <c r="E36" s="5" t="s">
        <v>4</v>
      </c>
      <c r="F36" s="5" t="s">
        <v>740</v>
      </c>
      <c r="G36" s="3" t="s">
        <v>58</v>
      </c>
      <c r="H36" s="3" t="s">
        <v>40</v>
      </c>
      <c r="I36" s="3" t="s">
        <v>22</v>
      </c>
      <c r="J36" s="3" t="s">
        <v>28</v>
      </c>
      <c r="K36" s="3" t="s">
        <v>4</v>
      </c>
      <c r="L36" s="3">
        <v>1</v>
      </c>
      <c r="M36" s="3">
        <v>0</v>
      </c>
      <c r="N36" s="3">
        <v>6</v>
      </c>
      <c r="O36" s="3">
        <v>4</v>
      </c>
      <c r="P36" s="3" t="s">
        <v>238</v>
      </c>
    </row>
    <row r="37" spans="1:16">
      <c r="A37" s="3">
        <v>34</v>
      </c>
      <c r="B37" s="3" t="s">
        <v>807</v>
      </c>
      <c r="C37" s="4">
        <v>46272</v>
      </c>
      <c r="D37" s="3" t="s">
        <v>102</v>
      </c>
      <c r="E37" s="5" t="s">
        <v>26</v>
      </c>
      <c r="F37" s="5" t="s">
        <v>715</v>
      </c>
      <c r="G37" s="3" t="s">
        <v>39</v>
      </c>
      <c r="H37" s="3" t="s">
        <v>31</v>
      </c>
      <c r="I37" s="3" t="s">
        <v>32</v>
      </c>
      <c r="J37" s="3" t="s">
        <v>70</v>
      </c>
      <c r="K37" s="3" t="s">
        <v>61</v>
      </c>
      <c r="L37" s="3">
        <v>7</v>
      </c>
      <c r="M37" s="3">
        <v>5</v>
      </c>
      <c r="N37" s="3">
        <v>5</v>
      </c>
      <c r="O37" s="3">
        <v>2</v>
      </c>
      <c r="P37" s="3" t="s">
        <v>254</v>
      </c>
    </row>
    <row r="38" spans="1:16">
      <c r="A38" s="3">
        <v>35</v>
      </c>
      <c r="B38" s="3" t="s">
        <v>808</v>
      </c>
      <c r="C38" s="4">
        <v>46309</v>
      </c>
      <c r="D38" s="3" t="s">
        <v>106</v>
      </c>
      <c r="E38" s="5" t="s">
        <v>49</v>
      </c>
      <c r="F38" s="5" t="s">
        <v>711</v>
      </c>
      <c r="G38" s="3" t="s">
        <v>58</v>
      </c>
      <c r="H38" s="3" t="s">
        <v>40</v>
      </c>
      <c r="I38" s="3" t="s">
        <v>68</v>
      </c>
      <c r="J38" s="3" t="s">
        <v>15</v>
      </c>
      <c r="K38" s="3" t="s">
        <v>4</v>
      </c>
      <c r="L38" s="3">
        <v>5</v>
      </c>
      <c r="M38" s="3">
        <v>1</v>
      </c>
      <c r="N38" s="3">
        <v>8</v>
      </c>
      <c r="O38" s="3">
        <v>6</v>
      </c>
      <c r="P38" s="3" t="s">
        <v>293</v>
      </c>
    </row>
    <row r="39" spans="1:16">
      <c r="A39" s="3">
        <v>36</v>
      </c>
      <c r="B39" s="3" t="s">
        <v>809</v>
      </c>
      <c r="C39" s="4">
        <v>46297</v>
      </c>
      <c r="D39" s="3" t="s">
        <v>106</v>
      </c>
      <c r="E39" s="5" t="s">
        <v>38</v>
      </c>
      <c r="F39" s="5" t="s">
        <v>715</v>
      </c>
      <c r="G39" s="3" t="s">
        <v>89</v>
      </c>
      <c r="H39" s="3" t="s">
        <v>87</v>
      </c>
      <c r="I39" s="3" t="s">
        <v>62</v>
      </c>
      <c r="J39" s="3" t="s">
        <v>104</v>
      </c>
      <c r="K39" s="3" t="s">
        <v>49</v>
      </c>
      <c r="L39" s="3">
        <v>4</v>
      </c>
      <c r="M39" s="3">
        <v>5</v>
      </c>
      <c r="N39" s="3">
        <v>7</v>
      </c>
      <c r="O39" s="3">
        <v>5</v>
      </c>
      <c r="P39" s="3" t="s">
        <v>293</v>
      </c>
    </row>
    <row r="40" spans="1:16">
      <c r="A40" s="3">
        <v>37</v>
      </c>
      <c r="B40" s="3" t="s">
        <v>810</v>
      </c>
      <c r="C40" s="4">
        <v>46302</v>
      </c>
      <c r="D40" s="3" t="s">
        <v>106</v>
      </c>
      <c r="E40" s="5" t="s">
        <v>49</v>
      </c>
      <c r="F40" s="5" t="s">
        <v>722</v>
      </c>
      <c r="G40" s="3" t="s">
        <v>13</v>
      </c>
      <c r="H40" s="3" t="s">
        <v>77</v>
      </c>
      <c r="I40" s="3" t="s">
        <v>7</v>
      </c>
      <c r="J40" s="3" t="s">
        <v>104</v>
      </c>
      <c r="K40" s="3" t="s">
        <v>57</v>
      </c>
      <c r="L40" s="3">
        <v>7</v>
      </c>
      <c r="M40" s="3">
        <v>1</v>
      </c>
      <c r="N40" s="3">
        <v>2</v>
      </c>
      <c r="O40" s="3">
        <v>2</v>
      </c>
      <c r="P40" s="3" t="s">
        <v>293</v>
      </c>
    </row>
    <row r="41" spans="1:16">
      <c r="A41" s="3">
        <v>38</v>
      </c>
      <c r="B41" s="3" t="s">
        <v>811</v>
      </c>
      <c r="C41" s="4">
        <v>46297</v>
      </c>
      <c r="D41" s="3" t="s">
        <v>106</v>
      </c>
      <c r="E41" s="5" t="s">
        <v>30</v>
      </c>
      <c r="F41" s="5" t="s">
        <v>711</v>
      </c>
      <c r="G41" s="3" t="s">
        <v>50</v>
      </c>
      <c r="H41" s="3" t="s">
        <v>77</v>
      </c>
      <c r="I41" s="3" t="s">
        <v>22</v>
      </c>
      <c r="J41" s="3" t="s">
        <v>28</v>
      </c>
      <c r="K41" s="3" t="s">
        <v>61</v>
      </c>
      <c r="L41" s="3">
        <v>5</v>
      </c>
      <c r="M41" s="3">
        <v>5</v>
      </c>
      <c r="N41" s="3">
        <v>3</v>
      </c>
      <c r="O41" s="3">
        <v>2</v>
      </c>
      <c r="P41" s="3" t="s">
        <v>293</v>
      </c>
    </row>
    <row r="42" spans="1:16">
      <c r="A42" s="3">
        <v>39</v>
      </c>
      <c r="B42" s="3" t="s">
        <v>812</v>
      </c>
      <c r="C42" s="4">
        <v>46304</v>
      </c>
      <c r="D42" s="3" t="s">
        <v>106</v>
      </c>
      <c r="E42" s="5" t="s">
        <v>54</v>
      </c>
      <c r="F42" s="5" t="s">
        <v>717</v>
      </c>
      <c r="G42" s="3" t="s">
        <v>92</v>
      </c>
      <c r="H42" s="3" t="s">
        <v>40</v>
      </c>
      <c r="I42" s="3" t="s">
        <v>66</v>
      </c>
      <c r="J42" s="3" t="s">
        <v>15</v>
      </c>
      <c r="K42" s="3" t="s">
        <v>12</v>
      </c>
      <c r="L42" s="3">
        <v>0</v>
      </c>
      <c r="M42" s="3">
        <v>6</v>
      </c>
      <c r="N42" s="3">
        <v>5</v>
      </c>
      <c r="O42" s="3">
        <v>1</v>
      </c>
      <c r="P42" s="3" t="s">
        <v>254</v>
      </c>
    </row>
    <row r="43" spans="1:16">
      <c r="A43" s="3">
        <v>40</v>
      </c>
      <c r="B43" s="3" t="s">
        <v>813</v>
      </c>
      <c r="C43" s="4">
        <v>46334</v>
      </c>
      <c r="D43" s="3" t="s">
        <v>111</v>
      </c>
      <c r="E43" s="5" t="s">
        <v>57</v>
      </c>
      <c r="F43" s="5" t="s">
        <v>715</v>
      </c>
      <c r="G43" s="3" t="s">
        <v>27</v>
      </c>
      <c r="H43" s="3" t="s">
        <v>51</v>
      </c>
      <c r="I43" s="3" t="s">
        <v>15</v>
      </c>
      <c r="J43" s="3" t="s">
        <v>104</v>
      </c>
      <c r="K43" s="3" t="s">
        <v>4</v>
      </c>
      <c r="L43" s="3">
        <v>6</v>
      </c>
      <c r="M43" s="3">
        <v>0</v>
      </c>
      <c r="N43" s="3">
        <v>1</v>
      </c>
      <c r="O43" s="3">
        <v>3</v>
      </c>
      <c r="P43" s="3" t="s">
        <v>254</v>
      </c>
    </row>
    <row r="44" spans="1:16">
      <c r="A44" s="3">
        <v>41</v>
      </c>
      <c r="B44" s="3" t="s">
        <v>814</v>
      </c>
      <c r="C44" s="4">
        <v>46332</v>
      </c>
      <c r="D44" s="3" t="s">
        <v>111</v>
      </c>
      <c r="E44" s="5" t="s">
        <v>12</v>
      </c>
      <c r="F44" s="5" t="s">
        <v>715</v>
      </c>
      <c r="G44" s="3" t="s">
        <v>89</v>
      </c>
      <c r="H44" s="3" t="s">
        <v>40</v>
      </c>
      <c r="I44" s="3" t="s">
        <v>28</v>
      </c>
      <c r="J44" s="3" t="s">
        <v>28</v>
      </c>
      <c r="K44" s="3" t="s">
        <v>26</v>
      </c>
      <c r="L44" s="3">
        <v>6</v>
      </c>
      <c r="M44" s="3">
        <v>3</v>
      </c>
      <c r="N44" s="3">
        <v>3</v>
      </c>
      <c r="O44" s="3">
        <v>6</v>
      </c>
      <c r="P44" s="3" t="s">
        <v>293</v>
      </c>
    </row>
    <row r="45" spans="1:16">
      <c r="A45" s="3">
        <v>42</v>
      </c>
      <c r="B45" s="3" t="s">
        <v>815</v>
      </c>
      <c r="C45" s="4">
        <v>46353</v>
      </c>
      <c r="D45" s="3" t="s">
        <v>111</v>
      </c>
      <c r="E45" s="5" t="s">
        <v>12</v>
      </c>
      <c r="F45" s="5" t="s">
        <v>717</v>
      </c>
      <c r="G45" s="3" t="s">
        <v>13</v>
      </c>
      <c r="H45" s="3" t="s">
        <v>31</v>
      </c>
      <c r="I45" s="3" t="s">
        <v>7</v>
      </c>
      <c r="J45" s="3" t="s">
        <v>93</v>
      </c>
      <c r="K45" s="3" t="s">
        <v>16</v>
      </c>
      <c r="L45" s="3">
        <v>4</v>
      </c>
      <c r="M45" s="3">
        <v>5</v>
      </c>
      <c r="N45" s="3">
        <v>0</v>
      </c>
      <c r="O45" s="3">
        <v>3</v>
      </c>
      <c r="P45" s="3" t="s">
        <v>254</v>
      </c>
    </row>
    <row r="46" spans="1:16">
      <c r="A46" s="3">
        <v>43</v>
      </c>
      <c r="B46" s="3" t="s">
        <v>816</v>
      </c>
      <c r="C46" s="4">
        <v>46338</v>
      </c>
      <c r="D46" s="3" t="s">
        <v>111</v>
      </c>
      <c r="E46" s="5" t="s">
        <v>20</v>
      </c>
      <c r="F46" s="5" t="s">
        <v>713</v>
      </c>
      <c r="G46" s="3" t="s">
        <v>5</v>
      </c>
      <c r="H46" s="3" t="s">
        <v>40</v>
      </c>
      <c r="I46" s="3" t="s">
        <v>36</v>
      </c>
      <c r="J46" s="3" t="s">
        <v>78</v>
      </c>
      <c r="K46" s="3" t="s">
        <v>91</v>
      </c>
      <c r="L46" s="3">
        <v>5</v>
      </c>
      <c r="M46" s="3">
        <v>3</v>
      </c>
      <c r="N46" s="3">
        <v>3</v>
      </c>
      <c r="O46" s="3">
        <v>1</v>
      </c>
      <c r="P46" s="3" t="s">
        <v>297</v>
      </c>
    </row>
    <row r="47" spans="1:16">
      <c r="A47" s="3">
        <v>44</v>
      </c>
      <c r="B47" s="3" t="s">
        <v>817</v>
      </c>
      <c r="C47" s="4">
        <v>46361</v>
      </c>
      <c r="D47" s="3" t="s">
        <v>122</v>
      </c>
      <c r="E47" s="5" t="s">
        <v>30</v>
      </c>
      <c r="F47" s="5" t="s">
        <v>740</v>
      </c>
      <c r="G47" s="3" t="s">
        <v>5</v>
      </c>
      <c r="H47" s="3" t="s">
        <v>35</v>
      </c>
      <c r="I47" s="3" t="s">
        <v>15</v>
      </c>
      <c r="J47" s="3" t="s">
        <v>93</v>
      </c>
      <c r="K47" s="3" t="s">
        <v>12</v>
      </c>
      <c r="L47" s="3">
        <v>7</v>
      </c>
      <c r="M47" s="3">
        <v>7</v>
      </c>
      <c r="N47" s="3">
        <v>3</v>
      </c>
      <c r="O47" s="3">
        <v>3</v>
      </c>
      <c r="P47" s="3" t="s">
        <v>254</v>
      </c>
    </row>
    <row r="48" spans="1:16">
      <c r="A48" s="3">
        <v>45</v>
      </c>
      <c r="B48" s="3" t="s">
        <v>818</v>
      </c>
      <c r="C48" s="4">
        <v>46370</v>
      </c>
      <c r="D48" s="3" t="s">
        <v>122</v>
      </c>
      <c r="E48" s="5" t="s">
        <v>4</v>
      </c>
      <c r="F48" s="5" t="s">
        <v>715</v>
      </c>
      <c r="G48" s="3" t="s">
        <v>46</v>
      </c>
      <c r="H48" s="3" t="s">
        <v>14</v>
      </c>
      <c r="I48" s="3" t="s">
        <v>68</v>
      </c>
      <c r="J48" s="3" t="s">
        <v>36</v>
      </c>
      <c r="K48" s="3" t="s">
        <v>61</v>
      </c>
      <c r="L48" s="3">
        <v>8</v>
      </c>
      <c r="M48" s="3">
        <v>5</v>
      </c>
      <c r="N48" s="3">
        <v>7</v>
      </c>
      <c r="O48" s="3">
        <v>5</v>
      </c>
      <c r="P48" s="3" t="s">
        <v>293</v>
      </c>
    </row>
    <row r="49" spans="1:16">
      <c r="A49" s="3">
        <v>46</v>
      </c>
      <c r="B49" s="3" t="s">
        <v>819</v>
      </c>
      <c r="C49" s="4">
        <v>46372</v>
      </c>
      <c r="D49" s="3" t="s">
        <v>122</v>
      </c>
      <c r="E49" s="5" t="s">
        <v>12</v>
      </c>
      <c r="F49" s="5" t="s">
        <v>722</v>
      </c>
      <c r="G49" s="3" t="s">
        <v>89</v>
      </c>
      <c r="H49" s="3" t="s">
        <v>21</v>
      </c>
      <c r="I49" s="3" t="s">
        <v>66</v>
      </c>
      <c r="J49" s="3" t="s">
        <v>62</v>
      </c>
      <c r="K49" s="3" t="s">
        <v>30</v>
      </c>
      <c r="L49" s="3">
        <v>3</v>
      </c>
      <c r="M49" s="3">
        <v>5</v>
      </c>
      <c r="N49" s="3">
        <v>3</v>
      </c>
      <c r="O49" s="3">
        <v>2</v>
      </c>
      <c r="P49" s="3" t="s">
        <v>293</v>
      </c>
    </row>
    <row r="50" spans="1:16">
      <c r="A50" s="3">
        <v>47</v>
      </c>
      <c r="B50" s="3" t="s">
        <v>820</v>
      </c>
      <c r="C50" s="4">
        <v>46374</v>
      </c>
      <c r="D50" s="3" t="s">
        <v>122</v>
      </c>
      <c r="E50" s="5" t="s">
        <v>4</v>
      </c>
      <c r="F50" s="5" t="s">
        <v>713</v>
      </c>
      <c r="G50" s="3" t="s">
        <v>5</v>
      </c>
      <c r="H50" s="3" t="s">
        <v>51</v>
      </c>
      <c r="I50" s="3" t="s">
        <v>22</v>
      </c>
      <c r="J50" s="3" t="s">
        <v>22</v>
      </c>
      <c r="K50" s="3" t="s">
        <v>61</v>
      </c>
      <c r="L50" s="3">
        <v>4</v>
      </c>
      <c r="M50" s="3">
        <v>0</v>
      </c>
      <c r="N50" s="3">
        <v>7</v>
      </c>
      <c r="O50" s="3">
        <v>1</v>
      </c>
      <c r="P50" s="3" t="s">
        <v>293</v>
      </c>
    </row>
    <row r="51" spans="1:16">
      <c r="A51" s="3">
        <v>48</v>
      </c>
      <c r="B51" s="3" t="s">
        <v>821</v>
      </c>
      <c r="C51" s="4">
        <v>46378</v>
      </c>
      <c r="D51" s="3" t="s">
        <v>122</v>
      </c>
      <c r="E51" s="5" t="s">
        <v>64</v>
      </c>
      <c r="F51" s="5" t="s">
        <v>722</v>
      </c>
      <c r="G51" s="3" t="s">
        <v>65</v>
      </c>
      <c r="H51" s="3" t="s">
        <v>82</v>
      </c>
      <c r="I51" s="3" t="s">
        <v>22</v>
      </c>
      <c r="J51" s="3" t="s">
        <v>36</v>
      </c>
      <c r="K51" s="3" t="s">
        <v>61</v>
      </c>
      <c r="L51" s="3">
        <v>3</v>
      </c>
      <c r="M51" s="3">
        <v>8</v>
      </c>
      <c r="N51" s="3">
        <v>8</v>
      </c>
      <c r="O51" s="3">
        <v>7</v>
      </c>
      <c r="P51" s="3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5003">
      <formula1>L_Dept</formula1>
    </dataValidation>
    <dataValidation type="list" allowBlank="1" showInputMessage="1" showErrorMessage="1" sqref="H4:H5003">
      <formula1>L_Loc</formula1>
    </dataValidation>
    <dataValidation type="list" allowBlank="1" showInputMessage="1" showErrorMessage="1" sqref="P4:P5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6" width="12.7109375" customWidth="1"/>
    <col min="7" max="7" width="10.7109375" customWidth="1"/>
    <col min="8" max="8" width="12.7109375" customWidth="1"/>
    <col min="9" max="9" width="16.7109375" customWidth="1"/>
    <col min="10" max="10" width="19.7109375" customWidth="1"/>
    <col min="11" max="12" width="16.7109375" customWidth="1"/>
    <col min="13" max="13" width="13.7109375" customWidth="1"/>
    <col min="14" max="14" width="9.7109375" customWidth="1"/>
  </cols>
  <sheetData>
    <row r="1" spans="1:16" ht="22" customHeight="1">
      <c r="A1" s="1" t="s">
        <v>822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875</v>
      </c>
      <c r="C3" t="s">
        <v>126</v>
      </c>
      <c r="D3" t="s">
        <v>127</v>
      </c>
      <c r="E3" t="s">
        <v>876</v>
      </c>
      <c r="F3" t="s">
        <v>129</v>
      </c>
      <c r="G3" t="s">
        <v>130</v>
      </c>
      <c r="H3" t="s">
        <v>877</v>
      </c>
      <c r="I3" t="s">
        <v>135</v>
      </c>
      <c r="J3" t="s">
        <v>878</v>
      </c>
      <c r="K3" t="s">
        <v>879</v>
      </c>
      <c r="L3" t="s">
        <v>572</v>
      </c>
      <c r="M3" t="s">
        <v>573</v>
      </c>
      <c r="N3" t="s">
        <v>287</v>
      </c>
    </row>
    <row r="4" spans="1:16">
      <c r="A4" s="3">
        <v>1</v>
      </c>
      <c r="B4" s="3" t="s">
        <v>823</v>
      </c>
      <c r="C4" s="4">
        <v>46035</v>
      </c>
      <c r="D4" s="3" t="s">
        <v>3</v>
      </c>
      <c r="E4" s="5" t="s">
        <v>824</v>
      </c>
      <c r="F4" s="5" t="s">
        <v>92</v>
      </c>
      <c r="G4" s="3" t="s">
        <v>80</v>
      </c>
      <c r="H4" s="3" t="s">
        <v>62</v>
      </c>
      <c r="I4" s="3">
        <v>106</v>
      </c>
      <c r="J4" s="3">
        <v>5</v>
      </c>
      <c r="K4" s="3">
        <v>1</v>
      </c>
      <c r="L4" s="3">
        <v>4</v>
      </c>
      <c r="M4" s="6">
        <f>IFERROR(L4/K4*100,0)</f>
        <v>0</v>
      </c>
      <c r="N4" s="3" t="s">
        <v>254</v>
      </c>
    </row>
    <row r="5" spans="1:16">
      <c r="A5" s="3">
        <v>2</v>
      </c>
      <c r="B5" s="3" t="s">
        <v>825</v>
      </c>
      <c r="C5" s="4">
        <v>46046</v>
      </c>
      <c r="D5" s="3" t="s">
        <v>3</v>
      </c>
      <c r="E5" s="5" t="s">
        <v>826</v>
      </c>
      <c r="F5" s="5" t="s">
        <v>65</v>
      </c>
      <c r="G5" s="3" t="s">
        <v>82</v>
      </c>
      <c r="H5" s="3" t="s">
        <v>68</v>
      </c>
      <c r="I5" s="3">
        <v>24</v>
      </c>
      <c r="J5" s="3">
        <v>2</v>
      </c>
      <c r="K5" s="3">
        <v>5</v>
      </c>
      <c r="L5" s="3">
        <v>7</v>
      </c>
      <c r="M5" s="6">
        <f>IFERROR(L5/K5*100,0)</f>
        <v>0</v>
      </c>
      <c r="N5" s="3" t="s">
        <v>293</v>
      </c>
    </row>
    <row r="6" spans="1:16">
      <c r="A6" s="3">
        <v>3</v>
      </c>
      <c r="B6" s="3" t="s">
        <v>827</v>
      </c>
      <c r="C6" s="4">
        <v>46065</v>
      </c>
      <c r="D6" s="3" t="s">
        <v>19</v>
      </c>
      <c r="E6" s="5" t="s">
        <v>824</v>
      </c>
      <c r="F6" s="5" t="s">
        <v>58</v>
      </c>
      <c r="G6" s="3" t="s">
        <v>51</v>
      </c>
      <c r="H6" s="3" t="s">
        <v>22</v>
      </c>
      <c r="I6" s="3">
        <v>37</v>
      </c>
      <c r="J6" s="3">
        <v>4</v>
      </c>
      <c r="K6" s="3">
        <v>0</v>
      </c>
      <c r="L6" s="3">
        <v>4</v>
      </c>
      <c r="M6" s="6">
        <f>IFERROR(L6/K6*100,0)</f>
        <v>0</v>
      </c>
      <c r="N6" s="3" t="s">
        <v>293</v>
      </c>
    </row>
    <row r="7" spans="1:16">
      <c r="A7" s="3">
        <v>4</v>
      </c>
      <c r="B7" s="3" t="s">
        <v>828</v>
      </c>
      <c r="C7" s="4">
        <v>46079</v>
      </c>
      <c r="D7" s="3" t="s">
        <v>19</v>
      </c>
      <c r="E7" s="5" t="s">
        <v>824</v>
      </c>
      <c r="F7" s="5" t="s">
        <v>58</v>
      </c>
      <c r="G7" s="3" t="s">
        <v>14</v>
      </c>
      <c r="H7" s="3" t="s">
        <v>22</v>
      </c>
      <c r="I7" s="3">
        <v>80</v>
      </c>
      <c r="J7" s="3">
        <v>7</v>
      </c>
      <c r="K7" s="3">
        <v>1</v>
      </c>
      <c r="L7" s="3">
        <v>5</v>
      </c>
      <c r="M7" s="6">
        <f>IFERROR(L7/K7*100,0)</f>
        <v>0</v>
      </c>
      <c r="N7" s="3" t="s">
        <v>293</v>
      </c>
    </row>
    <row r="8" spans="1:16">
      <c r="A8" s="3">
        <v>5</v>
      </c>
      <c r="B8" s="3" t="s">
        <v>829</v>
      </c>
      <c r="C8" s="4">
        <v>46079</v>
      </c>
      <c r="D8" s="3" t="s">
        <v>19</v>
      </c>
      <c r="E8" s="5" t="s">
        <v>826</v>
      </c>
      <c r="F8" s="5" t="s">
        <v>39</v>
      </c>
      <c r="G8" s="3" t="s">
        <v>80</v>
      </c>
      <c r="H8" s="3" t="s">
        <v>104</v>
      </c>
      <c r="I8" s="3">
        <v>113</v>
      </c>
      <c r="J8" s="3">
        <v>5</v>
      </c>
      <c r="K8" s="3">
        <v>2</v>
      </c>
      <c r="L8" s="3">
        <v>1</v>
      </c>
      <c r="M8" s="6">
        <f>IFERROR(L8/K8*100,0)</f>
        <v>0</v>
      </c>
      <c r="N8" s="3" t="s">
        <v>254</v>
      </c>
    </row>
    <row r="9" spans="1:16">
      <c r="A9" s="3">
        <v>6</v>
      </c>
      <c r="B9" s="3" t="s">
        <v>830</v>
      </c>
      <c r="C9" s="4">
        <v>46081</v>
      </c>
      <c r="D9" s="3" t="s">
        <v>19</v>
      </c>
      <c r="E9" s="5" t="s">
        <v>831</v>
      </c>
      <c r="F9" s="5" t="s">
        <v>92</v>
      </c>
      <c r="G9" s="3" t="s">
        <v>82</v>
      </c>
      <c r="H9" s="3" t="s">
        <v>41</v>
      </c>
      <c r="I9" s="3">
        <v>66</v>
      </c>
      <c r="J9" s="3">
        <v>4</v>
      </c>
      <c r="K9" s="3">
        <v>3</v>
      </c>
      <c r="L9" s="3">
        <v>2</v>
      </c>
      <c r="M9" s="6">
        <f>IFERROR(L9/K9*100,0)</f>
        <v>0</v>
      </c>
      <c r="N9" s="3" t="s">
        <v>254</v>
      </c>
    </row>
    <row r="10" spans="1:16">
      <c r="A10" s="3">
        <v>7</v>
      </c>
      <c r="B10" s="3" t="s">
        <v>832</v>
      </c>
      <c r="C10" s="4">
        <v>46072</v>
      </c>
      <c r="D10" s="3" t="s">
        <v>19</v>
      </c>
      <c r="E10" s="5" t="s">
        <v>831</v>
      </c>
      <c r="F10" s="5" t="s">
        <v>58</v>
      </c>
      <c r="G10" s="3" t="s">
        <v>14</v>
      </c>
      <c r="H10" s="3" t="s">
        <v>7</v>
      </c>
      <c r="I10" s="3">
        <v>68</v>
      </c>
      <c r="J10" s="3">
        <v>0</v>
      </c>
      <c r="K10" s="3">
        <v>7</v>
      </c>
      <c r="L10" s="3">
        <v>1</v>
      </c>
      <c r="M10" s="6">
        <f>IFERROR(L10/K10*100,0)</f>
        <v>0</v>
      </c>
      <c r="N10" s="3" t="s">
        <v>293</v>
      </c>
    </row>
    <row r="11" spans="1:16">
      <c r="A11" s="3">
        <v>8</v>
      </c>
      <c r="B11" s="3" t="s">
        <v>833</v>
      </c>
      <c r="C11" s="4">
        <v>46062</v>
      </c>
      <c r="D11" s="3" t="s">
        <v>19</v>
      </c>
      <c r="E11" s="5" t="s">
        <v>826</v>
      </c>
      <c r="F11" s="5" t="s">
        <v>92</v>
      </c>
      <c r="G11" s="3" t="s">
        <v>6</v>
      </c>
      <c r="H11" s="3" t="s">
        <v>70</v>
      </c>
      <c r="I11" s="3">
        <v>28</v>
      </c>
      <c r="J11" s="3">
        <v>4</v>
      </c>
      <c r="K11" s="3">
        <v>6</v>
      </c>
      <c r="L11" s="3">
        <v>2</v>
      </c>
      <c r="M11" s="6">
        <f>IFERROR(L11/K11*100,0)</f>
        <v>0</v>
      </c>
      <c r="N11" s="3" t="s">
        <v>293</v>
      </c>
    </row>
    <row r="12" spans="1:16">
      <c r="A12" s="3">
        <v>9</v>
      </c>
      <c r="B12" s="3" t="s">
        <v>834</v>
      </c>
      <c r="C12" s="4">
        <v>46058</v>
      </c>
      <c r="D12" s="3" t="s">
        <v>19</v>
      </c>
      <c r="E12" s="5" t="s">
        <v>826</v>
      </c>
      <c r="F12" s="5" t="s">
        <v>58</v>
      </c>
      <c r="G12" s="3" t="s">
        <v>35</v>
      </c>
      <c r="H12" s="3" t="s">
        <v>62</v>
      </c>
      <c r="I12" s="3">
        <v>57</v>
      </c>
      <c r="J12" s="3">
        <v>0</v>
      </c>
      <c r="K12" s="3">
        <v>3</v>
      </c>
      <c r="L12" s="3">
        <v>4</v>
      </c>
      <c r="M12" s="6">
        <f>IFERROR(L12/K12*100,0)</f>
        <v>0</v>
      </c>
      <c r="N12" s="3" t="s">
        <v>293</v>
      </c>
    </row>
    <row r="13" spans="1:16">
      <c r="A13" s="3">
        <v>10</v>
      </c>
      <c r="B13" s="3" t="s">
        <v>835</v>
      </c>
      <c r="C13" s="4">
        <v>46061</v>
      </c>
      <c r="D13" s="3" t="s">
        <v>19</v>
      </c>
      <c r="E13" s="5" t="s">
        <v>836</v>
      </c>
      <c r="F13" s="5" t="s">
        <v>65</v>
      </c>
      <c r="G13" s="3" t="s">
        <v>40</v>
      </c>
      <c r="H13" s="3" t="s">
        <v>104</v>
      </c>
      <c r="I13" s="3">
        <v>102</v>
      </c>
      <c r="J13" s="3">
        <v>6</v>
      </c>
      <c r="K13" s="3">
        <v>6</v>
      </c>
      <c r="L13" s="3">
        <v>8</v>
      </c>
      <c r="M13" s="6">
        <f>IFERROR(L13/K13*100,0)</f>
        <v>0</v>
      </c>
      <c r="N13" s="3" t="s">
        <v>293</v>
      </c>
    </row>
    <row r="14" spans="1:16">
      <c r="A14" s="3">
        <v>11</v>
      </c>
      <c r="B14" s="3" t="s">
        <v>837</v>
      </c>
      <c r="C14" s="4">
        <v>46096</v>
      </c>
      <c r="D14" s="3" t="s">
        <v>44</v>
      </c>
      <c r="E14" s="5" t="s">
        <v>831</v>
      </c>
      <c r="F14" s="5" t="s">
        <v>58</v>
      </c>
      <c r="G14" s="3" t="s">
        <v>40</v>
      </c>
      <c r="H14" s="3" t="s">
        <v>70</v>
      </c>
      <c r="I14" s="3">
        <v>96</v>
      </c>
      <c r="J14" s="3">
        <v>7</v>
      </c>
      <c r="K14" s="3">
        <v>6</v>
      </c>
      <c r="L14" s="3">
        <v>1</v>
      </c>
      <c r="M14" s="6">
        <f>IFERROR(L14/K14*100,0)</f>
        <v>0</v>
      </c>
      <c r="N14" s="3" t="s">
        <v>254</v>
      </c>
    </row>
    <row r="15" spans="1:16">
      <c r="A15" s="3">
        <v>12</v>
      </c>
      <c r="B15" s="3" t="s">
        <v>838</v>
      </c>
      <c r="C15" s="4">
        <v>46082</v>
      </c>
      <c r="D15" s="3" t="s">
        <v>44</v>
      </c>
      <c r="E15" s="5" t="s">
        <v>824</v>
      </c>
      <c r="F15" s="5" t="s">
        <v>89</v>
      </c>
      <c r="G15" s="3" t="s">
        <v>14</v>
      </c>
      <c r="H15" s="3" t="s">
        <v>36</v>
      </c>
      <c r="I15" s="3">
        <v>96</v>
      </c>
      <c r="J15" s="3">
        <v>4</v>
      </c>
      <c r="K15" s="3">
        <v>6</v>
      </c>
      <c r="L15" s="3">
        <v>4</v>
      </c>
      <c r="M15" s="6">
        <f>IFERROR(L15/K15*100,0)</f>
        <v>0</v>
      </c>
      <c r="N15" s="3" t="s">
        <v>293</v>
      </c>
    </row>
    <row r="16" spans="1:16">
      <c r="A16" s="3">
        <v>13</v>
      </c>
      <c r="B16" s="3" t="s">
        <v>839</v>
      </c>
      <c r="C16" s="4">
        <v>46103</v>
      </c>
      <c r="D16" s="3" t="s">
        <v>44</v>
      </c>
      <c r="E16" s="5" t="s">
        <v>824</v>
      </c>
      <c r="F16" s="5" t="s">
        <v>5</v>
      </c>
      <c r="G16" s="3" t="s">
        <v>40</v>
      </c>
      <c r="H16" s="3" t="s">
        <v>15</v>
      </c>
      <c r="I16" s="3">
        <v>44</v>
      </c>
      <c r="J16" s="3">
        <v>7</v>
      </c>
      <c r="K16" s="3">
        <v>3</v>
      </c>
      <c r="L16" s="3">
        <v>2</v>
      </c>
      <c r="M16" s="6">
        <f>IFERROR(L16/K16*100,0)</f>
        <v>0</v>
      </c>
      <c r="N16" s="3" t="s">
        <v>238</v>
      </c>
    </row>
    <row r="17" spans="1:14">
      <c r="A17" s="3">
        <v>14</v>
      </c>
      <c r="B17" s="3" t="s">
        <v>840</v>
      </c>
      <c r="C17" s="4">
        <v>46101</v>
      </c>
      <c r="D17" s="3" t="s">
        <v>44</v>
      </c>
      <c r="E17" s="5" t="s">
        <v>826</v>
      </c>
      <c r="F17" s="5" t="s">
        <v>50</v>
      </c>
      <c r="G17" s="3" t="s">
        <v>82</v>
      </c>
      <c r="H17" s="3" t="s">
        <v>104</v>
      </c>
      <c r="I17" s="3">
        <v>89</v>
      </c>
      <c r="J17" s="3">
        <v>8</v>
      </c>
      <c r="K17" s="3">
        <v>4</v>
      </c>
      <c r="L17" s="3">
        <v>5</v>
      </c>
      <c r="M17" s="6">
        <f>IFERROR(L17/K17*100,0)</f>
        <v>0</v>
      </c>
      <c r="N17" s="3" t="s">
        <v>254</v>
      </c>
    </row>
    <row r="18" spans="1:14">
      <c r="A18" s="3">
        <v>15</v>
      </c>
      <c r="B18" s="3" t="s">
        <v>841</v>
      </c>
      <c r="C18" s="4">
        <v>46140</v>
      </c>
      <c r="D18" s="3" t="s">
        <v>53</v>
      </c>
      <c r="E18" s="5" t="s">
        <v>826</v>
      </c>
      <c r="F18" s="5" t="s">
        <v>89</v>
      </c>
      <c r="G18" s="3" t="s">
        <v>31</v>
      </c>
      <c r="H18" s="3" t="s">
        <v>104</v>
      </c>
      <c r="I18" s="3">
        <v>76</v>
      </c>
      <c r="J18" s="3">
        <v>6</v>
      </c>
      <c r="K18" s="3">
        <v>7</v>
      </c>
      <c r="L18" s="3">
        <v>4</v>
      </c>
      <c r="M18" s="6">
        <f>IFERROR(L18/K18*100,0)</f>
        <v>0</v>
      </c>
      <c r="N18" s="3" t="s">
        <v>293</v>
      </c>
    </row>
    <row r="19" spans="1:14">
      <c r="A19" s="3">
        <v>16</v>
      </c>
      <c r="B19" s="3" t="s">
        <v>842</v>
      </c>
      <c r="C19" s="4">
        <v>46136</v>
      </c>
      <c r="D19" s="3" t="s">
        <v>53</v>
      </c>
      <c r="E19" s="5" t="s">
        <v>831</v>
      </c>
      <c r="F19" s="5" t="s">
        <v>58</v>
      </c>
      <c r="G19" s="3" t="s">
        <v>95</v>
      </c>
      <c r="H19" s="3" t="s">
        <v>78</v>
      </c>
      <c r="I19" s="3">
        <v>45</v>
      </c>
      <c r="J19" s="3">
        <v>8</v>
      </c>
      <c r="K19" s="3">
        <v>7</v>
      </c>
      <c r="L19" s="3">
        <v>7</v>
      </c>
      <c r="M19" s="6">
        <f>IFERROR(L19/K19*100,0)</f>
        <v>0</v>
      </c>
      <c r="N19" s="3" t="s">
        <v>293</v>
      </c>
    </row>
    <row r="20" spans="1:14">
      <c r="A20" s="3">
        <v>17</v>
      </c>
      <c r="B20" s="3" t="s">
        <v>843</v>
      </c>
      <c r="C20" s="4">
        <v>46119</v>
      </c>
      <c r="D20" s="3" t="s">
        <v>53</v>
      </c>
      <c r="E20" s="5" t="s">
        <v>824</v>
      </c>
      <c r="F20" s="5" t="s">
        <v>46</v>
      </c>
      <c r="G20" s="3" t="s">
        <v>40</v>
      </c>
      <c r="H20" s="3" t="s">
        <v>78</v>
      </c>
      <c r="I20" s="3">
        <v>67</v>
      </c>
      <c r="J20" s="3">
        <v>0</v>
      </c>
      <c r="K20" s="3">
        <v>4</v>
      </c>
      <c r="L20" s="3">
        <v>0</v>
      </c>
      <c r="M20" s="6">
        <f>IFERROR(L20/K20*100,0)</f>
        <v>0</v>
      </c>
      <c r="N20" s="3" t="s">
        <v>293</v>
      </c>
    </row>
    <row r="21" spans="1:14">
      <c r="A21" s="3">
        <v>18</v>
      </c>
      <c r="B21" s="3" t="s">
        <v>844</v>
      </c>
      <c r="C21" s="4">
        <v>46118</v>
      </c>
      <c r="D21" s="3" t="s">
        <v>53</v>
      </c>
      <c r="E21" s="5" t="s">
        <v>826</v>
      </c>
      <c r="F21" s="5" t="s">
        <v>50</v>
      </c>
      <c r="G21" s="3" t="s">
        <v>6</v>
      </c>
      <c r="H21" s="3" t="s">
        <v>93</v>
      </c>
      <c r="I21" s="3">
        <v>90</v>
      </c>
      <c r="J21" s="3">
        <v>5</v>
      </c>
      <c r="K21" s="3">
        <v>5</v>
      </c>
      <c r="L21" s="3">
        <v>8</v>
      </c>
      <c r="M21" s="6">
        <f>IFERROR(L21/K21*100,0)</f>
        <v>0</v>
      </c>
      <c r="N21" s="3" t="s">
        <v>293</v>
      </c>
    </row>
    <row r="22" spans="1:14">
      <c r="A22" s="3">
        <v>19</v>
      </c>
      <c r="B22" s="3" t="s">
        <v>845</v>
      </c>
      <c r="C22" s="4">
        <v>46124</v>
      </c>
      <c r="D22" s="3" t="s">
        <v>53</v>
      </c>
      <c r="E22" s="5" t="s">
        <v>836</v>
      </c>
      <c r="F22" s="5" t="s">
        <v>65</v>
      </c>
      <c r="G22" s="3" t="s">
        <v>6</v>
      </c>
      <c r="H22" s="3" t="s">
        <v>62</v>
      </c>
      <c r="I22" s="3">
        <v>22</v>
      </c>
      <c r="J22" s="3">
        <v>3</v>
      </c>
      <c r="K22" s="3">
        <v>4</v>
      </c>
      <c r="L22" s="3">
        <v>3</v>
      </c>
      <c r="M22" s="6">
        <f>IFERROR(L22/K22*100,0)</f>
        <v>0</v>
      </c>
      <c r="N22" s="3" t="s">
        <v>254</v>
      </c>
    </row>
    <row r="23" spans="1:14">
      <c r="A23" s="3">
        <v>20</v>
      </c>
      <c r="B23" s="3" t="s">
        <v>846</v>
      </c>
      <c r="C23" s="4">
        <v>46118</v>
      </c>
      <c r="D23" s="3" t="s">
        <v>53</v>
      </c>
      <c r="E23" s="5" t="s">
        <v>836</v>
      </c>
      <c r="F23" s="5" t="s">
        <v>65</v>
      </c>
      <c r="G23" s="3" t="s">
        <v>95</v>
      </c>
      <c r="H23" s="3" t="s">
        <v>66</v>
      </c>
      <c r="I23" s="3">
        <v>59</v>
      </c>
      <c r="J23" s="3">
        <v>2</v>
      </c>
      <c r="K23" s="3">
        <v>5</v>
      </c>
      <c r="L23" s="3">
        <v>6</v>
      </c>
      <c r="M23" s="6">
        <f>IFERROR(L23/K23*100,0)</f>
        <v>0</v>
      </c>
      <c r="N23" s="3" t="s">
        <v>293</v>
      </c>
    </row>
    <row r="24" spans="1:14">
      <c r="A24" s="3">
        <v>21</v>
      </c>
      <c r="B24" s="3" t="s">
        <v>847</v>
      </c>
      <c r="C24" s="4">
        <v>46123</v>
      </c>
      <c r="D24" s="3" t="s">
        <v>53</v>
      </c>
      <c r="E24" s="5" t="s">
        <v>836</v>
      </c>
      <c r="F24" s="5" t="s">
        <v>65</v>
      </c>
      <c r="G24" s="3" t="s">
        <v>77</v>
      </c>
      <c r="H24" s="3" t="s">
        <v>70</v>
      </c>
      <c r="I24" s="3">
        <v>119</v>
      </c>
      <c r="J24" s="3">
        <v>4</v>
      </c>
      <c r="K24" s="3">
        <v>7</v>
      </c>
      <c r="L24" s="3">
        <v>1</v>
      </c>
      <c r="M24" s="6">
        <f>IFERROR(L24/K24*100,0)</f>
        <v>0</v>
      </c>
      <c r="N24" s="3" t="s">
        <v>293</v>
      </c>
    </row>
    <row r="25" spans="1:14">
      <c r="A25" s="3">
        <v>22</v>
      </c>
      <c r="B25" s="3" t="s">
        <v>848</v>
      </c>
      <c r="C25" s="4">
        <v>46114</v>
      </c>
      <c r="D25" s="3" t="s">
        <v>53</v>
      </c>
      <c r="E25" s="5" t="s">
        <v>826</v>
      </c>
      <c r="F25" s="5" t="s">
        <v>50</v>
      </c>
      <c r="G25" s="3" t="s">
        <v>31</v>
      </c>
      <c r="H25" s="3" t="s">
        <v>28</v>
      </c>
      <c r="I25" s="3">
        <v>106</v>
      </c>
      <c r="J25" s="3">
        <v>1</v>
      </c>
      <c r="K25" s="3">
        <v>1</v>
      </c>
      <c r="L25" s="3">
        <v>1</v>
      </c>
      <c r="M25" s="6">
        <f>IFERROR(L25/K25*100,0)</f>
        <v>0</v>
      </c>
      <c r="N25" s="3" t="s">
        <v>254</v>
      </c>
    </row>
    <row r="26" spans="1:14">
      <c r="A26" s="3">
        <v>23</v>
      </c>
      <c r="B26" s="3" t="s">
        <v>849</v>
      </c>
      <c r="C26" s="4">
        <v>46145</v>
      </c>
      <c r="D26" s="3" t="s">
        <v>60</v>
      </c>
      <c r="E26" s="5" t="s">
        <v>824</v>
      </c>
      <c r="F26" s="5" t="s">
        <v>92</v>
      </c>
      <c r="G26" s="3" t="s">
        <v>35</v>
      </c>
      <c r="H26" s="3" t="s">
        <v>70</v>
      </c>
      <c r="I26" s="3">
        <v>40</v>
      </c>
      <c r="J26" s="3">
        <v>2</v>
      </c>
      <c r="K26" s="3">
        <v>7</v>
      </c>
      <c r="L26" s="3">
        <v>2</v>
      </c>
      <c r="M26" s="6">
        <f>IFERROR(L26/K26*100,0)</f>
        <v>0</v>
      </c>
      <c r="N26" s="3" t="s">
        <v>254</v>
      </c>
    </row>
    <row r="27" spans="1:14">
      <c r="A27" s="3">
        <v>24</v>
      </c>
      <c r="B27" s="3" t="s">
        <v>850</v>
      </c>
      <c r="C27" s="4">
        <v>46143</v>
      </c>
      <c r="D27" s="3" t="s">
        <v>60</v>
      </c>
      <c r="E27" s="5" t="s">
        <v>831</v>
      </c>
      <c r="F27" s="5" t="s">
        <v>46</v>
      </c>
      <c r="G27" s="3" t="s">
        <v>51</v>
      </c>
      <c r="H27" s="3" t="s">
        <v>68</v>
      </c>
      <c r="I27" s="3">
        <v>34</v>
      </c>
      <c r="J27" s="3">
        <v>7</v>
      </c>
      <c r="K27" s="3">
        <v>5</v>
      </c>
      <c r="L27" s="3">
        <v>5</v>
      </c>
      <c r="M27" s="6">
        <f>IFERROR(L27/K27*100,0)</f>
        <v>0</v>
      </c>
      <c r="N27" s="3" t="s">
        <v>254</v>
      </c>
    </row>
    <row r="28" spans="1:14">
      <c r="A28" s="3">
        <v>25</v>
      </c>
      <c r="B28" s="3" t="s">
        <v>851</v>
      </c>
      <c r="C28" s="4">
        <v>46201</v>
      </c>
      <c r="D28" s="3" t="s">
        <v>73</v>
      </c>
      <c r="E28" s="5" t="s">
        <v>831</v>
      </c>
      <c r="F28" s="5" t="s">
        <v>92</v>
      </c>
      <c r="G28" s="3" t="s">
        <v>82</v>
      </c>
      <c r="H28" s="3" t="s">
        <v>66</v>
      </c>
      <c r="I28" s="3">
        <v>31</v>
      </c>
      <c r="J28" s="3">
        <v>4</v>
      </c>
      <c r="K28" s="3">
        <v>3</v>
      </c>
      <c r="L28" s="3">
        <v>8</v>
      </c>
      <c r="M28" s="6">
        <f>IFERROR(L28/K28*100,0)</f>
        <v>0</v>
      </c>
      <c r="N28" s="3" t="s">
        <v>293</v>
      </c>
    </row>
    <row r="29" spans="1:14">
      <c r="A29" s="3">
        <v>26</v>
      </c>
      <c r="B29" s="3" t="s">
        <v>852</v>
      </c>
      <c r="C29" s="4">
        <v>46197</v>
      </c>
      <c r="D29" s="3" t="s">
        <v>73</v>
      </c>
      <c r="E29" s="5" t="s">
        <v>831</v>
      </c>
      <c r="F29" s="5" t="s">
        <v>46</v>
      </c>
      <c r="G29" s="3" t="s">
        <v>80</v>
      </c>
      <c r="H29" s="3" t="s">
        <v>66</v>
      </c>
      <c r="I29" s="3">
        <v>76</v>
      </c>
      <c r="J29" s="3">
        <v>4</v>
      </c>
      <c r="K29" s="3">
        <v>5</v>
      </c>
      <c r="L29" s="3">
        <v>1</v>
      </c>
      <c r="M29" s="6">
        <f>IFERROR(L29/K29*100,0)</f>
        <v>0</v>
      </c>
      <c r="N29" s="3" t="s">
        <v>254</v>
      </c>
    </row>
    <row r="30" spans="1:14">
      <c r="A30" s="3">
        <v>27</v>
      </c>
      <c r="B30" s="3" t="s">
        <v>853</v>
      </c>
      <c r="C30" s="4">
        <v>46180</v>
      </c>
      <c r="D30" s="3" t="s">
        <v>73</v>
      </c>
      <c r="E30" s="5" t="s">
        <v>836</v>
      </c>
      <c r="F30" s="5" t="s">
        <v>50</v>
      </c>
      <c r="G30" s="3" t="s">
        <v>77</v>
      </c>
      <c r="H30" s="3" t="s">
        <v>68</v>
      </c>
      <c r="I30" s="3">
        <v>74</v>
      </c>
      <c r="J30" s="3">
        <v>3</v>
      </c>
      <c r="K30" s="3">
        <v>6</v>
      </c>
      <c r="L30" s="3">
        <v>5</v>
      </c>
      <c r="M30" s="6">
        <f>IFERROR(L30/K30*100,0)</f>
        <v>0</v>
      </c>
      <c r="N30" s="3" t="s">
        <v>297</v>
      </c>
    </row>
    <row r="31" spans="1:14">
      <c r="A31" s="3">
        <v>28</v>
      </c>
      <c r="B31" s="3" t="s">
        <v>854</v>
      </c>
      <c r="C31" s="4">
        <v>46189</v>
      </c>
      <c r="D31" s="3" t="s">
        <v>73</v>
      </c>
      <c r="E31" s="5" t="s">
        <v>836</v>
      </c>
      <c r="F31" s="5" t="s">
        <v>13</v>
      </c>
      <c r="G31" s="3" t="s">
        <v>95</v>
      </c>
      <c r="H31" s="3" t="s">
        <v>28</v>
      </c>
      <c r="I31" s="3">
        <v>43</v>
      </c>
      <c r="J31" s="3">
        <v>2</v>
      </c>
      <c r="K31" s="3">
        <v>1</v>
      </c>
      <c r="L31" s="3">
        <v>4</v>
      </c>
      <c r="M31" s="6">
        <f>IFERROR(L31/K31*100,0)</f>
        <v>0</v>
      </c>
      <c r="N31" s="3" t="s">
        <v>254</v>
      </c>
    </row>
    <row r="32" spans="1:14">
      <c r="A32" s="3">
        <v>29</v>
      </c>
      <c r="B32" s="3" t="s">
        <v>855</v>
      </c>
      <c r="C32" s="4">
        <v>46177</v>
      </c>
      <c r="D32" s="3" t="s">
        <v>73</v>
      </c>
      <c r="E32" s="5" t="s">
        <v>824</v>
      </c>
      <c r="F32" s="5" t="s">
        <v>65</v>
      </c>
      <c r="G32" s="3" t="s">
        <v>82</v>
      </c>
      <c r="H32" s="3" t="s">
        <v>15</v>
      </c>
      <c r="I32" s="3">
        <v>89</v>
      </c>
      <c r="J32" s="3">
        <v>6</v>
      </c>
      <c r="K32" s="3">
        <v>1</v>
      </c>
      <c r="L32" s="3">
        <v>2</v>
      </c>
      <c r="M32" s="6">
        <f>IFERROR(L32/K32*100,0)</f>
        <v>0</v>
      </c>
      <c r="N32" s="3" t="s">
        <v>293</v>
      </c>
    </row>
    <row r="33" spans="1:14">
      <c r="A33" s="3">
        <v>30</v>
      </c>
      <c r="B33" s="3" t="s">
        <v>856</v>
      </c>
      <c r="C33" s="4">
        <v>46210</v>
      </c>
      <c r="D33" s="3" t="s">
        <v>76</v>
      </c>
      <c r="E33" s="5" t="s">
        <v>836</v>
      </c>
      <c r="F33" s="5" t="s">
        <v>13</v>
      </c>
      <c r="G33" s="3" t="s">
        <v>21</v>
      </c>
      <c r="H33" s="3" t="s">
        <v>62</v>
      </c>
      <c r="I33" s="3">
        <v>51</v>
      </c>
      <c r="J33" s="3">
        <v>8</v>
      </c>
      <c r="K33" s="3">
        <v>2</v>
      </c>
      <c r="L33" s="3">
        <v>1</v>
      </c>
      <c r="M33" s="6">
        <f>IFERROR(L33/K33*100,0)</f>
        <v>0</v>
      </c>
      <c r="N33" s="3" t="s">
        <v>293</v>
      </c>
    </row>
    <row r="34" spans="1:14">
      <c r="A34" s="3">
        <v>31</v>
      </c>
      <c r="B34" s="3" t="s">
        <v>857</v>
      </c>
      <c r="C34" s="4">
        <v>46220</v>
      </c>
      <c r="D34" s="3" t="s">
        <v>76</v>
      </c>
      <c r="E34" s="5" t="s">
        <v>824</v>
      </c>
      <c r="F34" s="5" t="s">
        <v>89</v>
      </c>
      <c r="G34" s="3" t="s">
        <v>95</v>
      </c>
      <c r="H34" s="3" t="s">
        <v>22</v>
      </c>
      <c r="I34" s="3">
        <v>76</v>
      </c>
      <c r="J34" s="3">
        <v>2</v>
      </c>
      <c r="K34" s="3">
        <v>8</v>
      </c>
      <c r="L34" s="3">
        <v>8</v>
      </c>
      <c r="M34" s="6">
        <f>IFERROR(L34/K34*100,0)</f>
        <v>0</v>
      </c>
      <c r="N34" s="3" t="s">
        <v>293</v>
      </c>
    </row>
    <row r="35" spans="1:14">
      <c r="A35" s="3">
        <v>32</v>
      </c>
      <c r="B35" s="3" t="s">
        <v>858</v>
      </c>
      <c r="C35" s="4">
        <v>46204</v>
      </c>
      <c r="D35" s="3" t="s">
        <v>76</v>
      </c>
      <c r="E35" s="5" t="s">
        <v>824</v>
      </c>
      <c r="F35" s="5" t="s">
        <v>50</v>
      </c>
      <c r="G35" s="3" t="s">
        <v>31</v>
      </c>
      <c r="H35" s="3" t="s">
        <v>70</v>
      </c>
      <c r="I35" s="3">
        <v>27</v>
      </c>
      <c r="J35" s="3">
        <v>3</v>
      </c>
      <c r="K35" s="3">
        <v>2</v>
      </c>
      <c r="L35" s="3">
        <v>4</v>
      </c>
      <c r="M35" s="6">
        <f>IFERROR(L35/K35*100,0)</f>
        <v>0</v>
      </c>
      <c r="N35" s="3" t="s">
        <v>293</v>
      </c>
    </row>
    <row r="36" spans="1:14">
      <c r="A36" s="3">
        <v>33</v>
      </c>
      <c r="B36" s="3" t="s">
        <v>859</v>
      </c>
      <c r="C36" s="4">
        <v>46238</v>
      </c>
      <c r="D36" s="3" t="s">
        <v>86</v>
      </c>
      <c r="E36" s="5" t="s">
        <v>831</v>
      </c>
      <c r="F36" s="5" t="s">
        <v>65</v>
      </c>
      <c r="G36" s="3" t="s">
        <v>51</v>
      </c>
      <c r="H36" s="3" t="s">
        <v>62</v>
      </c>
      <c r="I36" s="3">
        <v>68</v>
      </c>
      <c r="J36" s="3">
        <v>6</v>
      </c>
      <c r="K36" s="3">
        <v>3</v>
      </c>
      <c r="L36" s="3">
        <v>8</v>
      </c>
      <c r="M36" s="6">
        <f>IFERROR(L36/K36*100,0)</f>
        <v>0</v>
      </c>
      <c r="N36" s="3" t="s">
        <v>293</v>
      </c>
    </row>
    <row r="37" spans="1:14">
      <c r="A37" s="3">
        <v>34</v>
      </c>
      <c r="B37" s="3" t="s">
        <v>860</v>
      </c>
      <c r="C37" s="4">
        <v>46250</v>
      </c>
      <c r="D37" s="3" t="s">
        <v>86</v>
      </c>
      <c r="E37" s="5" t="s">
        <v>831</v>
      </c>
      <c r="F37" s="5" t="s">
        <v>50</v>
      </c>
      <c r="G37" s="3" t="s">
        <v>21</v>
      </c>
      <c r="H37" s="3" t="s">
        <v>68</v>
      </c>
      <c r="I37" s="3">
        <v>101</v>
      </c>
      <c r="J37" s="3">
        <v>1</v>
      </c>
      <c r="K37" s="3">
        <v>2</v>
      </c>
      <c r="L37" s="3">
        <v>1</v>
      </c>
      <c r="M37" s="6">
        <f>IFERROR(L37/K37*100,0)</f>
        <v>0</v>
      </c>
      <c r="N37" s="3" t="s">
        <v>293</v>
      </c>
    </row>
    <row r="38" spans="1:14">
      <c r="A38" s="3">
        <v>35</v>
      </c>
      <c r="B38" s="3" t="s">
        <v>861</v>
      </c>
      <c r="C38" s="4">
        <v>46249</v>
      </c>
      <c r="D38" s="3" t="s">
        <v>86</v>
      </c>
      <c r="E38" s="5" t="s">
        <v>831</v>
      </c>
      <c r="F38" s="5" t="s">
        <v>92</v>
      </c>
      <c r="G38" s="3" t="s">
        <v>77</v>
      </c>
      <c r="H38" s="3" t="s">
        <v>36</v>
      </c>
      <c r="I38" s="3">
        <v>76</v>
      </c>
      <c r="J38" s="3">
        <v>2</v>
      </c>
      <c r="K38" s="3">
        <v>3</v>
      </c>
      <c r="L38" s="3">
        <v>0</v>
      </c>
      <c r="M38" s="6">
        <f>IFERROR(L38/K38*100,0)</f>
        <v>0</v>
      </c>
      <c r="N38" s="3" t="s">
        <v>293</v>
      </c>
    </row>
    <row r="39" spans="1:14">
      <c r="A39" s="3">
        <v>36</v>
      </c>
      <c r="B39" s="3" t="s">
        <v>862</v>
      </c>
      <c r="C39" s="4">
        <v>46254</v>
      </c>
      <c r="D39" s="3" t="s">
        <v>86</v>
      </c>
      <c r="E39" s="5" t="s">
        <v>824</v>
      </c>
      <c r="F39" s="5" t="s">
        <v>50</v>
      </c>
      <c r="G39" s="3" t="s">
        <v>87</v>
      </c>
      <c r="H39" s="3" t="s">
        <v>68</v>
      </c>
      <c r="I39" s="3">
        <v>28</v>
      </c>
      <c r="J39" s="3">
        <v>6</v>
      </c>
      <c r="K39" s="3">
        <v>6</v>
      </c>
      <c r="L39" s="3">
        <v>0</v>
      </c>
      <c r="M39" s="6">
        <f>IFERROR(L39/K39*100,0)</f>
        <v>0</v>
      </c>
      <c r="N39" s="3" t="s">
        <v>293</v>
      </c>
    </row>
    <row r="40" spans="1:14">
      <c r="A40" s="3">
        <v>37</v>
      </c>
      <c r="B40" s="3" t="s">
        <v>863</v>
      </c>
      <c r="C40" s="4">
        <v>46271</v>
      </c>
      <c r="D40" s="3" t="s">
        <v>102</v>
      </c>
      <c r="E40" s="5" t="s">
        <v>831</v>
      </c>
      <c r="F40" s="5" t="s">
        <v>39</v>
      </c>
      <c r="G40" s="3" t="s">
        <v>77</v>
      </c>
      <c r="H40" s="3" t="s">
        <v>32</v>
      </c>
      <c r="I40" s="3">
        <v>118</v>
      </c>
      <c r="J40" s="3">
        <v>3</v>
      </c>
      <c r="K40" s="3">
        <v>3</v>
      </c>
      <c r="L40" s="3">
        <v>3</v>
      </c>
      <c r="M40" s="6">
        <f>IFERROR(L40/K40*100,0)</f>
        <v>0</v>
      </c>
      <c r="N40" s="3" t="s">
        <v>297</v>
      </c>
    </row>
    <row r="41" spans="1:14">
      <c r="A41" s="3">
        <v>38</v>
      </c>
      <c r="B41" s="3" t="s">
        <v>864</v>
      </c>
      <c r="C41" s="4">
        <v>46281</v>
      </c>
      <c r="D41" s="3" t="s">
        <v>102</v>
      </c>
      <c r="E41" s="5" t="s">
        <v>836</v>
      </c>
      <c r="F41" s="5" t="s">
        <v>58</v>
      </c>
      <c r="G41" s="3" t="s">
        <v>77</v>
      </c>
      <c r="H41" s="3" t="s">
        <v>36</v>
      </c>
      <c r="I41" s="3">
        <v>35</v>
      </c>
      <c r="J41" s="3">
        <v>0</v>
      </c>
      <c r="K41" s="3">
        <v>4</v>
      </c>
      <c r="L41" s="3">
        <v>6</v>
      </c>
      <c r="M41" s="6">
        <f>IFERROR(L41/K41*100,0)</f>
        <v>0</v>
      </c>
      <c r="N41" s="3" t="s">
        <v>293</v>
      </c>
    </row>
    <row r="42" spans="1:14">
      <c r="A42" s="3">
        <v>39</v>
      </c>
      <c r="B42" s="3" t="s">
        <v>865</v>
      </c>
      <c r="C42" s="4">
        <v>46267</v>
      </c>
      <c r="D42" s="3" t="s">
        <v>102</v>
      </c>
      <c r="E42" s="5" t="s">
        <v>824</v>
      </c>
      <c r="F42" s="5" t="s">
        <v>50</v>
      </c>
      <c r="G42" s="3" t="s">
        <v>82</v>
      </c>
      <c r="H42" s="3" t="s">
        <v>93</v>
      </c>
      <c r="I42" s="3">
        <v>84</v>
      </c>
      <c r="J42" s="3">
        <v>2</v>
      </c>
      <c r="K42" s="3">
        <v>6</v>
      </c>
      <c r="L42" s="3">
        <v>5</v>
      </c>
      <c r="M42" s="6">
        <f>IFERROR(L42/K42*100,0)</f>
        <v>0</v>
      </c>
      <c r="N42" s="3" t="s">
        <v>293</v>
      </c>
    </row>
    <row r="43" spans="1:14">
      <c r="A43" s="3">
        <v>40</v>
      </c>
      <c r="B43" s="3" t="s">
        <v>866</v>
      </c>
      <c r="C43" s="4">
        <v>46305</v>
      </c>
      <c r="D43" s="3" t="s">
        <v>106</v>
      </c>
      <c r="E43" s="5" t="s">
        <v>831</v>
      </c>
      <c r="F43" s="5" t="s">
        <v>58</v>
      </c>
      <c r="G43" s="3" t="s">
        <v>6</v>
      </c>
      <c r="H43" s="3" t="s">
        <v>32</v>
      </c>
      <c r="I43" s="3">
        <v>26</v>
      </c>
      <c r="J43" s="3">
        <v>7</v>
      </c>
      <c r="K43" s="3">
        <v>1</v>
      </c>
      <c r="L43" s="3">
        <v>1</v>
      </c>
      <c r="M43" s="6">
        <f>IFERROR(L43/K43*100,0)</f>
        <v>0</v>
      </c>
      <c r="N43" s="3" t="s">
        <v>254</v>
      </c>
    </row>
    <row r="44" spans="1:14">
      <c r="A44" s="3">
        <v>41</v>
      </c>
      <c r="B44" s="3" t="s">
        <v>867</v>
      </c>
      <c r="C44" s="4">
        <v>46309</v>
      </c>
      <c r="D44" s="3" t="s">
        <v>106</v>
      </c>
      <c r="E44" s="5" t="s">
        <v>826</v>
      </c>
      <c r="F44" s="5" t="s">
        <v>46</v>
      </c>
      <c r="G44" s="3" t="s">
        <v>82</v>
      </c>
      <c r="H44" s="3" t="s">
        <v>32</v>
      </c>
      <c r="I44" s="3">
        <v>100</v>
      </c>
      <c r="J44" s="3">
        <v>0</v>
      </c>
      <c r="K44" s="3">
        <v>6</v>
      </c>
      <c r="L44" s="3">
        <v>2</v>
      </c>
      <c r="M44" s="6">
        <f>IFERROR(L44/K44*100,0)</f>
        <v>0</v>
      </c>
      <c r="N44" s="3" t="s">
        <v>254</v>
      </c>
    </row>
    <row r="45" spans="1:14">
      <c r="A45" s="3">
        <v>42</v>
      </c>
      <c r="B45" s="3" t="s">
        <v>868</v>
      </c>
      <c r="C45" s="4">
        <v>46315</v>
      </c>
      <c r="D45" s="3" t="s">
        <v>106</v>
      </c>
      <c r="E45" s="5" t="s">
        <v>836</v>
      </c>
      <c r="F45" s="5" t="s">
        <v>13</v>
      </c>
      <c r="G45" s="3" t="s">
        <v>80</v>
      </c>
      <c r="H45" s="3" t="s">
        <v>28</v>
      </c>
      <c r="I45" s="3">
        <v>81</v>
      </c>
      <c r="J45" s="3">
        <v>4</v>
      </c>
      <c r="K45" s="3">
        <v>0</v>
      </c>
      <c r="L45" s="3">
        <v>1</v>
      </c>
      <c r="M45" s="6">
        <f>IFERROR(L45/K45*100,0)</f>
        <v>0</v>
      </c>
      <c r="N45" s="3" t="s">
        <v>293</v>
      </c>
    </row>
    <row r="46" spans="1:14">
      <c r="A46" s="3">
        <v>43</v>
      </c>
      <c r="B46" s="3" t="s">
        <v>869</v>
      </c>
      <c r="C46" s="4">
        <v>46318</v>
      </c>
      <c r="D46" s="3" t="s">
        <v>106</v>
      </c>
      <c r="E46" s="5" t="s">
        <v>824</v>
      </c>
      <c r="F46" s="5" t="s">
        <v>50</v>
      </c>
      <c r="G46" s="3" t="s">
        <v>31</v>
      </c>
      <c r="H46" s="3" t="s">
        <v>32</v>
      </c>
      <c r="I46" s="3">
        <v>59</v>
      </c>
      <c r="J46" s="3">
        <v>1</v>
      </c>
      <c r="K46" s="3">
        <v>2</v>
      </c>
      <c r="L46" s="3">
        <v>1</v>
      </c>
      <c r="M46" s="6">
        <f>IFERROR(L46/K46*100,0)</f>
        <v>0</v>
      </c>
      <c r="N46" s="3" t="s">
        <v>254</v>
      </c>
    </row>
    <row r="47" spans="1:14">
      <c r="A47" s="3">
        <v>44</v>
      </c>
      <c r="B47" s="3" t="s">
        <v>870</v>
      </c>
      <c r="C47" s="4">
        <v>46335</v>
      </c>
      <c r="D47" s="3" t="s">
        <v>111</v>
      </c>
      <c r="E47" s="5" t="s">
        <v>824</v>
      </c>
      <c r="F47" s="5" t="s">
        <v>58</v>
      </c>
      <c r="G47" s="3" t="s">
        <v>31</v>
      </c>
      <c r="H47" s="3" t="s">
        <v>66</v>
      </c>
      <c r="I47" s="3">
        <v>16</v>
      </c>
      <c r="J47" s="3">
        <v>5</v>
      </c>
      <c r="K47" s="3">
        <v>4</v>
      </c>
      <c r="L47" s="3">
        <v>6</v>
      </c>
      <c r="M47" s="6">
        <f>IFERROR(L47/K47*100,0)</f>
        <v>0</v>
      </c>
      <c r="N47" s="3" t="s">
        <v>293</v>
      </c>
    </row>
    <row r="48" spans="1:14">
      <c r="A48" s="3">
        <v>45</v>
      </c>
      <c r="B48" s="3" t="s">
        <v>871</v>
      </c>
      <c r="C48" s="4">
        <v>46362</v>
      </c>
      <c r="D48" s="3" t="s">
        <v>122</v>
      </c>
      <c r="E48" s="5" t="s">
        <v>831</v>
      </c>
      <c r="F48" s="5" t="s">
        <v>39</v>
      </c>
      <c r="G48" s="3" t="s">
        <v>14</v>
      </c>
      <c r="H48" s="3" t="s">
        <v>7</v>
      </c>
      <c r="I48" s="3">
        <v>31</v>
      </c>
      <c r="J48" s="3">
        <v>8</v>
      </c>
      <c r="K48" s="3">
        <v>0</v>
      </c>
      <c r="L48" s="3">
        <v>6</v>
      </c>
      <c r="M48" s="6">
        <f>IFERROR(L48/K48*100,0)</f>
        <v>0</v>
      </c>
      <c r="N48" s="3" t="s">
        <v>293</v>
      </c>
    </row>
    <row r="49" spans="1:14">
      <c r="A49" s="3">
        <v>46</v>
      </c>
      <c r="B49" s="3" t="s">
        <v>872</v>
      </c>
      <c r="C49" s="4">
        <v>46366</v>
      </c>
      <c r="D49" s="3" t="s">
        <v>122</v>
      </c>
      <c r="E49" s="5" t="s">
        <v>826</v>
      </c>
      <c r="F49" s="5" t="s">
        <v>5</v>
      </c>
      <c r="G49" s="3" t="s">
        <v>31</v>
      </c>
      <c r="H49" s="3" t="s">
        <v>28</v>
      </c>
      <c r="I49" s="3">
        <v>97</v>
      </c>
      <c r="J49" s="3">
        <v>2</v>
      </c>
      <c r="K49" s="3">
        <v>7</v>
      </c>
      <c r="L49" s="3">
        <v>3</v>
      </c>
      <c r="M49" s="6">
        <f>IFERROR(L49/K49*100,0)</f>
        <v>0</v>
      </c>
      <c r="N49" s="3" t="s">
        <v>297</v>
      </c>
    </row>
    <row r="50" spans="1:14">
      <c r="A50" s="3">
        <v>47</v>
      </c>
      <c r="B50" s="3" t="s">
        <v>873</v>
      </c>
      <c r="C50" s="4">
        <v>46361</v>
      </c>
      <c r="D50" s="3" t="s">
        <v>122</v>
      </c>
      <c r="E50" s="5" t="s">
        <v>826</v>
      </c>
      <c r="F50" s="5" t="s">
        <v>46</v>
      </c>
      <c r="G50" s="3" t="s">
        <v>77</v>
      </c>
      <c r="H50" s="3" t="s">
        <v>104</v>
      </c>
      <c r="I50" s="3">
        <v>66</v>
      </c>
      <c r="J50" s="3">
        <v>5</v>
      </c>
      <c r="K50" s="3">
        <v>0</v>
      </c>
      <c r="L50" s="3">
        <v>2</v>
      </c>
      <c r="M50" s="6">
        <f>IFERROR(L50/K50*100,0)</f>
        <v>0</v>
      </c>
      <c r="N50" s="3" t="s">
        <v>293</v>
      </c>
    </row>
    <row r="51" spans="1:14">
      <c r="A51" s="3">
        <v>48</v>
      </c>
      <c r="B51" s="3" t="s">
        <v>874</v>
      </c>
      <c r="C51" s="4">
        <v>46370</v>
      </c>
      <c r="D51" s="3" t="s">
        <v>122</v>
      </c>
      <c r="E51" s="5" t="s">
        <v>826</v>
      </c>
      <c r="F51" s="5" t="s">
        <v>13</v>
      </c>
      <c r="G51" s="3" t="s">
        <v>87</v>
      </c>
      <c r="H51" s="3" t="s">
        <v>104</v>
      </c>
      <c r="I51" s="3">
        <v>85</v>
      </c>
      <c r="J51" s="3">
        <v>8</v>
      </c>
      <c r="K51" s="3">
        <v>0</v>
      </c>
      <c r="L51" s="3">
        <v>5</v>
      </c>
      <c r="M51" s="6">
        <f>IFERROR(L51/K51*100,0)</f>
        <v>0</v>
      </c>
      <c r="N51" s="3" t="s">
        <v>293</v>
      </c>
    </row>
  </sheetData>
  <mergeCells count="2">
    <mergeCell ref="A1:N1"/>
    <mergeCell ref="A2:N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N4:N5003">
      <formula1>L_Status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14.7109375" customWidth="1"/>
    <col min="6" max="6" width="12.7109375" customWidth="1"/>
    <col min="7" max="7" width="17.7109375" customWidth="1"/>
    <col min="8" max="8" width="18.7109375" customWidth="1"/>
    <col min="9" max="9" width="14.7109375" customWidth="1"/>
    <col min="10" max="11" width="16.7109375" customWidth="1"/>
    <col min="12" max="12" width="18.7109375" customWidth="1"/>
    <col min="13" max="13" width="13.7109375" customWidth="1"/>
    <col min="14" max="14" width="17.7109375" customWidth="1"/>
    <col min="15" max="15" width="9.7109375" customWidth="1"/>
  </cols>
  <sheetData>
    <row r="1" spans="1:17" ht="22" customHeight="1">
      <c r="A1" s="1" t="s">
        <v>880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929</v>
      </c>
      <c r="C3" t="s">
        <v>126</v>
      </c>
      <c r="D3" t="s">
        <v>127</v>
      </c>
      <c r="E3" t="s">
        <v>930</v>
      </c>
      <c r="F3" t="s">
        <v>568</v>
      </c>
      <c r="G3" t="s">
        <v>931</v>
      </c>
      <c r="H3" t="s">
        <v>932</v>
      </c>
      <c r="I3" t="s">
        <v>134</v>
      </c>
      <c r="J3" t="s">
        <v>135</v>
      </c>
      <c r="K3" t="s">
        <v>933</v>
      </c>
      <c r="L3" t="s">
        <v>934</v>
      </c>
      <c r="M3" t="s">
        <v>573</v>
      </c>
      <c r="N3" t="s">
        <v>935</v>
      </c>
      <c r="O3" t="s">
        <v>287</v>
      </c>
    </row>
    <row r="4" spans="1:17">
      <c r="A4" s="3">
        <v>1</v>
      </c>
      <c r="B4" s="3" t="s">
        <v>881</v>
      </c>
      <c r="C4" s="4">
        <v>46034</v>
      </c>
      <c r="D4" s="3" t="s">
        <v>3</v>
      </c>
      <c r="E4" s="5" t="s">
        <v>20</v>
      </c>
      <c r="F4" s="5" t="s">
        <v>66</v>
      </c>
      <c r="G4" s="3">
        <v>12</v>
      </c>
      <c r="H4" s="3">
        <v>31</v>
      </c>
      <c r="I4" s="6">
        <f>IFERROR(H4/G4*100,0)</f>
        <v>0</v>
      </c>
      <c r="J4" s="3">
        <v>89</v>
      </c>
      <c r="K4" s="3">
        <v>5</v>
      </c>
      <c r="L4" s="3" t="s">
        <v>70</v>
      </c>
      <c r="M4" s="3"/>
      <c r="N4" s="3" t="s">
        <v>23</v>
      </c>
      <c r="O4" s="3" t="s">
        <v>238</v>
      </c>
    </row>
    <row r="5" spans="1:17">
      <c r="A5" s="3">
        <v>2</v>
      </c>
      <c r="B5" s="3" t="s">
        <v>882</v>
      </c>
      <c r="C5" s="4">
        <v>46033</v>
      </c>
      <c r="D5" s="3" t="s">
        <v>3</v>
      </c>
      <c r="E5" s="5" t="s">
        <v>16</v>
      </c>
      <c r="F5" s="5" t="s">
        <v>41</v>
      </c>
      <c r="G5" s="3">
        <v>13</v>
      </c>
      <c r="H5" s="3">
        <v>41</v>
      </c>
      <c r="I5" s="6">
        <f>IFERROR(H5/G5*100,0)</f>
        <v>0</v>
      </c>
      <c r="J5" s="3">
        <v>68</v>
      </c>
      <c r="K5" s="3">
        <v>6</v>
      </c>
      <c r="L5" s="3" t="s">
        <v>93</v>
      </c>
      <c r="M5" s="3"/>
      <c r="N5" s="3" t="s">
        <v>23</v>
      </c>
      <c r="O5" s="3" t="s">
        <v>254</v>
      </c>
    </row>
    <row r="6" spans="1:17">
      <c r="A6" s="3">
        <v>3</v>
      </c>
      <c r="B6" s="3" t="s">
        <v>883</v>
      </c>
      <c r="C6" s="4">
        <v>46033</v>
      </c>
      <c r="D6" s="3" t="s">
        <v>3</v>
      </c>
      <c r="E6" s="5" t="s">
        <v>91</v>
      </c>
      <c r="F6" s="5" t="s">
        <v>62</v>
      </c>
      <c r="G6" s="3">
        <v>39</v>
      </c>
      <c r="H6" s="3">
        <v>56</v>
      </c>
      <c r="I6" s="6">
        <f>IFERROR(H6/G6*100,0)</f>
        <v>0</v>
      </c>
      <c r="J6" s="3">
        <v>32</v>
      </c>
      <c r="K6" s="3">
        <v>6</v>
      </c>
      <c r="L6" s="3" t="s">
        <v>22</v>
      </c>
      <c r="M6" s="3"/>
      <c r="N6" s="3" t="s">
        <v>23</v>
      </c>
      <c r="O6" s="3" t="s">
        <v>254</v>
      </c>
    </row>
    <row r="7" spans="1:17">
      <c r="A7" s="3">
        <v>4</v>
      </c>
      <c r="B7" s="3" t="s">
        <v>884</v>
      </c>
      <c r="C7" s="4">
        <v>46028</v>
      </c>
      <c r="D7" s="3" t="s">
        <v>3</v>
      </c>
      <c r="E7" s="5" t="s">
        <v>64</v>
      </c>
      <c r="F7" s="5" t="s">
        <v>70</v>
      </c>
      <c r="G7" s="3">
        <v>45</v>
      </c>
      <c r="H7" s="3">
        <v>39</v>
      </c>
      <c r="I7" s="6">
        <f>IFERROR(H7/G7*100,0)</f>
        <v>0</v>
      </c>
      <c r="J7" s="3">
        <v>35</v>
      </c>
      <c r="K7" s="3">
        <v>1</v>
      </c>
      <c r="L7" s="3" t="s">
        <v>32</v>
      </c>
      <c r="M7" s="3"/>
      <c r="N7" s="3" t="s">
        <v>23</v>
      </c>
      <c r="O7" s="3" t="s">
        <v>254</v>
      </c>
    </row>
    <row r="8" spans="1:17">
      <c r="A8" s="3">
        <v>5</v>
      </c>
      <c r="B8" s="3" t="s">
        <v>885</v>
      </c>
      <c r="C8" s="4">
        <v>46028</v>
      </c>
      <c r="D8" s="3" t="s">
        <v>3</v>
      </c>
      <c r="E8" s="5" t="s">
        <v>12</v>
      </c>
      <c r="F8" s="5" t="s">
        <v>66</v>
      </c>
      <c r="G8" s="3">
        <v>58</v>
      </c>
      <c r="H8" s="3">
        <v>53</v>
      </c>
      <c r="I8" s="6">
        <f>IFERROR(H8/G8*100,0)</f>
        <v>0</v>
      </c>
      <c r="J8" s="3">
        <v>87</v>
      </c>
      <c r="K8" s="3">
        <v>2</v>
      </c>
      <c r="L8" s="3" t="s">
        <v>32</v>
      </c>
      <c r="M8" s="3"/>
      <c r="N8" s="3" t="s">
        <v>9</v>
      </c>
      <c r="O8" s="3" t="s">
        <v>293</v>
      </c>
    </row>
    <row r="9" spans="1:17">
      <c r="A9" s="3">
        <v>6</v>
      </c>
      <c r="B9" s="3" t="s">
        <v>886</v>
      </c>
      <c r="C9" s="4">
        <v>46056</v>
      </c>
      <c r="D9" s="3" t="s">
        <v>19</v>
      </c>
      <c r="E9" s="5" t="s">
        <v>57</v>
      </c>
      <c r="F9" s="5" t="s">
        <v>22</v>
      </c>
      <c r="G9" s="3">
        <v>50</v>
      </c>
      <c r="H9" s="3">
        <v>32</v>
      </c>
      <c r="I9" s="6">
        <f>IFERROR(H9/G9*100,0)</f>
        <v>0</v>
      </c>
      <c r="J9" s="3">
        <v>120</v>
      </c>
      <c r="K9" s="3">
        <v>8</v>
      </c>
      <c r="L9" s="3" t="s">
        <v>15</v>
      </c>
      <c r="M9" s="3"/>
      <c r="N9" s="3" t="s">
        <v>23</v>
      </c>
      <c r="O9" s="3" t="s">
        <v>293</v>
      </c>
    </row>
    <row r="10" spans="1:17">
      <c r="A10" s="3">
        <v>7</v>
      </c>
      <c r="B10" s="3" t="s">
        <v>887</v>
      </c>
      <c r="C10" s="4">
        <v>46065</v>
      </c>
      <c r="D10" s="3" t="s">
        <v>19</v>
      </c>
      <c r="E10" s="5" t="s">
        <v>57</v>
      </c>
      <c r="F10" s="5" t="s">
        <v>70</v>
      </c>
      <c r="G10" s="3">
        <v>29</v>
      </c>
      <c r="H10" s="3">
        <v>37</v>
      </c>
      <c r="I10" s="6">
        <f>IFERROR(H10/G10*100,0)</f>
        <v>0</v>
      </c>
      <c r="J10" s="3">
        <v>80</v>
      </c>
      <c r="K10" s="3">
        <v>0</v>
      </c>
      <c r="L10" s="3" t="s">
        <v>22</v>
      </c>
      <c r="M10" s="3"/>
      <c r="N10" s="3" t="s">
        <v>23</v>
      </c>
      <c r="O10" s="3" t="s">
        <v>293</v>
      </c>
    </row>
    <row r="11" spans="1:17">
      <c r="A11" s="3">
        <v>8</v>
      </c>
      <c r="B11" s="3" t="s">
        <v>888</v>
      </c>
      <c r="C11" s="4">
        <v>46070</v>
      </c>
      <c r="D11" s="3" t="s">
        <v>19</v>
      </c>
      <c r="E11" s="5" t="s">
        <v>61</v>
      </c>
      <c r="F11" s="5" t="s">
        <v>7</v>
      </c>
      <c r="G11" s="3">
        <v>20</v>
      </c>
      <c r="H11" s="3">
        <v>27</v>
      </c>
      <c r="I11" s="6">
        <f>IFERROR(H11/G11*100,0)</f>
        <v>0</v>
      </c>
      <c r="J11" s="3">
        <v>76</v>
      </c>
      <c r="K11" s="3">
        <v>2</v>
      </c>
      <c r="L11" s="3" t="s">
        <v>32</v>
      </c>
      <c r="M11" s="3"/>
      <c r="N11" s="3" t="s">
        <v>9</v>
      </c>
      <c r="O11" s="3" t="s">
        <v>297</v>
      </c>
    </row>
    <row r="12" spans="1:17">
      <c r="A12" s="3">
        <v>9</v>
      </c>
      <c r="B12" s="3" t="s">
        <v>889</v>
      </c>
      <c r="C12" s="4">
        <v>46069</v>
      </c>
      <c r="D12" s="3" t="s">
        <v>19</v>
      </c>
      <c r="E12" s="5" t="s">
        <v>49</v>
      </c>
      <c r="F12" s="5" t="s">
        <v>15</v>
      </c>
      <c r="G12" s="3">
        <v>57</v>
      </c>
      <c r="H12" s="3">
        <v>10</v>
      </c>
      <c r="I12" s="6">
        <f>IFERROR(H12/G12*100,0)</f>
        <v>0</v>
      </c>
      <c r="J12" s="3">
        <v>48</v>
      </c>
      <c r="K12" s="3">
        <v>6</v>
      </c>
      <c r="L12" s="3" t="s">
        <v>104</v>
      </c>
      <c r="M12" s="3"/>
      <c r="N12" s="3" t="s">
        <v>9</v>
      </c>
      <c r="O12" s="3" t="s">
        <v>293</v>
      </c>
    </row>
    <row r="13" spans="1:17">
      <c r="A13" s="3">
        <v>10</v>
      </c>
      <c r="B13" s="3" t="s">
        <v>890</v>
      </c>
      <c r="C13" s="4">
        <v>46082</v>
      </c>
      <c r="D13" s="3" t="s">
        <v>44</v>
      </c>
      <c r="E13" s="5" t="s">
        <v>4</v>
      </c>
      <c r="F13" s="5" t="s">
        <v>66</v>
      </c>
      <c r="G13" s="3">
        <v>50</v>
      </c>
      <c r="H13" s="3">
        <v>45</v>
      </c>
      <c r="I13" s="6">
        <f>IFERROR(H13/G13*100,0)</f>
        <v>0</v>
      </c>
      <c r="J13" s="3">
        <v>108</v>
      </c>
      <c r="K13" s="3">
        <v>8</v>
      </c>
      <c r="L13" s="3" t="s">
        <v>78</v>
      </c>
      <c r="M13" s="3"/>
      <c r="N13" s="3" t="s">
        <v>9</v>
      </c>
      <c r="O13" s="3" t="s">
        <v>293</v>
      </c>
    </row>
    <row r="14" spans="1:17">
      <c r="A14" s="3">
        <v>11</v>
      </c>
      <c r="B14" s="3" t="s">
        <v>891</v>
      </c>
      <c r="C14" s="4">
        <v>46085</v>
      </c>
      <c r="D14" s="3" t="s">
        <v>44</v>
      </c>
      <c r="E14" s="5" t="s">
        <v>16</v>
      </c>
      <c r="F14" s="5" t="s">
        <v>32</v>
      </c>
      <c r="G14" s="3">
        <v>19</v>
      </c>
      <c r="H14" s="3">
        <v>11</v>
      </c>
      <c r="I14" s="6">
        <f>IFERROR(H14/G14*100,0)</f>
        <v>0</v>
      </c>
      <c r="J14" s="3">
        <v>109</v>
      </c>
      <c r="K14" s="3">
        <v>7</v>
      </c>
      <c r="L14" s="3" t="s">
        <v>36</v>
      </c>
      <c r="M14" s="3"/>
      <c r="N14" s="3" t="s">
        <v>23</v>
      </c>
      <c r="O14" s="3" t="s">
        <v>293</v>
      </c>
    </row>
    <row r="15" spans="1:17">
      <c r="A15" s="3">
        <v>12</v>
      </c>
      <c r="B15" s="3" t="s">
        <v>892</v>
      </c>
      <c r="C15" s="4">
        <v>46091</v>
      </c>
      <c r="D15" s="3" t="s">
        <v>44</v>
      </c>
      <c r="E15" s="5" t="s">
        <v>12</v>
      </c>
      <c r="F15" s="5" t="s">
        <v>68</v>
      </c>
      <c r="G15" s="3">
        <v>20</v>
      </c>
      <c r="H15" s="3">
        <v>48</v>
      </c>
      <c r="I15" s="6">
        <f>IFERROR(H15/G15*100,0)</f>
        <v>0</v>
      </c>
      <c r="J15" s="3">
        <v>72</v>
      </c>
      <c r="K15" s="3">
        <v>5</v>
      </c>
      <c r="L15" s="3" t="s">
        <v>15</v>
      </c>
      <c r="M15" s="3"/>
      <c r="N15" s="3" t="s">
        <v>23</v>
      </c>
      <c r="O15" s="3" t="s">
        <v>293</v>
      </c>
    </row>
    <row r="16" spans="1:17">
      <c r="A16" s="3">
        <v>13</v>
      </c>
      <c r="B16" s="3" t="s">
        <v>893</v>
      </c>
      <c r="C16" s="4">
        <v>46094</v>
      </c>
      <c r="D16" s="3" t="s">
        <v>44</v>
      </c>
      <c r="E16" s="5" t="s">
        <v>54</v>
      </c>
      <c r="F16" s="5" t="s">
        <v>22</v>
      </c>
      <c r="G16" s="3">
        <v>42</v>
      </c>
      <c r="H16" s="3">
        <v>53</v>
      </c>
      <c r="I16" s="6">
        <f>IFERROR(H16/G16*100,0)</f>
        <v>0</v>
      </c>
      <c r="J16" s="3">
        <v>47</v>
      </c>
      <c r="K16" s="3">
        <v>4</v>
      </c>
      <c r="L16" s="3" t="s">
        <v>62</v>
      </c>
      <c r="M16" s="3"/>
      <c r="N16" s="3" t="s">
        <v>23</v>
      </c>
      <c r="O16" s="3" t="s">
        <v>293</v>
      </c>
    </row>
    <row r="17" spans="1:15">
      <c r="A17" s="3">
        <v>14</v>
      </c>
      <c r="B17" s="3" t="s">
        <v>894</v>
      </c>
      <c r="C17" s="4">
        <v>46101</v>
      </c>
      <c r="D17" s="3" t="s">
        <v>44</v>
      </c>
      <c r="E17" s="5" t="s">
        <v>38</v>
      </c>
      <c r="F17" s="5" t="s">
        <v>15</v>
      </c>
      <c r="G17" s="3">
        <v>40</v>
      </c>
      <c r="H17" s="3">
        <v>20</v>
      </c>
      <c r="I17" s="6">
        <f>IFERROR(H17/G17*100,0)</f>
        <v>0</v>
      </c>
      <c r="J17" s="3">
        <v>56</v>
      </c>
      <c r="K17" s="3">
        <v>7</v>
      </c>
      <c r="L17" s="3" t="s">
        <v>28</v>
      </c>
      <c r="M17" s="3"/>
      <c r="N17" s="3" t="s">
        <v>23</v>
      </c>
      <c r="O17" s="3" t="s">
        <v>293</v>
      </c>
    </row>
    <row r="18" spans="1:15">
      <c r="A18" s="3">
        <v>15</v>
      </c>
      <c r="B18" s="3" t="s">
        <v>895</v>
      </c>
      <c r="C18" s="4">
        <v>46086</v>
      </c>
      <c r="D18" s="3" t="s">
        <v>44</v>
      </c>
      <c r="E18" s="5" t="s">
        <v>57</v>
      </c>
      <c r="F18" s="5" t="s">
        <v>70</v>
      </c>
      <c r="G18" s="3">
        <v>39</v>
      </c>
      <c r="H18" s="3">
        <v>56</v>
      </c>
      <c r="I18" s="6">
        <f>IFERROR(H18/G18*100,0)</f>
        <v>0</v>
      </c>
      <c r="J18" s="3">
        <v>42</v>
      </c>
      <c r="K18" s="3">
        <v>0</v>
      </c>
      <c r="L18" s="3" t="s">
        <v>70</v>
      </c>
      <c r="M18" s="3"/>
      <c r="N18" s="3" t="s">
        <v>23</v>
      </c>
      <c r="O18" s="3" t="s">
        <v>293</v>
      </c>
    </row>
    <row r="19" spans="1:15">
      <c r="A19" s="3">
        <v>16</v>
      </c>
      <c r="B19" s="3" t="s">
        <v>896</v>
      </c>
      <c r="C19" s="4">
        <v>46113</v>
      </c>
      <c r="D19" s="3" t="s">
        <v>53</v>
      </c>
      <c r="E19" s="5" t="s">
        <v>12</v>
      </c>
      <c r="F19" s="5" t="s">
        <v>104</v>
      </c>
      <c r="G19" s="3">
        <v>46</v>
      </c>
      <c r="H19" s="3">
        <v>30</v>
      </c>
      <c r="I19" s="6">
        <f>IFERROR(H19/G19*100,0)</f>
        <v>0</v>
      </c>
      <c r="J19" s="3">
        <v>73</v>
      </c>
      <c r="K19" s="3">
        <v>2</v>
      </c>
      <c r="L19" s="3" t="s">
        <v>62</v>
      </c>
      <c r="M19" s="3"/>
      <c r="N19" s="3" t="s">
        <v>9</v>
      </c>
      <c r="O19" s="3" t="s">
        <v>293</v>
      </c>
    </row>
    <row r="20" spans="1:15">
      <c r="A20" s="3">
        <v>17</v>
      </c>
      <c r="B20" s="3" t="s">
        <v>897</v>
      </c>
      <c r="C20" s="4">
        <v>46138</v>
      </c>
      <c r="D20" s="3" t="s">
        <v>53</v>
      </c>
      <c r="E20" s="5" t="s">
        <v>45</v>
      </c>
      <c r="F20" s="5" t="s">
        <v>78</v>
      </c>
      <c r="G20" s="3">
        <v>23</v>
      </c>
      <c r="H20" s="3">
        <v>33</v>
      </c>
      <c r="I20" s="6">
        <f>IFERROR(H20/G20*100,0)</f>
        <v>0</v>
      </c>
      <c r="J20" s="3">
        <v>47</v>
      </c>
      <c r="K20" s="3">
        <v>4</v>
      </c>
      <c r="L20" s="3" t="s">
        <v>104</v>
      </c>
      <c r="M20" s="3"/>
      <c r="N20" s="3" t="s">
        <v>9</v>
      </c>
      <c r="O20" s="3" t="s">
        <v>238</v>
      </c>
    </row>
    <row r="21" spans="1:15">
      <c r="A21" s="3">
        <v>18</v>
      </c>
      <c r="B21" s="3" t="s">
        <v>898</v>
      </c>
      <c r="C21" s="4">
        <v>46137</v>
      </c>
      <c r="D21" s="3" t="s">
        <v>53</v>
      </c>
      <c r="E21" s="5" t="s">
        <v>38</v>
      </c>
      <c r="F21" s="5" t="s">
        <v>22</v>
      </c>
      <c r="G21" s="3">
        <v>47</v>
      </c>
      <c r="H21" s="3">
        <v>28</v>
      </c>
      <c r="I21" s="6">
        <f>IFERROR(H21/G21*100,0)</f>
        <v>0</v>
      </c>
      <c r="J21" s="3">
        <v>69</v>
      </c>
      <c r="K21" s="3">
        <v>8</v>
      </c>
      <c r="L21" s="3" t="s">
        <v>41</v>
      </c>
      <c r="M21" s="3"/>
      <c r="N21" s="3" t="s">
        <v>9</v>
      </c>
      <c r="O21" s="3" t="s">
        <v>293</v>
      </c>
    </row>
    <row r="22" spans="1:15">
      <c r="A22" s="3">
        <v>19</v>
      </c>
      <c r="B22" s="3" t="s">
        <v>899</v>
      </c>
      <c r="C22" s="4">
        <v>46140</v>
      </c>
      <c r="D22" s="3" t="s">
        <v>53</v>
      </c>
      <c r="E22" s="5" t="s">
        <v>54</v>
      </c>
      <c r="F22" s="5" t="s">
        <v>66</v>
      </c>
      <c r="G22" s="3">
        <v>46</v>
      </c>
      <c r="H22" s="3">
        <v>13</v>
      </c>
      <c r="I22" s="6">
        <f>IFERROR(H22/G22*100,0)</f>
        <v>0</v>
      </c>
      <c r="J22" s="3">
        <v>109</v>
      </c>
      <c r="K22" s="3">
        <v>4</v>
      </c>
      <c r="L22" s="3" t="s">
        <v>104</v>
      </c>
      <c r="M22" s="3"/>
      <c r="N22" s="3" t="s">
        <v>9</v>
      </c>
      <c r="O22" s="3" t="s">
        <v>293</v>
      </c>
    </row>
    <row r="23" spans="1:15">
      <c r="A23" s="3">
        <v>20</v>
      </c>
      <c r="B23" s="3" t="s">
        <v>900</v>
      </c>
      <c r="C23" s="4">
        <v>46162</v>
      </c>
      <c r="D23" s="3" t="s">
        <v>60</v>
      </c>
      <c r="E23" s="5" t="s">
        <v>4</v>
      </c>
      <c r="F23" s="5" t="s">
        <v>7</v>
      </c>
      <c r="G23" s="3">
        <v>49</v>
      </c>
      <c r="H23" s="3">
        <v>13</v>
      </c>
      <c r="I23" s="6">
        <f>IFERROR(H23/G23*100,0)</f>
        <v>0</v>
      </c>
      <c r="J23" s="3">
        <v>43</v>
      </c>
      <c r="K23" s="3">
        <v>2</v>
      </c>
      <c r="L23" s="3" t="s">
        <v>15</v>
      </c>
      <c r="M23" s="3"/>
      <c r="N23" s="3" t="s">
        <v>23</v>
      </c>
      <c r="O23" s="3" t="s">
        <v>293</v>
      </c>
    </row>
    <row r="24" spans="1:15">
      <c r="A24" s="3">
        <v>21</v>
      </c>
      <c r="B24" s="3" t="s">
        <v>901</v>
      </c>
      <c r="C24" s="4">
        <v>46147</v>
      </c>
      <c r="D24" s="3" t="s">
        <v>60</v>
      </c>
      <c r="E24" s="5" t="s">
        <v>91</v>
      </c>
      <c r="F24" s="5" t="s">
        <v>104</v>
      </c>
      <c r="G24" s="3">
        <v>16</v>
      </c>
      <c r="H24" s="3">
        <v>58</v>
      </c>
      <c r="I24" s="6">
        <f>IFERROR(H24/G24*100,0)</f>
        <v>0</v>
      </c>
      <c r="J24" s="3">
        <v>96</v>
      </c>
      <c r="K24" s="3">
        <v>4</v>
      </c>
      <c r="L24" s="3" t="s">
        <v>7</v>
      </c>
      <c r="M24" s="3"/>
      <c r="N24" s="3" t="s">
        <v>9</v>
      </c>
      <c r="O24" s="3" t="s">
        <v>293</v>
      </c>
    </row>
    <row r="25" spans="1:15">
      <c r="A25" s="3">
        <v>22</v>
      </c>
      <c r="B25" s="3" t="s">
        <v>902</v>
      </c>
      <c r="C25" s="4">
        <v>46145</v>
      </c>
      <c r="D25" s="3" t="s">
        <v>60</v>
      </c>
      <c r="E25" s="5" t="s">
        <v>57</v>
      </c>
      <c r="F25" s="5" t="s">
        <v>32</v>
      </c>
      <c r="G25" s="3">
        <v>56</v>
      </c>
      <c r="H25" s="3">
        <v>47</v>
      </c>
      <c r="I25" s="6">
        <f>IFERROR(H25/G25*100,0)</f>
        <v>0</v>
      </c>
      <c r="J25" s="3">
        <v>73</v>
      </c>
      <c r="K25" s="3">
        <v>3</v>
      </c>
      <c r="L25" s="3" t="s">
        <v>78</v>
      </c>
      <c r="M25" s="3"/>
      <c r="N25" s="3" t="s">
        <v>23</v>
      </c>
      <c r="O25" s="3" t="s">
        <v>293</v>
      </c>
    </row>
    <row r="26" spans="1:15">
      <c r="A26" s="3">
        <v>23</v>
      </c>
      <c r="B26" s="3" t="s">
        <v>903</v>
      </c>
      <c r="C26" s="4">
        <v>46193</v>
      </c>
      <c r="D26" s="3" t="s">
        <v>73</v>
      </c>
      <c r="E26" s="5" t="s">
        <v>12</v>
      </c>
      <c r="F26" s="5" t="s">
        <v>22</v>
      </c>
      <c r="G26" s="3">
        <v>57</v>
      </c>
      <c r="H26" s="3">
        <v>48</v>
      </c>
      <c r="I26" s="6">
        <f>IFERROR(H26/G26*100,0)</f>
        <v>0</v>
      </c>
      <c r="J26" s="3">
        <v>97</v>
      </c>
      <c r="K26" s="3">
        <v>0</v>
      </c>
      <c r="L26" s="3" t="s">
        <v>70</v>
      </c>
      <c r="M26" s="3"/>
      <c r="N26" s="3" t="s">
        <v>23</v>
      </c>
      <c r="O26" s="3" t="s">
        <v>293</v>
      </c>
    </row>
    <row r="27" spans="1:15">
      <c r="A27" s="3">
        <v>24</v>
      </c>
      <c r="B27" s="3" t="s">
        <v>904</v>
      </c>
      <c r="C27" s="4">
        <v>46186</v>
      </c>
      <c r="D27" s="3" t="s">
        <v>73</v>
      </c>
      <c r="E27" s="5" t="s">
        <v>30</v>
      </c>
      <c r="F27" s="5" t="s">
        <v>36</v>
      </c>
      <c r="G27" s="3">
        <v>18</v>
      </c>
      <c r="H27" s="3">
        <v>19</v>
      </c>
      <c r="I27" s="6">
        <f>IFERROR(H27/G27*100,0)</f>
        <v>0</v>
      </c>
      <c r="J27" s="3">
        <v>59</v>
      </c>
      <c r="K27" s="3">
        <v>6</v>
      </c>
      <c r="L27" s="3" t="s">
        <v>62</v>
      </c>
      <c r="M27" s="3"/>
      <c r="N27" s="3" t="s">
        <v>9</v>
      </c>
      <c r="O27" s="3" t="s">
        <v>293</v>
      </c>
    </row>
    <row r="28" spans="1:15">
      <c r="A28" s="3">
        <v>25</v>
      </c>
      <c r="B28" s="3" t="s">
        <v>905</v>
      </c>
      <c r="C28" s="4">
        <v>46177</v>
      </c>
      <c r="D28" s="3" t="s">
        <v>73</v>
      </c>
      <c r="E28" s="5" t="s">
        <v>4</v>
      </c>
      <c r="F28" s="5" t="s">
        <v>78</v>
      </c>
      <c r="G28" s="3">
        <v>37</v>
      </c>
      <c r="H28" s="3">
        <v>36</v>
      </c>
      <c r="I28" s="6">
        <f>IFERROR(H28/G28*100,0)</f>
        <v>0</v>
      </c>
      <c r="J28" s="3">
        <v>84</v>
      </c>
      <c r="K28" s="3">
        <v>3</v>
      </c>
      <c r="L28" s="3" t="s">
        <v>104</v>
      </c>
      <c r="M28" s="3"/>
      <c r="N28" s="3" t="s">
        <v>23</v>
      </c>
      <c r="O28" s="3" t="s">
        <v>293</v>
      </c>
    </row>
    <row r="29" spans="1:15">
      <c r="A29" s="3">
        <v>26</v>
      </c>
      <c r="B29" s="3" t="s">
        <v>906</v>
      </c>
      <c r="C29" s="4">
        <v>46210</v>
      </c>
      <c r="D29" s="3" t="s">
        <v>76</v>
      </c>
      <c r="E29" s="5" t="s">
        <v>54</v>
      </c>
      <c r="F29" s="5" t="s">
        <v>28</v>
      </c>
      <c r="G29" s="3">
        <v>49</v>
      </c>
      <c r="H29" s="3">
        <v>53</v>
      </c>
      <c r="I29" s="6">
        <f>IFERROR(H29/G29*100,0)</f>
        <v>0</v>
      </c>
      <c r="J29" s="3">
        <v>106</v>
      </c>
      <c r="K29" s="3">
        <v>2</v>
      </c>
      <c r="L29" s="3" t="s">
        <v>15</v>
      </c>
      <c r="M29" s="3"/>
      <c r="N29" s="3" t="s">
        <v>9</v>
      </c>
      <c r="O29" s="3" t="s">
        <v>254</v>
      </c>
    </row>
    <row r="30" spans="1:15">
      <c r="A30" s="3">
        <v>27</v>
      </c>
      <c r="B30" s="3" t="s">
        <v>907</v>
      </c>
      <c r="C30" s="4">
        <v>46216</v>
      </c>
      <c r="D30" s="3" t="s">
        <v>76</v>
      </c>
      <c r="E30" s="5" t="s">
        <v>57</v>
      </c>
      <c r="F30" s="5" t="s">
        <v>62</v>
      </c>
      <c r="G30" s="3">
        <v>51</v>
      </c>
      <c r="H30" s="3">
        <v>51</v>
      </c>
      <c r="I30" s="6">
        <f>IFERROR(H30/G30*100,0)</f>
        <v>0</v>
      </c>
      <c r="J30" s="3">
        <v>109</v>
      </c>
      <c r="K30" s="3">
        <v>3</v>
      </c>
      <c r="L30" s="3" t="s">
        <v>32</v>
      </c>
      <c r="M30" s="3"/>
      <c r="N30" s="3" t="s">
        <v>9</v>
      </c>
      <c r="O30" s="3" t="s">
        <v>238</v>
      </c>
    </row>
    <row r="31" spans="1:15">
      <c r="A31" s="3">
        <v>28</v>
      </c>
      <c r="B31" s="3" t="s">
        <v>908</v>
      </c>
      <c r="C31" s="4">
        <v>46206</v>
      </c>
      <c r="D31" s="3" t="s">
        <v>76</v>
      </c>
      <c r="E31" s="5" t="s">
        <v>20</v>
      </c>
      <c r="F31" s="5" t="s">
        <v>62</v>
      </c>
      <c r="G31" s="3">
        <v>55</v>
      </c>
      <c r="H31" s="3">
        <v>28</v>
      </c>
      <c r="I31" s="6">
        <f>IFERROR(H31/G31*100,0)</f>
        <v>0</v>
      </c>
      <c r="J31" s="3">
        <v>111</v>
      </c>
      <c r="K31" s="3">
        <v>0</v>
      </c>
      <c r="L31" s="3" t="s">
        <v>41</v>
      </c>
      <c r="M31" s="3"/>
      <c r="N31" s="3" t="s">
        <v>23</v>
      </c>
      <c r="O31" s="3" t="s">
        <v>297</v>
      </c>
    </row>
    <row r="32" spans="1:15">
      <c r="A32" s="3">
        <v>29</v>
      </c>
      <c r="B32" s="3" t="s">
        <v>909</v>
      </c>
      <c r="C32" s="4">
        <v>46250</v>
      </c>
      <c r="D32" s="3" t="s">
        <v>86</v>
      </c>
      <c r="E32" s="5" t="s">
        <v>30</v>
      </c>
      <c r="F32" s="5" t="s">
        <v>78</v>
      </c>
      <c r="G32" s="3">
        <v>41</v>
      </c>
      <c r="H32" s="3">
        <v>32</v>
      </c>
      <c r="I32" s="6">
        <f>IFERROR(H32/G32*100,0)</f>
        <v>0</v>
      </c>
      <c r="J32" s="3">
        <v>111</v>
      </c>
      <c r="K32" s="3">
        <v>6</v>
      </c>
      <c r="L32" s="3" t="s">
        <v>36</v>
      </c>
      <c r="M32" s="3"/>
      <c r="N32" s="3" t="s">
        <v>23</v>
      </c>
      <c r="O32" s="3" t="s">
        <v>254</v>
      </c>
    </row>
    <row r="33" spans="1:15">
      <c r="A33" s="3">
        <v>30</v>
      </c>
      <c r="B33" s="3" t="s">
        <v>910</v>
      </c>
      <c r="C33" s="4">
        <v>46235</v>
      </c>
      <c r="D33" s="3" t="s">
        <v>86</v>
      </c>
      <c r="E33" s="5" t="s">
        <v>20</v>
      </c>
      <c r="F33" s="5" t="s">
        <v>93</v>
      </c>
      <c r="G33" s="3">
        <v>28</v>
      </c>
      <c r="H33" s="3">
        <v>13</v>
      </c>
      <c r="I33" s="6">
        <f>IFERROR(H33/G33*100,0)</f>
        <v>0</v>
      </c>
      <c r="J33" s="3">
        <v>37</v>
      </c>
      <c r="K33" s="3">
        <v>8</v>
      </c>
      <c r="L33" s="3" t="s">
        <v>41</v>
      </c>
      <c r="M33" s="3"/>
      <c r="N33" s="3" t="s">
        <v>9</v>
      </c>
      <c r="O33" s="3" t="s">
        <v>254</v>
      </c>
    </row>
    <row r="34" spans="1:15">
      <c r="A34" s="3">
        <v>31</v>
      </c>
      <c r="B34" s="3" t="s">
        <v>911</v>
      </c>
      <c r="C34" s="4">
        <v>46240</v>
      </c>
      <c r="D34" s="3" t="s">
        <v>86</v>
      </c>
      <c r="E34" s="5" t="s">
        <v>49</v>
      </c>
      <c r="F34" s="5" t="s">
        <v>104</v>
      </c>
      <c r="G34" s="3">
        <v>44</v>
      </c>
      <c r="H34" s="3">
        <v>18</v>
      </c>
      <c r="I34" s="6">
        <f>IFERROR(H34/G34*100,0)</f>
        <v>0</v>
      </c>
      <c r="J34" s="3">
        <v>15</v>
      </c>
      <c r="K34" s="3">
        <v>7</v>
      </c>
      <c r="L34" s="3" t="s">
        <v>70</v>
      </c>
      <c r="M34" s="3"/>
      <c r="N34" s="3" t="s">
        <v>23</v>
      </c>
      <c r="O34" s="3" t="s">
        <v>297</v>
      </c>
    </row>
    <row r="35" spans="1:15">
      <c r="A35" s="3">
        <v>32</v>
      </c>
      <c r="B35" s="3" t="s">
        <v>912</v>
      </c>
      <c r="C35" s="4">
        <v>46240</v>
      </c>
      <c r="D35" s="3" t="s">
        <v>86</v>
      </c>
      <c r="E35" s="5" t="s">
        <v>20</v>
      </c>
      <c r="F35" s="5" t="s">
        <v>36</v>
      </c>
      <c r="G35" s="3">
        <v>49</v>
      </c>
      <c r="H35" s="3">
        <v>30</v>
      </c>
      <c r="I35" s="6">
        <f>IFERROR(H35/G35*100,0)</f>
        <v>0</v>
      </c>
      <c r="J35" s="3">
        <v>24</v>
      </c>
      <c r="K35" s="3">
        <v>5</v>
      </c>
      <c r="L35" s="3" t="s">
        <v>41</v>
      </c>
      <c r="M35" s="3"/>
      <c r="N35" s="3" t="s">
        <v>9</v>
      </c>
      <c r="O35" s="3" t="s">
        <v>293</v>
      </c>
    </row>
    <row r="36" spans="1:15">
      <c r="A36" s="3">
        <v>33</v>
      </c>
      <c r="B36" s="3" t="s">
        <v>913</v>
      </c>
      <c r="C36" s="4">
        <v>46252</v>
      </c>
      <c r="D36" s="3" t="s">
        <v>86</v>
      </c>
      <c r="E36" s="5" t="s">
        <v>4</v>
      </c>
      <c r="F36" s="5" t="s">
        <v>93</v>
      </c>
      <c r="G36" s="3">
        <v>10</v>
      </c>
      <c r="H36" s="3">
        <v>60</v>
      </c>
      <c r="I36" s="6">
        <f>IFERROR(H36/G36*100,0)</f>
        <v>0</v>
      </c>
      <c r="J36" s="3">
        <v>59</v>
      </c>
      <c r="K36" s="3">
        <v>7</v>
      </c>
      <c r="L36" s="3" t="s">
        <v>32</v>
      </c>
      <c r="M36" s="3"/>
      <c r="N36" s="3" t="s">
        <v>23</v>
      </c>
      <c r="O36" s="3" t="s">
        <v>293</v>
      </c>
    </row>
    <row r="37" spans="1:15">
      <c r="A37" s="3">
        <v>34</v>
      </c>
      <c r="B37" s="3" t="s">
        <v>914</v>
      </c>
      <c r="C37" s="4">
        <v>46268</v>
      </c>
      <c r="D37" s="3" t="s">
        <v>102</v>
      </c>
      <c r="E37" s="5" t="s">
        <v>20</v>
      </c>
      <c r="F37" s="5" t="s">
        <v>36</v>
      </c>
      <c r="G37" s="3">
        <v>30</v>
      </c>
      <c r="H37" s="3">
        <v>28</v>
      </c>
      <c r="I37" s="6">
        <f>IFERROR(H37/G37*100,0)</f>
        <v>0</v>
      </c>
      <c r="J37" s="3">
        <v>105</v>
      </c>
      <c r="K37" s="3">
        <v>5</v>
      </c>
      <c r="L37" s="3" t="s">
        <v>22</v>
      </c>
      <c r="M37" s="3"/>
      <c r="N37" s="3" t="s">
        <v>23</v>
      </c>
      <c r="O37" s="3" t="s">
        <v>293</v>
      </c>
    </row>
    <row r="38" spans="1:15">
      <c r="A38" s="3">
        <v>35</v>
      </c>
      <c r="B38" s="3" t="s">
        <v>915</v>
      </c>
      <c r="C38" s="4">
        <v>46284</v>
      </c>
      <c r="D38" s="3" t="s">
        <v>102</v>
      </c>
      <c r="E38" s="5" t="s">
        <v>4</v>
      </c>
      <c r="F38" s="5" t="s">
        <v>93</v>
      </c>
      <c r="G38" s="3">
        <v>51</v>
      </c>
      <c r="H38" s="3">
        <v>21</v>
      </c>
      <c r="I38" s="6">
        <f>IFERROR(H38/G38*100,0)</f>
        <v>0</v>
      </c>
      <c r="J38" s="3">
        <v>116</v>
      </c>
      <c r="K38" s="3">
        <v>5</v>
      </c>
      <c r="L38" s="3" t="s">
        <v>66</v>
      </c>
      <c r="M38" s="3"/>
      <c r="N38" s="3" t="s">
        <v>23</v>
      </c>
      <c r="O38" s="3" t="s">
        <v>293</v>
      </c>
    </row>
    <row r="39" spans="1:15">
      <c r="A39" s="3">
        <v>36</v>
      </c>
      <c r="B39" s="3" t="s">
        <v>916</v>
      </c>
      <c r="C39" s="4">
        <v>46274</v>
      </c>
      <c r="D39" s="3" t="s">
        <v>102</v>
      </c>
      <c r="E39" s="5" t="s">
        <v>12</v>
      </c>
      <c r="F39" s="5" t="s">
        <v>32</v>
      </c>
      <c r="G39" s="3">
        <v>12</v>
      </c>
      <c r="H39" s="3">
        <v>25</v>
      </c>
      <c r="I39" s="6">
        <f>IFERROR(H39/G39*100,0)</f>
        <v>0</v>
      </c>
      <c r="J39" s="3">
        <v>84</v>
      </c>
      <c r="K39" s="3">
        <v>2</v>
      </c>
      <c r="L39" s="3" t="s">
        <v>36</v>
      </c>
      <c r="M39" s="3"/>
      <c r="N39" s="3" t="s">
        <v>23</v>
      </c>
      <c r="O39" s="3" t="s">
        <v>254</v>
      </c>
    </row>
    <row r="40" spans="1:15">
      <c r="A40" s="3">
        <v>37</v>
      </c>
      <c r="B40" s="3" t="s">
        <v>917</v>
      </c>
      <c r="C40" s="4">
        <v>46323</v>
      </c>
      <c r="D40" s="3" t="s">
        <v>106</v>
      </c>
      <c r="E40" s="5" t="s">
        <v>64</v>
      </c>
      <c r="F40" s="5" t="s">
        <v>78</v>
      </c>
      <c r="G40" s="3">
        <v>21</v>
      </c>
      <c r="H40" s="3">
        <v>36</v>
      </c>
      <c r="I40" s="6">
        <f>IFERROR(H40/G40*100,0)</f>
        <v>0</v>
      </c>
      <c r="J40" s="3">
        <v>55</v>
      </c>
      <c r="K40" s="3">
        <v>5</v>
      </c>
      <c r="L40" s="3" t="s">
        <v>66</v>
      </c>
      <c r="M40" s="3"/>
      <c r="N40" s="3" t="s">
        <v>23</v>
      </c>
      <c r="O40" s="3" t="s">
        <v>293</v>
      </c>
    </row>
    <row r="41" spans="1:15">
      <c r="A41" s="3">
        <v>38</v>
      </c>
      <c r="B41" s="3" t="s">
        <v>918</v>
      </c>
      <c r="C41" s="4">
        <v>46298</v>
      </c>
      <c r="D41" s="3" t="s">
        <v>106</v>
      </c>
      <c r="E41" s="5" t="s">
        <v>91</v>
      </c>
      <c r="F41" s="5" t="s">
        <v>78</v>
      </c>
      <c r="G41" s="3">
        <v>17</v>
      </c>
      <c r="H41" s="3">
        <v>35</v>
      </c>
      <c r="I41" s="6">
        <f>IFERROR(H41/G41*100,0)</f>
        <v>0</v>
      </c>
      <c r="J41" s="3">
        <v>107</v>
      </c>
      <c r="K41" s="3">
        <v>2</v>
      </c>
      <c r="L41" s="3" t="s">
        <v>78</v>
      </c>
      <c r="M41" s="3"/>
      <c r="N41" s="3" t="s">
        <v>9</v>
      </c>
      <c r="O41" s="3" t="s">
        <v>254</v>
      </c>
    </row>
    <row r="42" spans="1:15">
      <c r="A42" s="3">
        <v>39</v>
      </c>
      <c r="B42" s="3" t="s">
        <v>919</v>
      </c>
      <c r="C42" s="4">
        <v>46320</v>
      </c>
      <c r="D42" s="3" t="s">
        <v>106</v>
      </c>
      <c r="E42" s="5" t="s">
        <v>49</v>
      </c>
      <c r="F42" s="5" t="s">
        <v>32</v>
      </c>
      <c r="G42" s="3">
        <v>55</v>
      </c>
      <c r="H42" s="3">
        <v>15</v>
      </c>
      <c r="I42" s="6">
        <f>IFERROR(H42/G42*100,0)</f>
        <v>0</v>
      </c>
      <c r="J42" s="3">
        <v>68</v>
      </c>
      <c r="K42" s="3">
        <v>8</v>
      </c>
      <c r="L42" s="3" t="s">
        <v>78</v>
      </c>
      <c r="M42" s="3"/>
      <c r="N42" s="3" t="s">
        <v>9</v>
      </c>
      <c r="O42" s="3" t="s">
        <v>297</v>
      </c>
    </row>
    <row r="43" spans="1:15">
      <c r="A43" s="3">
        <v>40</v>
      </c>
      <c r="B43" s="3" t="s">
        <v>920</v>
      </c>
      <c r="C43" s="4">
        <v>46297</v>
      </c>
      <c r="D43" s="3" t="s">
        <v>106</v>
      </c>
      <c r="E43" s="5" t="s">
        <v>49</v>
      </c>
      <c r="F43" s="5" t="s">
        <v>32</v>
      </c>
      <c r="G43" s="3">
        <v>57</v>
      </c>
      <c r="H43" s="3">
        <v>48</v>
      </c>
      <c r="I43" s="6">
        <f>IFERROR(H43/G43*100,0)</f>
        <v>0</v>
      </c>
      <c r="J43" s="3">
        <v>113</v>
      </c>
      <c r="K43" s="3">
        <v>0</v>
      </c>
      <c r="L43" s="3" t="s">
        <v>15</v>
      </c>
      <c r="M43" s="3"/>
      <c r="N43" s="3" t="s">
        <v>9</v>
      </c>
      <c r="O43" s="3" t="s">
        <v>293</v>
      </c>
    </row>
    <row r="44" spans="1:15">
      <c r="A44" s="3">
        <v>41</v>
      </c>
      <c r="B44" s="3" t="s">
        <v>921</v>
      </c>
      <c r="C44" s="4">
        <v>46318</v>
      </c>
      <c r="D44" s="3" t="s">
        <v>106</v>
      </c>
      <c r="E44" s="5" t="s">
        <v>64</v>
      </c>
      <c r="F44" s="5" t="s">
        <v>93</v>
      </c>
      <c r="G44" s="3">
        <v>31</v>
      </c>
      <c r="H44" s="3">
        <v>22</v>
      </c>
      <c r="I44" s="6">
        <f>IFERROR(H44/G44*100,0)</f>
        <v>0</v>
      </c>
      <c r="J44" s="3">
        <v>66</v>
      </c>
      <c r="K44" s="3">
        <v>5</v>
      </c>
      <c r="L44" s="3" t="s">
        <v>68</v>
      </c>
      <c r="M44" s="3"/>
      <c r="N44" s="3" t="s">
        <v>23</v>
      </c>
      <c r="O44" s="3" t="s">
        <v>293</v>
      </c>
    </row>
    <row r="45" spans="1:15">
      <c r="A45" s="3">
        <v>42</v>
      </c>
      <c r="B45" s="3" t="s">
        <v>922</v>
      </c>
      <c r="C45" s="4">
        <v>46300</v>
      </c>
      <c r="D45" s="3" t="s">
        <v>106</v>
      </c>
      <c r="E45" s="5" t="s">
        <v>30</v>
      </c>
      <c r="F45" s="5" t="s">
        <v>70</v>
      </c>
      <c r="G45" s="3">
        <v>37</v>
      </c>
      <c r="H45" s="3">
        <v>46</v>
      </c>
      <c r="I45" s="6">
        <f>IFERROR(H45/G45*100,0)</f>
        <v>0</v>
      </c>
      <c r="J45" s="3">
        <v>56</v>
      </c>
      <c r="K45" s="3">
        <v>2</v>
      </c>
      <c r="L45" s="3" t="s">
        <v>36</v>
      </c>
      <c r="M45" s="3"/>
      <c r="N45" s="3" t="s">
        <v>23</v>
      </c>
      <c r="O45" s="3" t="s">
        <v>293</v>
      </c>
    </row>
    <row r="46" spans="1:15">
      <c r="A46" s="3">
        <v>43</v>
      </c>
      <c r="B46" s="3" t="s">
        <v>923</v>
      </c>
      <c r="C46" s="4">
        <v>46316</v>
      </c>
      <c r="D46" s="3" t="s">
        <v>106</v>
      </c>
      <c r="E46" s="5" t="s">
        <v>57</v>
      </c>
      <c r="F46" s="5" t="s">
        <v>41</v>
      </c>
      <c r="G46" s="3">
        <v>50</v>
      </c>
      <c r="H46" s="3">
        <v>54</v>
      </c>
      <c r="I46" s="6">
        <f>IFERROR(H46/G46*100,0)</f>
        <v>0</v>
      </c>
      <c r="J46" s="3">
        <v>74</v>
      </c>
      <c r="K46" s="3">
        <v>7</v>
      </c>
      <c r="L46" s="3" t="s">
        <v>32</v>
      </c>
      <c r="M46" s="3"/>
      <c r="N46" s="3" t="s">
        <v>9</v>
      </c>
      <c r="O46" s="3" t="s">
        <v>254</v>
      </c>
    </row>
    <row r="47" spans="1:15">
      <c r="A47" s="3">
        <v>44</v>
      </c>
      <c r="B47" s="3" t="s">
        <v>924</v>
      </c>
      <c r="C47" s="4">
        <v>46305</v>
      </c>
      <c r="D47" s="3" t="s">
        <v>106</v>
      </c>
      <c r="E47" s="5" t="s">
        <v>20</v>
      </c>
      <c r="F47" s="5" t="s">
        <v>36</v>
      </c>
      <c r="G47" s="3">
        <v>10</v>
      </c>
      <c r="H47" s="3">
        <v>21</v>
      </c>
      <c r="I47" s="6">
        <f>IFERROR(H47/G47*100,0)</f>
        <v>0</v>
      </c>
      <c r="J47" s="3">
        <v>52</v>
      </c>
      <c r="K47" s="3">
        <v>0</v>
      </c>
      <c r="L47" s="3" t="s">
        <v>104</v>
      </c>
      <c r="M47" s="3"/>
      <c r="N47" s="3" t="s">
        <v>9</v>
      </c>
      <c r="O47" s="3" t="s">
        <v>293</v>
      </c>
    </row>
    <row r="48" spans="1:15">
      <c r="A48" s="3">
        <v>45</v>
      </c>
      <c r="B48" s="3" t="s">
        <v>925</v>
      </c>
      <c r="C48" s="4">
        <v>46320</v>
      </c>
      <c r="D48" s="3" t="s">
        <v>106</v>
      </c>
      <c r="E48" s="5" t="s">
        <v>38</v>
      </c>
      <c r="F48" s="5" t="s">
        <v>22</v>
      </c>
      <c r="G48" s="3">
        <v>34</v>
      </c>
      <c r="H48" s="3">
        <v>28</v>
      </c>
      <c r="I48" s="6">
        <f>IFERROR(H48/G48*100,0)</f>
        <v>0</v>
      </c>
      <c r="J48" s="3">
        <v>119</v>
      </c>
      <c r="K48" s="3">
        <v>7</v>
      </c>
      <c r="L48" s="3" t="s">
        <v>93</v>
      </c>
      <c r="M48" s="3"/>
      <c r="N48" s="3" t="s">
        <v>9</v>
      </c>
      <c r="O48" s="3" t="s">
        <v>293</v>
      </c>
    </row>
    <row r="49" spans="1:15">
      <c r="A49" s="3">
        <v>46</v>
      </c>
      <c r="B49" s="3" t="s">
        <v>926</v>
      </c>
      <c r="C49" s="4">
        <v>46303</v>
      </c>
      <c r="D49" s="3" t="s">
        <v>106</v>
      </c>
      <c r="E49" s="5" t="s">
        <v>61</v>
      </c>
      <c r="F49" s="5" t="s">
        <v>41</v>
      </c>
      <c r="G49" s="3">
        <v>36</v>
      </c>
      <c r="H49" s="3">
        <v>46</v>
      </c>
      <c r="I49" s="6">
        <f>IFERROR(H49/G49*100,0)</f>
        <v>0</v>
      </c>
      <c r="J49" s="3">
        <v>79</v>
      </c>
      <c r="K49" s="3">
        <v>7</v>
      </c>
      <c r="L49" s="3" t="s">
        <v>70</v>
      </c>
      <c r="M49" s="3"/>
      <c r="N49" s="3" t="s">
        <v>9</v>
      </c>
      <c r="O49" s="3" t="s">
        <v>293</v>
      </c>
    </row>
    <row r="50" spans="1:15">
      <c r="A50" s="3">
        <v>47</v>
      </c>
      <c r="B50" s="3" t="s">
        <v>927</v>
      </c>
      <c r="C50" s="4">
        <v>46331</v>
      </c>
      <c r="D50" s="3" t="s">
        <v>111</v>
      </c>
      <c r="E50" s="5" t="s">
        <v>16</v>
      </c>
      <c r="F50" s="5" t="s">
        <v>70</v>
      </c>
      <c r="G50" s="3">
        <v>20</v>
      </c>
      <c r="H50" s="3">
        <v>45</v>
      </c>
      <c r="I50" s="6">
        <f>IFERROR(H50/G50*100,0)</f>
        <v>0</v>
      </c>
      <c r="J50" s="3">
        <v>94</v>
      </c>
      <c r="K50" s="3">
        <v>6</v>
      </c>
      <c r="L50" s="3" t="s">
        <v>93</v>
      </c>
      <c r="M50" s="3"/>
      <c r="N50" s="3" t="s">
        <v>23</v>
      </c>
      <c r="O50" s="3" t="s">
        <v>293</v>
      </c>
    </row>
    <row r="51" spans="1:15">
      <c r="A51" s="3">
        <v>48</v>
      </c>
      <c r="B51" s="3" t="s">
        <v>928</v>
      </c>
      <c r="C51" s="4">
        <v>46337</v>
      </c>
      <c r="D51" s="3" t="s">
        <v>111</v>
      </c>
      <c r="E51" s="5" t="s">
        <v>12</v>
      </c>
      <c r="F51" s="5" t="s">
        <v>41</v>
      </c>
      <c r="G51" s="3">
        <v>32</v>
      </c>
      <c r="H51" s="3">
        <v>12</v>
      </c>
      <c r="I51" s="6">
        <f>IFERROR(H51/G51*100,0)</f>
        <v>0</v>
      </c>
      <c r="J51" s="3">
        <v>20</v>
      </c>
      <c r="K51" s="3">
        <v>2</v>
      </c>
      <c r="L51" s="3" t="s">
        <v>15</v>
      </c>
      <c r="M51" s="3"/>
      <c r="N51" s="3" t="s">
        <v>23</v>
      </c>
      <c r="O51" s="3" t="s">
        <v>238</v>
      </c>
    </row>
  </sheetData>
  <mergeCells count="2">
    <mergeCell ref="A1:O1"/>
    <mergeCell ref="A2:O2"/>
  </mergeCells>
  <dataValidations count="1">
    <dataValidation type="list" allowBlank="1" showInputMessage="1" showErrorMessage="1" sqref="O4:O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5" width="16.7109375" customWidth="1"/>
    <col min="6" max="6" width="12.7109375" customWidth="1"/>
    <col min="7" max="7" width="15.7109375" customWidth="1"/>
    <col min="8" max="8" width="14.7109375" customWidth="1"/>
    <col min="9" max="9" width="15.7109375" customWidth="1"/>
    <col min="10" max="10" width="13.7109375" customWidth="1"/>
    <col min="11" max="11" width="9.7109375" customWidth="1"/>
  </cols>
  <sheetData>
    <row r="1" spans="1:13" ht="22" customHeight="1">
      <c r="A1" s="1" t="s">
        <v>936</v>
      </c>
      <c r="B1" s="1"/>
      <c r="C1" s="1"/>
      <c r="D1" s="1"/>
      <c r="E1" s="1"/>
      <c r="F1" s="1"/>
      <c r="G1" s="1"/>
      <c r="H1" s="1"/>
      <c r="I1" s="1"/>
      <c r="J1" s="1"/>
      <c r="K1" s="1"/>
      <c r="M1" s="2" t="s">
        <v>139</v>
      </c>
    </row>
    <row r="2" spans="1:13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</row>
    <row r="3" spans="1:13">
      <c r="A3" t="s">
        <v>124</v>
      </c>
      <c r="B3" t="s">
        <v>994</v>
      </c>
      <c r="C3" t="s">
        <v>126</v>
      </c>
      <c r="D3" t="s">
        <v>127</v>
      </c>
      <c r="E3" t="s">
        <v>995</v>
      </c>
      <c r="F3" t="s">
        <v>129</v>
      </c>
      <c r="G3" t="s">
        <v>996</v>
      </c>
      <c r="H3" t="s">
        <v>356</v>
      </c>
      <c r="I3" t="s">
        <v>997</v>
      </c>
      <c r="J3" t="s">
        <v>209</v>
      </c>
      <c r="K3" t="s">
        <v>287</v>
      </c>
    </row>
    <row r="4" spans="1:13">
      <c r="A4" s="3">
        <v>1</v>
      </c>
      <c r="B4" s="3" t="s">
        <v>937</v>
      </c>
      <c r="C4" s="4">
        <v>46047</v>
      </c>
      <c r="D4" s="3" t="s">
        <v>3</v>
      </c>
      <c r="E4" s="5" t="s">
        <v>938</v>
      </c>
      <c r="F4" s="5" t="s">
        <v>58</v>
      </c>
      <c r="G4" s="3" t="s">
        <v>62</v>
      </c>
      <c r="H4" s="3" t="s">
        <v>313</v>
      </c>
      <c r="I4" s="3" t="s">
        <v>939</v>
      </c>
      <c r="J4" s="3" t="s">
        <v>41</v>
      </c>
      <c r="K4" s="3" t="s">
        <v>297</v>
      </c>
    </row>
    <row r="5" spans="1:13">
      <c r="A5" s="3">
        <v>2</v>
      </c>
      <c r="B5" s="3" t="s">
        <v>940</v>
      </c>
      <c r="C5" s="4">
        <v>46043</v>
      </c>
      <c r="D5" s="3" t="s">
        <v>3</v>
      </c>
      <c r="E5" s="5" t="s">
        <v>938</v>
      </c>
      <c r="F5" s="5" t="s">
        <v>5</v>
      </c>
      <c r="G5" s="3" t="s">
        <v>62</v>
      </c>
      <c r="H5" s="3" t="s">
        <v>298</v>
      </c>
      <c r="I5" s="3" t="s">
        <v>939</v>
      </c>
      <c r="J5" s="3" t="s">
        <v>7</v>
      </c>
      <c r="K5" s="3" t="s">
        <v>293</v>
      </c>
    </row>
    <row r="6" spans="1:13">
      <c r="A6" s="3">
        <v>3</v>
      </c>
      <c r="B6" s="3" t="s">
        <v>941</v>
      </c>
      <c r="C6" s="4">
        <v>46028</v>
      </c>
      <c r="D6" s="3" t="s">
        <v>3</v>
      </c>
      <c r="E6" s="5" t="s">
        <v>942</v>
      </c>
      <c r="F6" s="5" t="s">
        <v>58</v>
      </c>
      <c r="G6" s="3" t="s">
        <v>70</v>
      </c>
      <c r="H6" s="3" t="s">
        <v>313</v>
      </c>
      <c r="I6" s="3" t="s">
        <v>939</v>
      </c>
      <c r="J6" s="3" t="s">
        <v>7</v>
      </c>
      <c r="K6" s="3" t="s">
        <v>293</v>
      </c>
    </row>
    <row r="7" spans="1:13">
      <c r="A7" s="3">
        <v>4</v>
      </c>
      <c r="B7" s="3" t="s">
        <v>943</v>
      </c>
      <c r="C7" s="4">
        <v>46062</v>
      </c>
      <c r="D7" s="3" t="s">
        <v>19</v>
      </c>
      <c r="E7" s="5" t="s">
        <v>938</v>
      </c>
      <c r="F7" s="5" t="s">
        <v>27</v>
      </c>
      <c r="G7" s="3" t="s">
        <v>70</v>
      </c>
      <c r="H7" s="3" t="s">
        <v>310</v>
      </c>
      <c r="I7" s="3" t="s">
        <v>944</v>
      </c>
      <c r="J7" s="3" t="s">
        <v>41</v>
      </c>
      <c r="K7" s="3" t="s">
        <v>254</v>
      </c>
    </row>
    <row r="8" spans="1:13">
      <c r="A8" s="3">
        <v>5</v>
      </c>
      <c r="B8" s="3" t="s">
        <v>945</v>
      </c>
      <c r="C8" s="4">
        <v>46056</v>
      </c>
      <c r="D8" s="3" t="s">
        <v>19</v>
      </c>
      <c r="E8" s="5" t="s">
        <v>946</v>
      </c>
      <c r="F8" s="5" t="s">
        <v>58</v>
      </c>
      <c r="G8" s="3" t="s">
        <v>66</v>
      </c>
      <c r="H8" s="3" t="s">
        <v>298</v>
      </c>
      <c r="I8" s="3" t="s">
        <v>947</v>
      </c>
      <c r="J8" s="3" t="s">
        <v>66</v>
      </c>
      <c r="K8" s="3" t="s">
        <v>293</v>
      </c>
    </row>
    <row r="9" spans="1:13">
      <c r="A9" s="3">
        <v>6</v>
      </c>
      <c r="B9" s="3" t="s">
        <v>948</v>
      </c>
      <c r="C9" s="4">
        <v>46092</v>
      </c>
      <c r="D9" s="3" t="s">
        <v>44</v>
      </c>
      <c r="E9" s="5" t="s">
        <v>946</v>
      </c>
      <c r="F9" s="5" t="s">
        <v>50</v>
      </c>
      <c r="G9" s="3" t="s">
        <v>15</v>
      </c>
      <c r="H9" s="3" t="s">
        <v>310</v>
      </c>
      <c r="I9" s="3" t="s">
        <v>939</v>
      </c>
      <c r="J9" s="3" t="s">
        <v>22</v>
      </c>
      <c r="K9" s="3" t="s">
        <v>254</v>
      </c>
    </row>
    <row r="10" spans="1:13">
      <c r="A10" s="3">
        <v>7</v>
      </c>
      <c r="B10" s="3" t="s">
        <v>949</v>
      </c>
      <c r="C10" s="4">
        <v>46100</v>
      </c>
      <c r="D10" s="3" t="s">
        <v>44</v>
      </c>
      <c r="E10" s="5" t="s">
        <v>938</v>
      </c>
      <c r="F10" s="5" t="s">
        <v>65</v>
      </c>
      <c r="G10" s="3" t="s">
        <v>22</v>
      </c>
      <c r="H10" s="3" t="s">
        <v>313</v>
      </c>
      <c r="I10" s="3" t="s">
        <v>944</v>
      </c>
      <c r="J10" s="3" t="s">
        <v>22</v>
      </c>
      <c r="K10" s="3" t="s">
        <v>254</v>
      </c>
    </row>
    <row r="11" spans="1:13">
      <c r="A11" s="3">
        <v>8</v>
      </c>
      <c r="B11" s="3" t="s">
        <v>950</v>
      </c>
      <c r="C11" s="4">
        <v>46100</v>
      </c>
      <c r="D11" s="3" t="s">
        <v>44</v>
      </c>
      <c r="E11" s="5" t="s">
        <v>951</v>
      </c>
      <c r="F11" s="5" t="s">
        <v>5</v>
      </c>
      <c r="G11" s="3" t="s">
        <v>32</v>
      </c>
      <c r="H11" s="3" t="s">
        <v>313</v>
      </c>
      <c r="I11" s="3" t="s">
        <v>939</v>
      </c>
      <c r="J11" s="3" t="s">
        <v>104</v>
      </c>
      <c r="K11" s="3" t="s">
        <v>293</v>
      </c>
    </row>
    <row r="12" spans="1:13">
      <c r="A12" s="3">
        <v>9</v>
      </c>
      <c r="B12" s="3" t="s">
        <v>952</v>
      </c>
      <c r="C12" s="4">
        <v>46138</v>
      </c>
      <c r="D12" s="3" t="s">
        <v>53</v>
      </c>
      <c r="E12" s="5" t="s">
        <v>938</v>
      </c>
      <c r="F12" s="5" t="s">
        <v>92</v>
      </c>
      <c r="G12" s="3" t="s">
        <v>32</v>
      </c>
      <c r="H12" s="3" t="s">
        <v>294</v>
      </c>
      <c r="I12" s="3" t="s">
        <v>939</v>
      </c>
      <c r="J12" s="3" t="s">
        <v>15</v>
      </c>
      <c r="K12" s="3" t="s">
        <v>293</v>
      </c>
    </row>
    <row r="13" spans="1:13">
      <c r="A13" s="3">
        <v>10</v>
      </c>
      <c r="B13" s="3" t="s">
        <v>953</v>
      </c>
      <c r="C13" s="4">
        <v>46136</v>
      </c>
      <c r="D13" s="3" t="s">
        <v>53</v>
      </c>
      <c r="E13" s="5" t="s">
        <v>954</v>
      </c>
      <c r="F13" s="5" t="s">
        <v>89</v>
      </c>
      <c r="G13" s="3" t="s">
        <v>104</v>
      </c>
      <c r="H13" s="3" t="s">
        <v>310</v>
      </c>
      <c r="I13" s="3" t="s">
        <v>947</v>
      </c>
      <c r="J13" s="3" t="s">
        <v>66</v>
      </c>
      <c r="K13" s="3" t="s">
        <v>293</v>
      </c>
    </row>
    <row r="14" spans="1:13">
      <c r="A14" s="3">
        <v>11</v>
      </c>
      <c r="B14" s="3" t="s">
        <v>955</v>
      </c>
      <c r="C14" s="4">
        <v>46151</v>
      </c>
      <c r="D14" s="3" t="s">
        <v>60</v>
      </c>
      <c r="E14" s="5" t="s">
        <v>942</v>
      </c>
      <c r="F14" s="5" t="s">
        <v>46</v>
      </c>
      <c r="G14" s="3" t="s">
        <v>15</v>
      </c>
      <c r="H14" s="3" t="s">
        <v>298</v>
      </c>
      <c r="I14" s="3" t="s">
        <v>939</v>
      </c>
      <c r="J14" s="3" t="s">
        <v>28</v>
      </c>
      <c r="K14" s="3" t="s">
        <v>238</v>
      </c>
    </row>
    <row r="15" spans="1:13">
      <c r="A15" s="3">
        <v>12</v>
      </c>
      <c r="B15" s="3" t="s">
        <v>956</v>
      </c>
      <c r="C15" s="4">
        <v>46157</v>
      </c>
      <c r="D15" s="3" t="s">
        <v>60</v>
      </c>
      <c r="E15" s="5" t="s">
        <v>942</v>
      </c>
      <c r="F15" s="5" t="s">
        <v>27</v>
      </c>
      <c r="G15" s="3" t="s">
        <v>66</v>
      </c>
      <c r="H15" s="3" t="s">
        <v>310</v>
      </c>
      <c r="I15" s="3" t="s">
        <v>939</v>
      </c>
      <c r="J15" s="3" t="s">
        <v>15</v>
      </c>
      <c r="K15" s="3" t="s">
        <v>297</v>
      </c>
    </row>
    <row r="16" spans="1:13">
      <c r="A16" s="3">
        <v>13</v>
      </c>
      <c r="B16" s="3" t="s">
        <v>957</v>
      </c>
      <c r="C16" s="4">
        <v>46150</v>
      </c>
      <c r="D16" s="3" t="s">
        <v>60</v>
      </c>
      <c r="E16" s="5" t="s">
        <v>958</v>
      </c>
      <c r="F16" s="5" t="s">
        <v>13</v>
      </c>
      <c r="G16" s="3" t="s">
        <v>15</v>
      </c>
      <c r="H16" s="3" t="s">
        <v>303</v>
      </c>
      <c r="I16" s="3" t="s">
        <v>944</v>
      </c>
      <c r="J16" s="3" t="s">
        <v>62</v>
      </c>
      <c r="K16" s="3" t="s">
        <v>293</v>
      </c>
    </row>
    <row r="17" spans="1:11">
      <c r="A17" s="3">
        <v>14</v>
      </c>
      <c r="B17" s="3" t="s">
        <v>959</v>
      </c>
      <c r="C17" s="4">
        <v>46144</v>
      </c>
      <c r="D17" s="3" t="s">
        <v>60</v>
      </c>
      <c r="E17" s="5" t="s">
        <v>942</v>
      </c>
      <c r="F17" s="5" t="s">
        <v>58</v>
      </c>
      <c r="G17" s="3" t="s">
        <v>66</v>
      </c>
      <c r="H17" s="3" t="s">
        <v>310</v>
      </c>
      <c r="I17" s="3" t="s">
        <v>947</v>
      </c>
      <c r="J17" s="3" t="s">
        <v>28</v>
      </c>
      <c r="K17" s="3" t="s">
        <v>254</v>
      </c>
    </row>
    <row r="18" spans="1:11">
      <c r="A18" s="3">
        <v>15</v>
      </c>
      <c r="B18" s="3" t="s">
        <v>960</v>
      </c>
      <c r="C18" s="4">
        <v>46165</v>
      </c>
      <c r="D18" s="3" t="s">
        <v>60</v>
      </c>
      <c r="E18" s="5" t="s">
        <v>942</v>
      </c>
      <c r="F18" s="5" t="s">
        <v>13</v>
      </c>
      <c r="G18" s="3" t="s">
        <v>7</v>
      </c>
      <c r="H18" s="3" t="s">
        <v>313</v>
      </c>
      <c r="I18" s="3" t="s">
        <v>944</v>
      </c>
      <c r="J18" s="3" t="s">
        <v>32</v>
      </c>
      <c r="K18" s="3" t="s">
        <v>254</v>
      </c>
    </row>
    <row r="19" spans="1:11">
      <c r="A19" s="3">
        <v>16</v>
      </c>
      <c r="B19" s="3" t="s">
        <v>961</v>
      </c>
      <c r="C19" s="4">
        <v>46160</v>
      </c>
      <c r="D19" s="3" t="s">
        <v>60</v>
      </c>
      <c r="E19" s="5" t="s">
        <v>954</v>
      </c>
      <c r="F19" s="5" t="s">
        <v>39</v>
      </c>
      <c r="G19" s="3" t="s">
        <v>7</v>
      </c>
      <c r="H19" s="3" t="s">
        <v>294</v>
      </c>
      <c r="I19" s="3" t="s">
        <v>947</v>
      </c>
      <c r="J19" s="3" t="s">
        <v>66</v>
      </c>
      <c r="K19" s="3" t="s">
        <v>293</v>
      </c>
    </row>
    <row r="20" spans="1:11">
      <c r="A20" s="3">
        <v>17</v>
      </c>
      <c r="B20" s="3" t="s">
        <v>962</v>
      </c>
      <c r="C20" s="4">
        <v>46196</v>
      </c>
      <c r="D20" s="3" t="s">
        <v>73</v>
      </c>
      <c r="E20" s="5" t="s">
        <v>958</v>
      </c>
      <c r="F20" s="5" t="s">
        <v>5</v>
      </c>
      <c r="G20" s="3" t="s">
        <v>66</v>
      </c>
      <c r="H20" s="3" t="s">
        <v>294</v>
      </c>
      <c r="I20" s="3" t="s">
        <v>947</v>
      </c>
      <c r="J20" s="3" t="s">
        <v>15</v>
      </c>
      <c r="K20" s="3" t="s">
        <v>293</v>
      </c>
    </row>
    <row r="21" spans="1:11">
      <c r="A21" s="3">
        <v>18</v>
      </c>
      <c r="B21" s="3" t="s">
        <v>963</v>
      </c>
      <c r="C21" s="4">
        <v>46186</v>
      </c>
      <c r="D21" s="3" t="s">
        <v>73</v>
      </c>
      <c r="E21" s="5" t="s">
        <v>958</v>
      </c>
      <c r="F21" s="5" t="s">
        <v>65</v>
      </c>
      <c r="G21" s="3" t="s">
        <v>78</v>
      </c>
      <c r="H21" s="3" t="s">
        <v>294</v>
      </c>
      <c r="I21" s="3" t="s">
        <v>939</v>
      </c>
      <c r="J21" s="3" t="s">
        <v>36</v>
      </c>
      <c r="K21" s="3" t="s">
        <v>293</v>
      </c>
    </row>
    <row r="22" spans="1:11">
      <c r="A22" s="3">
        <v>19</v>
      </c>
      <c r="B22" s="3" t="s">
        <v>964</v>
      </c>
      <c r="C22" s="4">
        <v>46191</v>
      </c>
      <c r="D22" s="3" t="s">
        <v>73</v>
      </c>
      <c r="E22" s="5" t="s">
        <v>958</v>
      </c>
      <c r="F22" s="5" t="s">
        <v>27</v>
      </c>
      <c r="G22" s="3" t="s">
        <v>22</v>
      </c>
      <c r="H22" s="3" t="s">
        <v>294</v>
      </c>
      <c r="I22" s="3" t="s">
        <v>944</v>
      </c>
      <c r="J22" s="3" t="s">
        <v>93</v>
      </c>
      <c r="K22" s="3" t="s">
        <v>293</v>
      </c>
    </row>
    <row r="23" spans="1:11">
      <c r="A23" s="3">
        <v>20</v>
      </c>
      <c r="B23" s="3" t="s">
        <v>965</v>
      </c>
      <c r="C23" s="4">
        <v>46189</v>
      </c>
      <c r="D23" s="3" t="s">
        <v>73</v>
      </c>
      <c r="E23" s="5" t="s">
        <v>958</v>
      </c>
      <c r="F23" s="5" t="s">
        <v>50</v>
      </c>
      <c r="G23" s="3" t="s">
        <v>93</v>
      </c>
      <c r="H23" s="3" t="s">
        <v>310</v>
      </c>
      <c r="I23" s="3" t="s">
        <v>944</v>
      </c>
      <c r="J23" s="3" t="s">
        <v>15</v>
      </c>
      <c r="K23" s="3" t="s">
        <v>254</v>
      </c>
    </row>
    <row r="24" spans="1:11">
      <c r="A24" s="3">
        <v>21</v>
      </c>
      <c r="B24" s="3" t="s">
        <v>966</v>
      </c>
      <c r="C24" s="4">
        <v>46204</v>
      </c>
      <c r="D24" s="3" t="s">
        <v>76</v>
      </c>
      <c r="E24" s="5" t="s">
        <v>958</v>
      </c>
      <c r="F24" s="5" t="s">
        <v>46</v>
      </c>
      <c r="G24" s="3" t="s">
        <v>62</v>
      </c>
      <c r="H24" s="3" t="s">
        <v>298</v>
      </c>
      <c r="I24" s="3" t="s">
        <v>939</v>
      </c>
      <c r="J24" s="3" t="s">
        <v>70</v>
      </c>
      <c r="K24" s="3" t="s">
        <v>254</v>
      </c>
    </row>
    <row r="25" spans="1:11">
      <c r="A25" s="3">
        <v>22</v>
      </c>
      <c r="B25" s="3" t="s">
        <v>967</v>
      </c>
      <c r="C25" s="4">
        <v>46223</v>
      </c>
      <c r="D25" s="3" t="s">
        <v>76</v>
      </c>
      <c r="E25" s="5" t="s">
        <v>954</v>
      </c>
      <c r="F25" s="5" t="s">
        <v>13</v>
      </c>
      <c r="G25" s="3" t="s">
        <v>15</v>
      </c>
      <c r="H25" s="3" t="s">
        <v>294</v>
      </c>
      <c r="I25" s="3" t="s">
        <v>944</v>
      </c>
      <c r="J25" s="3" t="s">
        <v>104</v>
      </c>
      <c r="K25" s="3" t="s">
        <v>293</v>
      </c>
    </row>
    <row r="26" spans="1:11">
      <c r="A26" s="3">
        <v>23</v>
      </c>
      <c r="B26" s="3" t="s">
        <v>968</v>
      </c>
      <c r="C26" s="4">
        <v>46227</v>
      </c>
      <c r="D26" s="3" t="s">
        <v>76</v>
      </c>
      <c r="E26" s="5" t="s">
        <v>951</v>
      </c>
      <c r="F26" s="5" t="s">
        <v>50</v>
      </c>
      <c r="G26" s="3" t="s">
        <v>62</v>
      </c>
      <c r="H26" s="3" t="s">
        <v>294</v>
      </c>
      <c r="I26" s="3" t="s">
        <v>947</v>
      </c>
      <c r="J26" s="3" t="s">
        <v>62</v>
      </c>
      <c r="K26" s="3" t="s">
        <v>293</v>
      </c>
    </row>
    <row r="27" spans="1:11">
      <c r="A27" s="3">
        <v>24</v>
      </c>
      <c r="B27" s="3" t="s">
        <v>969</v>
      </c>
      <c r="C27" s="4">
        <v>46253</v>
      </c>
      <c r="D27" s="3" t="s">
        <v>86</v>
      </c>
      <c r="E27" s="5" t="s">
        <v>942</v>
      </c>
      <c r="F27" s="5" t="s">
        <v>13</v>
      </c>
      <c r="G27" s="3" t="s">
        <v>22</v>
      </c>
      <c r="H27" s="3" t="s">
        <v>298</v>
      </c>
      <c r="I27" s="3" t="s">
        <v>939</v>
      </c>
      <c r="J27" s="3" t="s">
        <v>93</v>
      </c>
      <c r="K27" s="3" t="s">
        <v>293</v>
      </c>
    </row>
    <row r="28" spans="1:11">
      <c r="A28" s="3">
        <v>25</v>
      </c>
      <c r="B28" s="3" t="s">
        <v>970</v>
      </c>
      <c r="C28" s="4">
        <v>46258</v>
      </c>
      <c r="D28" s="3" t="s">
        <v>86</v>
      </c>
      <c r="E28" s="5" t="s">
        <v>942</v>
      </c>
      <c r="F28" s="5" t="s">
        <v>65</v>
      </c>
      <c r="G28" s="3" t="s">
        <v>68</v>
      </c>
      <c r="H28" s="3" t="s">
        <v>313</v>
      </c>
      <c r="I28" s="3" t="s">
        <v>944</v>
      </c>
      <c r="J28" s="3" t="s">
        <v>68</v>
      </c>
      <c r="K28" s="3" t="s">
        <v>293</v>
      </c>
    </row>
    <row r="29" spans="1:11">
      <c r="A29" s="3">
        <v>26</v>
      </c>
      <c r="B29" s="3" t="s">
        <v>971</v>
      </c>
      <c r="C29" s="4">
        <v>46256</v>
      </c>
      <c r="D29" s="3" t="s">
        <v>86</v>
      </c>
      <c r="E29" s="5" t="s">
        <v>954</v>
      </c>
      <c r="F29" s="5" t="s">
        <v>13</v>
      </c>
      <c r="G29" s="3" t="s">
        <v>7</v>
      </c>
      <c r="H29" s="3" t="s">
        <v>313</v>
      </c>
      <c r="I29" s="3" t="s">
        <v>944</v>
      </c>
      <c r="J29" s="3" t="s">
        <v>68</v>
      </c>
      <c r="K29" s="3" t="s">
        <v>238</v>
      </c>
    </row>
    <row r="30" spans="1:11">
      <c r="A30" s="3">
        <v>27</v>
      </c>
      <c r="B30" s="3" t="s">
        <v>972</v>
      </c>
      <c r="C30" s="4">
        <v>46255</v>
      </c>
      <c r="D30" s="3" t="s">
        <v>86</v>
      </c>
      <c r="E30" s="5" t="s">
        <v>951</v>
      </c>
      <c r="F30" s="5" t="s">
        <v>27</v>
      </c>
      <c r="G30" s="3" t="s">
        <v>22</v>
      </c>
      <c r="H30" s="3" t="s">
        <v>303</v>
      </c>
      <c r="I30" s="3" t="s">
        <v>944</v>
      </c>
      <c r="J30" s="3" t="s">
        <v>62</v>
      </c>
      <c r="K30" s="3" t="s">
        <v>297</v>
      </c>
    </row>
    <row r="31" spans="1:11">
      <c r="A31" s="3">
        <v>28</v>
      </c>
      <c r="B31" s="3" t="s">
        <v>973</v>
      </c>
      <c r="C31" s="4">
        <v>46261</v>
      </c>
      <c r="D31" s="3" t="s">
        <v>86</v>
      </c>
      <c r="E31" s="5" t="s">
        <v>951</v>
      </c>
      <c r="F31" s="5" t="s">
        <v>13</v>
      </c>
      <c r="G31" s="3" t="s">
        <v>15</v>
      </c>
      <c r="H31" s="3" t="s">
        <v>298</v>
      </c>
      <c r="I31" s="3" t="s">
        <v>944</v>
      </c>
      <c r="J31" s="3" t="s">
        <v>7</v>
      </c>
      <c r="K31" s="3" t="s">
        <v>293</v>
      </c>
    </row>
    <row r="32" spans="1:11">
      <c r="A32" s="3">
        <v>29</v>
      </c>
      <c r="B32" s="3" t="s">
        <v>974</v>
      </c>
      <c r="C32" s="4">
        <v>46245</v>
      </c>
      <c r="D32" s="3" t="s">
        <v>86</v>
      </c>
      <c r="E32" s="5" t="s">
        <v>951</v>
      </c>
      <c r="F32" s="5" t="s">
        <v>89</v>
      </c>
      <c r="G32" s="3" t="s">
        <v>70</v>
      </c>
      <c r="H32" s="3" t="s">
        <v>310</v>
      </c>
      <c r="I32" s="3" t="s">
        <v>944</v>
      </c>
      <c r="J32" s="3" t="s">
        <v>68</v>
      </c>
      <c r="K32" s="3" t="s">
        <v>293</v>
      </c>
    </row>
    <row r="33" spans="1:11">
      <c r="A33" s="3">
        <v>30</v>
      </c>
      <c r="B33" s="3" t="s">
        <v>975</v>
      </c>
      <c r="C33" s="4">
        <v>46278</v>
      </c>
      <c r="D33" s="3" t="s">
        <v>102</v>
      </c>
      <c r="E33" s="5" t="s">
        <v>954</v>
      </c>
      <c r="F33" s="5" t="s">
        <v>50</v>
      </c>
      <c r="G33" s="3" t="s">
        <v>78</v>
      </c>
      <c r="H33" s="3" t="s">
        <v>303</v>
      </c>
      <c r="I33" s="3" t="s">
        <v>947</v>
      </c>
      <c r="J33" s="3" t="s">
        <v>62</v>
      </c>
      <c r="K33" s="3" t="s">
        <v>297</v>
      </c>
    </row>
    <row r="34" spans="1:11">
      <c r="A34" s="3">
        <v>31</v>
      </c>
      <c r="B34" s="3" t="s">
        <v>976</v>
      </c>
      <c r="C34" s="4">
        <v>46286</v>
      </c>
      <c r="D34" s="3" t="s">
        <v>102</v>
      </c>
      <c r="E34" s="5" t="s">
        <v>951</v>
      </c>
      <c r="F34" s="5" t="s">
        <v>27</v>
      </c>
      <c r="G34" s="3" t="s">
        <v>41</v>
      </c>
      <c r="H34" s="3" t="s">
        <v>303</v>
      </c>
      <c r="I34" s="3" t="s">
        <v>944</v>
      </c>
      <c r="J34" s="3" t="s">
        <v>22</v>
      </c>
      <c r="K34" s="3" t="s">
        <v>254</v>
      </c>
    </row>
    <row r="35" spans="1:11">
      <c r="A35" s="3">
        <v>32</v>
      </c>
      <c r="B35" s="3" t="s">
        <v>977</v>
      </c>
      <c r="C35" s="4">
        <v>46268</v>
      </c>
      <c r="D35" s="3" t="s">
        <v>102</v>
      </c>
      <c r="E35" s="5" t="s">
        <v>958</v>
      </c>
      <c r="F35" s="5" t="s">
        <v>92</v>
      </c>
      <c r="G35" s="3" t="s">
        <v>70</v>
      </c>
      <c r="H35" s="3" t="s">
        <v>298</v>
      </c>
      <c r="I35" s="3" t="s">
        <v>944</v>
      </c>
      <c r="J35" s="3" t="s">
        <v>36</v>
      </c>
      <c r="K35" s="3" t="s">
        <v>293</v>
      </c>
    </row>
    <row r="36" spans="1:11">
      <c r="A36" s="3">
        <v>33</v>
      </c>
      <c r="B36" s="3" t="s">
        <v>978</v>
      </c>
      <c r="C36" s="4">
        <v>46292</v>
      </c>
      <c r="D36" s="3" t="s">
        <v>102</v>
      </c>
      <c r="E36" s="5" t="s">
        <v>946</v>
      </c>
      <c r="F36" s="5" t="s">
        <v>50</v>
      </c>
      <c r="G36" s="3" t="s">
        <v>93</v>
      </c>
      <c r="H36" s="3" t="s">
        <v>298</v>
      </c>
      <c r="I36" s="3" t="s">
        <v>944</v>
      </c>
      <c r="J36" s="3" t="s">
        <v>28</v>
      </c>
      <c r="K36" s="3" t="s">
        <v>293</v>
      </c>
    </row>
    <row r="37" spans="1:11">
      <c r="A37" s="3">
        <v>34</v>
      </c>
      <c r="B37" s="3" t="s">
        <v>979</v>
      </c>
      <c r="C37" s="4">
        <v>46267</v>
      </c>
      <c r="D37" s="3" t="s">
        <v>102</v>
      </c>
      <c r="E37" s="5" t="s">
        <v>954</v>
      </c>
      <c r="F37" s="5" t="s">
        <v>13</v>
      </c>
      <c r="G37" s="3" t="s">
        <v>62</v>
      </c>
      <c r="H37" s="3" t="s">
        <v>294</v>
      </c>
      <c r="I37" s="3" t="s">
        <v>939</v>
      </c>
      <c r="J37" s="3" t="s">
        <v>32</v>
      </c>
      <c r="K37" s="3" t="s">
        <v>297</v>
      </c>
    </row>
    <row r="38" spans="1:11">
      <c r="A38" s="3">
        <v>35</v>
      </c>
      <c r="B38" s="3" t="s">
        <v>980</v>
      </c>
      <c r="C38" s="4">
        <v>46271</v>
      </c>
      <c r="D38" s="3" t="s">
        <v>102</v>
      </c>
      <c r="E38" s="5" t="s">
        <v>938</v>
      </c>
      <c r="F38" s="5" t="s">
        <v>92</v>
      </c>
      <c r="G38" s="3" t="s">
        <v>32</v>
      </c>
      <c r="H38" s="3" t="s">
        <v>303</v>
      </c>
      <c r="I38" s="3" t="s">
        <v>947</v>
      </c>
      <c r="J38" s="3" t="s">
        <v>7</v>
      </c>
      <c r="K38" s="3" t="s">
        <v>238</v>
      </c>
    </row>
    <row r="39" spans="1:11">
      <c r="A39" s="3">
        <v>36</v>
      </c>
      <c r="B39" s="3" t="s">
        <v>981</v>
      </c>
      <c r="C39" s="4">
        <v>46311</v>
      </c>
      <c r="D39" s="3" t="s">
        <v>106</v>
      </c>
      <c r="E39" s="5" t="s">
        <v>951</v>
      </c>
      <c r="F39" s="5" t="s">
        <v>13</v>
      </c>
      <c r="G39" s="3" t="s">
        <v>32</v>
      </c>
      <c r="H39" s="3" t="s">
        <v>313</v>
      </c>
      <c r="I39" s="3" t="s">
        <v>947</v>
      </c>
      <c r="J39" s="3" t="s">
        <v>62</v>
      </c>
      <c r="K39" s="3" t="s">
        <v>293</v>
      </c>
    </row>
    <row r="40" spans="1:11">
      <c r="A40" s="3">
        <v>37</v>
      </c>
      <c r="B40" s="3" t="s">
        <v>982</v>
      </c>
      <c r="C40" s="4">
        <v>46298</v>
      </c>
      <c r="D40" s="3" t="s">
        <v>106</v>
      </c>
      <c r="E40" s="5" t="s">
        <v>958</v>
      </c>
      <c r="F40" s="5" t="s">
        <v>92</v>
      </c>
      <c r="G40" s="3" t="s">
        <v>15</v>
      </c>
      <c r="H40" s="3" t="s">
        <v>303</v>
      </c>
      <c r="I40" s="3" t="s">
        <v>939</v>
      </c>
      <c r="J40" s="3" t="s">
        <v>68</v>
      </c>
      <c r="K40" s="3" t="s">
        <v>293</v>
      </c>
    </row>
    <row r="41" spans="1:11">
      <c r="A41" s="3">
        <v>38</v>
      </c>
      <c r="B41" s="3" t="s">
        <v>983</v>
      </c>
      <c r="C41" s="4">
        <v>46302</v>
      </c>
      <c r="D41" s="3" t="s">
        <v>106</v>
      </c>
      <c r="E41" s="5" t="s">
        <v>938</v>
      </c>
      <c r="F41" s="5" t="s">
        <v>50</v>
      </c>
      <c r="G41" s="3" t="s">
        <v>15</v>
      </c>
      <c r="H41" s="3" t="s">
        <v>294</v>
      </c>
      <c r="I41" s="3" t="s">
        <v>939</v>
      </c>
      <c r="J41" s="3" t="s">
        <v>15</v>
      </c>
      <c r="K41" s="3" t="s">
        <v>293</v>
      </c>
    </row>
    <row r="42" spans="1:11">
      <c r="A42" s="3">
        <v>39</v>
      </c>
      <c r="B42" s="3" t="s">
        <v>984</v>
      </c>
      <c r="C42" s="4">
        <v>46305</v>
      </c>
      <c r="D42" s="3" t="s">
        <v>106</v>
      </c>
      <c r="E42" s="5" t="s">
        <v>946</v>
      </c>
      <c r="F42" s="5" t="s">
        <v>65</v>
      </c>
      <c r="G42" s="3" t="s">
        <v>28</v>
      </c>
      <c r="H42" s="3" t="s">
        <v>313</v>
      </c>
      <c r="I42" s="3" t="s">
        <v>947</v>
      </c>
      <c r="J42" s="3" t="s">
        <v>32</v>
      </c>
      <c r="K42" s="3" t="s">
        <v>293</v>
      </c>
    </row>
    <row r="43" spans="1:11">
      <c r="A43" s="3">
        <v>40</v>
      </c>
      <c r="B43" s="3" t="s">
        <v>985</v>
      </c>
      <c r="C43" s="4">
        <v>46305</v>
      </c>
      <c r="D43" s="3" t="s">
        <v>106</v>
      </c>
      <c r="E43" s="5" t="s">
        <v>958</v>
      </c>
      <c r="F43" s="5" t="s">
        <v>65</v>
      </c>
      <c r="G43" s="3" t="s">
        <v>66</v>
      </c>
      <c r="H43" s="3" t="s">
        <v>298</v>
      </c>
      <c r="I43" s="3" t="s">
        <v>939</v>
      </c>
      <c r="J43" s="3" t="s">
        <v>70</v>
      </c>
      <c r="K43" s="3" t="s">
        <v>293</v>
      </c>
    </row>
    <row r="44" spans="1:11">
      <c r="A44" s="3">
        <v>41</v>
      </c>
      <c r="B44" s="3" t="s">
        <v>986</v>
      </c>
      <c r="C44" s="4">
        <v>46301</v>
      </c>
      <c r="D44" s="3" t="s">
        <v>106</v>
      </c>
      <c r="E44" s="5" t="s">
        <v>958</v>
      </c>
      <c r="F44" s="5" t="s">
        <v>27</v>
      </c>
      <c r="G44" s="3" t="s">
        <v>36</v>
      </c>
      <c r="H44" s="3" t="s">
        <v>313</v>
      </c>
      <c r="I44" s="3" t="s">
        <v>939</v>
      </c>
      <c r="J44" s="3" t="s">
        <v>104</v>
      </c>
      <c r="K44" s="3" t="s">
        <v>293</v>
      </c>
    </row>
    <row r="45" spans="1:11">
      <c r="A45" s="3">
        <v>42</v>
      </c>
      <c r="B45" s="3" t="s">
        <v>987</v>
      </c>
      <c r="C45" s="4">
        <v>46309</v>
      </c>
      <c r="D45" s="3" t="s">
        <v>106</v>
      </c>
      <c r="E45" s="5" t="s">
        <v>954</v>
      </c>
      <c r="F45" s="5" t="s">
        <v>46</v>
      </c>
      <c r="G45" s="3" t="s">
        <v>7</v>
      </c>
      <c r="H45" s="3" t="s">
        <v>303</v>
      </c>
      <c r="I45" s="3" t="s">
        <v>947</v>
      </c>
      <c r="J45" s="3" t="s">
        <v>78</v>
      </c>
      <c r="K45" s="3" t="s">
        <v>293</v>
      </c>
    </row>
    <row r="46" spans="1:11">
      <c r="A46" s="3">
        <v>43</v>
      </c>
      <c r="B46" s="3" t="s">
        <v>988</v>
      </c>
      <c r="C46" s="4">
        <v>46341</v>
      </c>
      <c r="D46" s="3" t="s">
        <v>111</v>
      </c>
      <c r="E46" s="5" t="s">
        <v>942</v>
      </c>
      <c r="F46" s="5" t="s">
        <v>39</v>
      </c>
      <c r="G46" s="3" t="s">
        <v>78</v>
      </c>
      <c r="H46" s="3" t="s">
        <v>298</v>
      </c>
      <c r="I46" s="3" t="s">
        <v>939</v>
      </c>
      <c r="J46" s="3" t="s">
        <v>78</v>
      </c>
      <c r="K46" s="3" t="s">
        <v>293</v>
      </c>
    </row>
    <row r="47" spans="1:11">
      <c r="A47" s="3">
        <v>44</v>
      </c>
      <c r="B47" s="3" t="s">
        <v>989</v>
      </c>
      <c r="C47" s="4">
        <v>46340</v>
      </c>
      <c r="D47" s="3" t="s">
        <v>111</v>
      </c>
      <c r="E47" s="5" t="s">
        <v>946</v>
      </c>
      <c r="F47" s="5" t="s">
        <v>13</v>
      </c>
      <c r="G47" s="3" t="s">
        <v>62</v>
      </c>
      <c r="H47" s="3" t="s">
        <v>294</v>
      </c>
      <c r="I47" s="3" t="s">
        <v>939</v>
      </c>
      <c r="J47" s="3" t="s">
        <v>68</v>
      </c>
      <c r="K47" s="3" t="s">
        <v>297</v>
      </c>
    </row>
    <row r="48" spans="1:11">
      <c r="A48" s="3">
        <v>45</v>
      </c>
      <c r="B48" s="3" t="s">
        <v>990</v>
      </c>
      <c r="C48" s="4">
        <v>46333</v>
      </c>
      <c r="D48" s="3" t="s">
        <v>111</v>
      </c>
      <c r="E48" s="5" t="s">
        <v>954</v>
      </c>
      <c r="F48" s="5" t="s">
        <v>50</v>
      </c>
      <c r="G48" s="3" t="s">
        <v>22</v>
      </c>
      <c r="H48" s="3" t="s">
        <v>313</v>
      </c>
      <c r="I48" s="3" t="s">
        <v>939</v>
      </c>
      <c r="J48" s="3" t="s">
        <v>66</v>
      </c>
      <c r="K48" s="3" t="s">
        <v>293</v>
      </c>
    </row>
    <row r="49" spans="1:11">
      <c r="A49" s="3">
        <v>46</v>
      </c>
      <c r="B49" s="3" t="s">
        <v>991</v>
      </c>
      <c r="C49" s="4">
        <v>46352</v>
      </c>
      <c r="D49" s="3" t="s">
        <v>111</v>
      </c>
      <c r="E49" s="5" t="s">
        <v>938</v>
      </c>
      <c r="F49" s="5" t="s">
        <v>46</v>
      </c>
      <c r="G49" s="3" t="s">
        <v>66</v>
      </c>
      <c r="H49" s="3" t="s">
        <v>313</v>
      </c>
      <c r="I49" s="3" t="s">
        <v>944</v>
      </c>
      <c r="J49" s="3" t="s">
        <v>78</v>
      </c>
      <c r="K49" s="3" t="s">
        <v>293</v>
      </c>
    </row>
    <row r="50" spans="1:11">
      <c r="A50" s="3">
        <v>47</v>
      </c>
      <c r="B50" s="3" t="s">
        <v>992</v>
      </c>
      <c r="C50" s="4">
        <v>46369</v>
      </c>
      <c r="D50" s="3" t="s">
        <v>122</v>
      </c>
      <c r="E50" s="5" t="s">
        <v>938</v>
      </c>
      <c r="F50" s="5" t="s">
        <v>65</v>
      </c>
      <c r="G50" s="3" t="s">
        <v>104</v>
      </c>
      <c r="H50" s="3" t="s">
        <v>310</v>
      </c>
      <c r="I50" s="3" t="s">
        <v>939</v>
      </c>
      <c r="J50" s="3" t="s">
        <v>78</v>
      </c>
      <c r="K50" s="3" t="s">
        <v>238</v>
      </c>
    </row>
    <row r="51" spans="1:11">
      <c r="A51" s="3">
        <v>48</v>
      </c>
      <c r="B51" s="3" t="s">
        <v>993</v>
      </c>
      <c r="C51" s="4">
        <v>46371</v>
      </c>
      <c r="D51" s="3" t="s">
        <v>122</v>
      </c>
      <c r="E51" s="5" t="s">
        <v>938</v>
      </c>
      <c r="F51" s="5" t="s">
        <v>13</v>
      </c>
      <c r="G51" s="3" t="s">
        <v>28</v>
      </c>
      <c r="H51" s="3" t="s">
        <v>310</v>
      </c>
      <c r="I51" s="3" t="s">
        <v>947</v>
      </c>
      <c r="J51" s="3" t="s">
        <v>36</v>
      </c>
      <c r="K51" s="3" t="s">
        <v>293</v>
      </c>
    </row>
  </sheetData>
  <mergeCells count="2">
    <mergeCell ref="A1:K1"/>
    <mergeCell ref="A2:K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K4:K5003">
      <formula1>L_Status</formula1>
    </dataValidation>
  </dataValidations>
  <hyperlinks>
    <hyperlink ref="M1" location="'Home'!A1" display="Home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5" width="16.7109375" customWidth="1"/>
    <col min="6" max="6" width="12.7109375" customWidth="1"/>
    <col min="7" max="7" width="11.7109375" customWidth="1"/>
    <col min="8" max="8" width="13.7109375" customWidth="1"/>
    <col min="9" max="9" width="14.7109375" customWidth="1"/>
    <col min="10" max="10" width="9.7109375" customWidth="1"/>
  </cols>
  <sheetData>
    <row r="1" spans="1:12" ht="22" customHeight="1">
      <c r="A1" s="1" t="s">
        <v>998</v>
      </c>
      <c r="B1" s="1"/>
      <c r="C1" s="1"/>
      <c r="D1" s="1"/>
      <c r="E1" s="1"/>
      <c r="F1" s="1"/>
      <c r="G1" s="1"/>
      <c r="H1" s="1"/>
      <c r="I1" s="1"/>
      <c r="J1" s="1"/>
      <c r="L1" s="2" t="s">
        <v>139</v>
      </c>
    </row>
    <row r="2" spans="1:1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</row>
    <row r="3" spans="1:12">
      <c r="A3" t="s">
        <v>124</v>
      </c>
      <c r="B3" t="s">
        <v>1058</v>
      </c>
      <c r="C3" t="s">
        <v>126</v>
      </c>
      <c r="D3" t="s">
        <v>127</v>
      </c>
      <c r="E3" t="s">
        <v>1059</v>
      </c>
      <c r="F3" t="s">
        <v>129</v>
      </c>
      <c r="G3" t="s">
        <v>1060</v>
      </c>
      <c r="H3" t="s">
        <v>1061</v>
      </c>
      <c r="I3" t="s">
        <v>1062</v>
      </c>
      <c r="J3" t="s">
        <v>287</v>
      </c>
    </row>
    <row r="4" spans="1:12">
      <c r="A4" s="3">
        <v>1</v>
      </c>
      <c r="B4" s="3" t="s">
        <v>999</v>
      </c>
      <c r="C4" s="4">
        <v>46044</v>
      </c>
      <c r="D4" s="3" t="s">
        <v>3</v>
      </c>
      <c r="E4" s="5" t="s">
        <v>1000</v>
      </c>
      <c r="F4" s="5" t="s">
        <v>89</v>
      </c>
      <c r="G4" s="3" t="s">
        <v>62</v>
      </c>
      <c r="H4" s="3" t="s">
        <v>1001</v>
      </c>
      <c r="I4" s="3" t="s">
        <v>66</v>
      </c>
      <c r="J4" s="3" t="s">
        <v>254</v>
      </c>
    </row>
    <row r="5" spans="1:12">
      <c r="A5" s="3">
        <v>2</v>
      </c>
      <c r="B5" s="3" t="s">
        <v>1002</v>
      </c>
      <c r="C5" s="4">
        <v>46024</v>
      </c>
      <c r="D5" s="3" t="s">
        <v>3</v>
      </c>
      <c r="E5" s="5" t="s">
        <v>1003</v>
      </c>
      <c r="F5" s="5" t="s">
        <v>65</v>
      </c>
      <c r="G5" s="3" t="s">
        <v>62</v>
      </c>
      <c r="H5" s="3" t="s">
        <v>1004</v>
      </c>
      <c r="I5" s="3" t="s">
        <v>22</v>
      </c>
      <c r="J5" s="3" t="s">
        <v>293</v>
      </c>
    </row>
    <row r="6" spans="1:12">
      <c r="A6" s="3">
        <v>3</v>
      </c>
      <c r="B6" s="3" t="s">
        <v>1005</v>
      </c>
      <c r="C6" s="4">
        <v>46026</v>
      </c>
      <c r="D6" s="3" t="s">
        <v>3</v>
      </c>
      <c r="E6" s="5" t="s">
        <v>1006</v>
      </c>
      <c r="F6" s="5" t="s">
        <v>92</v>
      </c>
      <c r="G6" s="3" t="s">
        <v>22</v>
      </c>
      <c r="H6" s="3" t="s">
        <v>1007</v>
      </c>
      <c r="I6" s="3" t="s">
        <v>66</v>
      </c>
      <c r="J6" s="3" t="s">
        <v>293</v>
      </c>
    </row>
    <row r="7" spans="1:12">
      <c r="A7" s="3">
        <v>4</v>
      </c>
      <c r="B7" s="3" t="s">
        <v>1008</v>
      </c>
      <c r="C7" s="4">
        <v>46065</v>
      </c>
      <c r="D7" s="3" t="s">
        <v>19</v>
      </c>
      <c r="E7" s="5" t="s">
        <v>1009</v>
      </c>
      <c r="F7" s="5" t="s">
        <v>92</v>
      </c>
      <c r="G7" s="3" t="s">
        <v>22</v>
      </c>
      <c r="H7" s="3" t="s">
        <v>1010</v>
      </c>
      <c r="I7" s="3" t="s">
        <v>7</v>
      </c>
      <c r="J7" s="3" t="s">
        <v>238</v>
      </c>
    </row>
    <row r="8" spans="1:12">
      <c r="A8" s="3">
        <v>5</v>
      </c>
      <c r="B8" s="3" t="s">
        <v>1011</v>
      </c>
      <c r="C8" s="4">
        <v>46069</v>
      </c>
      <c r="D8" s="3" t="s">
        <v>19</v>
      </c>
      <c r="E8" s="5" t="s">
        <v>1009</v>
      </c>
      <c r="F8" s="5" t="s">
        <v>39</v>
      </c>
      <c r="G8" s="3" t="s">
        <v>7</v>
      </c>
      <c r="H8" s="3" t="s">
        <v>1004</v>
      </c>
      <c r="I8" s="3" t="s">
        <v>32</v>
      </c>
      <c r="J8" s="3" t="s">
        <v>293</v>
      </c>
    </row>
    <row r="9" spans="1:12">
      <c r="A9" s="3">
        <v>6</v>
      </c>
      <c r="B9" s="3" t="s">
        <v>1012</v>
      </c>
      <c r="C9" s="4">
        <v>46065</v>
      </c>
      <c r="D9" s="3" t="s">
        <v>19</v>
      </c>
      <c r="E9" s="5" t="s">
        <v>1000</v>
      </c>
      <c r="F9" s="5" t="s">
        <v>13</v>
      </c>
      <c r="G9" s="3" t="s">
        <v>70</v>
      </c>
      <c r="H9" s="3" t="s">
        <v>1010</v>
      </c>
      <c r="I9" s="3" t="s">
        <v>70</v>
      </c>
      <c r="J9" s="3" t="s">
        <v>293</v>
      </c>
    </row>
    <row r="10" spans="1:12">
      <c r="A10" s="3">
        <v>7</v>
      </c>
      <c r="B10" s="3" t="s">
        <v>1013</v>
      </c>
      <c r="C10" s="4">
        <v>46064</v>
      </c>
      <c r="D10" s="3" t="s">
        <v>19</v>
      </c>
      <c r="E10" s="5" t="s">
        <v>1000</v>
      </c>
      <c r="F10" s="5" t="s">
        <v>58</v>
      </c>
      <c r="G10" s="3" t="s">
        <v>22</v>
      </c>
      <c r="H10" s="3" t="s">
        <v>1010</v>
      </c>
      <c r="I10" s="3" t="s">
        <v>62</v>
      </c>
      <c r="J10" s="3" t="s">
        <v>238</v>
      </c>
    </row>
    <row r="11" spans="1:12">
      <c r="A11" s="3">
        <v>8</v>
      </c>
      <c r="B11" s="3" t="s">
        <v>1014</v>
      </c>
      <c r="C11" s="4">
        <v>46055</v>
      </c>
      <c r="D11" s="3" t="s">
        <v>19</v>
      </c>
      <c r="E11" s="5" t="s">
        <v>1015</v>
      </c>
      <c r="F11" s="5" t="s">
        <v>58</v>
      </c>
      <c r="G11" s="3" t="s">
        <v>93</v>
      </c>
      <c r="H11" s="3" t="s">
        <v>1004</v>
      </c>
      <c r="I11" s="3" t="s">
        <v>22</v>
      </c>
      <c r="J11" s="3" t="s">
        <v>293</v>
      </c>
    </row>
    <row r="12" spans="1:12">
      <c r="A12" s="3">
        <v>9</v>
      </c>
      <c r="B12" s="3" t="s">
        <v>1016</v>
      </c>
      <c r="C12" s="4">
        <v>46091</v>
      </c>
      <c r="D12" s="3" t="s">
        <v>44</v>
      </c>
      <c r="E12" s="5" t="s">
        <v>1009</v>
      </c>
      <c r="F12" s="5" t="s">
        <v>65</v>
      </c>
      <c r="G12" s="3" t="s">
        <v>68</v>
      </c>
      <c r="H12" s="3" t="s">
        <v>1007</v>
      </c>
      <c r="I12" s="3" t="s">
        <v>68</v>
      </c>
      <c r="J12" s="3" t="s">
        <v>293</v>
      </c>
    </row>
    <row r="13" spans="1:12">
      <c r="A13" s="3">
        <v>10</v>
      </c>
      <c r="B13" s="3" t="s">
        <v>1017</v>
      </c>
      <c r="C13" s="4">
        <v>46108</v>
      </c>
      <c r="D13" s="3" t="s">
        <v>44</v>
      </c>
      <c r="E13" s="5" t="s">
        <v>1015</v>
      </c>
      <c r="F13" s="5" t="s">
        <v>46</v>
      </c>
      <c r="G13" s="3" t="s">
        <v>93</v>
      </c>
      <c r="H13" s="3" t="s">
        <v>1007</v>
      </c>
      <c r="I13" s="3" t="s">
        <v>41</v>
      </c>
      <c r="J13" s="3" t="s">
        <v>293</v>
      </c>
    </row>
    <row r="14" spans="1:12">
      <c r="A14" s="3">
        <v>11</v>
      </c>
      <c r="B14" s="3" t="s">
        <v>1018</v>
      </c>
      <c r="C14" s="4">
        <v>46093</v>
      </c>
      <c r="D14" s="3" t="s">
        <v>44</v>
      </c>
      <c r="E14" s="5" t="s">
        <v>1019</v>
      </c>
      <c r="F14" s="5" t="s">
        <v>46</v>
      </c>
      <c r="G14" s="3" t="s">
        <v>22</v>
      </c>
      <c r="H14" s="3" t="s">
        <v>1010</v>
      </c>
      <c r="I14" s="3" t="s">
        <v>68</v>
      </c>
      <c r="J14" s="3" t="s">
        <v>254</v>
      </c>
    </row>
    <row r="15" spans="1:12">
      <c r="A15" s="3">
        <v>12</v>
      </c>
      <c r="B15" s="3" t="s">
        <v>1020</v>
      </c>
      <c r="C15" s="4">
        <v>46119</v>
      </c>
      <c r="D15" s="3" t="s">
        <v>53</v>
      </c>
      <c r="E15" s="5" t="s">
        <v>1000</v>
      </c>
      <c r="F15" s="5" t="s">
        <v>5</v>
      </c>
      <c r="G15" s="3" t="s">
        <v>22</v>
      </c>
      <c r="H15" s="3" t="s">
        <v>1004</v>
      </c>
      <c r="I15" s="3" t="s">
        <v>15</v>
      </c>
      <c r="J15" s="3" t="s">
        <v>297</v>
      </c>
    </row>
    <row r="16" spans="1:12">
      <c r="A16" s="3">
        <v>13</v>
      </c>
      <c r="B16" s="3" t="s">
        <v>1021</v>
      </c>
      <c r="C16" s="4">
        <v>46128</v>
      </c>
      <c r="D16" s="3" t="s">
        <v>53</v>
      </c>
      <c r="E16" s="5" t="s">
        <v>1006</v>
      </c>
      <c r="F16" s="5" t="s">
        <v>58</v>
      </c>
      <c r="G16" s="3" t="s">
        <v>7</v>
      </c>
      <c r="H16" s="3" t="s">
        <v>1022</v>
      </c>
      <c r="I16" s="3" t="s">
        <v>93</v>
      </c>
      <c r="J16" s="3" t="s">
        <v>293</v>
      </c>
    </row>
    <row r="17" spans="1:10">
      <c r="A17" s="3">
        <v>14</v>
      </c>
      <c r="B17" s="3" t="s">
        <v>1023</v>
      </c>
      <c r="C17" s="4">
        <v>46134</v>
      </c>
      <c r="D17" s="3" t="s">
        <v>53</v>
      </c>
      <c r="E17" s="5" t="s">
        <v>1000</v>
      </c>
      <c r="F17" s="5" t="s">
        <v>13</v>
      </c>
      <c r="G17" s="3" t="s">
        <v>28</v>
      </c>
      <c r="H17" s="3" t="s">
        <v>1022</v>
      </c>
      <c r="I17" s="3" t="s">
        <v>104</v>
      </c>
      <c r="J17" s="3" t="s">
        <v>297</v>
      </c>
    </row>
    <row r="18" spans="1:10">
      <c r="A18" s="3">
        <v>15</v>
      </c>
      <c r="B18" s="3" t="s">
        <v>1024</v>
      </c>
      <c r="C18" s="4">
        <v>46123</v>
      </c>
      <c r="D18" s="3" t="s">
        <v>53</v>
      </c>
      <c r="E18" s="5" t="s">
        <v>1003</v>
      </c>
      <c r="F18" s="5" t="s">
        <v>5</v>
      </c>
      <c r="G18" s="3" t="s">
        <v>70</v>
      </c>
      <c r="H18" s="3" t="s">
        <v>1007</v>
      </c>
      <c r="I18" s="3" t="s">
        <v>22</v>
      </c>
      <c r="J18" s="3" t="s">
        <v>293</v>
      </c>
    </row>
    <row r="19" spans="1:10">
      <c r="A19" s="3">
        <v>16</v>
      </c>
      <c r="B19" s="3" t="s">
        <v>1025</v>
      </c>
      <c r="C19" s="4">
        <v>46135</v>
      </c>
      <c r="D19" s="3" t="s">
        <v>53</v>
      </c>
      <c r="E19" s="5" t="s">
        <v>1019</v>
      </c>
      <c r="F19" s="5" t="s">
        <v>92</v>
      </c>
      <c r="G19" s="3" t="s">
        <v>15</v>
      </c>
      <c r="H19" s="3" t="s">
        <v>1004</v>
      </c>
      <c r="I19" s="3" t="s">
        <v>32</v>
      </c>
      <c r="J19" s="3" t="s">
        <v>293</v>
      </c>
    </row>
    <row r="20" spans="1:10">
      <c r="A20" s="3">
        <v>17</v>
      </c>
      <c r="B20" s="3" t="s">
        <v>1026</v>
      </c>
      <c r="C20" s="4">
        <v>46119</v>
      </c>
      <c r="D20" s="3" t="s">
        <v>53</v>
      </c>
      <c r="E20" s="5" t="s">
        <v>1000</v>
      </c>
      <c r="F20" s="5" t="s">
        <v>13</v>
      </c>
      <c r="G20" s="3" t="s">
        <v>7</v>
      </c>
      <c r="H20" s="3" t="s">
        <v>1010</v>
      </c>
      <c r="I20" s="3" t="s">
        <v>41</v>
      </c>
      <c r="J20" s="3" t="s">
        <v>293</v>
      </c>
    </row>
    <row r="21" spans="1:10">
      <c r="A21" s="3">
        <v>18</v>
      </c>
      <c r="B21" s="3" t="s">
        <v>1027</v>
      </c>
      <c r="C21" s="4">
        <v>46124</v>
      </c>
      <c r="D21" s="3" t="s">
        <v>53</v>
      </c>
      <c r="E21" s="5" t="s">
        <v>1015</v>
      </c>
      <c r="F21" s="5" t="s">
        <v>65</v>
      </c>
      <c r="G21" s="3" t="s">
        <v>22</v>
      </c>
      <c r="H21" s="3" t="s">
        <v>1022</v>
      </c>
      <c r="I21" s="3" t="s">
        <v>41</v>
      </c>
      <c r="J21" s="3" t="s">
        <v>293</v>
      </c>
    </row>
    <row r="22" spans="1:10">
      <c r="A22" s="3">
        <v>19</v>
      </c>
      <c r="B22" s="3" t="s">
        <v>1028</v>
      </c>
      <c r="C22" s="4">
        <v>46143</v>
      </c>
      <c r="D22" s="3" t="s">
        <v>60</v>
      </c>
      <c r="E22" s="5" t="s">
        <v>1000</v>
      </c>
      <c r="F22" s="5" t="s">
        <v>58</v>
      </c>
      <c r="G22" s="3" t="s">
        <v>68</v>
      </c>
      <c r="H22" s="3" t="s">
        <v>1010</v>
      </c>
      <c r="I22" s="3" t="s">
        <v>78</v>
      </c>
      <c r="J22" s="3" t="s">
        <v>293</v>
      </c>
    </row>
    <row r="23" spans="1:10">
      <c r="A23" s="3">
        <v>20</v>
      </c>
      <c r="B23" s="3" t="s">
        <v>1029</v>
      </c>
      <c r="C23" s="4">
        <v>46145</v>
      </c>
      <c r="D23" s="3" t="s">
        <v>60</v>
      </c>
      <c r="E23" s="5" t="s">
        <v>1006</v>
      </c>
      <c r="F23" s="5" t="s">
        <v>27</v>
      </c>
      <c r="G23" s="3" t="s">
        <v>22</v>
      </c>
      <c r="H23" s="3" t="s">
        <v>1010</v>
      </c>
      <c r="I23" s="3" t="s">
        <v>104</v>
      </c>
      <c r="J23" s="3" t="s">
        <v>293</v>
      </c>
    </row>
    <row r="24" spans="1:10">
      <c r="A24" s="3">
        <v>21</v>
      </c>
      <c r="B24" s="3" t="s">
        <v>1030</v>
      </c>
      <c r="C24" s="4">
        <v>46166</v>
      </c>
      <c r="D24" s="3" t="s">
        <v>60</v>
      </c>
      <c r="E24" s="5" t="s">
        <v>1019</v>
      </c>
      <c r="F24" s="5" t="s">
        <v>50</v>
      </c>
      <c r="G24" s="3" t="s">
        <v>28</v>
      </c>
      <c r="H24" s="3" t="s">
        <v>1004</v>
      </c>
      <c r="I24" s="3" t="s">
        <v>62</v>
      </c>
      <c r="J24" s="3" t="s">
        <v>254</v>
      </c>
    </row>
    <row r="25" spans="1:10">
      <c r="A25" s="3">
        <v>22</v>
      </c>
      <c r="B25" s="3" t="s">
        <v>1031</v>
      </c>
      <c r="C25" s="4">
        <v>46167</v>
      </c>
      <c r="D25" s="3" t="s">
        <v>60</v>
      </c>
      <c r="E25" s="5" t="s">
        <v>1015</v>
      </c>
      <c r="F25" s="5" t="s">
        <v>39</v>
      </c>
      <c r="G25" s="3" t="s">
        <v>78</v>
      </c>
      <c r="H25" s="3" t="s">
        <v>1004</v>
      </c>
      <c r="I25" s="3" t="s">
        <v>36</v>
      </c>
      <c r="J25" s="3" t="s">
        <v>297</v>
      </c>
    </row>
    <row r="26" spans="1:10">
      <c r="A26" s="3">
        <v>23</v>
      </c>
      <c r="B26" s="3" t="s">
        <v>1032</v>
      </c>
      <c r="C26" s="4">
        <v>46185</v>
      </c>
      <c r="D26" s="3" t="s">
        <v>73</v>
      </c>
      <c r="E26" s="5" t="s">
        <v>1006</v>
      </c>
      <c r="F26" s="5" t="s">
        <v>89</v>
      </c>
      <c r="G26" s="3" t="s">
        <v>62</v>
      </c>
      <c r="H26" s="3" t="s">
        <v>1007</v>
      </c>
      <c r="I26" s="3" t="s">
        <v>93</v>
      </c>
      <c r="J26" s="3" t="s">
        <v>293</v>
      </c>
    </row>
    <row r="27" spans="1:10">
      <c r="A27" s="3">
        <v>24</v>
      </c>
      <c r="B27" s="3" t="s">
        <v>1033</v>
      </c>
      <c r="C27" s="4">
        <v>46189</v>
      </c>
      <c r="D27" s="3" t="s">
        <v>73</v>
      </c>
      <c r="E27" s="5" t="s">
        <v>1015</v>
      </c>
      <c r="F27" s="5" t="s">
        <v>58</v>
      </c>
      <c r="G27" s="3" t="s">
        <v>78</v>
      </c>
      <c r="H27" s="3" t="s">
        <v>1004</v>
      </c>
      <c r="I27" s="3" t="s">
        <v>104</v>
      </c>
      <c r="J27" s="3" t="s">
        <v>293</v>
      </c>
    </row>
    <row r="28" spans="1:10">
      <c r="A28" s="3">
        <v>25</v>
      </c>
      <c r="B28" s="3" t="s">
        <v>1034</v>
      </c>
      <c r="C28" s="4">
        <v>46189</v>
      </c>
      <c r="D28" s="3" t="s">
        <v>73</v>
      </c>
      <c r="E28" s="5" t="s">
        <v>1000</v>
      </c>
      <c r="F28" s="5" t="s">
        <v>27</v>
      </c>
      <c r="G28" s="3" t="s">
        <v>62</v>
      </c>
      <c r="H28" s="3" t="s">
        <v>1010</v>
      </c>
      <c r="I28" s="3" t="s">
        <v>70</v>
      </c>
      <c r="J28" s="3" t="s">
        <v>238</v>
      </c>
    </row>
    <row r="29" spans="1:10">
      <c r="A29" s="3">
        <v>26</v>
      </c>
      <c r="B29" s="3" t="s">
        <v>1035</v>
      </c>
      <c r="C29" s="4">
        <v>46180</v>
      </c>
      <c r="D29" s="3" t="s">
        <v>73</v>
      </c>
      <c r="E29" s="5" t="s">
        <v>1006</v>
      </c>
      <c r="F29" s="5" t="s">
        <v>50</v>
      </c>
      <c r="G29" s="3" t="s">
        <v>78</v>
      </c>
      <c r="H29" s="3" t="s">
        <v>1010</v>
      </c>
      <c r="I29" s="3" t="s">
        <v>62</v>
      </c>
      <c r="J29" s="3" t="s">
        <v>238</v>
      </c>
    </row>
    <row r="30" spans="1:10">
      <c r="A30" s="3">
        <v>27</v>
      </c>
      <c r="B30" s="3" t="s">
        <v>1036</v>
      </c>
      <c r="C30" s="4">
        <v>46196</v>
      </c>
      <c r="D30" s="3" t="s">
        <v>73</v>
      </c>
      <c r="E30" s="5" t="s">
        <v>1009</v>
      </c>
      <c r="F30" s="5" t="s">
        <v>5</v>
      </c>
      <c r="G30" s="3" t="s">
        <v>93</v>
      </c>
      <c r="H30" s="3" t="s">
        <v>1022</v>
      </c>
      <c r="I30" s="3" t="s">
        <v>41</v>
      </c>
      <c r="J30" s="3" t="s">
        <v>254</v>
      </c>
    </row>
    <row r="31" spans="1:10">
      <c r="A31" s="3">
        <v>28</v>
      </c>
      <c r="B31" s="3" t="s">
        <v>1037</v>
      </c>
      <c r="C31" s="4">
        <v>46178</v>
      </c>
      <c r="D31" s="3" t="s">
        <v>73</v>
      </c>
      <c r="E31" s="5" t="s">
        <v>1019</v>
      </c>
      <c r="F31" s="5" t="s">
        <v>65</v>
      </c>
      <c r="G31" s="3" t="s">
        <v>68</v>
      </c>
      <c r="H31" s="3" t="s">
        <v>1007</v>
      </c>
      <c r="I31" s="3" t="s">
        <v>104</v>
      </c>
      <c r="J31" s="3" t="s">
        <v>293</v>
      </c>
    </row>
    <row r="32" spans="1:10">
      <c r="A32" s="3">
        <v>29</v>
      </c>
      <c r="B32" s="3" t="s">
        <v>1038</v>
      </c>
      <c r="C32" s="4">
        <v>46215</v>
      </c>
      <c r="D32" s="3" t="s">
        <v>76</v>
      </c>
      <c r="E32" s="5" t="s">
        <v>1015</v>
      </c>
      <c r="F32" s="5" t="s">
        <v>13</v>
      </c>
      <c r="G32" s="3" t="s">
        <v>78</v>
      </c>
      <c r="H32" s="3" t="s">
        <v>1022</v>
      </c>
      <c r="I32" s="3" t="s">
        <v>70</v>
      </c>
      <c r="J32" s="3" t="s">
        <v>254</v>
      </c>
    </row>
    <row r="33" spans="1:10">
      <c r="A33" s="3">
        <v>30</v>
      </c>
      <c r="B33" s="3" t="s">
        <v>1039</v>
      </c>
      <c r="C33" s="4">
        <v>46218</v>
      </c>
      <c r="D33" s="3" t="s">
        <v>76</v>
      </c>
      <c r="E33" s="5" t="s">
        <v>1000</v>
      </c>
      <c r="F33" s="5" t="s">
        <v>50</v>
      </c>
      <c r="G33" s="3" t="s">
        <v>7</v>
      </c>
      <c r="H33" s="3" t="s">
        <v>1022</v>
      </c>
      <c r="I33" s="3" t="s">
        <v>70</v>
      </c>
      <c r="J33" s="3" t="s">
        <v>293</v>
      </c>
    </row>
    <row r="34" spans="1:10">
      <c r="A34" s="3">
        <v>31</v>
      </c>
      <c r="B34" s="3" t="s">
        <v>1040</v>
      </c>
      <c r="C34" s="4">
        <v>46229</v>
      </c>
      <c r="D34" s="3" t="s">
        <v>76</v>
      </c>
      <c r="E34" s="5" t="s">
        <v>1000</v>
      </c>
      <c r="F34" s="5" t="s">
        <v>5</v>
      </c>
      <c r="G34" s="3" t="s">
        <v>104</v>
      </c>
      <c r="H34" s="3" t="s">
        <v>1001</v>
      </c>
      <c r="I34" s="3" t="s">
        <v>70</v>
      </c>
      <c r="J34" s="3" t="s">
        <v>297</v>
      </c>
    </row>
    <row r="35" spans="1:10">
      <c r="A35" s="3">
        <v>32</v>
      </c>
      <c r="B35" s="3" t="s">
        <v>1041</v>
      </c>
      <c r="C35" s="4">
        <v>46247</v>
      </c>
      <c r="D35" s="3" t="s">
        <v>86</v>
      </c>
      <c r="E35" s="5" t="s">
        <v>1015</v>
      </c>
      <c r="F35" s="5" t="s">
        <v>50</v>
      </c>
      <c r="G35" s="3" t="s">
        <v>104</v>
      </c>
      <c r="H35" s="3" t="s">
        <v>1022</v>
      </c>
      <c r="I35" s="3" t="s">
        <v>78</v>
      </c>
      <c r="J35" s="3" t="s">
        <v>254</v>
      </c>
    </row>
    <row r="36" spans="1:10">
      <c r="A36" s="3">
        <v>33</v>
      </c>
      <c r="B36" s="3" t="s">
        <v>1042</v>
      </c>
      <c r="C36" s="4">
        <v>46243</v>
      </c>
      <c r="D36" s="3" t="s">
        <v>86</v>
      </c>
      <c r="E36" s="5" t="s">
        <v>1015</v>
      </c>
      <c r="F36" s="5" t="s">
        <v>5</v>
      </c>
      <c r="G36" s="3" t="s">
        <v>78</v>
      </c>
      <c r="H36" s="3" t="s">
        <v>1022</v>
      </c>
      <c r="I36" s="3" t="s">
        <v>68</v>
      </c>
      <c r="J36" s="3" t="s">
        <v>254</v>
      </c>
    </row>
    <row r="37" spans="1:10">
      <c r="A37" s="3">
        <v>34</v>
      </c>
      <c r="B37" s="3" t="s">
        <v>1043</v>
      </c>
      <c r="C37" s="4">
        <v>46279</v>
      </c>
      <c r="D37" s="3" t="s">
        <v>102</v>
      </c>
      <c r="E37" s="5" t="s">
        <v>1019</v>
      </c>
      <c r="F37" s="5" t="s">
        <v>27</v>
      </c>
      <c r="G37" s="3" t="s">
        <v>93</v>
      </c>
      <c r="H37" s="3" t="s">
        <v>1010</v>
      </c>
      <c r="I37" s="3" t="s">
        <v>32</v>
      </c>
      <c r="J37" s="3" t="s">
        <v>297</v>
      </c>
    </row>
    <row r="38" spans="1:10">
      <c r="A38" s="3">
        <v>35</v>
      </c>
      <c r="B38" s="3" t="s">
        <v>1044</v>
      </c>
      <c r="C38" s="4">
        <v>46278</v>
      </c>
      <c r="D38" s="3" t="s">
        <v>102</v>
      </c>
      <c r="E38" s="5" t="s">
        <v>1000</v>
      </c>
      <c r="F38" s="5" t="s">
        <v>65</v>
      </c>
      <c r="G38" s="3" t="s">
        <v>70</v>
      </c>
      <c r="H38" s="3" t="s">
        <v>1007</v>
      </c>
      <c r="I38" s="3" t="s">
        <v>32</v>
      </c>
      <c r="J38" s="3" t="s">
        <v>254</v>
      </c>
    </row>
    <row r="39" spans="1:10">
      <c r="A39" s="3">
        <v>36</v>
      </c>
      <c r="B39" s="3" t="s">
        <v>1045</v>
      </c>
      <c r="C39" s="4">
        <v>46317</v>
      </c>
      <c r="D39" s="3" t="s">
        <v>106</v>
      </c>
      <c r="E39" s="5" t="s">
        <v>1009</v>
      </c>
      <c r="F39" s="5" t="s">
        <v>65</v>
      </c>
      <c r="G39" s="3" t="s">
        <v>7</v>
      </c>
      <c r="H39" s="3" t="s">
        <v>1001</v>
      </c>
      <c r="I39" s="3" t="s">
        <v>68</v>
      </c>
      <c r="J39" s="3" t="s">
        <v>293</v>
      </c>
    </row>
    <row r="40" spans="1:10">
      <c r="A40" s="3">
        <v>37</v>
      </c>
      <c r="B40" s="3" t="s">
        <v>1046</v>
      </c>
      <c r="C40" s="4">
        <v>46300</v>
      </c>
      <c r="D40" s="3" t="s">
        <v>106</v>
      </c>
      <c r="E40" s="5" t="s">
        <v>1003</v>
      </c>
      <c r="F40" s="5" t="s">
        <v>46</v>
      </c>
      <c r="G40" s="3" t="s">
        <v>70</v>
      </c>
      <c r="H40" s="3" t="s">
        <v>1001</v>
      </c>
      <c r="I40" s="3" t="s">
        <v>22</v>
      </c>
      <c r="J40" s="3" t="s">
        <v>254</v>
      </c>
    </row>
    <row r="41" spans="1:10">
      <c r="A41" s="3">
        <v>38</v>
      </c>
      <c r="B41" s="3" t="s">
        <v>1047</v>
      </c>
      <c r="C41" s="4">
        <v>46342</v>
      </c>
      <c r="D41" s="3" t="s">
        <v>111</v>
      </c>
      <c r="E41" s="5" t="s">
        <v>1006</v>
      </c>
      <c r="F41" s="5" t="s">
        <v>46</v>
      </c>
      <c r="G41" s="3" t="s">
        <v>22</v>
      </c>
      <c r="H41" s="3" t="s">
        <v>1004</v>
      </c>
      <c r="I41" s="3" t="s">
        <v>62</v>
      </c>
      <c r="J41" s="3" t="s">
        <v>254</v>
      </c>
    </row>
    <row r="42" spans="1:10">
      <c r="A42" s="3">
        <v>39</v>
      </c>
      <c r="B42" s="3" t="s">
        <v>1048</v>
      </c>
      <c r="C42" s="4">
        <v>46335</v>
      </c>
      <c r="D42" s="3" t="s">
        <v>111</v>
      </c>
      <c r="E42" s="5" t="s">
        <v>1003</v>
      </c>
      <c r="F42" s="5" t="s">
        <v>46</v>
      </c>
      <c r="G42" s="3" t="s">
        <v>28</v>
      </c>
      <c r="H42" s="3" t="s">
        <v>1022</v>
      </c>
      <c r="I42" s="3" t="s">
        <v>36</v>
      </c>
      <c r="J42" s="3" t="s">
        <v>293</v>
      </c>
    </row>
    <row r="43" spans="1:10">
      <c r="A43" s="3">
        <v>40</v>
      </c>
      <c r="B43" s="3" t="s">
        <v>1049</v>
      </c>
      <c r="C43" s="4">
        <v>46335</v>
      </c>
      <c r="D43" s="3" t="s">
        <v>111</v>
      </c>
      <c r="E43" s="5" t="s">
        <v>1006</v>
      </c>
      <c r="F43" s="5" t="s">
        <v>65</v>
      </c>
      <c r="G43" s="3" t="s">
        <v>28</v>
      </c>
      <c r="H43" s="3" t="s">
        <v>1022</v>
      </c>
      <c r="I43" s="3" t="s">
        <v>66</v>
      </c>
      <c r="J43" s="3" t="s">
        <v>254</v>
      </c>
    </row>
    <row r="44" spans="1:10">
      <c r="A44" s="3">
        <v>41</v>
      </c>
      <c r="B44" s="3" t="s">
        <v>1050</v>
      </c>
      <c r="C44" s="4">
        <v>46347</v>
      </c>
      <c r="D44" s="3" t="s">
        <v>111</v>
      </c>
      <c r="E44" s="5" t="s">
        <v>1009</v>
      </c>
      <c r="F44" s="5" t="s">
        <v>92</v>
      </c>
      <c r="G44" s="3" t="s">
        <v>104</v>
      </c>
      <c r="H44" s="3" t="s">
        <v>1004</v>
      </c>
      <c r="I44" s="3" t="s">
        <v>78</v>
      </c>
      <c r="J44" s="3" t="s">
        <v>254</v>
      </c>
    </row>
    <row r="45" spans="1:10">
      <c r="A45" s="3">
        <v>42</v>
      </c>
      <c r="B45" s="3" t="s">
        <v>1051</v>
      </c>
      <c r="C45" s="4">
        <v>46336</v>
      </c>
      <c r="D45" s="3" t="s">
        <v>111</v>
      </c>
      <c r="E45" s="5" t="s">
        <v>1006</v>
      </c>
      <c r="F45" s="5" t="s">
        <v>27</v>
      </c>
      <c r="G45" s="3" t="s">
        <v>78</v>
      </c>
      <c r="H45" s="3" t="s">
        <v>1010</v>
      </c>
      <c r="I45" s="3" t="s">
        <v>15</v>
      </c>
      <c r="J45" s="3" t="s">
        <v>293</v>
      </c>
    </row>
    <row r="46" spans="1:10">
      <c r="A46" s="3">
        <v>43</v>
      </c>
      <c r="B46" s="3" t="s">
        <v>1052</v>
      </c>
      <c r="C46" s="4">
        <v>46339</v>
      </c>
      <c r="D46" s="3" t="s">
        <v>111</v>
      </c>
      <c r="E46" s="5" t="s">
        <v>1003</v>
      </c>
      <c r="F46" s="5" t="s">
        <v>46</v>
      </c>
      <c r="G46" s="3" t="s">
        <v>28</v>
      </c>
      <c r="H46" s="3" t="s">
        <v>1007</v>
      </c>
      <c r="I46" s="3" t="s">
        <v>32</v>
      </c>
      <c r="J46" s="3" t="s">
        <v>238</v>
      </c>
    </row>
    <row r="47" spans="1:10">
      <c r="A47" s="3">
        <v>44</v>
      </c>
      <c r="B47" s="3" t="s">
        <v>1053</v>
      </c>
      <c r="C47" s="4">
        <v>46353</v>
      </c>
      <c r="D47" s="3" t="s">
        <v>111</v>
      </c>
      <c r="E47" s="5" t="s">
        <v>1003</v>
      </c>
      <c r="F47" s="5" t="s">
        <v>92</v>
      </c>
      <c r="G47" s="3" t="s">
        <v>70</v>
      </c>
      <c r="H47" s="3" t="s">
        <v>1001</v>
      </c>
      <c r="I47" s="3" t="s">
        <v>7</v>
      </c>
      <c r="J47" s="3" t="s">
        <v>293</v>
      </c>
    </row>
    <row r="48" spans="1:10">
      <c r="A48" s="3">
        <v>45</v>
      </c>
      <c r="B48" s="3" t="s">
        <v>1054</v>
      </c>
      <c r="C48" s="4">
        <v>46360</v>
      </c>
      <c r="D48" s="3" t="s">
        <v>122</v>
      </c>
      <c r="E48" s="5" t="s">
        <v>1015</v>
      </c>
      <c r="F48" s="5" t="s">
        <v>5</v>
      </c>
      <c r="G48" s="3" t="s">
        <v>66</v>
      </c>
      <c r="H48" s="3" t="s">
        <v>1001</v>
      </c>
      <c r="I48" s="3" t="s">
        <v>22</v>
      </c>
      <c r="J48" s="3" t="s">
        <v>293</v>
      </c>
    </row>
    <row r="49" spans="1:10">
      <c r="A49" s="3">
        <v>46</v>
      </c>
      <c r="B49" s="3" t="s">
        <v>1055</v>
      </c>
      <c r="C49" s="4">
        <v>46369</v>
      </c>
      <c r="D49" s="3" t="s">
        <v>122</v>
      </c>
      <c r="E49" s="5" t="s">
        <v>1009</v>
      </c>
      <c r="F49" s="5" t="s">
        <v>5</v>
      </c>
      <c r="G49" s="3" t="s">
        <v>36</v>
      </c>
      <c r="H49" s="3" t="s">
        <v>1004</v>
      </c>
      <c r="I49" s="3" t="s">
        <v>28</v>
      </c>
      <c r="J49" s="3" t="s">
        <v>293</v>
      </c>
    </row>
    <row r="50" spans="1:10">
      <c r="A50" s="3">
        <v>47</v>
      </c>
      <c r="B50" s="3" t="s">
        <v>1056</v>
      </c>
      <c r="C50" s="4">
        <v>46365</v>
      </c>
      <c r="D50" s="3" t="s">
        <v>122</v>
      </c>
      <c r="E50" s="5" t="s">
        <v>1006</v>
      </c>
      <c r="F50" s="5" t="s">
        <v>65</v>
      </c>
      <c r="G50" s="3" t="s">
        <v>93</v>
      </c>
      <c r="H50" s="3" t="s">
        <v>1007</v>
      </c>
      <c r="I50" s="3" t="s">
        <v>62</v>
      </c>
      <c r="J50" s="3" t="s">
        <v>293</v>
      </c>
    </row>
    <row r="51" spans="1:10">
      <c r="A51" s="3">
        <v>48</v>
      </c>
      <c r="B51" s="3" t="s">
        <v>1057</v>
      </c>
      <c r="C51" s="4">
        <v>46370</v>
      </c>
      <c r="D51" s="3" t="s">
        <v>122</v>
      </c>
      <c r="E51" s="5" t="s">
        <v>1000</v>
      </c>
      <c r="F51" s="5" t="s">
        <v>89</v>
      </c>
      <c r="G51" s="3" t="s">
        <v>104</v>
      </c>
      <c r="H51" s="3" t="s">
        <v>1004</v>
      </c>
      <c r="I51" s="3" t="s">
        <v>7</v>
      </c>
      <c r="J51" s="3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J4:J5003">
      <formula1>L_Status</formula1>
    </dataValidation>
  </dataValidations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4.7109375" customWidth="1"/>
    <col min="9" max="9" width="15.7109375" customWidth="1"/>
    <col min="10" max="10" width="16.7109375" customWidth="1"/>
    <col min="11" max="11" width="10.7109375" customWidth="1"/>
    <col min="12" max="12" width="12.7109375" customWidth="1"/>
    <col min="13" max="13" width="20.7109375" customWidth="1"/>
  </cols>
  <sheetData>
    <row r="1" spans="1:15" ht="22" customHeight="1">
      <c r="A1" s="1" t="s">
        <v>1063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O1" s="2" t="s">
        <v>139</v>
      </c>
    </row>
    <row r="2" spans="1:1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5">
      <c r="A3" t="s">
        <v>124</v>
      </c>
      <c r="B3" t="s">
        <v>1115</v>
      </c>
      <c r="C3" t="s">
        <v>126</v>
      </c>
      <c r="D3" t="s">
        <v>127</v>
      </c>
      <c r="E3" t="s">
        <v>1116</v>
      </c>
      <c r="F3" t="s">
        <v>129</v>
      </c>
      <c r="G3" t="s">
        <v>130</v>
      </c>
      <c r="H3" t="s">
        <v>1117</v>
      </c>
      <c r="I3" t="s">
        <v>1118</v>
      </c>
      <c r="J3" t="s">
        <v>1119</v>
      </c>
      <c r="K3" t="s">
        <v>1120</v>
      </c>
      <c r="L3" t="s">
        <v>1121</v>
      </c>
      <c r="M3" t="s">
        <v>1122</v>
      </c>
    </row>
    <row r="4" spans="1:15">
      <c r="A4" s="3">
        <v>1</v>
      </c>
      <c r="B4" s="3" t="s">
        <v>1064</v>
      </c>
      <c r="C4" s="4">
        <v>46073</v>
      </c>
      <c r="D4" s="3" t="s">
        <v>19</v>
      </c>
      <c r="E4" s="5" t="s">
        <v>49</v>
      </c>
      <c r="F4" s="5" t="s">
        <v>89</v>
      </c>
      <c r="G4" s="3" t="s">
        <v>31</v>
      </c>
      <c r="H4" s="3" t="s">
        <v>70</v>
      </c>
      <c r="I4" s="3" t="s">
        <v>93</v>
      </c>
      <c r="J4" s="3">
        <v>22</v>
      </c>
      <c r="K4" s="3" t="s">
        <v>142</v>
      </c>
      <c r="L4" s="3" t="s">
        <v>1065</v>
      </c>
      <c r="M4" s="3" t="s">
        <v>9</v>
      </c>
    </row>
    <row r="5" spans="1:15">
      <c r="A5" s="3">
        <v>2</v>
      </c>
      <c r="B5" s="3" t="s">
        <v>1066</v>
      </c>
      <c r="C5" s="4">
        <v>46060</v>
      </c>
      <c r="D5" s="3" t="s">
        <v>19</v>
      </c>
      <c r="E5" s="5" t="s">
        <v>16</v>
      </c>
      <c r="F5" s="5" t="s">
        <v>13</v>
      </c>
      <c r="G5" s="3" t="s">
        <v>87</v>
      </c>
      <c r="H5" s="3" t="s">
        <v>41</v>
      </c>
      <c r="I5" s="3" t="s">
        <v>70</v>
      </c>
      <c r="J5" s="3">
        <v>8</v>
      </c>
      <c r="K5" s="3" t="s">
        <v>142</v>
      </c>
      <c r="L5" s="3" t="s">
        <v>1067</v>
      </c>
      <c r="M5" s="3" t="s">
        <v>9</v>
      </c>
    </row>
    <row r="6" spans="1:15">
      <c r="A6" s="3">
        <v>3</v>
      </c>
      <c r="B6" s="3" t="s">
        <v>1068</v>
      </c>
      <c r="C6" s="4">
        <v>46057</v>
      </c>
      <c r="D6" s="3" t="s">
        <v>19</v>
      </c>
      <c r="E6" s="5" t="s">
        <v>38</v>
      </c>
      <c r="F6" s="5" t="s">
        <v>89</v>
      </c>
      <c r="G6" s="3" t="s">
        <v>14</v>
      </c>
      <c r="H6" s="3" t="s">
        <v>70</v>
      </c>
      <c r="I6" s="3" t="s">
        <v>15</v>
      </c>
      <c r="J6" s="3">
        <v>2</v>
      </c>
      <c r="K6" s="3" t="s">
        <v>159</v>
      </c>
      <c r="L6" s="3" t="s">
        <v>1065</v>
      </c>
      <c r="M6" s="3" t="s">
        <v>23</v>
      </c>
    </row>
    <row r="7" spans="1:15">
      <c r="A7" s="3">
        <v>4</v>
      </c>
      <c r="B7" s="3" t="s">
        <v>1069</v>
      </c>
      <c r="C7" s="4">
        <v>46059</v>
      </c>
      <c r="D7" s="3" t="s">
        <v>19</v>
      </c>
      <c r="E7" s="5" t="s">
        <v>26</v>
      </c>
      <c r="F7" s="5" t="s">
        <v>89</v>
      </c>
      <c r="G7" s="3" t="s">
        <v>82</v>
      </c>
      <c r="H7" s="3" t="s">
        <v>68</v>
      </c>
      <c r="I7" s="3" t="s">
        <v>15</v>
      </c>
      <c r="J7" s="3">
        <v>5</v>
      </c>
      <c r="K7" s="3" t="s">
        <v>154</v>
      </c>
      <c r="L7" s="3" t="s">
        <v>1070</v>
      </c>
      <c r="M7" s="3" t="s">
        <v>9</v>
      </c>
    </row>
    <row r="8" spans="1:15">
      <c r="A8" s="3">
        <v>5</v>
      </c>
      <c r="B8" s="3" t="s">
        <v>1071</v>
      </c>
      <c r="C8" s="4">
        <v>46068</v>
      </c>
      <c r="D8" s="3" t="s">
        <v>19</v>
      </c>
      <c r="E8" s="5" t="s">
        <v>26</v>
      </c>
      <c r="F8" s="5" t="s">
        <v>65</v>
      </c>
      <c r="G8" s="3" t="s">
        <v>80</v>
      </c>
      <c r="H8" s="3" t="s">
        <v>93</v>
      </c>
      <c r="I8" s="3" t="s">
        <v>93</v>
      </c>
      <c r="J8" s="3">
        <v>3</v>
      </c>
      <c r="K8" s="3" t="s">
        <v>159</v>
      </c>
      <c r="L8" s="3" t="s">
        <v>1067</v>
      </c>
      <c r="M8" s="3" t="s">
        <v>23</v>
      </c>
    </row>
    <row r="9" spans="1:15">
      <c r="A9" s="3">
        <v>6</v>
      </c>
      <c r="B9" s="3" t="s">
        <v>1072</v>
      </c>
      <c r="C9" s="4">
        <v>46078</v>
      </c>
      <c r="D9" s="3" t="s">
        <v>19</v>
      </c>
      <c r="E9" s="5" t="s">
        <v>26</v>
      </c>
      <c r="F9" s="5" t="s">
        <v>46</v>
      </c>
      <c r="G9" s="3" t="s">
        <v>80</v>
      </c>
      <c r="H9" s="3" t="s">
        <v>104</v>
      </c>
      <c r="I9" s="3" t="s">
        <v>41</v>
      </c>
      <c r="J9" s="3">
        <v>6</v>
      </c>
      <c r="K9" s="3" t="s">
        <v>154</v>
      </c>
      <c r="L9" s="3" t="s">
        <v>1067</v>
      </c>
      <c r="M9" s="3" t="s">
        <v>23</v>
      </c>
    </row>
    <row r="10" spans="1:15">
      <c r="A10" s="3">
        <v>7</v>
      </c>
      <c r="B10" s="3" t="s">
        <v>1073</v>
      </c>
      <c r="C10" s="4">
        <v>46097</v>
      </c>
      <c r="D10" s="3" t="s">
        <v>44</v>
      </c>
      <c r="E10" s="5" t="s">
        <v>30</v>
      </c>
      <c r="F10" s="5" t="s">
        <v>58</v>
      </c>
      <c r="G10" s="3" t="s">
        <v>40</v>
      </c>
      <c r="H10" s="3" t="s">
        <v>70</v>
      </c>
      <c r="I10" s="3" t="s">
        <v>70</v>
      </c>
      <c r="J10" s="3">
        <v>16</v>
      </c>
      <c r="K10" s="3" t="s">
        <v>159</v>
      </c>
      <c r="L10" s="3" t="s">
        <v>1070</v>
      </c>
      <c r="M10" s="3" t="s">
        <v>23</v>
      </c>
    </row>
    <row r="11" spans="1:15">
      <c r="A11" s="3">
        <v>8</v>
      </c>
      <c r="B11" s="3" t="s">
        <v>1074</v>
      </c>
      <c r="C11" s="4">
        <v>46097</v>
      </c>
      <c r="D11" s="3" t="s">
        <v>44</v>
      </c>
      <c r="E11" s="5" t="s">
        <v>16</v>
      </c>
      <c r="F11" s="5" t="s">
        <v>46</v>
      </c>
      <c r="G11" s="3" t="s">
        <v>31</v>
      </c>
      <c r="H11" s="3" t="s">
        <v>15</v>
      </c>
      <c r="I11" s="3" t="s">
        <v>28</v>
      </c>
      <c r="J11" s="3">
        <v>15</v>
      </c>
      <c r="K11" s="3" t="s">
        <v>162</v>
      </c>
      <c r="L11" s="3" t="s">
        <v>1065</v>
      </c>
      <c r="M11" s="3" t="s">
        <v>23</v>
      </c>
    </row>
    <row r="12" spans="1:15">
      <c r="A12" s="3">
        <v>9</v>
      </c>
      <c r="B12" s="3" t="s">
        <v>1075</v>
      </c>
      <c r="C12" s="4">
        <v>46097</v>
      </c>
      <c r="D12" s="3" t="s">
        <v>44</v>
      </c>
      <c r="E12" s="5" t="s">
        <v>91</v>
      </c>
      <c r="F12" s="5" t="s">
        <v>65</v>
      </c>
      <c r="G12" s="3" t="s">
        <v>95</v>
      </c>
      <c r="H12" s="3" t="s">
        <v>7</v>
      </c>
      <c r="I12" s="3" t="s">
        <v>32</v>
      </c>
      <c r="J12" s="3">
        <v>25</v>
      </c>
      <c r="K12" s="3" t="s">
        <v>154</v>
      </c>
      <c r="L12" s="3" t="s">
        <v>1070</v>
      </c>
      <c r="M12" s="3" t="s">
        <v>9</v>
      </c>
    </row>
    <row r="13" spans="1:15">
      <c r="A13" s="3">
        <v>10</v>
      </c>
      <c r="B13" s="3" t="s">
        <v>1076</v>
      </c>
      <c r="C13" s="4">
        <v>46099</v>
      </c>
      <c r="D13" s="3" t="s">
        <v>44</v>
      </c>
      <c r="E13" s="5" t="s">
        <v>64</v>
      </c>
      <c r="F13" s="5" t="s">
        <v>58</v>
      </c>
      <c r="G13" s="3" t="s">
        <v>31</v>
      </c>
      <c r="H13" s="3" t="s">
        <v>32</v>
      </c>
      <c r="I13" s="3" t="s">
        <v>22</v>
      </c>
      <c r="J13" s="3">
        <v>12</v>
      </c>
      <c r="K13" s="3" t="s">
        <v>154</v>
      </c>
      <c r="L13" s="3" t="s">
        <v>1065</v>
      </c>
      <c r="M13" s="3" t="s">
        <v>23</v>
      </c>
    </row>
    <row r="14" spans="1:15">
      <c r="A14" s="3">
        <v>11</v>
      </c>
      <c r="B14" s="3" t="s">
        <v>1077</v>
      </c>
      <c r="C14" s="4">
        <v>46119</v>
      </c>
      <c r="D14" s="3" t="s">
        <v>53</v>
      </c>
      <c r="E14" s="5" t="s">
        <v>49</v>
      </c>
      <c r="F14" s="5" t="s">
        <v>46</v>
      </c>
      <c r="G14" s="3" t="s">
        <v>87</v>
      </c>
      <c r="H14" s="3" t="s">
        <v>28</v>
      </c>
      <c r="I14" s="3" t="s">
        <v>78</v>
      </c>
      <c r="J14" s="3">
        <v>8</v>
      </c>
      <c r="K14" s="3" t="s">
        <v>162</v>
      </c>
      <c r="L14" s="3" t="s">
        <v>1070</v>
      </c>
      <c r="M14" s="3" t="s">
        <v>23</v>
      </c>
    </row>
    <row r="15" spans="1:15">
      <c r="A15" s="3">
        <v>12</v>
      </c>
      <c r="B15" s="3" t="s">
        <v>1078</v>
      </c>
      <c r="C15" s="4">
        <v>46119</v>
      </c>
      <c r="D15" s="3" t="s">
        <v>53</v>
      </c>
      <c r="E15" s="5" t="s">
        <v>57</v>
      </c>
      <c r="F15" s="5" t="s">
        <v>89</v>
      </c>
      <c r="G15" s="3" t="s">
        <v>35</v>
      </c>
      <c r="H15" s="3" t="s">
        <v>66</v>
      </c>
      <c r="I15" s="3" t="s">
        <v>15</v>
      </c>
      <c r="J15" s="3">
        <v>1</v>
      </c>
      <c r="K15" s="3" t="s">
        <v>154</v>
      </c>
      <c r="L15" s="3" t="s">
        <v>1065</v>
      </c>
      <c r="M15" s="3" t="s">
        <v>9</v>
      </c>
    </row>
    <row r="16" spans="1:15">
      <c r="A16" s="3">
        <v>13</v>
      </c>
      <c r="B16" s="3" t="s">
        <v>1079</v>
      </c>
      <c r="C16" s="4">
        <v>46121</v>
      </c>
      <c r="D16" s="3" t="s">
        <v>53</v>
      </c>
      <c r="E16" s="5" t="s">
        <v>91</v>
      </c>
      <c r="F16" s="5" t="s">
        <v>5</v>
      </c>
      <c r="G16" s="3" t="s">
        <v>14</v>
      </c>
      <c r="H16" s="3" t="s">
        <v>70</v>
      </c>
      <c r="I16" s="3" t="s">
        <v>93</v>
      </c>
      <c r="J16" s="3">
        <v>14</v>
      </c>
      <c r="K16" s="3" t="s">
        <v>154</v>
      </c>
      <c r="L16" s="3" t="s">
        <v>1065</v>
      </c>
      <c r="M16" s="3" t="s">
        <v>23</v>
      </c>
    </row>
    <row r="17" spans="1:13">
      <c r="A17" s="3">
        <v>14</v>
      </c>
      <c r="B17" s="3" t="s">
        <v>1080</v>
      </c>
      <c r="C17" s="4">
        <v>46131</v>
      </c>
      <c r="D17" s="3" t="s">
        <v>53</v>
      </c>
      <c r="E17" s="5" t="s">
        <v>57</v>
      </c>
      <c r="F17" s="5" t="s">
        <v>39</v>
      </c>
      <c r="G17" s="3" t="s">
        <v>21</v>
      </c>
      <c r="H17" s="3" t="s">
        <v>28</v>
      </c>
      <c r="I17" s="3" t="s">
        <v>68</v>
      </c>
      <c r="J17" s="3">
        <v>30</v>
      </c>
      <c r="K17" s="3" t="s">
        <v>142</v>
      </c>
      <c r="L17" s="3" t="s">
        <v>1065</v>
      </c>
      <c r="M17" s="3" t="s">
        <v>9</v>
      </c>
    </row>
    <row r="18" spans="1:13">
      <c r="A18" s="3">
        <v>15</v>
      </c>
      <c r="B18" s="3" t="s">
        <v>1081</v>
      </c>
      <c r="C18" s="4">
        <v>46132</v>
      </c>
      <c r="D18" s="3" t="s">
        <v>53</v>
      </c>
      <c r="E18" s="5" t="s">
        <v>61</v>
      </c>
      <c r="F18" s="5" t="s">
        <v>92</v>
      </c>
      <c r="G18" s="3" t="s">
        <v>31</v>
      </c>
      <c r="H18" s="3" t="s">
        <v>15</v>
      </c>
      <c r="I18" s="3" t="s">
        <v>62</v>
      </c>
      <c r="J18" s="3">
        <v>11</v>
      </c>
      <c r="K18" s="3" t="s">
        <v>159</v>
      </c>
      <c r="L18" s="3" t="s">
        <v>1067</v>
      </c>
      <c r="M18" s="3" t="s">
        <v>9</v>
      </c>
    </row>
    <row r="19" spans="1:13">
      <c r="A19" s="3">
        <v>16</v>
      </c>
      <c r="B19" s="3" t="s">
        <v>1082</v>
      </c>
      <c r="C19" s="4">
        <v>46150</v>
      </c>
      <c r="D19" s="3" t="s">
        <v>60</v>
      </c>
      <c r="E19" s="5" t="s">
        <v>61</v>
      </c>
      <c r="F19" s="5" t="s">
        <v>27</v>
      </c>
      <c r="G19" s="3" t="s">
        <v>40</v>
      </c>
      <c r="H19" s="3" t="s">
        <v>15</v>
      </c>
      <c r="I19" s="3" t="s">
        <v>22</v>
      </c>
      <c r="J19" s="3">
        <v>3</v>
      </c>
      <c r="K19" s="3" t="s">
        <v>154</v>
      </c>
      <c r="L19" s="3" t="s">
        <v>1067</v>
      </c>
      <c r="M19" s="3" t="s">
        <v>9</v>
      </c>
    </row>
    <row r="20" spans="1:13">
      <c r="A20" s="3">
        <v>17</v>
      </c>
      <c r="B20" s="3" t="s">
        <v>1083</v>
      </c>
      <c r="C20" s="4">
        <v>46152</v>
      </c>
      <c r="D20" s="3" t="s">
        <v>60</v>
      </c>
      <c r="E20" s="5" t="s">
        <v>91</v>
      </c>
      <c r="F20" s="5" t="s">
        <v>5</v>
      </c>
      <c r="G20" s="3" t="s">
        <v>6</v>
      </c>
      <c r="H20" s="3" t="s">
        <v>15</v>
      </c>
      <c r="I20" s="3" t="s">
        <v>66</v>
      </c>
      <c r="J20" s="3">
        <v>13</v>
      </c>
      <c r="K20" s="3" t="s">
        <v>162</v>
      </c>
      <c r="L20" s="3" t="s">
        <v>1070</v>
      </c>
      <c r="M20" s="3" t="s">
        <v>9</v>
      </c>
    </row>
    <row r="21" spans="1:13">
      <c r="A21" s="3">
        <v>18</v>
      </c>
      <c r="B21" s="3" t="s">
        <v>1084</v>
      </c>
      <c r="C21" s="4">
        <v>46175</v>
      </c>
      <c r="D21" s="3" t="s">
        <v>73</v>
      </c>
      <c r="E21" s="5" t="s">
        <v>16</v>
      </c>
      <c r="F21" s="5" t="s">
        <v>46</v>
      </c>
      <c r="G21" s="3" t="s">
        <v>87</v>
      </c>
      <c r="H21" s="3" t="s">
        <v>41</v>
      </c>
      <c r="I21" s="3" t="s">
        <v>93</v>
      </c>
      <c r="J21" s="3">
        <v>13</v>
      </c>
      <c r="K21" s="3" t="s">
        <v>142</v>
      </c>
      <c r="L21" s="3" t="s">
        <v>1065</v>
      </c>
      <c r="M21" s="3" t="s">
        <v>23</v>
      </c>
    </row>
    <row r="22" spans="1:13">
      <c r="A22" s="3">
        <v>19</v>
      </c>
      <c r="B22" s="3" t="s">
        <v>1085</v>
      </c>
      <c r="C22" s="4">
        <v>46186</v>
      </c>
      <c r="D22" s="3" t="s">
        <v>73</v>
      </c>
      <c r="E22" s="5" t="s">
        <v>38</v>
      </c>
      <c r="F22" s="5" t="s">
        <v>92</v>
      </c>
      <c r="G22" s="3" t="s">
        <v>40</v>
      </c>
      <c r="H22" s="3" t="s">
        <v>62</v>
      </c>
      <c r="I22" s="3" t="s">
        <v>22</v>
      </c>
      <c r="J22" s="3">
        <v>1</v>
      </c>
      <c r="K22" s="3" t="s">
        <v>159</v>
      </c>
      <c r="L22" s="3" t="s">
        <v>1065</v>
      </c>
      <c r="M22" s="3" t="s">
        <v>23</v>
      </c>
    </row>
    <row r="23" spans="1:13">
      <c r="A23" s="3">
        <v>20</v>
      </c>
      <c r="B23" s="3" t="s">
        <v>1086</v>
      </c>
      <c r="C23" s="4">
        <v>46182</v>
      </c>
      <c r="D23" s="3" t="s">
        <v>73</v>
      </c>
      <c r="E23" s="5" t="s">
        <v>26</v>
      </c>
      <c r="F23" s="5" t="s">
        <v>5</v>
      </c>
      <c r="G23" s="3" t="s">
        <v>82</v>
      </c>
      <c r="H23" s="3" t="s">
        <v>62</v>
      </c>
      <c r="I23" s="3" t="s">
        <v>7</v>
      </c>
      <c r="J23" s="3">
        <v>22</v>
      </c>
      <c r="K23" s="3" t="s">
        <v>154</v>
      </c>
      <c r="L23" s="3" t="s">
        <v>1070</v>
      </c>
      <c r="M23" s="3" t="s">
        <v>9</v>
      </c>
    </row>
    <row r="24" spans="1:13">
      <c r="A24" s="3">
        <v>21</v>
      </c>
      <c r="B24" s="3" t="s">
        <v>1087</v>
      </c>
      <c r="C24" s="4">
        <v>46201</v>
      </c>
      <c r="D24" s="3" t="s">
        <v>73</v>
      </c>
      <c r="E24" s="5" t="s">
        <v>12</v>
      </c>
      <c r="F24" s="5" t="s">
        <v>92</v>
      </c>
      <c r="G24" s="3" t="s">
        <v>31</v>
      </c>
      <c r="H24" s="3" t="s">
        <v>32</v>
      </c>
      <c r="I24" s="3" t="s">
        <v>70</v>
      </c>
      <c r="J24" s="3">
        <v>0</v>
      </c>
      <c r="K24" s="3" t="s">
        <v>159</v>
      </c>
      <c r="L24" s="3" t="s">
        <v>1067</v>
      </c>
      <c r="M24" s="3" t="s">
        <v>9</v>
      </c>
    </row>
    <row r="25" spans="1:13">
      <c r="A25" s="3">
        <v>22</v>
      </c>
      <c r="B25" s="3" t="s">
        <v>1088</v>
      </c>
      <c r="C25" s="4">
        <v>46205</v>
      </c>
      <c r="D25" s="3" t="s">
        <v>76</v>
      </c>
      <c r="E25" s="5" t="s">
        <v>38</v>
      </c>
      <c r="F25" s="5" t="s">
        <v>39</v>
      </c>
      <c r="G25" s="3" t="s">
        <v>40</v>
      </c>
      <c r="H25" s="3" t="s">
        <v>22</v>
      </c>
      <c r="I25" s="3" t="s">
        <v>32</v>
      </c>
      <c r="J25" s="3">
        <v>13</v>
      </c>
      <c r="K25" s="3" t="s">
        <v>154</v>
      </c>
      <c r="L25" s="3" t="s">
        <v>1070</v>
      </c>
      <c r="M25" s="3" t="s">
        <v>23</v>
      </c>
    </row>
    <row r="26" spans="1:13">
      <c r="A26" s="3">
        <v>23</v>
      </c>
      <c r="B26" s="3" t="s">
        <v>1089</v>
      </c>
      <c r="C26" s="4">
        <v>46213</v>
      </c>
      <c r="D26" s="3" t="s">
        <v>76</v>
      </c>
      <c r="E26" s="5" t="s">
        <v>64</v>
      </c>
      <c r="F26" s="5" t="s">
        <v>92</v>
      </c>
      <c r="G26" s="3" t="s">
        <v>80</v>
      </c>
      <c r="H26" s="3" t="s">
        <v>68</v>
      </c>
      <c r="I26" s="3" t="s">
        <v>22</v>
      </c>
      <c r="J26" s="3">
        <v>6</v>
      </c>
      <c r="K26" s="3" t="s">
        <v>142</v>
      </c>
      <c r="L26" s="3" t="s">
        <v>1070</v>
      </c>
      <c r="M26" s="3" t="s">
        <v>23</v>
      </c>
    </row>
    <row r="27" spans="1:13">
      <c r="A27" s="3">
        <v>24</v>
      </c>
      <c r="B27" s="3" t="s">
        <v>1090</v>
      </c>
      <c r="C27" s="4">
        <v>46227</v>
      </c>
      <c r="D27" s="3" t="s">
        <v>76</v>
      </c>
      <c r="E27" s="5" t="s">
        <v>64</v>
      </c>
      <c r="F27" s="5" t="s">
        <v>5</v>
      </c>
      <c r="G27" s="3" t="s">
        <v>14</v>
      </c>
      <c r="H27" s="3" t="s">
        <v>62</v>
      </c>
      <c r="I27" s="3" t="s">
        <v>93</v>
      </c>
      <c r="J27" s="3">
        <v>5</v>
      </c>
      <c r="K27" s="3" t="s">
        <v>142</v>
      </c>
      <c r="L27" s="3" t="s">
        <v>1070</v>
      </c>
      <c r="M27" s="3" t="s">
        <v>23</v>
      </c>
    </row>
    <row r="28" spans="1:13">
      <c r="A28" s="3">
        <v>25</v>
      </c>
      <c r="B28" s="3" t="s">
        <v>1091</v>
      </c>
      <c r="C28" s="4">
        <v>46208</v>
      </c>
      <c r="D28" s="3" t="s">
        <v>76</v>
      </c>
      <c r="E28" s="5" t="s">
        <v>38</v>
      </c>
      <c r="F28" s="5" t="s">
        <v>46</v>
      </c>
      <c r="G28" s="3" t="s">
        <v>51</v>
      </c>
      <c r="H28" s="3" t="s">
        <v>62</v>
      </c>
      <c r="I28" s="3" t="s">
        <v>68</v>
      </c>
      <c r="J28" s="3">
        <v>27</v>
      </c>
      <c r="K28" s="3" t="s">
        <v>154</v>
      </c>
      <c r="L28" s="3" t="s">
        <v>1067</v>
      </c>
      <c r="M28" s="3" t="s">
        <v>23</v>
      </c>
    </row>
    <row r="29" spans="1:13">
      <c r="A29" s="3">
        <v>26</v>
      </c>
      <c r="B29" s="3" t="s">
        <v>1092</v>
      </c>
      <c r="C29" s="4">
        <v>46207</v>
      </c>
      <c r="D29" s="3" t="s">
        <v>76</v>
      </c>
      <c r="E29" s="5" t="s">
        <v>16</v>
      </c>
      <c r="F29" s="5" t="s">
        <v>46</v>
      </c>
      <c r="G29" s="3" t="s">
        <v>6</v>
      </c>
      <c r="H29" s="3" t="s">
        <v>78</v>
      </c>
      <c r="I29" s="3" t="s">
        <v>32</v>
      </c>
      <c r="J29" s="3">
        <v>8</v>
      </c>
      <c r="K29" s="3" t="s">
        <v>142</v>
      </c>
      <c r="L29" s="3" t="s">
        <v>1065</v>
      </c>
      <c r="M29" s="3" t="s">
        <v>9</v>
      </c>
    </row>
    <row r="30" spans="1:13">
      <c r="A30" s="3">
        <v>27</v>
      </c>
      <c r="B30" s="3" t="s">
        <v>1093</v>
      </c>
      <c r="C30" s="4">
        <v>46227</v>
      </c>
      <c r="D30" s="3" t="s">
        <v>76</v>
      </c>
      <c r="E30" s="5" t="s">
        <v>49</v>
      </c>
      <c r="F30" s="5" t="s">
        <v>46</v>
      </c>
      <c r="G30" s="3" t="s">
        <v>87</v>
      </c>
      <c r="H30" s="3" t="s">
        <v>66</v>
      </c>
      <c r="I30" s="3" t="s">
        <v>70</v>
      </c>
      <c r="J30" s="3">
        <v>18</v>
      </c>
      <c r="K30" s="3" t="s">
        <v>142</v>
      </c>
      <c r="L30" s="3" t="s">
        <v>1067</v>
      </c>
      <c r="M30" s="3" t="s">
        <v>23</v>
      </c>
    </row>
    <row r="31" spans="1:13">
      <c r="A31" s="3">
        <v>28</v>
      </c>
      <c r="B31" s="3" t="s">
        <v>1094</v>
      </c>
      <c r="C31" s="4">
        <v>46218</v>
      </c>
      <c r="D31" s="3" t="s">
        <v>76</v>
      </c>
      <c r="E31" s="5" t="s">
        <v>57</v>
      </c>
      <c r="F31" s="5" t="s">
        <v>58</v>
      </c>
      <c r="G31" s="3" t="s">
        <v>82</v>
      </c>
      <c r="H31" s="3" t="s">
        <v>68</v>
      </c>
      <c r="I31" s="3" t="s">
        <v>62</v>
      </c>
      <c r="J31" s="3">
        <v>7</v>
      </c>
      <c r="K31" s="3" t="s">
        <v>159</v>
      </c>
      <c r="L31" s="3" t="s">
        <v>1070</v>
      </c>
      <c r="M31" s="3" t="s">
        <v>9</v>
      </c>
    </row>
    <row r="32" spans="1:13">
      <c r="A32" s="3">
        <v>29</v>
      </c>
      <c r="B32" s="3" t="s">
        <v>1095</v>
      </c>
      <c r="C32" s="4">
        <v>46211</v>
      </c>
      <c r="D32" s="3" t="s">
        <v>76</v>
      </c>
      <c r="E32" s="5" t="s">
        <v>4</v>
      </c>
      <c r="F32" s="5" t="s">
        <v>89</v>
      </c>
      <c r="G32" s="3" t="s">
        <v>51</v>
      </c>
      <c r="H32" s="3" t="s">
        <v>22</v>
      </c>
      <c r="I32" s="3" t="s">
        <v>15</v>
      </c>
      <c r="J32" s="3">
        <v>0</v>
      </c>
      <c r="K32" s="3" t="s">
        <v>142</v>
      </c>
      <c r="L32" s="3" t="s">
        <v>1067</v>
      </c>
      <c r="M32" s="3" t="s">
        <v>23</v>
      </c>
    </row>
    <row r="33" spans="1:13">
      <c r="A33" s="3">
        <v>30</v>
      </c>
      <c r="B33" s="3" t="s">
        <v>1096</v>
      </c>
      <c r="C33" s="4">
        <v>46206</v>
      </c>
      <c r="D33" s="3" t="s">
        <v>76</v>
      </c>
      <c r="E33" s="5" t="s">
        <v>16</v>
      </c>
      <c r="F33" s="5" t="s">
        <v>13</v>
      </c>
      <c r="G33" s="3" t="s">
        <v>77</v>
      </c>
      <c r="H33" s="3" t="s">
        <v>104</v>
      </c>
      <c r="I33" s="3" t="s">
        <v>93</v>
      </c>
      <c r="J33" s="3">
        <v>17</v>
      </c>
      <c r="K33" s="3" t="s">
        <v>162</v>
      </c>
      <c r="L33" s="3" t="s">
        <v>1065</v>
      </c>
      <c r="M33" s="3" t="s">
        <v>23</v>
      </c>
    </row>
    <row r="34" spans="1:13">
      <c r="A34" s="3">
        <v>31</v>
      </c>
      <c r="B34" s="3" t="s">
        <v>1097</v>
      </c>
      <c r="C34" s="4">
        <v>46212</v>
      </c>
      <c r="D34" s="3" t="s">
        <v>76</v>
      </c>
      <c r="E34" s="5" t="s">
        <v>57</v>
      </c>
      <c r="F34" s="5" t="s">
        <v>13</v>
      </c>
      <c r="G34" s="3" t="s">
        <v>40</v>
      </c>
      <c r="H34" s="3" t="s">
        <v>104</v>
      </c>
      <c r="I34" s="3" t="s">
        <v>41</v>
      </c>
      <c r="J34" s="3">
        <v>8</v>
      </c>
      <c r="K34" s="3" t="s">
        <v>159</v>
      </c>
      <c r="L34" s="3" t="s">
        <v>1070</v>
      </c>
      <c r="M34" s="3" t="s">
        <v>9</v>
      </c>
    </row>
    <row r="35" spans="1:13">
      <c r="A35" s="3">
        <v>32</v>
      </c>
      <c r="B35" s="3" t="s">
        <v>1098</v>
      </c>
      <c r="C35" s="4">
        <v>46240</v>
      </c>
      <c r="D35" s="3" t="s">
        <v>86</v>
      </c>
      <c r="E35" s="5" t="s">
        <v>64</v>
      </c>
      <c r="F35" s="5" t="s">
        <v>27</v>
      </c>
      <c r="G35" s="3" t="s">
        <v>80</v>
      </c>
      <c r="H35" s="3" t="s">
        <v>15</v>
      </c>
      <c r="I35" s="3" t="s">
        <v>68</v>
      </c>
      <c r="J35" s="3">
        <v>22</v>
      </c>
      <c r="K35" s="3" t="s">
        <v>142</v>
      </c>
      <c r="L35" s="3" t="s">
        <v>1065</v>
      </c>
      <c r="M35" s="3" t="s">
        <v>23</v>
      </c>
    </row>
    <row r="36" spans="1:13">
      <c r="A36" s="3">
        <v>33</v>
      </c>
      <c r="B36" s="3" t="s">
        <v>1099</v>
      </c>
      <c r="C36" s="4">
        <v>46250</v>
      </c>
      <c r="D36" s="3" t="s">
        <v>86</v>
      </c>
      <c r="E36" s="5" t="s">
        <v>26</v>
      </c>
      <c r="F36" s="5" t="s">
        <v>58</v>
      </c>
      <c r="G36" s="3" t="s">
        <v>51</v>
      </c>
      <c r="H36" s="3" t="s">
        <v>36</v>
      </c>
      <c r="I36" s="3" t="s">
        <v>7</v>
      </c>
      <c r="J36" s="3">
        <v>30</v>
      </c>
      <c r="K36" s="3" t="s">
        <v>159</v>
      </c>
      <c r="L36" s="3" t="s">
        <v>1067</v>
      </c>
      <c r="M36" s="3" t="s">
        <v>23</v>
      </c>
    </row>
    <row r="37" spans="1:13">
      <c r="A37" s="3">
        <v>34</v>
      </c>
      <c r="B37" s="3" t="s">
        <v>1100</v>
      </c>
      <c r="C37" s="4">
        <v>46237</v>
      </c>
      <c r="D37" s="3" t="s">
        <v>86</v>
      </c>
      <c r="E37" s="5" t="s">
        <v>61</v>
      </c>
      <c r="F37" s="5" t="s">
        <v>89</v>
      </c>
      <c r="G37" s="3" t="s">
        <v>31</v>
      </c>
      <c r="H37" s="3" t="s">
        <v>78</v>
      </c>
      <c r="I37" s="3" t="s">
        <v>62</v>
      </c>
      <c r="J37" s="3">
        <v>9</v>
      </c>
      <c r="K37" s="3" t="s">
        <v>154</v>
      </c>
      <c r="L37" s="3" t="s">
        <v>1067</v>
      </c>
      <c r="M37" s="3" t="s">
        <v>23</v>
      </c>
    </row>
    <row r="38" spans="1:13">
      <c r="A38" s="3">
        <v>35</v>
      </c>
      <c r="B38" s="3" t="s">
        <v>1101</v>
      </c>
      <c r="C38" s="4">
        <v>46243</v>
      </c>
      <c r="D38" s="3" t="s">
        <v>86</v>
      </c>
      <c r="E38" s="5" t="s">
        <v>26</v>
      </c>
      <c r="F38" s="5" t="s">
        <v>50</v>
      </c>
      <c r="G38" s="3" t="s">
        <v>35</v>
      </c>
      <c r="H38" s="3" t="s">
        <v>78</v>
      </c>
      <c r="I38" s="3" t="s">
        <v>62</v>
      </c>
      <c r="J38" s="3">
        <v>1</v>
      </c>
      <c r="K38" s="3" t="s">
        <v>142</v>
      </c>
      <c r="L38" s="3" t="s">
        <v>1067</v>
      </c>
      <c r="M38" s="3" t="s">
        <v>9</v>
      </c>
    </row>
    <row r="39" spans="1:13">
      <c r="A39" s="3">
        <v>36</v>
      </c>
      <c r="B39" s="3" t="s">
        <v>1102</v>
      </c>
      <c r="C39" s="4">
        <v>46272</v>
      </c>
      <c r="D39" s="3" t="s">
        <v>102</v>
      </c>
      <c r="E39" s="5" t="s">
        <v>26</v>
      </c>
      <c r="F39" s="5" t="s">
        <v>50</v>
      </c>
      <c r="G39" s="3" t="s">
        <v>40</v>
      </c>
      <c r="H39" s="3" t="s">
        <v>41</v>
      </c>
      <c r="I39" s="3" t="s">
        <v>62</v>
      </c>
      <c r="J39" s="3">
        <v>15</v>
      </c>
      <c r="K39" s="3" t="s">
        <v>142</v>
      </c>
      <c r="L39" s="3" t="s">
        <v>1070</v>
      </c>
      <c r="M39" s="3" t="s">
        <v>9</v>
      </c>
    </row>
    <row r="40" spans="1:13">
      <c r="A40" s="3">
        <v>37</v>
      </c>
      <c r="B40" s="3" t="s">
        <v>1103</v>
      </c>
      <c r="C40" s="4">
        <v>46291</v>
      </c>
      <c r="D40" s="3" t="s">
        <v>102</v>
      </c>
      <c r="E40" s="5" t="s">
        <v>30</v>
      </c>
      <c r="F40" s="5" t="s">
        <v>5</v>
      </c>
      <c r="G40" s="3" t="s">
        <v>21</v>
      </c>
      <c r="H40" s="3" t="s">
        <v>104</v>
      </c>
      <c r="I40" s="3" t="s">
        <v>62</v>
      </c>
      <c r="J40" s="3">
        <v>25</v>
      </c>
      <c r="K40" s="3" t="s">
        <v>142</v>
      </c>
      <c r="L40" s="3" t="s">
        <v>1065</v>
      </c>
      <c r="M40" s="3" t="s">
        <v>9</v>
      </c>
    </row>
    <row r="41" spans="1:13">
      <c r="A41" s="3">
        <v>38</v>
      </c>
      <c r="B41" s="3" t="s">
        <v>1104</v>
      </c>
      <c r="C41" s="4">
        <v>46274</v>
      </c>
      <c r="D41" s="3" t="s">
        <v>102</v>
      </c>
      <c r="E41" s="5" t="s">
        <v>30</v>
      </c>
      <c r="F41" s="5" t="s">
        <v>5</v>
      </c>
      <c r="G41" s="3" t="s">
        <v>51</v>
      </c>
      <c r="H41" s="3" t="s">
        <v>104</v>
      </c>
      <c r="I41" s="3" t="s">
        <v>22</v>
      </c>
      <c r="J41" s="3">
        <v>12</v>
      </c>
      <c r="K41" s="3" t="s">
        <v>162</v>
      </c>
      <c r="L41" s="3" t="s">
        <v>1065</v>
      </c>
      <c r="M41" s="3" t="s">
        <v>23</v>
      </c>
    </row>
    <row r="42" spans="1:13">
      <c r="A42" s="3">
        <v>39</v>
      </c>
      <c r="B42" s="3" t="s">
        <v>1105</v>
      </c>
      <c r="C42" s="4">
        <v>46310</v>
      </c>
      <c r="D42" s="3" t="s">
        <v>106</v>
      </c>
      <c r="E42" s="5" t="s">
        <v>54</v>
      </c>
      <c r="F42" s="5" t="s">
        <v>65</v>
      </c>
      <c r="G42" s="3" t="s">
        <v>80</v>
      </c>
      <c r="H42" s="3" t="s">
        <v>104</v>
      </c>
      <c r="I42" s="3" t="s">
        <v>32</v>
      </c>
      <c r="J42" s="3">
        <v>20</v>
      </c>
      <c r="K42" s="3" t="s">
        <v>154</v>
      </c>
      <c r="L42" s="3" t="s">
        <v>1067</v>
      </c>
      <c r="M42" s="3" t="s">
        <v>9</v>
      </c>
    </row>
    <row r="43" spans="1:13">
      <c r="A43" s="3">
        <v>40</v>
      </c>
      <c r="B43" s="3" t="s">
        <v>1106</v>
      </c>
      <c r="C43" s="4">
        <v>46299</v>
      </c>
      <c r="D43" s="3" t="s">
        <v>106</v>
      </c>
      <c r="E43" s="5" t="s">
        <v>91</v>
      </c>
      <c r="F43" s="5" t="s">
        <v>46</v>
      </c>
      <c r="G43" s="3" t="s">
        <v>95</v>
      </c>
      <c r="H43" s="3" t="s">
        <v>78</v>
      </c>
      <c r="I43" s="3" t="s">
        <v>36</v>
      </c>
      <c r="J43" s="3">
        <v>10</v>
      </c>
      <c r="K43" s="3" t="s">
        <v>142</v>
      </c>
      <c r="L43" s="3" t="s">
        <v>1070</v>
      </c>
      <c r="M43" s="3" t="s">
        <v>9</v>
      </c>
    </row>
    <row r="44" spans="1:13">
      <c r="A44" s="3">
        <v>41</v>
      </c>
      <c r="B44" s="3" t="s">
        <v>1107</v>
      </c>
      <c r="C44" s="4">
        <v>46345</v>
      </c>
      <c r="D44" s="3" t="s">
        <v>111</v>
      </c>
      <c r="E44" s="5" t="s">
        <v>54</v>
      </c>
      <c r="F44" s="5" t="s">
        <v>13</v>
      </c>
      <c r="G44" s="3" t="s">
        <v>14</v>
      </c>
      <c r="H44" s="3" t="s">
        <v>93</v>
      </c>
      <c r="I44" s="3" t="s">
        <v>28</v>
      </c>
      <c r="J44" s="3">
        <v>30</v>
      </c>
      <c r="K44" s="3" t="s">
        <v>154</v>
      </c>
      <c r="L44" s="3" t="s">
        <v>1067</v>
      </c>
      <c r="M44" s="3" t="s">
        <v>23</v>
      </c>
    </row>
    <row r="45" spans="1:13">
      <c r="A45" s="3">
        <v>42</v>
      </c>
      <c r="B45" s="3" t="s">
        <v>1108</v>
      </c>
      <c r="C45" s="4">
        <v>46342</v>
      </c>
      <c r="D45" s="3" t="s">
        <v>111</v>
      </c>
      <c r="E45" s="5" t="s">
        <v>49</v>
      </c>
      <c r="F45" s="5" t="s">
        <v>65</v>
      </c>
      <c r="G45" s="3" t="s">
        <v>40</v>
      </c>
      <c r="H45" s="3" t="s">
        <v>7</v>
      </c>
      <c r="I45" s="3" t="s">
        <v>36</v>
      </c>
      <c r="J45" s="3">
        <v>1</v>
      </c>
      <c r="K45" s="3" t="s">
        <v>142</v>
      </c>
      <c r="L45" s="3" t="s">
        <v>1065</v>
      </c>
      <c r="M45" s="3" t="s">
        <v>23</v>
      </c>
    </row>
    <row r="46" spans="1:13">
      <c r="A46" s="3">
        <v>43</v>
      </c>
      <c r="B46" s="3" t="s">
        <v>1109</v>
      </c>
      <c r="C46" s="4">
        <v>46340</v>
      </c>
      <c r="D46" s="3" t="s">
        <v>111</v>
      </c>
      <c r="E46" s="5" t="s">
        <v>61</v>
      </c>
      <c r="F46" s="5" t="s">
        <v>5</v>
      </c>
      <c r="G46" s="3" t="s">
        <v>95</v>
      </c>
      <c r="H46" s="3" t="s">
        <v>66</v>
      </c>
      <c r="I46" s="3" t="s">
        <v>36</v>
      </c>
      <c r="J46" s="3">
        <v>18</v>
      </c>
      <c r="K46" s="3" t="s">
        <v>154</v>
      </c>
      <c r="L46" s="3" t="s">
        <v>1065</v>
      </c>
      <c r="M46" s="3" t="s">
        <v>23</v>
      </c>
    </row>
    <row r="47" spans="1:13">
      <c r="A47" s="3">
        <v>44</v>
      </c>
      <c r="B47" s="3" t="s">
        <v>1110</v>
      </c>
      <c r="C47" s="4">
        <v>46330</v>
      </c>
      <c r="D47" s="3" t="s">
        <v>111</v>
      </c>
      <c r="E47" s="5" t="s">
        <v>64</v>
      </c>
      <c r="F47" s="5" t="s">
        <v>46</v>
      </c>
      <c r="G47" s="3" t="s">
        <v>77</v>
      </c>
      <c r="H47" s="3" t="s">
        <v>78</v>
      </c>
      <c r="I47" s="3" t="s">
        <v>66</v>
      </c>
      <c r="J47" s="3">
        <v>28</v>
      </c>
      <c r="K47" s="3" t="s">
        <v>154</v>
      </c>
      <c r="L47" s="3" t="s">
        <v>1067</v>
      </c>
      <c r="M47" s="3" t="s">
        <v>23</v>
      </c>
    </row>
    <row r="48" spans="1:13">
      <c r="A48" s="3">
        <v>45</v>
      </c>
      <c r="B48" s="3" t="s">
        <v>1111</v>
      </c>
      <c r="C48" s="4">
        <v>46383</v>
      </c>
      <c r="D48" s="3" t="s">
        <v>122</v>
      </c>
      <c r="E48" s="5" t="s">
        <v>45</v>
      </c>
      <c r="F48" s="5" t="s">
        <v>5</v>
      </c>
      <c r="G48" s="3" t="s">
        <v>95</v>
      </c>
      <c r="H48" s="3" t="s">
        <v>32</v>
      </c>
      <c r="I48" s="3" t="s">
        <v>32</v>
      </c>
      <c r="J48" s="3">
        <v>20</v>
      </c>
      <c r="K48" s="3" t="s">
        <v>159</v>
      </c>
      <c r="L48" s="3" t="s">
        <v>1067</v>
      </c>
      <c r="M48" s="3" t="s">
        <v>9</v>
      </c>
    </row>
    <row r="49" spans="1:13">
      <c r="A49" s="3">
        <v>46</v>
      </c>
      <c r="B49" s="3" t="s">
        <v>1112</v>
      </c>
      <c r="C49" s="4">
        <v>46379</v>
      </c>
      <c r="D49" s="3" t="s">
        <v>122</v>
      </c>
      <c r="E49" s="5" t="s">
        <v>4</v>
      </c>
      <c r="F49" s="5" t="s">
        <v>46</v>
      </c>
      <c r="G49" s="3" t="s">
        <v>31</v>
      </c>
      <c r="H49" s="3" t="s">
        <v>104</v>
      </c>
      <c r="I49" s="3" t="s">
        <v>78</v>
      </c>
      <c r="J49" s="3">
        <v>12</v>
      </c>
      <c r="K49" s="3" t="s">
        <v>159</v>
      </c>
      <c r="L49" s="3" t="s">
        <v>1067</v>
      </c>
      <c r="M49" s="3" t="s">
        <v>9</v>
      </c>
    </row>
    <row r="50" spans="1:13">
      <c r="A50" s="3">
        <v>47</v>
      </c>
      <c r="B50" s="3" t="s">
        <v>1113</v>
      </c>
      <c r="C50" s="4">
        <v>46359</v>
      </c>
      <c r="D50" s="3" t="s">
        <v>122</v>
      </c>
      <c r="E50" s="5" t="s">
        <v>16</v>
      </c>
      <c r="F50" s="5" t="s">
        <v>27</v>
      </c>
      <c r="G50" s="3" t="s">
        <v>80</v>
      </c>
      <c r="H50" s="3" t="s">
        <v>28</v>
      </c>
      <c r="I50" s="3" t="s">
        <v>15</v>
      </c>
      <c r="J50" s="3">
        <v>23</v>
      </c>
      <c r="K50" s="3" t="s">
        <v>154</v>
      </c>
      <c r="L50" s="3" t="s">
        <v>1065</v>
      </c>
      <c r="M50" s="3" t="s">
        <v>9</v>
      </c>
    </row>
    <row r="51" spans="1:13">
      <c r="A51" s="3">
        <v>48</v>
      </c>
      <c r="B51" s="3" t="s">
        <v>1114</v>
      </c>
      <c r="C51" s="4">
        <v>46382</v>
      </c>
      <c r="D51" s="3" t="s">
        <v>122</v>
      </c>
      <c r="E51" s="5" t="s">
        <v>64</v>
      </c>
      <c r="F51" s="5" t="s">
        <v>92</v>
      </c>
      <c r="G51" s="3" t="s">
        <v>51</v>
      </c>
      <c r="H51" s="3" t="s">
        <v>68</v>
      </c>
      <c r="I51" s="3" t="s">
        <v>68</v>
      </c>
      <c r="J51" s="3">
        <v>22</v>
      </c>
      <c r="K51" s="3" t="s">
        <v>142</v>
      </c>
      <c r="L51" s="3" t="s">
        <v>1070</v>
      </c>
      <c r="M51" s="3" t="s">
        <v>23</v>
      </c>
    </row>
  </sheetData>
  <mergeCells count="2">
    <mergeCell ref="A1:M1"/>
    <mergeCell ref="A2:M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K4:K5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12.7109375" customWidth="1"/>
    <col min="6" max="6" width="17.7109375" customWidth="1"/>
    <col min="7" max="7" width="11.7109375" customWidth="1"/>
    <col min="8" max="8" width="9.7109375" customWidth="1"/>
    <col min="9" max="9" width="11.7109375" customWidth="1"/>
    <col min="10" max="10" width="9.7109375" customWidth="1"/>
  </cols>
  <sheetData>
    <row r="1" spans="1:12" ht="22" customHeight="1">
      <c r="A1" s="1" t="s">
        <v>1123</v>
      </c>
      <c r="B1" s="1"/>
      <c r="C1" s="1"/>
      <c r="D1" s="1"/>
      <c r="E1" s="1"/>
      <c r="F1" s="1"/>
      <c r="G1" s="1"/>
      <c r="H1" s="1"/>
      <c r="I1" s="1"/>
      <c r="J1" s="1"/>
      <c r="L1" s="2" t="s">
        <v>139</v>
      </c>
    </row>
    <row r="2" spans="1:1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</row>
    <row r="3" spans="1:12">
      <c r="A3" t="s">
        <v>124</v>
      </c>
      <c r="B3" t="s">
        <v>1178</v>
      </c>
      <c r="C3" t="s">
        <v>126</v>
      </c>
      <c r="D3" t="s">
        <v>127</v>
      </c>
      <c r="E3" t="s">
        <v>129</v>
      </c>
      <c r="F3" t="s">
        <v>1179</v>
      </c>
      <c r="G3" t="s">
        <v>1180</v>
      </c>
      <c r="H3" t="s">
        <v>1181</v>
      </c>
      <c r="I3" t="s">
        <v>1182</v>
      </c>
      <c r="J3" t="s">
        <v>287</v>
      </c>
    </row>
    <row r="4" spans="1:12">
      <c r="A4" s="3">
        <v>1</v>
      </c>
      <c r="B4" s="3" t="s">
        <v>1124</v>
      </c>
      <c r="C4" s="4">
        <v>46049</v>
      </c>
      <c r="D4" s="3" t="s">
        <v>3</v>
      </c>
      <c r="E4" s="5" t="s">
        <v>39</v>
      </c>
      <c r="F4" s="5" t="s">
        <v>70</v>
      </c>
      <c r="G4" s="3" t="s">
        <v>1125</v>
      </c>
      <c r="H4" s="3" t="s">
        <v>1126</v>
      </c>
      <c r="I4" s="3" t="s">
        <v>66</v>
      </c>
      <c r="J4" s="3" t="s">
        <v>254</v>
      </c>
    </row>
    <row r="5" spans="1:12">
      <c r="A5" s="3">
        <v>2</v>
      </c>
      <c r="B5" s="3" t="s">
        <v>1127</v>
      </c>
      <c r="C5" s="4">
        <v>46024</v>
      </c>
      <c r="D5" s="3" t="s">
        <v>3</v>
      </c>
      <c r="E5" s="5" t="s">
        <v>5</v>
      </c>
      <c r="F5" s="5" t="s">
        <v>104</v>
      </c>
      <c r="G5" s="3" t="s">
        <v>1125</v>
      </c>
      <c r="H5" s="3" t="s">
        <v>1128</v>
      </c>
      <c r="I5" s="3" t="s">
        <v>93</v>
      </c>
      <c r="J5" s="3" t="s">
        <v>254</v>
      </c>
    </row>
    <row r="6" spans="1:12">
      <c r="A6" s="3">
        <v>3</v>
      </c>
      <c r="B6" s="3" t="s">
        <v>1129</v>
      </c>
      <c r="C6" s="4">
        <v>46037</v>
      </c>
      <c r="D6" s="3" t="s">
        <v>3</v>
      </c>
      <c r="E6" s="5" t="s">
        <v>58</v>
      </c>
      <c r="F6" s="5" t="s">
        <v>78</v>
      </c>
      <c r="G6" s="3" t="s">
        <v>1130</v>
      </c>
      <c r="H6" s="3" t="s">
        <v>1128</v>
      </c>
      <c r="I6" s="3" t="s">
        <v>70</v>
      </c>
      <c r="J6" s="3" t="s">
        <v>254</v>
      </c>
    </row>
    <row r="7" spans="1:12">
      <c r="A7" s="3">
        <v>4</v>
      </c>
      <c r="B7" s="3" t="s">
        <v>1131</v>
      </c>
      <c r="C7" s="4">
        <v>46062</v>
      </c>
      <c r="D7" s="3" t="s">
        <v>19</v>
      </c>
      <c r="E7" s="5" t="s">
        <v>65</v>
      </c>
      <c r="F7" s="5" t="s">
        <v>66</v>
      </c>
      <c r="G7" s="3" t="s">
        <v>1130</v>
      </c>
      <c r="H7" s="3" t="s">
        <v>1128</v>
      </c>
      <c r="I7" s="3" t="s">
        <v>32</v>
      </c>
      <c r="J7" s="3" t="s">
        <v>293</v>
      </c>
    </row>
    <row r="8" spans="1:12">
      <c r="A8" s="3">
        <v>5</v>
      </c>
      <c r="B8" s="3" t="s">
        <v>1132</v>
      </c>
      <c r="C8" s="4">
        <v>46072</v>
      </c>
      <c r="D8" s="3" t="s">
        <v>19</v>
      </c>
      <c r="E8" s="5" t="s">
        <v>89</v>
      </c>
      <c r="F8" s="5" t="s">
        <v>7</v>
      </c>
      <c r="G8" s="3" t="s">
        <v>1133</v>
      </c>
      <c r="H8" s="3" t="s">
        <v>1126</v>
      </c>
      <c r="I8" s="3" t="s">
        <v>62</v>
      </c>
      <c r="J8" s="3" t="s">
        <v>293</v>
      </c>
    </row>
    <row r="9" spans="1:12">
      <c r="A9" s="3">
        <v>6</v>
      </c>
      <c r="B9" s="3" t="s">
        <v>1134</v>
      </c>
      <c r="C9" s="4">
        <v>46062</v>
      </c>
      <c r="D9" s="3" t="s">
        <v>19</v>
      </c>
      <c r="E9" s="5" t="s">
        <v>46</v>
      </c>
      <c r="F9" s="5" t="s">
        <v>28</v>
      </c>
      <c r="G9" s="3" t="s">
        <v>1135</v>
      </c>
      <c r="H9" s="3" t="s">
        <v>1126</v>
      </c>
      <c r="I9" s="3" t="s">
        <v>70</v>
      </c>
      <c r="J9" s="3" t="s">
        <v>293</v>
      </c>
    </row>
    <row r="10" spans="1:12">
      <c r="A10" s="3">
        <v>7</v>
      </c>
      <c r="B10" s="3" t="s">
        <v>1136</v>
      </c>
      <c r="C10" s="4">
        <v>46054</v>
      </c>
      <c r="D10" s="3" t="s">
        <v>19</v>
      </c>
      <c r="E10" s="5" t="s">
        <v>13</v>
      </c>
      <c r="F10" s="5" t="s">
        <v>78</v>
      </c>
      <c r="G10" s="3" t="s">
        <v>1130</v>
      </c>
      <c r="H10" s="3" t="s">
        <v>1126</v>
      </c>
      <c r="I10" s="3" t="s">
        <v>41</v>
      </c>
      <c r="J10" s="3" t="s">
        <v>293</v>
      </c>
    </row>
    <row r="11" spans="1:12">
      <c r="A11" s="3">
        <v>8</v>
      </c>
      <c r="B11" s="3" t="s">
        <v>1137</v>
      </c>
      <c r="C11" s="4">
        <v>46086</v>
      </c>
      <c r="D11" s="3" t="s">
        <v>44</v>
      </c>
      <c r="E11" s="5" t="s">
        <v>89</v>
      </c>
      <c r="F11" s="5" t="s">
        <v>28</v>
      </c>
      <c r="G11" s="3" t="s">
        <v>1135</v>
      </c>
      <c r="H11" s="3" t="s">
        <v>1128</v>
      </c>
      <c r="I11" s="3" t="s">
        <v>104</v>
      </c>
      <c r="J11" s="3" t="s">
        <v>293</v>
      </c>
    </row>
    <row r="12" spans="1:12">
      <c r="A12" s="3">
        <v>9</v>
      </c>
      <c r="B12" s="3" t="s">
        <v>1138</v>
      </c>
      <c r="C12" s="4">
        <v>46087</v>
      </c>
      <c r="D12" s="3" t="s">
        <v>44</v>
      </c>
      <c r="E12" s="5" t="s">
        <v>46</v>
      </c>
      <c r="F12" s="5" t="s">
        <v>22</v>
      </c>
      <c r="G12" s="3" t="s">
        <v>1135</v>
      </c>
      <c r="H12" s="3" t="s">
        <v>1128</v>
      </c>
      <c r="I12" s="3" t="s">
        <v>70</v>
      </c>
      <c r="J12" s="3" t="s">
        <v>297</v>
      </c>
    </row>
    <row r="13" spans="1:12">
      <c r="A13" s="3">
        <v>10</v>
      </c>
      <c r="B13" s="3" t="s">
        <v>1139</v>
      </c>
      <c r="C13" s="4">
        <v>46093</v>
      </c>
      <c r="D13" s="3" t="s">
        <v>44</v>
      </c>
      <c r="E13" s="5" t="s">
        <v>46</v>
      </c>
      <c r="F13" s="5" t="s">
        <v>104</v>
      </c>
      <c r="G13" s="3" t="s">
        <v>1125</v>
      </c>
      <c r="H13" s="3" t="s">
        <v>1128</v>
      </c>
      <c r="I13" s="3" t="s">
        <v>62</v>
      </c>
      <c r="J13" s="3" t="s">
        <v>293</v>
      </c>
    </row>
    <row r="14" spans="1:12">
      <c r="A14" s="3">
        <v>11</v>
      </c>
      <c r="B14" s="3" t="s">
        <v>1140</v>
      </c>
      <c r="C14" s="4">
        <v>46127</v>
      </c>
      <c r="D14" s="3" t="s">
        <v>53</v>
      </c>
      <c r="E14" s="5" t="s">
        <v>92</v>
      </c>
      <c r="F14" s="5" t="s">
        <v>15</v>
      </c>
      <c r="G14" s="3" t="s">
        <v>1125</v>
      </c>
      <c r="H14" s="3" t="s">
        <v>1128</v>
      </c>
      <c r="I14" s="3" t="s">
        <v>7</v>
      </c>
      <c r="J14" s="3" t="s">
        <v>293</v>
      </c>
    </row>
    <row r="15" spans="1:12">
      <c r="A15" s="3">
        <v>12</v>
      </c>
      <c r="B15" s="3" t="s">
        <v>1141</v>
      </c>
      <c r="C15" s="4">
        <v>46118</v>
      </c>
      <c r="D15" s="3" t="s">
        <v>53</v>
      </c>
      <c r="E15" s="5" t="s">
        <v>13</v>
      </c>
      <c r="F15" s="5" t="s">
        <v>68</v>
      </c>
      <c r="G15" s="3" t="s">
        <v>1125</v>
      </c>
      <c r="H15" s="3" t="s">
        <v>1128</v>
      </c>
      <c r="I15" s="3" t="s">
        <v>70</v>
      </c>
      <c r="J15" s="3" t="s">
        <v>293</v>
      </c>
    </row>
    <row r="16" spans="1:12">
      <c r="A16" s="3">
        <v>13</v>
      </c>
      <c r="B16" s="3" t="s">
        <v>1142</v>
      </c>
      <c r="C16" s="4">
        <v>46117</v>
      </c>
      <c r="D16" s="3" t="s">
        <v>53</v>
      </c>
      <c r="E16" s="5" t="s">
        <v>27</v>
      </c>
      <c r="F16" s="5" t="s">
        <v>22</v>
      </c>
      <c r="G16" s="3" t="s">
        <v>1125</v>
      </c>
      <c r="H16" s="3" t="s">
        <v>1128</v>
      </c>
      <c r="I16" s="3" t="s">
        <v>41</v>
      </c>
      <c r="J16" s="3" t="s">
        <v>254</v>
      </c>
    </row>
    <row r="17" spans="1:10">
      <c r="A17" s="3">
        <v>14</v>
      </c>
      <c r="B17" s="3" t="s">
        <v>1143</v>
      </c>
      <c r="C17" s="4">
        <v>46156</v>
      </c>
      <c r="D17" s="3" t="s">
        <v>60</v>
      </c>
      <c r="E17" s="5" t="s">
        <v>50</v>
      </c>
      <c r="F17" s="5" t="s">
        <v>41</v>
      </c>
      <c r="G17" s="3" t="s">
        <v>1133</v>
      </c>
      <c r="H17" s="3" t="s">
        <v>1128</v>
      </c>
      <c r="I17" s="3" t="s">
        <v>28</v>
      </c>
      <c r="J17" s="3" t="s">
        <v>293</v>
      </c>
    </row>
    <row r="18" spans="1:10">
      <c r="A18" s="3">
        <v>15</v>
      </c>
      <c r="B18" s="3" t="s">
        <v>1144</v>
      </c>
      <c r="C18" s="4">
        <v>46158</v>
      </c>
      <c r="D18" s="3" t="s">
        <v>60</v>
      </c>
      <c r="E18" s="5" t="s">
        <v>46</v>
      </c>
      <c r="F18" s="5" t="s">
        <v>7</v>
      </c>
      <c r="G18" s="3" t="s">
        <v>1125</v>
      </c>
      <c r="H18" s="3" t="s">
        <v>1128</v>
      </c>
      <c r="I18" s="3" t="s">
        <v>41</v>
      </c>
      <c r="J18" s="3" t="s">
        <v>293</v>
      </c>
    </row>
    <row r="19" spans="1:10">
      <c r="A19" s="3">
        <v>16</v>
      </c>
      <c r="B19" s="3" t="s">
        <v>1145</v>
      </c>
      <c r="C19" s="4">
        <v>46148</v>
      </c>
      <c r="D19" s="3" t="s">
        <v>60</v>
      </c>
      <c r="E19" s="5" t="s">
        <v>46</v>
      </c>
      <c r="F19" s="5" t="s">
        <v>66</v>
      </c>
      <c r="G19" s="3" t="s">
        <v>1130</v>
      </c>
      <c r="H19" s="3" t="s">
        <v>1126</v>
      </c>
      <c r="I19" s="3" t="s">
        <v>104</v>
      </c>
      <c r="J19" s="3" t="s">
        <v>293</v>
      </c>
    </row>
    <row r="20" spans="1:10">
      <c r="A20" s="3">
        <v>17</v>
      </c>
      <c r="B20" s="3" t="s">
        <v>1146</v>
      </c>
      <c r="C20" s="4">
        <v>46147</v>
      </c>
      <c r="D20" s="3" t="s">
        <v>60</v>
      </c>
      <c r="E20" s="5" t="s">
        <v>58</v>
      </c>
      <c r="F20" s="5" t="s">
        <v>28</v>
      </c>
      <c r="G20" s="3" t="s">
        <v>1125</v>
      </c>
      <c r="H20" s="3" t="s">
        <v>1126</v>
      </c>
      <c r="I20" s="3" t="s">
        <v>70</v>
      </c>
      <c r="J20" s="3" t="s">
        <v>293</v>
      </c>
    </row>
    <row r="21" spans="1:10">
      <c r="A21" s="3">
        <v>18</v>
      </c>
      <c r="B21" s="3" t="s">
        <v>1147</v>
      </c>
      <c r="C21" s="4">
        <v>46163</v>
      </c>
      <c r="D21" s="3" t="s">
        <v>60</v>
      </c>
      <c r="E21" s="5" t="s">
        <v>27</v>
      </c>
      <c r="F21" s="5" t="s">
        <v>32</v>
      </c>
      <c r="G21" s="3" t="s">
        <v>1133</v>
      </c>
      <c r="H21" s="3" t="s">
        <v>1126</v>
      </c>
      <c r="I21" s="3" t="s">
        <v>70</v>
      </c>
      <c r="J21" s="3" t="s">
        <v>293</v>
      </c>
    </row>
    <row r="22" spans="1:10">
      <c r="A22" s="3">
        <v>19</v>
      </c>
      <c r="B22" s="3" t="s">
        <v>1148</v>
      </c>
      <c r="C22" s="4">
        <v>46160</v>
      </c>
      <c r="D22" s="3" t="s">
        <v>60</v>
      </c>
      <c r="E22" s="5" t="s">
        <v>13</v>
      </c>
      <c r="F22" s="5" t="s">
        <v>62</v>
      </c>
      <c r="G22" s="3" t="s">
        <v>1133</v>
      </c>
      <c r="H22" s="3" t="s">
        <v>1126</v>
      </c>
      <c r="I22" s="3" t="s">
        <v>104</v>
      </c>
      <c r="J22" s="3" t="s">
        <v>293</v>
      </c>
    </row>
    <row r="23" spans="1:10">
      <c r="A23" s="3">
        <v>20</v>
      </c>
      <c r="B23" s="3" t="s">
        <v>1149</v>
      </c>
      <c r="C23" s="4">
        <v>46187</v>
      </c>
      <c r="D23" s="3" t="s">
        <v>73</v>
      </c>
      <c r="E23" s="5" t="s">
        <v>5</v>
      </c>
      <c r="F23" s="5" t="s">
        <v>15</v>
      </c>
      <c r="G23" s="3" t="s">
        <v>1130</v>
      </c>
      <c r="H23" s="3" t="s">
        <v>1126</v>
      </c>
      <c r="I23" s="3" t="s">
        <v>15</v>
      </c>
      <c r="J23" s="3" t="s">
        <v>293</v>
      </c>
    </row>
    <row r="24" spans="1:10">
      <c r="A24" s="3">
        <v>21</v>
      </c>
      <c r="B24" s="3" t="s">
        <v>1150</v>
      </c>
      <c r="C24" s="4">
        <v>46178</v>
      </c>
      <c r="D24" s="3" t="s">
        <v>73</v>
      </c>
      <c r="E24" s="5" t="s">
        <v>46</v>
      </c>
      <c r="F24" s="5" t="s">
        <v>78</v>
      </c>
      <c r="G24" s="3" t="s">
        <v>1133</v>
      </c>
      <c r="H24" s="3" t="s">
        <v>1128</v>
      </c>
      <c r="I24" s="3" t="s">
        <v>7</v>
      </c>
      <c r="J24" s="3" t="s">
        <v>297</v>
      </c>
    </row>
    <row r="25" spans="1:10">
      <c r="A25" s="3">
        <v>22</v>
      </c>
      <c r="B25" s="3" t="s">
        <v>1151</v>
      </c>
      <c r="C25" s="4">
        <v>46206</v>
      </c>
      <c r="D25" s="3" t="s">
        <v>76</v>
      </c>
      <c r="E25" s="5" t="s">
        <v>58</v>
      </c>
      <c r="F25" s="5" t="s">
        <v>41</v>
      </c>
      <c r="G25" s="3" t="s">
        <v>1135</v>
      </c>
      <c r="H25" s="3" t="s">
        <v>1128</v>
      </c>
      <c r="I25" s="3" t="s">
        <v>22</v>
      </c>
      <c r="J25" s="3" t="s">
        <v>293</v>
      </c>
    </row>
    <row r="26" spans="1:10">
      <c r="A26" s="3">
        <v>23</v>
      </c>
      <c r="B26" s="3" t="s">
        <v>1152</v>
      </c>
      <c r="C26" s="4">
        <v>46218</v>
      </c>
      <c r="D26" s="3" t="s">
        <v>76</v>
      </c>
      <c r="E26" s="5" t="s">
        <v>13</v>
      </c>
      <c r="F26" s="5" t="s">
        <v>7</v>
      </c>
      <c r="G26" s="3" t="s">
        <v>1130</v>
      </c>
      <c r="H26" s="3" t="s">
        <v>1126</v>
      </c>
      <c r="I26" s="3" t="s">
        <v>66</v>
      </c>
      <c r="J26" s="3" t="s">
        <v>297</v>
      </c>
    </row>
    <row r="27" spans="1:10">
      <c r="A27" s="3">
        <v>24</v>
      </c>
      <c r="B27" s="3" t="s">
        <v>1153</v>
      </c>
      <c r="C27" s="4">
        <v>46206</v>
      </c>
      <c r="D27" s="3" t="s">
        <v>76</v>
      </c>
      <c r="E27" s="5" t="s">
        <v>50</v>
      </c>
      <c r="F27" s="5" t="s">
        <v>68</v>
      </c>
      <c r="G27" s="3" t="s">
        <v>1133</v>
      </c>
      <c r="H27" s="3" t="s">
        <v>1128</v>
      </c>
      <c r="I27" s="3" t="s">
        <v>78</v>
      </c>
      <c r="J27" s="3" t="s">
        <v>293</v>
      </c>
    </row>
    <row r="28" spans="1:10">
      <c r="A28" s="3">
        <v>25</v>
      </c>
      <c r="B28" s="3" t="s">
        <v>1154</v>
      </c>
      <c r="C28" s="4">
        <v>46209</v>
      </c>
      <c r="D28" s="3" t="s">
        <v>76</v>
      </c>
      <c r="E28" s="5" t="s">
        <v>39</v>
      </c>
      <c r="F28" s="5" t="s">
        <v>78</v>
      </c>
      <c r="G28" s="3" t="s">
        <v>1125</v>
      </c>
      <c r="H28" s="3" t="s">
        <v>1128</v>
      </c>
      <c r="I28" s="3" t="s">
        <v>66</v>
      </c>
      <c r="J28" s="3" t="s">
        <v>293</v>
      </c>
    </row>
    <row r="29" spans="1:10">
      <c r="A29" s="3">
        <v>26</v>
      </c>
      <c r="B29" s="3" t="s">
        <v>1155</v>
      </c>
      <c r="C29" s="4">
        <v>46221</v>
      </c>
      <c r="D29" s="3" t="s">
        <v>76</v>
      </c>
      <c r="E29" s="5" t="s">
        <v>27</v>
      </c>
      <c r="F29" s="5" t="s">
        <v>68</v>
      </c>
      <c r="G29" s="3" t="s">
        <v>1133</v>
      </c>
      <c r="H29" s="3" t="s">
        <v>1128</v>
      </c>
      <c r="I29" s="3" t="s">
        <v>22</v>
      </c>
      <c r="J29" s="3" t="s">
        <v>293</v>
      </c>
    </row>
    <row r="30" spans="1:10">
      <c r="A30" s="3">
        <v>27</v>
      </c>
      <c r="B30" s="3" t="s">
        <v>1156</v>
      </c>
      <c r="C30" s="4">
        <v>46207</v>
      </c>
      <c r="D30" s="3" t="s">
        <v>76</v>
      </c>
      <c r="E30" s="5" t="s">
        <v>58</v>
      </c>
      <c r="F30" s="5" t="s">
        <v>93</v>
      </c>
      <c r="G30" s="3" t="s">
        <v>1133</v>
      </c>
      <c r="H30" s="3" t="s">
        <v>1128</v>
      </c>
      <c r="I30" s="3" t="s">
        <v>28</v>
      </c>
      <c r="J30" s="3" t="s">
        <v>293</v>
      </c>
    </row>
    <row r="31" spans="1:10">
      <c r="A31" s="3">
        <v>28</v>
      </c>
      <c r="B31" s="3" t="s">
        <v>1157</v>
      </c>
      <c r="C31" s="4">
        <v>46260</v>
      </c>
      <c r="D31" s="3" t="s">
        <v>86</v>
      </c>
      <c r="E31" s="5" t="s">
        <v>92</v>
      </c>
      <c r="F31" s="5" t="s">
        <v>41</v>
      </c>
      <c r="G31" s="3" t="s">
        <v>1133</v>
      </c>
      <c r="H31" s="3" t="s">
        <v>1128</v>
      </c>
      <c r="I31" s="3" t="s">
        <v>28</v>
      </c>
      <c r="J31" s="3" t="s">
        <v>293</v>
      </c>
    </row>
    <row r="32" spans="1:10">
      <c r="A32" s="3">
        <v>29</v>
      </c>
      <c r="B32" s="3" t="s">
        <v>1158</v>
      </c>
      <c r="C32" s="4">
        <v>46240</v>
      </c>
      <c r="D32" s="3" t="s">
        <v>86</v>
      </c>
      <c r="E32" s="5" t="s">
        <v>13</v>
      </c>
      <c r="F32" s="5" t="s">
        <v>36</v>
      </c>
      <c r="G32" s="3" t="s">
        <v>1135</v>
      </c>
      <c r="H32" s="3" t="s">
        <v>1126</v>
      </c>
      <c r="I32" s="3" t="s">
        <v>22</v>
      </c>
      <c r="J32" s="3" t="s">
        <v>238</v>
      </c>
    </row>
    <row r="33" spans="1:10">
      <c r="A33" s="3">
        <v>30</v>
      </c>
      <c r="B33" s="3" t="s">
        <v>1159</v>
      </c>
      <c r="C33" s="4">
        <v>46249</v>
      </c>
      <c r="D33" s="3" t="s">
        <v>86</v>
      </c>
      <c r="E33" s="5" t="s">
        <v>5</v>
      </c>
      <c r="F33" s="5" t="s">
        <v>41</v>
      </c>
      <c r="G33" s="3" t="s">
        <v>1130</v>
      </c>
      <c r="H33" s="3" t="s">
        <v>1126</v>
      </c>
      <c r="I33" s="3" t="s">
        <v>15</v>
      </c>
      <c r="J33" s="3" t="s">
        <v>254</v>
      </c>
    </row>
    <row r="34" spans="1:10">
      <c r="A34" s="3">
        <v>31</v>
      </c>
      <c r="B34" s="3" t="s">
        <v>1160</v>
      </c>
      <c r="C34" s="4">
        <v>46270</v>
      </c>
      <c r="D34" s="3" t="s">
        <v>102</v>
      </c>
      <c r="E34" s="5" t="s">
        <v>50</v>
      </c>
      <c r="F34" s="5" t="s">
        <v>15</v>
      </c>
      <c r="G34" s="3" t="s">
        <v>1135</v>
      </c>
      <c r="H34" s="3" t="s">
        <v>1128</v>
      </c>
      <c r="I34" s="3" t="s">
        <v>70</v>
      </c>
      <c r="J34" s="3" t="s">
        <v>293</v>
      </c>
    </row>
    <row r="35" spans="1:10">
      <c r="A35" s="3">
        <v>32</v>
      </c>
      <c r="B35" s="3" t="s">
        <v>1161</v>
      </c>
      <c r="C35" s="4">
        <v>46289</v>
      </c>
      <c r="D35" s="3" t="s">
        <v>102</v>
      </c>
      <c r="E35" s="5" t="s">
        <v>89</v>
      </c>
      <c r="F35" s="5" t="s">
        <v>28</v>
      </c>
      <c r="G35" s="3" t="s">
        <v>1130</v>
      </c>
      <c r="H35" s="3" t="s">
        <v>1126</v>
      </c>
      <c r="I35" s="3" t="s">
        <v>36</v>
      </c>
      <c r="J35" s="3" t="s">
        <v>293</v>
      </c>
    </row>
    <row r="36" spans="1:10">
      <c r="A36" s="3">
        <v>33</v>
      </c>
      <c r="B36" s="3" t="s">
        <v>1162</v>
      </c>
      <c r="C36" s="4">
        <v>46290</v>
      </c>
      <c r="D36" s="3" t="s">
        <v>102</v>
      </c>
      <c r="E36" s="5" t="s">
        <v>58</v>
      </c>
      <c r="F36" s="5" t="s">
        <v>68</v>
      </c>
      <c r="G36" s="3" t="s">
        <v>1135</v>
      </c>
      <c r="H36" s="3" t="s">
        <v>1128</v>
      </c>
      <c r="I36" s="3" t="s">
        <v>68</v>
      </c>
      <c r="J36" s="3" t="s">
        <v>254</v>
      </c>
    </row>
    <row r="37" spans="1:10">
      <c r="A37" s="3">
        <v>34</v>
      </c>
      <c r="B37" s="3" t="s">
        <v>1163</v>
      </c>
      <c r="C37" s="4">
        <v>46301</v>
      </c>
      <c r="D37" s="3" t="s">
        <v>106</v>
      </c>
      <c r="E37" s="5" t="s">
        <v>65</v>
      </c>
      <c r="F37" s="5" t="s">
        <v>62</v>
      </c>
      <c r="G37" s="3" t="s">
        <v>1133</v>
      </c>
      <c r="H37" s="3" t="s">
        <v>1128</v>
      </c>
      <c r="I37" s="3" t="s">
        <v>68</v>
      </c>
      <c r="J37" s="3" t="s">
        <v>293</v>
      </c>
    </row>
    <row r="38" spans="1:10">
      <c r="A38" s="3">
        <v>35</v>
      </c>
      <c r="B38" s="3" t="s">
        <v>1164</v>
      </c>
      <c r="C38" s="4">
        <v>46309</v>
      </c>
      <c r="D38" s="3" t="s">
        <v>106</v>
      </c>
      <c r="E38" s="5" t="s">
        <v>27</v>
      </c>
      <c r="F38" s="5" t="s">
        <v>70</v>
      </c>
      <c r="G38" s="3" t="s">
        <v>1135</v>
      </c>
      <c r="H38" s="3" t="s">
        <v>1126</v>
      </c>
      <c r="I38" s="3" t="s">
        <v>93</v>
      </c>
      <c r="J38" s="3" t="s">
        <v>297</v>
      </c>
    </row>
    <row r="39" spans="1:10">
      <c r="A39" s="3">
        <v>36</v>
      </c>
      <c r="B39" s="3" t="s">
        <v>1165</v>
      </c>
      <c r="C39" s="4">
        <v>46317</v>
      </c>
      <c r="D39" s="3" t="s">
        <v>106</v>
      </c>
      <c r="E39" s="5" t="s">
        <v>65</v>
      </c>
      <c r="F39" s="5" t="s">
        <v>70</v>
      </c>
      <c r="G39" s="3" t="s">
        <v>1125</v>
      </c>
      <c r="H39" s="3" t="s">
        <v>1126</v>
      </c>
      <c r="I39" s="3" t="s">
        <v>68</v>
      </c>
      <c r="J39" s="3" t="s">
        <v>238</v>
      </c>
    </row>
    <row r="40" spans="1:10">
      <c r="A40" s="3">
        <v>37</v>
      </c>
      <c r="B40" s="3" t="s">
        <v>1166</v>
      </c>
      <c r="C40" s="4">
        <v>46312</v>
      </c>
      <c r="D40" s="3" t="s">
        <v>106</v>
      </c>
      <c r="E40" s="5" t="s">
        <v>58</v>
      </c>
      <c r="F40" s="5" t="s">
        <v>62</v>
      </c>
      <c r="G40" s="3" t="s">
        <v>1125</v>
      </c>
      <c r="H40" s="3" t="s">
        <v>1126</v>
      </c>
      <c r="I40" s="3" t="s">
        <v>78</v>
      </c>
      <c r="J40" s="3" t="s">
        <v>293</v>
      </c>
    </row>
    <row r="41" spans="1:10">
      <c r="A41" s="3">
        <v>38</v>
      </c>
      <c r="B41" s="3" t="s">
        <v>1167</v>
      </c>
      <c r="C41" s="4">
        <v>46297</v>
      </c>
      <c r="D41" s="3" t="s">
        <v>106</v>
      </c>
      <c r="E41" s="5" t="s">
        <v>39</v>
      </c>
      <c r="F41" s="5" t="s">
        <v>36</v>
      </c>
      <c r="G41" s="3" t="s">
        <v>1133</v>
      </c>
      <c r="H41" s="3" t="s">
        <v>1128</v>
      </c>
      <c r="I41" s="3" t="s">
        <v>15</v>
      </c>
      <c r="J41" s="3" t="s">
        <v>254</v>
      </c>
    </row>
    <row r="42" spans="1:10">
      <c r="A42" s="3">
        <v>39</v>
      </c>
      <c r="B42" s="3" t="s">
        <v>1168</v>
      </c>
      <c r="C42" s="4">
        <v>46316</v>
      </c>
      <c r="D42" s="3" t="s">
        <v>106</v>
      </c>
      <c r="E42" s="5" t="s">
        <v>39</v>
      </c>
      <c r="F42" s="5" t="s">
        <v>22</v>
      </c>
      <c r="G42" s="3" t="s">
        <v>1130</v>
      </c>
      <c r="H42" s="3" t="s">
        <v>1126</v>
      </c>
      <c r="I42" s="3" t="s">
        <v>70</v>
      </c>
      <c r="J42" s="3" t="s">
        <v>293</v>
      </c>
    </row>
    <row r="43" spans="1:10">
      <c r="A43" s="3">
        <v>40</v>
      </c>
      <c r="B43" s="3" t="s">
        <v>1169</v>
      </c>
      <c r="C43" s="4">
        <v>46347</v>
      </c>
      <c r="D43" s="3" t="s">
        <v>111</v>
      </c>
      <c r="E43" s="5" t="s">
        <v>89</v>
      </c>
      <c r="F43" s="5" t="s">
        <v>7</v>
      </c>
      <c r="G43" s="3" t="s">
        <v>1125</v>
      </c>
      <c r="H43" s="3" t="s">
        <v>1128</v>
      </c>
      <c r="I43" s="3" t="s">
        <v>62</v>
      </c>
      <c r="J43" s="3" t="s">
        <v>254</v>
      </c>
    </row>
    <row r="44" spans="1:10">
      <c r="A44" s="3">
        <v>41</v>
      </c>
      <c r="B44" s="3" t="s">
        <v>1170</v>
      </c>
      <c r="C44" s="4">
        <v>46353</v>
      </c>
      <c r="D44" s="3" t="s">
        <v>111</v>
      </c>
      <c r="E44" s="5" t="s">
        <v>46</v>
      </c>
      <c r="F44" s="5" t="s">
        <v>28</v>
      </c>
      <c r="G44" s="3" t="s">
        <v>1133</v>
      </c>
      <c r="H44" s="3" t="s">
        <v>1128</v>
      </c>
      <c r="I44" s="3" t="s">
        <v>28</v>
      </c>
      <c r="J44" s="3" t="s">
        <v>254</v>
      </c>
    </row>
    <row r="45" spans="1:10">
      <c r="A45" s="3">
        <v>42</v>
      </c>
      <c r="B45" s="3" t="s">
        <v>1171</v>
      </c>
      <c r="C45" s="4">
        <v>46329</v>
      </c>
      <c r="D45" s="3" t="s">
        <v>111</v>
      </c>
      <c r="E45" s="5" t="s">
        <v>65</v>
      </c>
      <c r="F45" s="5" t="s">
        <v>28</v>
      </c>
      <c r="G45" s="3" t="s">
        <v>1130</v>
      </c>
      <c r="H45" s="3" t="s">
        <v>1126</v>
      </c>
      <c r="I45" s="3" t="s">
        <v>15</v>
      </c>
      <c r="J45" s="3" t="s">
        <v>297</v>
      </c>
    </row>
    <row r="46" spans="1:10">
      <c r="A46" s="3">
        <v>43</v>
      </c>
      <c r="B46" s="3" t="s">
        <v>1172</v>
      </c>
      <c r="C46" s="4">
        <v>46349</v>
      </c>
      <c r="D46" s="3" t="s">
        <v>111</v>
      </c>
      <c r="E46" s="5" t="s">
        <v>89</v>
      </c>
      <c r="F46" s="5" t="s">
        <v>28</v>
      </c>
      <c r="G46" s="3" t="s">
        <v>1135</v>
      </c>
      <c r="H46" s="3" t="s">
        <v>1128</v>
      </c>
      <c r="I46" s="3" t="s">
        <v>78</v>
      </c>
      <c r="J46" s="3" t="s">
        <v>293</v>
      </c>
    </row>
    <row r="47" spans="1:10">
      <c r="A47" s="3">
        <v>44</v>
      </c>
      <c r="B47" s="3" t="s">
        <v>1173</v>
      </c>
      <c r="C47" s="4">
        <v>46341</v>
      </c>
      <c r="D47" s="3" t="s">
        <v>111</v>
      </c>
      <c r="E47" s="5" t="s">
        <v>89</v>
      </c>
      <c r="F47" s="5" t="s">
        <v>62</v>
      </c>
      <c r="G47" s="3" t="s">
        <v>1125</v>
      </c>
      <c r="H47" s="3" t="s">
        <v>1126</v>
      </c>
      <c r="I47" s="3" t="s">
        <v>7</v>
      </c>
      <c r="J47" s="3" t="s">
        <v>254</v>
      </c>
    </row>
    <row r="48" spans="1:10">
      <c r="A48" s="3">
        <v>45</v>
      </c>
      <c r="B48" s="3" t="s">
        <v>1174</v>
      </c>
      <c r="C48" s="4">
        <v>46366</v>
      </c>
      <c r="D48" s="3" t="s">
        <v>122</v>
      </c>
      <c r="E48" s="5" t="s">
        <v>27</v>
      </c>
      <c r="F48" s="5" t="s">
        <v>68</v>
      </c>
      <c r="G48" s="3" t="s">
        <v>1130</v>
      </c>
      <c r="H48" s="3" t="s">
        <v>1128</v>
      </c>
      <c r="I48" s="3" t="s">
        <v>70</v>
      </c>
      <c r="J48" s="3" t="s">
        <v>293</v>
      </c>
    </row>
    <row r="49" spans="1:10">
      <c r="A49" s="3">
        <v>46</v>
      </c>
      <c r="B49" s="3" t="s">
        <v>1175</v>
      </c>
      <c r="C49" s="4">
        <v>46377</v>
      </c>
      <c r="D49" s="3" t="s">
        <v>122</v>
      </c>
      <c r="E49" s="5" t="s">
        <v>58</v>
      </c>
      <c r="F49" s="5" t="s">
        <v>7</v>
      </c>
      <c r="G49" s="3" t="s">
        <v>1130</v>
      </c>
      <c r="H49" s="3" t="s">
        <v>1128</v>
      </c>
      <c r="I49" s="3" t="s">
        <v>62</v>
      </c>
      <c r="J49" s="3" t="s">
        <v>293</v>
      </c>
    </row>
    <row r="50" spans="1:10">
      <c r="A50" s="3">
        <v>47</v>
      </c>
      <c r="B50" s="3" t="s">
        <v>1176</v>
      </c>
      <c r="C50" s="4">
        <v>46374</v>
      </c>
      <c r="D50" s="3" t="s">
        <v>122</v>
      </c>
      <c r="E50" s="5" t="s">
        <v>13</v>
      </c>
      <c r="F50" s="5" t="s">
        <v>7</v>
      </c>
      <c r="G50" s="3" t="s">
        <v>1133</v>
      </c>
      <c r="H50" s="3" t="s">
        <v>1128</v>
      </c>
      <c r="I50" s="3" t="s">
        <v>70</v>
      </c>
      <c r="J50" s="3" t="s">
        <v>293</v>
      </c>
    </row>
    <row r="51" spans="1:10">
      <c r="A51" s="3">
        <v>48</v>
      </c>
      <c r="B51" s="3" t="s">
        <v>1177</v>
      </c>
      <c r="C51" s="4">
        <v>46377</v>
      </c>
      <c r="D51" s="3" t="s">
        <v>122</v>
      </c>
      <c r="E51" s="5" t="s">
        <v>5</v>
      </c>
      <c r="F51" s="5" t="s">
        <v>104</v>
      </c>
      <c r="G51" s="3" t="s">
        <v>1133</v>
      </c>
      <c r="H51" s="3" t="s">
        <v>1128</v>
      </c>
      <c r="I51" s="3" t="s">
        <v>28</v>
      </c>
      <c r="J51" s="3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E4:E5003">
      <formula1>L_Dept</formula1>
    </dataValidation>
    <dataValidation type="list" allowBlank="1" showInputMessage="1" showErrorMessage="1" sqref="J4:J5003">
      <formula1>L_Status</formula1>
    </dataValidation>
  </dataValidations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21.7109375" customWidth="1"/>
    <col min="6" max="6" width="12.7109375" customWidth="1"/>
    <col min="7" max="7" width="10.7109375" customWidth="1"/>
    <col min="8" max="8" width="9.7109375" customWidth="1"/>
    <col min="9" max="10" width="18.7109375" customWidth="1"/>
    <col min="11" max="11" width="19.7109375" customWidth="1"/>
    <col min="12" max="12" width="14.7109375" customWidth="1"/>
    <col min="13" max="13" width="9.7109375" customWidth="1"/>
    <col min="14" max="14" width="17.7109375" customWidth="1"/>
  </cols>
  <sheetData>
    <row r="1" spans="1:16" ht="22" customHeight="1">
      <c r="A1" s="1" t="s">
        <v>1183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764</v>
      </c>
      <c r="C3" t="s">
        <v>126</v>
      </c>
      <c r="D3" t="s">
        <v>127</v>
      </c>
      <c r="E3" t="s">
        <v>1237</v>
      </c>
      <c r="F3" t="s">
        <v>129</v>
      </c>
      <c r="G3" t="s">
        <v>130</v>
      </c>
      <c r="H3" t="s">
        <v>1238</v>
      </c>
      <c r="I3" t="s">
        <v>1239</v>
      </c>
      <c r="J3" t="s">
        <v>1240</v>
      </c>
      <c r="K3" t="s">
        <v>1241</v>
      </c>
      <c r="L3" t="s">
        <v>1242</v>
      </c>
      <c r="M3" t="s">
        <v>1243</v>
      </c>
      <c r="N3" t="s">
        <v>137</v>
      </c>
    </row>
    <row r="4" spans="1:16">
      <c r="A4" s="3">
        <v>1</v>
      </c>
      <c r="B4" s="3" t="s">
        <v>1184</v>
      </c>
      <c r="C4" s="4">
        <v>46024</v>
      </c>
      <c r="D4" s="3" t="s">
        <v>3</v>
      </c>
      <c r="E4" s="5" t="s">
        <v>1185</v>
      </c>
      <c r="F4" s="5" t="s">
        <v>39</v>
      </c>
      <c r="G4" s="3" t="s">
        <v>80</v>
      </c>
      <c r="H4" s="3" t="s">
        <v>78</v>
      </c>
      <c r="I4" s="3">
        <v>42</v>
      </c>
      <c r="J4" s="3">
        <v>6</v>
      </c>
      <c r="K4" s="3">
        <v>36</v>
      </c>
      <c r="L4" s="6">
        <f>IFERROR((K4-J4)/K4*100,0)</f>
        <v>0</v>
      </c>
      <c r="M4" s="3" t="s">
        <v>165</v>
      </c>
      <c r="N4" s="3" t="s">
        <v>23</v>
      </c>
    </row>
    <row r="5" spans="1:16">
      <c r="A5" s="3">
        <v>2</v>
      </c>
      <c r="B5" s="3" t="s">
        <v>1186</v>
      </c>
      <c r="C5" s="4">
        <v>46039</v>
      </c>
      <c r="D5" s="3" t="s">
        <v>3</v>
      </c>
      <c r="E5" s="5" t="s">
        <v>1187</v>
      </c>
      <c r="F5" s="5" t="s">
        <v>39</v>
      </c>
      <c r="G5" s="3" t="s">
        <v>77</v>
      </c>
      <c r="H5" s="3" t="s">
        <v>62</v>
      </c>
      <c r="I5" s="3">
        <v>25</v>
      </c>
      <c r="J5" s="3">
        <v>4</v>
      </c>
      <c r="K5" s="3">
        <v>49</v>
      </c>
      <c r="L5" s="6">
        <f>IFERROR((K5-J5)/K5*100,0)</f>
        <v>0</v>
      </c>
      <c r="M5" s="3" t="s">
        <v>165</v>
      </c>
      <c r="N5" s="3" t="s">
        <v>23</v>
      </c>
    </row>
    <row r="6" spans="1:16">
      <c r="A6" s="3">
        <v>3</v>
      </c>
      <c r="B6" s="3" t="s">
        <v>1188</v>
      </c>
      <c r="C6" s="4">
        <v>46026</v>
      </c>
      <c r="D6" s="3" t="s">
        <v>3</v>
      </c>
      <c r="E6" s="5" t="s">
        <v>1187</v>
      </c>
      <c r="F6" s="5" t="s">
        <v>65</v>
      </c>
      <c r="G6" s="3" t="s">
        <v>80</v>
      </c>
      <c r="H6" s="3" t="s">
        <v>36</v>
      </c>
      <c r="I6" s="3">
        <v>45</v>
      </c>
      <c r="J6" s="3">
        <v>8</v>
      </c>
      <c r="K6" s="3">
        <v>21</v>
      </c>
      <c r="L6" s="6">
        <f>IFERROR((K6-J6)/K6*100,0)</f>
        <v>0</v>
      </c>
      <c r="M6" s="3" t="s">
        <v>165</v>
      </c>
      <c r="N6" s="3" t="s">
        <v>9</v>
      </c>
    </row>
    <row r="7" spans="1:16">
      <c r="A7" s="3">
        <v>4</v>
      </c>
      <c r="B7" s="3" t="s">
        <v>1189</v>
      </c>
      <c r="C7" s="4">
        <v>46055</v>
      </c>
      <c r="D7" s="3" t="s">
        <v>19</v>
      </c>
      <c r="E7" s="5" t="s">
        <v>61</v>
      </c>
      <c r="F7" s="5" t="s">
        <v>58</v>
      </c>
      <c r="G7" s="3" t="s">
        <v>80</v>
      </c>
      <c r="H7" s="3" t="s">
        <v>28</v>
      </c>
      <c r="I7" s="3">
        <v>34</v>
      </c>
      <c r="J7" s="3">
        <v>8</v>
      </c>
      <c r="K7" s="3">
        <v>19</v>
      </c>
      <c r="L7" s="6">
        <f>IFERROR((K7-J7)/K7*100,0)</f>
        <v>0</v>
      </c>
      <c r="M7" s="3" t="s">
        <v>165</v>
      </c>
      <c r="N7" s="3" t="s">
        <v>9</v>
      </c>
    </row>
    <row r="8" spans="1:16">
      <c r="A8" s="3">
        <v>5</v>
      </c>
      <c r="B8" s="3" t="s">
        <v>1190</v>
      </c>
      <c r="C8" s="4">
        <v>46067</v>
      </c>
      <c r="D8" s="3" t="s">
        <v>19</v>
      </c>
      <c r="E8" s="5" t="s">
        <v>61</v>
      </c>
      <c r="F8" s="5" t="s">
        <v>65</v>
      </c>
      <c r="G8" s="3" t="s">
        <v>14</v>
      </c>
      <c r="H8" s="3" t="s">
        <v>93</v>
      </c>
      <c r="I8" s="3">
        <v>23</v>
      </c>
      <c r="J8" s="3">
        <v>8</v>
      </c>
      <c r="K8" s="3">
        <v>40</v>
      </c>
      <c r="L8" s="6">
        <f>IFERROR((K8-J8)/K8*100,0)</f>
        <v>0</v>
      </c>
      <c r="M8" s="3" t="s">
        <v>145</v>
      </c>
      <c r="N8" s="3" t="s">
        <v>9</v>
      </c>
    </row>
    <row r="9" spans="1:16">
      <c r="A9" s="3">
        <v>6</v>
      </c>
      <c r="B9" s="3" t="s">
        <v>1191</v>
      </c>
      <c r="C9" s="4">
        <v>46068</v>
      </c>
      <c r="D9" s="3" t="s">
        <v>19</v>
      </c>
      <c r="E9" s="5" t="s">
        <v>1187</v>
      </c>
      <c r="F9" s="5" t="s">
        <v>58</v>
      </c>
      <c r="G9" s="3" t="s">
        <v>80</v>
      </c>
      <c r="H9" s="3" t="s">
        <v>41</v>
      </c>
      <c r="I9" s="3">
        <v>16</v>
      </c>
      <c r="J9" s="3">
        <v>6</v>
      </c>
      <c r="K9" s="3">
        <v>46</v>
      </c>
      <c r="L9" s="6">
        <f>IFERROR((K9-J9)/K9*100,0)</f>
        <v>0</v>
      </c>
      <c r="M9" s="3" t="s">
        <v>145</v>
      </c>
      <c r="N9" s="3" t="s">
        <v>9</v>
      </c>
    </row>
    <row r="10" spans="1:16">
      <c r="A10" s="3">
        <v>7</v>
      </c>
      <c r="B10" s="3" t="s">
        <v>1192</v>
      </c>
      <c r="C10" s="4">
        <v>46106</v>
      </c>
      <c r="D10" s="3" t="s">
        <v>44</v>
      </c>
      <c r="E10" s="5" t="s">
        <v>1187</v>
      </c>
      <c r="F10" s="5" t="s">
        <v>50</v>
      </c>
      <c r="G10" s="3" t="s">
        <v>6</v>
      </c>
      <c r="H10" s="3" t="s">
        <v>15</v>
      </c>
      <c r="I10" s="3">
        <v>45</v>
      </c>
      <c r="J10" s="3">
        <v>1</v>
      </c>
      <c r="K10" s="3">
        <v>46</v>
      </c>
      <c r="L10" s="6">
        <f>IFERROR((K10-J10)/K10*100,0)</f>
        <v>0</v>
      </c>
      <c r="M10" s="3" t="s">
        <v>165</v>
      </c>
      <c r="N10" s="3" t="s">
        <v>9</v>
      </c>
    </row>
    <row r="11" spans="1:16">
      <c r="A11" s="3">
        <v>8</v>
      </c>
      <c r="B11" s="3" t="s">
        <v>1193</v>
      </c>
      <c r="C11" s="4">
        <v>46097</v>
      </c>
      <c r="D11" s="3" t="s">
        <v>44</v>
      </c>
      <c r="E11" s="5" t="s">
        <v>30</v>
      </c>
      <c r="F11" s="5" t="s">
        <v>50</v>
      </c>
      <c r="G11" s="3" t="s">
        <v>77</v>
      </c>
      <c r="H11" s="3" t="s">
        <v>15</v>
      </c>
      <c r="I11" s="3">
        <v>11</v>
      </c>
      <c r="J11" s="3">
        <v>4</v>
      </c>
      <c r="K11" s="3">
        <v>28</v>
      </c>
      <c r="L11" s="6">
        <f>IFERROR((K11-J11)/K11*100,0)</f>
        <v>0</v>
      </c>
      <c r="M11" s="3" t="s">
        <v>145</v>
      </c>
      <c r="N11" s="3" t="s">
        <v>9</v>
      </c>
    </row>
    <row r="12" spans="1:16">
      <c r="A12" s="3">
        <v>9</v>
      </c>
      <c r="B12" s="3" t="s">
        <v>1194</v>
      </c>
      <c r="C12" s="4">
        <v>46126</v>
      </c>
      <c r="D12" s="3" t="s">
        <v>53</v>
      </c>
      <c r="E12" s="5" t="s">
        <v>61</v>
      </c>
      <c r="F12" s="5" t="s">
        <v>58</v>
      </c>
      <c r="G12" s="3" t="s">
        <v>87</v>
      </c>
      <c r="H12" s="3" t="s">
        <v>68</v>
      </c>
      <c r="I12" s="3">
        <v>26</v>
      </c>
      <c r="J12" s="3">
        <v>8</v>
      </c>
      <c r="K12" s="3">
        <v>34</v>
      </c>
      <c r="L12" s="6">
        <f>IFERROR((K12-J12)/K12*100,0)</f>
        <v>0</v>
      </c>
      <c r="M12" s="3" t="s">
        <v>165</v>
      </c>
      <c r="N12" s="3" t="s">
        <v>9</v>
      </c>
    </row>
    <row r="13" spans="1:16">
      <c r="A13" s="3">
        <v>10</v>
      </c>
      <c r="B13" s="3" t="s">
        <v>1195</v>
      </c>
      <c r="C13" s="4">
        <v>46117</v>
      </c>
      <c r="D13" s="3" t="s">
        <v>53</v>
      </c>
      <c r="E13" s="5" t="s">
        <v>1196</v>
      </c>
      <c r="F13" s="5" t="s">
        <v>27</v>
      </c>
      <c r="G13" s="3" t="s">
        <v>14</v>
      </c>
      <c r="H13" s="3" t="s">
        <v>68</v>
      </c>
      <c r="I13" s="3">
        <v>20</v>
      </c>
      <c r="J13" s="3">
        <v>1</v>
      </c>
      <c r="K13" s="3">
        <v>46</v>
      </c>
      <c r="L13" s="6">
        <f>IFERROR((K13-J13)/K13*100,0)</f>
        <v>0</v>
      </c>
      <c r="M13" s="3" t="s">
        <v>145</v>
      </c>
      <c r="N13" s="3" t="s">
        <v>9</v>
      </c>
    </row>
    <row r="14" spans="1:16">
      <c r="A14" s="3">
        <v>11</v>
      </c>
      <c r="B14" s="3" t="s">
        <v>1197</v>
      </c>
      <c r="C14" s="4">
        <v>46123</v>
      </c>
      <c r="D14" s="3" t="s">
        <v>53</v>
      </c>
      <c r="E14" s="5" t="s">
        <v>1187</v>
      </c>
      <c r="F14" s="5" t="s">
        <v>65</v>
      </c>
      <c r="G14" s="3" t="s">
        <v>95</v>
      </c>
      <c r="H14" s="3" t="s">
        <v>32</v>
      </c>
      <c r="I14" s="3">
        <v>17</v>
      </c>
      <c r="J14" s="3">
        <v>3</v>
      </c>
      <c r="K14" s="3">
        <v>44</v>
      </c>
      <c r="L14" s="6">
        <f>IFERROR((K14-J14)/K14*100,0)</f>
        <v>0</v>
      </c>
      <c r="M14" s="3" t="s">
        <v>148</v>
      </c>
      <c r="N14" s="3" t="s">
        <v>23</v>
      </c>
    </row>
    <row r="15" spans="1:16">
      <c r="A15" s="3">
        <v>12</v>
      </c>
      <c r="B15" s="3" t="s">
        <v>1198</v>
      </c>
      <c r="C15" s="4">
        <v>46123</v>
      </c>
      <c r="D15" s="3" t="s">
        <v>53</v>
      </c>
      <c r="E15" s="5" t="s">
        <v>1196</v>
      </c>
      <c r="F15" s="5" t="s">
        <v>58</v>
      </c>
      <c r="G15" s="3" t="s">
        <v>80</v>
      </c>
      <c r="H15" s="3" t="s">
        <v>22</v>
      </c>
      <c r="I15" s="3">
        <v>28</v>
      </c>
      <c r="J15" s="3">
        <v>5</v>
      </c>
      <c r="K15" s="3">
        <v>25</v>
      </c>
      <c r="L15" s="6">
        <f>IFERROR((K15-J15)/K15*100,0)</f>
        <v>0</v>
      </c>
      <c r="M15" s="3" t="s">
        <v>145</v>
      </c>
      <c r="N15" s="3" t="s">
        <v>23</v>
      </c>
    </row>
    <row r="16" spans="1:16">
      <c r="A16" s="3">
        <v>13</v>
      </c>
      <c r="B16" s="3" t="s">
        <v>1199</v>
      </c>
      <c r="C16" s="4">
        <v>46137</v>
      </c>
      <c r="D16" s="3" t="s">
        <v>53</v>
      </c>
      <c r="E16" s="5" t="s">
        <v>1196</v>
      </c>
      <c r="F16" s="5" t="s">
        <v>58</v>
      </c>
      <c r="G16" s="3" t="s">
        <v>87</v>
      </c>
      <c r="H16" s="3" t="s">
        <v>41</v>
      </c>
      <c r="I16" s="3">
        <v>33</v>
      </c>
      <c r="J16" s="3">
        <v>1</v>
      </c>
      <c r="K16" s="3">
        <v>25</v>
      </c>
      <c r="L16" s="6">
        <f>IFERROR((K16-J16)/K16*100,0)</f>
        <v>0</v>
      </c>
      <c r="M16" s="3" t="s">
        <v>148</v>
      </c>
      <c r="N16" s="3" t="s">
        <v>9</v>
      </c>
    </row>
    <row r="17" spans="1:14">
      <c r="A17" s="3">
        <v>14</v>
      </c>
      <c r="B17" s="3" t="s">
        <v>1200</v>
      </c>
      <c r="C17" s="4">
        <v>46138</v>
      </c>
      <c r="D17" s="3" t="s">
        <v>53</v>
      </c>
      <c r="E17" s="5" t="s">
        <v>1187</v>
      </c>
      <c r="F17" s="5" t="s">
        <v>5</v>
      </c>
      <c r="G17" s="3" t="s">
        <v>80</v>
      </c>
      <c r="H17" s="3" t="s">
        <v>68</v>
      </c>
      <c r="I17" s="3">
        <v>28</v>
      </c>
      <c r="J17" s="3">
        <v>5</v>
      </c>
      <c r="K17" s="3">
        <v>42</v>
      </c>
      <c r="L17" s="6">
        <f>IFERROR((K17-J17)/K17*100,0)</f>
        <v>0</v>
      </c>
      <c r="M17" s="3" t="s">
        <v>148</v>
      </c>
      <c r="N17" s="3" t="s">
        <v>23</v>
      </c>
    </row>
    <row r="18" spans="1:14">
      <c r="A18" s="3">
        <v>15</v>
      </c>
      <c r="B18" s="3" t="s">
        <v>1201</v>
      </c>
      <c r="C18" s="4">
        <v>46127</v>
      </c>
      <c r="D18" s="3" t="s">
        <v>53</v>
      </c>
      <c r="E18" s="5" t="s">
        <v>1202</v>
      </c>
      <c r="F18" s="5" t="s">
        <v>46</v>
      </c>
      <c r="G18" s="3" t="s">
        <v>51</v>
      </c>
      <c r="H18" s="3" t="s">
        <v>62</v>
      </c>
      <c r="I18" s="3">
        <v>34</v>
      </c>
      <c r="J18" s="3">
        <v>4</v>
      </c>
      <c r="K18" s="3">
        <v>20</v>
      </c>
      <c r="L18" s="6">
        <f>IFERROR((K18-J18)/K18*100,0)</f>
        <v>0</v>
      </c>
      <c r="M18" s="3" t="s">
        <v>165</v>
      </c>
      <c r="N18" s="3" t="s">
        <v>23</v>
      </c>
    </row>
    <row r="19" spans="1:14">
      <c r="A19" s="3">
        <v>16</v>
      </c>
      <c r="B19" s="3" t="s">
        <v>1203</v>
      </c>
      <c r="C19" s="4">
        <v>46125</v>
      </c>
      <c r="D19" s="3" t="s">
        <v>53</v>
      </c>
      <c r="E19" s="5" t="s">
        <v>1202</v>
      </c>
      <c r="F19" s="5" t="s">
        <v>27</v>
      </c>
      <c r="G19" s="3" t="s">
        <v>35</v>
      </c>
      <c r="H19" s="3" t="s">
        <v>15</v>
      </c>
      <c r="I19" s="3">
        <v>50</v>
      </c>
      <c r="J19" s="3">
        <v>4</v>
      </c>
      <c r="K19" s="3">
        <v>45</v>
      </c>
      <c r="L19" s="6">
        <f>IFERROR((K19-J19)/K19*100,0)</f>
        <v>0</v>
      </c>
      <c r="M19" s="3" t="s">
        <v>165</v>
      </c>
      <c r="N19" s="3" t="s">
        <v>23</v>
      </c>
    </row>
    <row r="20" spans="1:14">
      <c r="A20" s="3">
        <v>17</v>
      </c>
      <c r="B20" s="3" t="s">
        <v>1204</v>
      </c>
      <c r="C20" s="4">
        <v>46150</v>
      </c>
      <c r="D20" s="3" t="s">
        <v>60</v>
      </c>
      <c r="E20" s="5" t="s">
        <v>1205</v>
      </c>
      <c r="F20" s="5" t="s">
        <v>13</v>
      </c>
      <c r="G20" s="3" t="s">
        <v>14</v>
      </c>
      <c r="H20" s="3" t="s">
        <v>36</v>
      </c>
      <c r="I20" s="3">
        <v>57</v>
      </c>
      <c r="J20" s="3">
        <v>5</v>
      </c>
      <c r="K20" s="3">
        <v>46</v>
      </c>
      <c r="L20" s="6">
        <f>IFERROR((K20-J20)/K20*100,0)</f>
        <v>0</v>
      </c>
      <c r="M20" s="3" t="s">
        <v>148</v>
      </c>
      <c r="N20" s="3" t="s">
        <v>9</v>
      </c>
    </row>
    <row r="21" spans="1:14">
      <c r="A21" s="3">
        <v>18</v>
      </c>
      <c r="B21" s="3" t="s">
        <v>1206</v>
      </c>
      <c r="C21" s="4">
        <v>46150</v>
      </c>
      <c r="D21" s="3" t="s">
        <v>60</v>
      </c>
      <c r="E21" s="5" t="s">
        <v>61</v>
      </c>
      <c r="F21" s="5" t="s">
        <v>92</v>
      </c>
      <c r="G21" s="3" t="s">
        <v>95</v>
      </c>
      <c r="H21" s="3" t="s">
        <v>93</v>
      </c>
      <c r="I21" s="3">
        <v>22</v>
      </c>
      <c r="J21" s="3">
        <v>8</v>
      </c>
      <c r="K21" s="3">
        <v>46</v>
      </c>
      <c r="L21" s="6">
        <f>IFERROR((K21-J21)/K21*100,0)</f>
        <v>0</v>
      </c>
      <c r="M21" s="3" t="s">
        <v>165</v>
      </c>
      <c r="N21" s="3" t="s">
        <v>23</v>
      </c>
    </row>
    <row r="22" spans="1:14">
      <c r="A22" s="3">
        <v>19</v>
      </c>
      <c r="B22" s="3" t="s">
        <v>1207</v>
      </c>
      <c r="C22" s="4">
        <v>46146</v>
      </c>
      <c r="D22" s="3" t="s">
        <v>60</v>
      </c>
      <c r="E22" s="5" t="s">
        <v>1185</v>
      </c>
      <c r="F22" s="5" t="s">
        <v>58</v>
      </c>
      <c r="G22" s="3" t="s">
        <v>31</v>
      </c>
      <c r="H22" s="3" t="s">
        <v>93</v>
      </c>
      <c r="I22" s="3">
        <v>24</v>
      </c>
      <c r="J22" s="3">
        <v>1</v>
      </c>
      <c r="K22" s="3">
        <v>16</v>
      </c>
      <c r="L22" s="6">
        <f>IFERROR((K22-J22)/K22*100,0)</f>
        <v>0</v>
      </c>
      <c r="M22" s="3" t="s">
        <v>145</v>
      </c>
      <c r="N22" s="3" t="s">
        <v>23</v>
      </c>
    </row>
    <row r="23" spans="1:14">
      <c r="A23" s="3">
        <v>20</v>
      </c>
      <c r="B23" s="3" t="s">
        <v>1208</v>
      </c>
      <c r="C23" s="4">
        <v>46148</v>
      </c>
      <c r="D23" s="3" t="s">
        <v>60</v>
      </c>
      <c r="E23" s="5" t="s">
        <v>30</v>
      </c>
      <c r="F23" s="5" t="s">
        <v>5</v>
      </c>
      <c r="G23" s="3" t="s">
        <v>40</v>
      </c>
      <c r="H23" s="3" t="s">
        <v>66</v>
      </c>
      <c r="I23" s="3">
        <v>38</v>
      </c>
      <c r="J23" s="3">
        <v>5</v>
      </c>
      <c r="K23" s="3">
        <v>49</v>
      </c>
      <c r="L23" s="6">
        <f>IFERROR((K23-J23)/K23*100,0)</f>
        <v>0</v>
      </c>
      <c r="M23" s="3" t="s">
        <v>165</v>
      </c>
      <c r="N23" s="3" t="s">
        <v>9</v>
      </c>
    </row>
    <row r="24" spans="1:14">
      <c r="A24" s="3">
        <v>21</v>
      </c>
      <c r="B24" s="3" t="s">
        <v>1209</v>
      </c>
      <c r="C24" s="4">
        <v>46154</v>
      </c>
      <c r="D24" s="3" t="s">
        <v>60</v>
      </c>
      <c r="E24" s="5" t="s">
        <v>1205</v>
      </c>
      <c r="F24" s="5" t="s">
        <v>65</v>
      </c>
      <c r="G24" s="3" t="s">
        <v>95</v>
      </c>
      <c r="H24" s="3" t="s">
        <v>36</v>
      </c>
      <c r="I24" s="3">
        <v>56</v>
      </c>
      <c r="J24" s="3">
        <v>1</v>
      </c>
      <c r="K24" s="3">
        <v>48</v>
      </c>
      <c r="L24" s="6">
        <f>IFERROR((K24-J24)/K24*100,0)</f>
        <v>0</v>
      </c>
      <c r="M24" s="3" t="s">
        <v>165</v>
      </c>
      <c r="N24" s="3" t="s">
        <v>9</v>
      </c>
    </row>
    <row r="25" spans="1:14">
      <c r="A25" s="3">
        <v>22</v>
      </c>
      <c r="B25" s="3" t="s">
        <v>1210</v>
      </c>
      <c r="C25" s="4">
        <v>46162</v>
      </c>
      <c r="D25" s="3" t="s">
        <v>60</v>
      </c>
      <c r="E25" s="5" t="s">
        <v>61</v>
      </c>
      <c r="F25" s="5" t="s">
        <v>27</v>
      </c>
      <c r="G25" s="3" t="s">
        <v>77</v>
      </c>
      <c r="H25" s="3" t="s">
        <v>62</v>
      </c>
      <c r="I25" s="3">
        <v>51</v>
      </c>
      <c r="J25" s="3">
        <v>2</v>
      </c>
      <c r="K25" s="3">
        <v>48</v>
      </c>
      <c r="L25" s="6">
        <f>IFERROR((K25-J25)/K25*100,0)</f>
        <v>0</v>
      </c>
      <c r="M25" s="3" t="s">
        <v>145</v>
      </c>
      <c r="N25" s="3" t="s">
        <v>23</v>
      </c>
    </row>
    <row r="26" spans="1:14">
      <c r="A26" s="3">
        <v>23</v>
      </c>
      <c r="B26" s="3" t="s">
        <v>1211</v>
      </c>
      <c r="C26" s="4">
        <v>46191</v>
      </c>
      <c r="D26" s="3" t="s">
        <v>73</v>
      </c>
      <c r="E26" s="5" t="s">
        <v>61</v>
      </c>
      <c r="F26" s="5" t="s">
        <v>46</v>
      </c>
      <c r="G26" s="3" t="s">
        <v>6</v>
      </c>
      <c r="H26" s="3" t="s">
        <v>78</v>
      </c>
      <c r="I26" s="3">
        <v>54</v>
      </c>
      <c r="J26" s="3">
        <v>4</v>
      </c>
      <c r="K26" s="3">
        <v>16</v>
      </c>
      <c r="L26" s="6">
        <f>IFERROR((K26-J26)/K26*100,0)</f>
        <v>0</v>
      </c>
      <c r="M26" s="3" t="s">
        <v>145</v>
      </c>
      <c r="N26" s="3" t="s">
        <v>23</v>
      </c>
    </row>
    <row r="27" spans="1:14">
      <c r="A27" s="3">
        <v>24</v>
      </c>
      <c r="B27" s="3" t="s">
        <v>1212</v>
      </c>
      <c r="C27" s="4">
        <v>46187</v>
      </c>
      <c r="D27" s="3" t="s">
        <v>73</v>
      </c>
      <c r="E27" s="5" t="s">
        <v>61</v>
      </c>
      <c r="F27" s="5" t="s">
        <v>89</v>
      </c>
      <c r="G27" s="3" t="s">
        <v>6</v>
      </c>
      <c r="H27" s="3" t="s">
        <v>66</v>
      </c>
      <c r="I27" s="3">
        <v>33</v>
      </c>
      <c r="J27" s="3">
        <v>0</v>
      </c>
      <c r="K27" s="3">
        <v>17</v>
      </c>
      <c r="L27" s="6">
        <f>IFERROR((K27-J27)/K27*100,0)</f>
        <v>0</v>
      </c>
      <c r="M27" s="3" t="s">
        <v>165</v>
      </c>
      <c r="N27" s="3" t="s">
        <v>9</v>
      </c>
    </row>
    <row r="28" spans="1:14">
      <c r="A28" s="3">
        <v>25</v>
      </c>
      <c r="B28" s="3" t="s">
        <v>1213</v>
      </c>
      <c r="C28" s="4">
        <v>46181</v>
      </c>
      <c r="D28" s="3" t="s">
        <v>73</v>
      </c>
      <c r="E28" s="5" t="s">
        <v>1187</v>
      </c>
      <c r="F28" s="5" t="s">
        <v>65</v>
      </c>
      <c r="G28" s="3" t="s">
        <v>77</v>
      </c>
      <c r="H28" s="3" t="s">
        <v>32</v>
      </c>
      <c r="I28" s="3">
        <v>45</v>
      </c>
      <c r="J28" s="3">
        <v>3</v>
      </c>
      <c r="K28" s="3">
        <v>17</v>
      </c>
      <c r="L28" s="6">
        <f>IFERROR((K28-J28)/K28*100,0)</f>
        <v>0</v>
      </c>
      <c r="M28" s="3" t="s">
        <v>145</v>
      </c>
      <c r="N28" s="3" t="s">
        <v>9</v>
      </c>
    </row>
    <row r="29" spans="1:14">
      <c r="A29" s="3">
        <v>26</v>
      </c>
      <c r="B29" s="3" t="s">
        <v>1214</v>
      </c>
      <c r="C29" s="4">
        <v>46195</v>
      </c>
      <c r="D29" s="3" t="s">
        <v>73</v>
      </c>
      <c r="E29" s="5" t="s">
        <v>1187</v>
      </c>
      <c r="F29" s="5" t="s">
        <v>39</v>
      </c>
      <c r="G29" s="3" t="s">
        <v>80</v>
      </c>
      <c r="H29" s="3" t="s">
        <v>70</v>
      </c>
      <c r="I29" s="3">
        <v>45</v>
      </c>
      <c r="J29" s="3">
        <v>7</v>
      </c>
      <c r="K29" s="3">
        <v>34</v>
      </c>
      <c r="L29" s="6">
        <f>IFERROR((K29-J29)/K29*100,0)</f>
        <v>0</v>
      </c>
      <c r="M29" s="3" t="s">
        <v>145</v>
      </c>
      <c r="N29" s="3" t="s">
        <v>23</v>
      </c>
    </row>
    <row r="30" spans="1:14">
      <c r="A30" s="3">
        <v>27</v>
      </c>
      <c r="B30" s="3" t="s">
        <v>1215</v>
      </c>
      <c r="C30" s="4">
        <v>46223</v>
      </c>
      <c r="D30" s="3" t="s">
        <v>76</v>
      </c>
      <c r="E30" s="5" t="s">
        <v>1187</v>
      </c>
      <c r="F30" s="5" t="s">
        <v>39</v>
      </c>
      <c r="G30" s="3" t="s">
        <v>21</v>
      </c>
      <c r="H30" s="3" t="s">
        <v>93</v>
      </c>
      <c r="I30" s="3">
        <v>31</v>
      </c>
      <c r="J30" s="3">
        <v>4</v>
      </c>
      <c r="K30" s="3">
        <v>18</v>
      </c>
      <c r="L30" s="6">
        <f>IFERROR((K30-J30)/K30*100,0)</f>
        <v>0</v>
      </c>
      <c r="M30" s="3" t="s">
        <v>165</v>
      </c>
      <c r="N30" s="3" t="s">
        <v>23</v>
      </c>
    </row>
    <row r="31" spans="1:14">
      <c r="A31" s="3">
        <v>28</v>
      </c>
      <c r="B31" s="3" t="s">
        <v>1216</v>
      </c>
      <c r="C31" s="4">
        <v>46217</v>
      </c>
      <c r="D31" s="3" t="s">
        <v>76</v>
      </c>
      <c r="E31" s="5" t="s">
        <v>1205</v>
      </c>
      <c r="F31" s="5" t="s">
        <v>13</v>
      </c>
      <c r="G31" s="3" t="s">
        <v>40</v>
      </c>
      <c r="H31" s="3" t="s">
        <v>41</v>
      </c>
      <c r="I31" s="3">
        <v>12</v>
      </c>
      <c r="J31" s="3">
        <v>6</v>
      </c>
      <c r="K31" s="3">
        <v>49</v>
      </c>
      <c r="L31" s="6">
        <f>IFERROR((K31-J31)/K31*100,0)</f>
        <v>0</v>
      </c>
      <c r="M31" s="3" t="s">
        <v>165</v>
      </c>
      <c r="N31" s="3" t="s">
        <v>23</v>
      </c>
    </row>
    <row r="32" spans="1:14">
      <c r="A32" s="3">
        <v>29</v>
      </c>
      <c r="B32" s="3" t="s">
        <v>1217</v>
      </c>
      <c r="C32" s="4">
        <v>46217</v>
      </c>
      <c r="D32" s="3" t="s">
        <v>76</v>
      </c>
      <c r="E32" s="5" t="s">
        <v>61</v>
      </c>
      <c r="F32" s="5" t="s">
        <v>92</v>
      </c>
      <c r="G32" s="3" t="s">
        <v>82</v>
      </c>
      <c r="H32" s="3" t="s">
        <v>68</v>
      </c>
      <c r="I32" s="3">
        <v>45</v>
      </c>
      <c r="J32" s="3">
        <v>3</v>
      </c>
      <c r="K32" s="3">
        <v>22</v>
      </c>
      <c r="L32" s="6">
        <f>IFERROR((K32-J32)/K32*100,0)</f>
        <v>0</v>
      </c>
      <c r="M32" s="3" t="s">
        <v>165</v>
      </c>
      <c r="N32" s="3" t="s">
        <v>23</v>
      </c>
    </row>
    <row r="33" spans="1:14">
      <c r="A33" s="3">
        <v>30</v>
      </c>
      <c r="B33" s="3" t="s">
        <v>1218</v>
      </c>
      <c r="C33" s="4">
        <v>46213</v>
      </c>
      <c r="D33" s="3" t="s">
        <v>76</v>
      </c>
      <c r="E33" s="5" t="s">
        <v>1196</v>
      </c>
      <c r="F33" s="5" t="s">
        <v>92</v>
      </c>
      <c r="G33" s="3" t="s">
        <v>87</v>
      </c>
      <c r="H33" s="3" t="s">
        <v>70</v>
      </c>
      <c r="I33" s="3">
        <v>17</v>
      </c>
      <c r="J33" s="3">
        <v>5</v>
      </c>
      <c r="K33" s="3">
        <v>44</v>
      </c>
      <c r="L33" s="6">
        <f>IFERROR((K33-J33)/K33*100,0)</f>
        <v>0</v>
      </c>
      <c r="M33" s="3" t="s">
        <v>145</v>
      </c>
      <c r="N33" s="3" t="s">
        <v>23</v>
      </c>
    </row>
    <row r="34" spans="1:14">
      <c r="A34" s="3">
        <v>31</v>
      </c>
      <c r="B34" s="3" t="s">
        <v>1219</v>
      </c>
      <c r="C34" s="4">
        <v>46240</v>
      </c>
      <c r="D34" s="3" t="s">
        <v>86</v>
      </c>
      <c r="E34" s="5" t="s">
        <v>30</v>
      </c>
      <c r="F34" s="5" t="s">
        <v>92</v>
      </c>
      <c r="G34" s="3" t="s">
        <v>14</v>
      </c>
      <c r="H34" s="3" t="s">
        <v>70</v>
      </c>
      <c r="I34" s="3">
        <v>55</v>
      </c>
      <c r="J34" s="3">
        <v>8</v>
      </c>
      <c r="K34" s="3">
        <v>38</v>
      </c>
      <c r="L34" s="6">
        <f>IFERROR((K34-J34)/K34*100,0)</f>
        <v>0</v>
      </c>
      <c r="M34" s="3" t="s">
        <v>148</v>
      </c>
      <c r="N34" s="3" t="s">
        <v>9</v>
      </c>
    </row>
    <row r="35" spans="1:14">
      <c r="A35" s="3">
        <v>32</v>
      </c>
      <c r="B35" s="3" t="s">
        <v>1220</v>
      </c>
      <c r="C35" s="4">
        <v>46256</v>
      </c>
      <c r="D35" s="3" t="s">
        <v>86</v>
      </c>
      <c r="E35" s="5" t="s">
        <v>30</v>
      </c>
      <c r="F35" s="5" t="s">
        <v>27</v>
      </c>
      <c r="G35" s="3" t="s">
        <v>77</v>
      </c>
      <c r="H35" s="3" t="s">
        <v>68</v>
      </c>
      <c r="I35" s="3">
        <v>51</v>
      </c>
      <c r="J35" s="3">
        <v>3</v>
      </c>
      <c r="K35" s="3">
        <v>29</v>
      </c>
      <c r="L35" s="6">
        <f>IFERROR((K35-J35)/K35*100,0)</f>
        <v>0</v>
      </c>
      <c r="M35" s="3" t="s">
        <v>165</v>
      </c>
      <c r="N35" s="3" t="s">
        <v>9</v>
      </c>
    </row>
    <row r="36" spans="1:14">
      <c r="A36" s="3">
        <v>33</v>
      </c>
      <c r="B36" s="3" t="s">
        <v>1221</v>
      </c>
      <c r="C36" s="4">
        <v>46239</v>
      </c>
      <c r="D36" s="3" t="s">
        <v>86</v>
      </c>
      <c r="E36" s="5" t="s">
        <v>61</v>
      </c>
      <c r="F36" s="5" t="s">
        <v>13</v>
      </c>
      <c r="G36" s="3" t="s">
        <v>87</v>
      </c>
      <c r="H36" s="3" t="s">
        <v>28</v>
      </c>
      <c r="I36" s="3">
        <v>29</v>
      </c>
      <c r="J36" s="3">
        <v>4</v>
      </c>
      <c r="K36" s="3">
        <v>24</v>
      </c>
      <c r="L36" s="6">
        <f>IFERROR((K36-J36)/K36*100,0)</f>
        <v>0</v>
      </c>
      <c r="M36" s="3" t="s">
        <v>165</v>
      </c>
      <c r="N36" s="3" t="s">
        <v>9</v>
      </c>
    </row>
    <row r="37" spans="1:14">
      <c r="A37" s="3">
        <v>34</v>
      </c>
      <c r="B37" s="3" t="s">
        <v>1222</v>
      </c>
      <c r="C37" s="4">
        <v>46271</v>
      </c>
      <c r="D37" s="3" t="s">
        <v>102</v>
      </c>
      <c r="E37" s="5" t="s">
        <v>30</v>
      </c>
      <c r="F37" s="5" t="s">
        <v>5</v>
      </c>
      <c r="G37" s="3" t="s">
        <v>35</v>
      </c>
      <c r="H37" s="3" t="s">
        <v>28</v>
      </c>
      <c r="I37" s="3">
        <v>17</v>
      </c>
      <c r="J37" s="3">
        <v>2</v>
      </c>
      <c r="K37" s="3">
        <v>44</v>
      </c>
      <c r="L37" s="6">
        <f>IFERROR((K37-J37)/K37*100,0)</f>
        <v>0</v>
      </c>
      <c r="M37" s="3" t="s">
        <v>165</v>
      </c>
      <c r="N37" s="3" t="s">
        <v>9</v>
      </c>
    </row>
    <row r="38" spans="1:14">
      <c r="A38" s="3">
        <v>35</v>
      </c>
      <c r="B38" s="3" t="s">
        <v>1223</v>
      </c>
      <c r="C38" s="4">
        <v>46267</v>
      </c>
      <c r="D38" s="3" t="s">
        <v>102</v>
      </c>
      <c r="E38" s="5" t="s">
        <v>1202</v>
      </c>
      <c r="F38" s="5" t="s">
        <v>50</v>
      </c>
      <c r="G38" s="3" t="s">
        <v>14</v>
      </c>
      <c r="H38" s="3" t="s">
        <v>22</v>
      </c>
      <c r="I38" s="3">
        <v>19</v>
      </c>
      <c r="J38" s="3">
        <v>7</v>
      </c>
      <c r="K38" s="3">
        <v>47</v>
      </c>
      <c r="L38" s="6">
        <f>IFERROR((K38-J38)/K38*100,0)</f>
        <v>0</v>
      </c>
      <c r="M38" s="3" t="s">
        <v>148</v>
      </c>
      <c r="N38" s="3" t="s">
        <v>9</v>
      </c>
    </row>
    <row r="39" spans="1:14">
      <c r="A39" s="3">
        <v>36</v>
      </c>
      <c r="B39" s="3" t="s">
        <v>1224</v>
      </c>
      <c r="C39" s="4">
        <v>46318</v>
      </c>
      <c r="D39" s="3" t="s">
        <v>106</v>
      </c>
      <c r="E39" s="5" t="s">
        <v>1202</v>
      </c>
      <c r="F39" s="5" t="s">
        <v>27</v>
      </c>
      <c r="G39" s="3" t="s">
        <v>87</v>
      </c>
      <c r="H39" s="3" t="s">
        <v>93</v>
      </c>
      <c r="I39" s="3">
        <v>26</v>
      </c>
      <c r="J39" s="3">
        <v>0</v>
      </c>
      <c r="K39" s="3">
        <v>47</v>
      </c>
      <c r="L39" s="6">
        <f>IFERROR((K39-J39)/K39*100,0)</f>
        <v>0</v>
      </c>
      <c r="M39" s="3" t="s">
        <v>148</v>
      </c>
      <c r="N39" s="3" t="s">
        <v>9</v>
      </c>
    </row>
    <row r="40" spans="1:14">
      <c r="A40" s="3">
        <v>37</v>
      </c>
      <c r="B40" s="3" t="s">
        <v>1225</v>
      </c>
      <c r="C40" s="4">
        <v>46302</v>
      </c>
      <c r="D40" s="3" t="s">
        <v>106</v>
      </c>
      <c r="E40" s="5" t="s">
        <v>1187</v>
      </c>
      <c r="F40" s="5" t="s">
        <v>92</v>
      </c>
      <c r="G40" s="3" t="s">
        <v>6</v>
      </c>
      <c r="H40" s="3" t="s">
        <v>22</v>
      </c>
      <c r="I40" s="3">
        <v>59</v>
      </c>
      <c r="J40" s="3">
        <v>7</v>
      </c>
      <c r="K40" s="3">
        <v>49</v>
      </c>
      <c r="L40" s="6">
        <f>IFERROR((K40-J40)/K40*100,0)</f>
        <v>0</v>
      </c>
      <c r="M40" s="3" t="s">
        <v>165</v>
      </c>
      <c r="N40" s="3" t="s">
        <v>23</v>
      </c>
    </row>
    <row r="41" spans="1:14">
      <c r="A41" s="3">
        <v>38</v>
      </c>
      <c r="B41" s="3" t="s">
        <v>1226</v>
      </c>
      <c r="C41" s="4">
        <v>46303</v>
      </c>
      <c r="D41" s="3" t="s">
        <v>106</v>
      </c>
      <c r="E41" s="5" t="s">
        <v>30</v>
      </c>
      <c r="F41" s="5" t="s">
        <v>92</v>
      </c>
      <c r="G41" s="3" t="s">
        <v>87</v>
      </c>
      <c r="H41" s="3" t="s">
        <v>36</v>
      </c>
      <c r="I41" s="3">
        <v>59</v>
      </c>
      <c r="J41" s="3">
        <v>6</v>
      </c>
      <c r="K41" s="3">
        <v>43</v>
      </c>
      <c r="L41" s="6">
        <f>IFERROR((K41-J41)/K41*100,0)</f>
        <v>0</v>
      </c>
      <c r="M41" s="3" t="s">
        <v>148</v>
      </c>
      <c r="N41" s="3" t="s">
        <v>23</v>
      </c>
    </row>
    <row r="42" spans="1:14">
      <c r="A42" s="3">
        <v>39</v>
      </c>
      <c r="B42" s="3" t="s">
        <v>1227</v>
      </c>
      <c r="C42" s="4">
        <v>46313</v>
      </c>
      <c r="D42" s="3" t="s">
        <v>106</v>
      </c>
      <c r="E42" s="5" t="s">
        <v>1202</v>
      </c>
      <c r="F42" s="5" t="s">
        <v>27</v>
      </c>
      <c r="G42" s="3" t="s">
        <v>40</v>
      </c>
      <c r="H42" s="3" t="s">
        <v>15</v>
      </c>
      <c r="I42" s="3">
        <v>26</v>
      </c>
      <c r="J42" s="3">
        <v>6</v>
      </c>
      <c r="K42" s="3">
        <v>47</v>
      </c>
      <c r="L42" s="6">
        <f>IFERROR((K42-J42)/K42*100,0)</f>
        <v>0</v>
      </c>
      <c r="M42" s="3" t="s">
        <v>145</v>
      </c>
      <c r="N42" s="3" t="s">
        <v>9</v>
      </c>
    </row>
    <row r="43" spans="1:14">
      <c r="A43" s="3">
        <v>40</v>
      </c>
      <c r="B43" s="3" t="s">
        <v>1228</v>
      </c>
      <c r="C43" s="4">
        <v>46302</v>
      </c>
      <c r="D43" s="3" t="s">
        <v>106</v>
      </c>
      <c r="E43" s="5" t="s">
        <v>30</v>
      </c>
      <c r="F43" s="5" t="s">
        <v>58</v>
      </c>
      <c r="G43" s="3" t="s">
        <v>21</v>
      </c>
      <c r="H43" s="3" t="s">
        <v>41</v>
      </c>
      <c r="I43" s="3">
        <v>49</v>
      </c>
      <c r="J43" s="3">
        <v>0</v>
      </c>
      <c r="K43" s="3">
        <v>36</v>
      </c>
      <c r="L43" s="6">
        <f>IFERROR((K43-J43)/K43*100,0)</f>
        <v>0</v>
      </c>
      <c r="M43" s="3" t="s">
        <v>148</v>
      </c>
      <c r="N43" s="3" t="s">
        <v>23</v>
      </c>
    </row>
    <row r="44" spans="1:14">
      <c r="A44" s="3">
        <v>41</v>
      </c>
      <c r="B44" s="3" t="s">
        <v>1229</v>
      </c>
      <c r="C44" s="4">
        <v>46304</v>
      </c>
      <c r="D44" s="3" t="s">
        <v>106</v>
      </c>
      <c r="E44" s="5" t="s">
        <v>1187</v>
      </c>
      <c r="F44" s="5" t="s">
        <v>50</v>
      </c>
      <c r="G44" s="3" t="s">
        <v>51</v>
      </c>
      <c r="H44" s="3" t="s">
        <v>104</v>
      </c>
      <c r="I44" s="3">
        <v>27</v>
      </c>
      <c r="J44" s="3">
        <v>2</v>
      </c>
      <c r="K44" s="3">
        <v>28</v>
      </c>
      <c r="L44" s="6">
        <f>IFERROR((K44-J44)/K44*100,0)</f>
        <v>0</v>
      </c>
      <c r="M44" s="3" t="s">
        <v>148</v>
      </c>
      <c r="N44" s="3" t="s">
        <v>23</v>
      </c>
    </row>
    <row r="45" spans="1:14">
      <c r="A45" s="3">
        <v>42</v>
      </c>
      <c r="B45" s="3" t="s">
        <v>1230</v>
      </c>
      <c r="C45" s="4">
        <v>46328</v>
      </c>
      <c r="D45" s="3" t="s">
        <v>111</v>
      </c>
      <c r="E45" s="5" t="s">
        <v>1202</v>
      </c>
      <c r="F45" s="5" t="s">
        <v>27</v>
      </c>
      <c r="G45" s="3" t="s">
        <v>6</v>
      </c>
      <c r="H45" s="3" t="s">
        <v>78</v>
      </c>
      <c r="I45" s="3">
        <v>23</v>
      </c>
      <c r="J45" s="3">
        <v>0</v>
      </c>
      <c r="K45" s="3">
        <v>22</v>
      </c>
      <c r="L45" s="6">
        <f>IFERROR((K45-J45)/K45*100,0)</f>
        <v>0</v>
      </c>
      <c r="M45" s="3" t="s">
        <v>165</v>
      </c>
      <c r="N45" s="3" t="s">
        <v>23</v>
      </c>
    </row>
    <row r="46" spans="1:14">
      <c r="A46" s="3">
        <v>43</v>
      </c>
      <c r="B46" s="3" t="s">
        <v>1231</v>
      </c>
      <c r="C46" s="4">
        <v>46344</v>
      </c>
      <c r="D46" s="3" t="s">
        <v>111</v>
      </c>
      <c r="E46" s="5" t="s">
        <v>1185</v>
      </c>
      <c r="F46" s="5" t="s">
        <v>89</v>
      </c>
      <c r="G46" s="3" t="s">
        <v>14</v>
      </c>
      <c r="H46" s="3" t="s">
        <v>28</v>
      </c>
      <c r="I46" s="3">
        <v>11</v>
      </c>
      <c r="J46" s="3">
        <v>3</v>
      </c>
      <c r="K46" s="3">
        <v>45</v>
      </c>
      <c r="L46" s="6">
        <f>IFERROR((K46-J46)/K46*100,0)</f>
        <v>0</v>
      </c>
      <c r="M46" s="3" t="s">
        <v>145</v>
      </c>
      <c r="N46" s="3" t="s">
        <v>23</v>
      </c>
    </row>
    <row r="47" spans="1:14">
      <c r="A47" s="3">
        <v>44</v>
      </c>
      <c r="B47" s="3" t="s">
        <v>1232</v>
      </c>
      <c r="C47" s="4">
        <v>46366</v>
      </c>
      <c r="D47" s="3" t="s">
        <v>122</v>
      </c>
      <c r="E47" s="5" t="s">
        <v>30</v>
      </c>
      <c r="F47" s="5" t="s">
        <v>89</v>
      </c>
      <c r="G47" s="3" t="s">
        <v>77</v>
      </c>
      <c r="H47" s="3" t="s">
        <v>104</v>
      </c>
      <c r="I47" s="3">
        <v>26</v>
      </c>
      <c r="J47" s="3">
        <v>7</v>
      </c>
      <c r="K47" s="3">
        <v>46</v>
      </c>
      <c r="L47" s="6">
        <f>IFERROR((K47-J47)/K47*100,0)</f>
        <v>0</v>
      </c>
      <c r="M47" s="3" t="s">
        <v>145</v>
      </c>
      <c r="N47" s="3" t="s">
        <v>9</v>
      </c>
    </row>
    <row r="48" spans="1:14">
      <c r="A48" s="3">
        <v>45</v>
      </c>
      <c r="B48" s="3" t="s">
        <v>1233</v>
      </c>
      <c r="C48" s="4">
        <v>46379</v>
      </c>
      <c r="D48" s="3" t="s">
        <v>122</v>
      </c>
      <c r="E48" s="5" t="s">
        <v>61</v>
      </c>
      <c r="F48" s="5" t="s">
        <v>27</v>
      </c>
      <c r="G48" s="3" t="s">
        <v>51</v>
      </c>
      <c r="H48" s="3" t="s">
        <v>7</v>
      </c>
      <c r="I48" s="3">
        <v>15</v>
      </c>
      <c r="J48" s="3">
        <v>7</v>
      </c>
      <c r="K48" s="3">
        <v>28</v>
      </c>
      <c r="L48" s="6">
        <f>IFERROR((K48-J48)/K48*100,0)</f>
        <v>0</v>
      </c>
      <c r="M48" s="3" t="s">
        <v>165</v>
      </c>
      <c r="N48" s="3" t="s">
        <v>23</v>
      </c>
    </row>
    <row r="49" spans="1:14">
      <c r="A49" s="3">
        <v>46</v>
      </c>
      <c r="B49" s="3" t="s">
        <v>1234</v>
      </c>
      <c r="C49" s="4">
        <v>46367</v>
      </c>
      <c r="D49" s="3" t="s">
        <v>122</v>
      </c>
      <c r="E49" s="5" t="s">
        <v>1187</v>
      </c>
      <c r="F49" s="5" t="s">
        <v>65</v>
      </c>
      <c r="G49" s="3" t="s">
        <v>21</v>
      </c>
      <c r="H49" s="3" t="s">
        <v>22</v>
      </c>
      <c r="I49" s="3">
        <v>38</v>
      </c>
      <c r="J49" s="3">
        <v>2</v>
      </c>
      <c r="K49" s="3">
        <v>15</v>
      </c>
      <c r="L49" s="6">
        <f>IFERROR((K49-J49)/K49*100,0)</f>
        <v>0</v>
      </c>
      <c r="M49" s="3" t="s">
        <v>148</v>
      </c>
      <c r="N49" s="3" t="s">
        <v>23</v>
      </c>
    </row>
    <row r="50" spans="1:14">
      <c r="A50" s="3">
        <v>47</v>
      </c>
      <c r="B50" s="3" t="s">
        <v>1235</v>
      </c>
      <c r="C50" s="4">
        <v>46375</v>
      </c>
      <c r="D50" s="3" t="s">
        <v>122</v>
      </c>
      <c r="E50" s="5" t="s">
        <v>1187</v>
      </c>
      <c r="F50" s="5" t="s">
        <v>58</v>
      </c>
      <c r="G50" s="3" t="s">
        <v>21</v>
      </c>
      <c r="H50" s="3" t="s">
        <v>32</v>
      </c>
      <c r="I50" s="3">
        <v>45</v>
      </c>
      <c r="J50" s="3">
        <v>0</v>
      </c>
      <c r="K50" s="3">
        <v>23</v>
      </c>
      <c r="L50" s="6">
        <f>IFERROR((K50-J50)/K50*100,0)</f>
        <v>0</v>
      </c>
      <c r="M50" s="3" t="s">
        <v>148</v>
      </c>
      <c r="N50" s="3" t="s">
        <v>23</v>
      </c>
    </row>
    <row r="51" spans="1:14">
      <c r="A51" s="3">
        <v>48</v>
      </c>
      <c r="B51" s="3" t="s">
        <v>1236</v>
      </c>
      <c r="C51" s="4">
        <v>46383</v>
      </c>
      <c r="D51" s="3" t="s">
        <v>122</v>
      </c>
      <c r="E51" s="5" t="s">
        <v>30</v>
      </c>
      <c r="F51" s="5" t="s">
        <v>46</v>
      </c>
      <c r="G51" s="3" t="s">
        <v>35</v>
      </c>
      <c r="H51" s="3" t="s">
        <v>36</v>
      </c>
      <c r="I51" s="3">
        <v>35</v>
      </c>
      <c r="J51" s="3">
        <v>3</v>
      </c>
      <c r="K51" s="3">
        <v>26</v>
      </c>
      <c r="L51" s="6">
        <f>IFERROR((K51-J51)/K51*100,0)</f>
        <v>0</v>
      </c>
      <c r="M51" s="3" t="s">
        <v>165</v>
      </c>
      <c r="N51" s="3" t="s">
        <v>9</v>
      </c>
    </row>
  </sheetData>
  <mergeCells count="2">
    <mergeCell ref="A1:N1"/>
    <mergeCell ref="A2:N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customWidth="1"/>
    <col min="3" max="3" width="13.7109375" customWidth="1"/>
    <col min="4" max="5" width="9.7109375" customWidth="1"/>
    <col min="6" max="6" width="12.7109375" customWidth="1"/>
    <col min="7" max="7" width="10.7109375" customWidth="1"/>
    <col min="8" max="8" width="19.7109375" customWidth="1"/>
    <col min="9" max="9" width="10.7109375" customWidth="1"/>
    <col min="10" max="11" width="13.7109375" customWidth="1"/>
    <col min="12" max="12" width="10.7109375" customWidth="1"/>
    <col min="13" max="13" width="17.7109375" customWidth="1"/>
    <col min="14" max="14" width="9.7109375" customWidth="1"/>
    <col min="15" max="15" width="12.7109375" customWidth="1"/>
  </cols>
  <sheetData>
    <row r="1" spans="1:17" ht="22" customHeight="1">
      <c r="A1" s="1" t="s">
        <v>1244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1299</v>
      </c>
      <c r="C3" t="s">
        <v>1300</v>
      </c>
      <c r="D3" t="s">
        <v>127</v>
      </c>
      <c r="E3" t="s">
        <v>1301</v>
      </c>
      <c r="F3" t="s">
        <v>129</v>
      </c>
      <c r="G3" t="s">
        <v>130</v>
      </c>
      <c r="H3" t="s">
        <v>413</v>
      </c>
      <c r="I3" t="s">
        <v>641</v>
      </c>
      <c r="J3" t="s">
        <v>1302</v>
      </c>
      <c r="K3" t="s">
        <v>1303</v>
      </c>
      <c r="L3" t="s">
        <v>357</v>
      </c>
      <c r="M3" t="s">
        <v>1304</v>
      </c>
      <c r="N3" t="s">
        <v>287</v>
      </c>
      <c r="O3" t="s">
        <v>1305</v>
      </c>
    </row>
    <row r="4" spans="1:17">
      <c r="A4" s="3">
        <v>1</v>
      </c>
      <c r="B4" s="3" t="s">
        <v>1245</v>
      </c>
      <c r="C4" s="4">
        <v>46033</v>
      </c>
      <c r="D4" s="3" t="s">
        <v>3</v>
      </c>
      <c r="E4" s="5" t="s">
        <v>1246</v>
      </c>
      <c r="F4" s="5" t="s">
        <v>89</v>
      </c>
      <c r="G4" s="3" t="s">
        <v>95</v>
      </c>
      <c r="H4" s="3" t="s">
        <v>4</v>
      </c>
      <c r="I4" s="3" t="s">
        <v>159</v>
      </c>
      <c r="J4" s="3" t="s">
        <v>15</v>
      </c>
      <c r="K4" s="3" t="s">
        <v>68</v>
      </c>
      <c r="L4" s="4">
        <v>46068</v>
      </c>
      <c r="M4" s="4">
        <v>46055</v>
      </c>
      <c r="N4" s="3" t="s">
        <v>293</v>
      </c>
      <c r="O4" s="5">
        <f>IF(N4="Closed",IF(M4&lt;=L4,"On-Time","Delayed"),"Pending")</f>
        <v>0</v>
      </c>
    </row>
    <row r="5" spans="1:17">
      <c r="A5" s="3">
        <v>2</v>
      </c>
      <c r="B5" s="3" t="s">
        <v>1247</v>
      </c>
      <c r="C5" s="4">
        <v>46028</v>
      </c>
      <c r="D5" s="3" t="s">
        <v>3</v>
      </c>
      <c r="E5" s="5" t="s">
        <v>1248</v>
      </c>
      <c r="F5" s="5" t="s">
        <v>89</v>
      </c>
      <c r="G5" s="3" t="s">
        <v>21</v>
      </c>
      <c r="H5" s="3" t="s">
        <v>57</v>
      </c>
      <c r="I5" s="3" t="s">
        <v>162</v>
      </c>
      <c r="J5" s="3" t="s">
        <v>70</v>
      </c>
      <c r="K5" s="3" t="s">
        <v>28</v>
      </c>
      <c r="L5" s="4">
        <v>46063</v>
      </c>
      <c r="M5" s="4">
        <v>46036</v>
      </c>
      <c r="N5" s="3" t="s">
        <v>293</v>
      </c>
      <c r="O5" s="5">
        <f>IF(N5="Closed",IF(M5&lt;=L5,"On-Time","Delayed"),"Pending")</f>
        <v>0</v>
      </c>
    </row>
    <row r="6" spans="1:17">
      <c r="A6" s="3">
        <v>3</v>
      </c>
      <c r="B6" s="3" t="s">
        <v>1249</v>
      </c>
      <c r="C6" s="4">
        <v>46044</v>
      </c>
      <c r="D6" s="3" t="s">
        <v>3</v>
      </c>
      <c r="E6" s="5" t="s">
        <v>1250</v>
      </c>
      <c r="F6" s="5" t="s">
        <v>89</v>
      </c>
      <c r="G6" s="3" t="s">
        <v>31</v>
      </c>
      <c r="H6" s="3" t="s">
        <v>45</v>
      </c>
      <c r="I6" s="3" t="s">
        <v>142</v>
      </c>
      <c r="J6" s="3" t="s">
        <v>68</v>
      </c>
      <c r="K6" s="3" t="s">
        <v>22</v>
      </c>
      <c r="L6" s="4">
        <v>46059</v>
      </c>
      <c r="M6" s="4">
        <v>46055</v>
      </c>
      <c r="N6" s="3" t="s">
        <v>254</v>
      </c>
      <c r="O6" s="5">
        <f>IF(N6="Closed",IF(M6&lt;=L6,"On-Time","Delayed"),"Pending")</f>
        <v>0</v>
      </c>
    </row>
    <row r="7" spans="1:17">
      <c r="A7" s="3">
        <v>4</v>
      </c>
      <c r="B7" s="3" t="s">
        <v>1251</v>
      </c>
      <c r="C7" s="4">
        <v>46025</v>
      </c>
      <c r="D7" s="3" t="s">
        <v>3</v>
      </c>
      <c r="E7" s="5" t="s">
        <v>1252</v>
      </c>
      <c r="F7" s="5" t="s">
        <v>65</v>
      </c>
      <c r="G7" s="3" t="s">
        <v>77</v>
      </c>
      <c r="H7" s="3" t="s">
        <v>61</v>
      </c>
      <c r="I7" s="3" t="s">
        <v>162</v>
      </c>
      <c r="J7" s="3" t="s">
        <v>104</v>
      </c>
      <c r="K7" s="3" t="s">
        <v>7</v>
      </c>
      <c r="L7" s="4">
        <v>46040</v>
      </c>
      <c r="M7" s="4">
        <v>46031</v>
      </c>
      <c r="N7" s="3" t="s">
        <v>293</v>
      </c>
      <c r="O7" s="5">
        <f>IF(N7="Closed",IF(M7&lt;=L7,"On-Time","Delayed"),"Pending")</f>
        <v>0</v>
      </c>
    </row>
    <row r="8" spans="1:17">
      <c r="A8" s="3">
        <v>5</v>
      </c>
      <c r="B8" s="3" t="s">
        <v>1253</v>
      </c>
      <c r="C8" s="4">
        <v>46030</v>
      </c>
      <c r="D8" s="3" t="s">
        <v>3</v>
      </c>
      <c r="E8" s="5" t="s">
        <v>1254</v>
      </c>
      <c r="F8" s="5" t="s">
        <v>65</v>
      </c>
      <c r="G8" s="3" t="s">
        <v>82</v>
      </c>
      <c r="H8" s="3" t="s">
        <v>26</v>
      </c>
      <c r="I8" s="3" t="s">
        <v>142</v>
      </c>
      <c r="J8" s="3" t="s">
        <v>62</v>
      </c>
      <c r="K8" s="3" t="s">
        <v>32</v>
      </c>
      <c r="L8" s="4">
        <v>46073</v>
      </c>
      <c r="M8" s="4">
        <v>46064</v>
      </c>
      <c r="N8" s="3" t="s">
        <v>238</v>
      </c>
      <c r="O8" s="5">
        <f>IF(N8="Closed",IF(M8&lt;=L8,"On-Time","Delayed"),"Pending")</f>
        <v>0</v>
      </c>
    </row>
    <row r="9" spans="1:17">
      <c r="A9" s="3">
        <v>6</v>
      </c>
      <c r="B9" s="3" t="s">
        <v>1255</v>
      </c>
      <c r="C9" s="4">
        <v>46062</v>
      </c>
      <c r="D9" s="3" t="s">
        <v>19</v>
      </c>
      <c r="E9" s="5" t="s">
        <v>1248</v>
      </c>
      <c r="F9" s="5" t="s">
        <v>89</v>
      </c>
      <c r="G9" s="3" t="s">
        <v>95</v>
      </c>
      <c r="H9" s="3" t="s">
        <v>4</v>
      </c>
      <c r="I9" s="3" t="s">
        <v>162</v>
      </c>
      <c r="J9" s="3" t="s">
        <v>104</v>
      </c>
      <c r="K9" s="3" t="s">
        <v>28</v>
      </c>
      <c r="L9" s="4">
        <v>46093</v>
      </c>
      <c r="M9" s="4">
        <v>46088</v>
      </c>
      <c r="N9" s="3" t="s">
        <v>238</v>
      </c>
      <c r="O9" s="5">
        <f>IF(N9="Closed",IF(M9&lt;=L9,"On-Time","Delayed"),"Pending")</f>
        <v>0</v>
      </c>
    </row>
    <row r="10" spans="1:17">
      <c r="A10" s="3">
        <v>7</v>
      </c>
      <c r="B10" s="3" t="s">
        <v>1256</v>
      </c>
      <c r="C10" s="4">
        <v>46078</v>
      </c>
      <c r="D10" s="3" t="s">
        <v>19</v>
      </c>
      <c r="E10" s="5" t="s">
        <v>1257</v>
      </c>
      <c r="F10" s="5" t="s">
        <v>5</v>
      </c>
      <c r="G10" s="3" t="s">
        <v>95</v>
      </c>
      <c r="H10" s="3" t="s">
        <v>45</v>
      </c>
      <c r="I10" s="3" t="s">
        <v>159</v>
      </c>
      <c r="J10" s="3" t="s">
        <v>66</v>
      </c>
      <c r="K10" s="3" t="s">
        <v>78</v>
      </c>
      <c r="L10" s="4">
        <v>46122</v>
      </c>
      <c r="M10" s="4">
        <v>46090</v>
      </c>
      <c r="N10" s="3" t="s">
        <v>297</v>
      </c>
      <c r="O10" s="5">
        <f>IF(N10="Closed",IF(M10&lt;=L10,"On-Time","Delayed"),"Pending")</f>
        <v>0</v>
      </c>
    </row>
    <row r="11" spans="1:17">
      <c r="A11" s="3">
        <v>8</v>
      </c>
      <c r="B11" s="3" t="s">
        <v>1258</v>
      </c>
      <c r="C11" s="4">
        <v>46095</v>
      </c>
      <c r="D11" s="3" t="s">
        <v>44</v>
      </c>
      <c r="E11" s="5" t="s">
        <v>1252</v>
      </c>
      <c r="F11" s="5" t="s">
        <v>58</v>
      </c>
      <c r="G11" s="3" t="s">
        <v>35</v>
      </c>
      <c r="H11" s="3" t="s">
        <v>38</v>
      </c>
      <c r="I11" s="3" t="s">
        <v>162</v>
      </c>
      <c r="J11" s="3" t="s">
        <v>28</v>
      </c>
      <c r="K11" s="3" t="s">
        <v>66</v>
      </c>
      <c r="L11" s="4">
        <v>46112</v>
      </c>
      <c r="M11" s="4">
        <v>46120</v>
      </c>
      <c r="N11" s="3" t="s">
        <v>293</v>
      </c>
      <c r="O11" s="5">
        <f>IF(N11="Closed",IF(M11&lt;=L11,"On-Time","Delayed"),"Pending")</f>
        <v>0</v>
      </c>
    </row>
    <row r="12" spans="1:17">
      <c r="A12" s="3">
        <v>9</v>
      </c>
      <c r="B12" s="3" t="s">
        <v>1259</v>
      </c>
      <c r="C12" s="4">
        <v>46088</v>
      </c>
      <c r="D12" s="3" t="s">
        <v>44</v>
      </c>
      <c r="E12" s="5" t="s">
        <v>1252</v>
      </c>
      <c r="F12" s="5" t="s">
        <v>50</v>
      </c>
      <c r="G12" s="3" t="s">
        <v>77</v>
      </c>
      <c r="H12" s="3" t="s">
        <v>4</v>
      </c>
      <c r="I12" s="3" t="s">
        <v>142</v>
      </c>
      <c r="J12" s="3" t="s">
        <v>22</v>
      </c>
      <c r="K12" s="3" t="s">
        <v>32</v>
      </c>
      <c r="L12" s="4">
        <v>46102</v>
      </c>
      <c r="M12" s="4">
        <v>46108</v>
      </c>
      <c r="N12" s="3" t="s">
        <v>293</v>
      </c>
      <c r="O12" s="5">
        <f>IF(N12="Closed",IF(M12&lt;=L12,"On-Time","Delayed"),"Pending")</f>
        <v>0</v>
      </c>
    </row>
    <row r="13" spans="1:17">
      <c r="A13" s="3">
        <v>10</v>
      </c>
      <c r="B13" s="3" t="s">
        <v>1260</v>
      </c>
      <c r="C13" s="4">
        <v>46107</v>
      </c>
      <c r="D13" s="3" t="s">
        <v>44</v>
      </c>
      <c r="E13" s="5" t="s">
        <v>1252</v>
      </c>
      <c r="F13" s="5" t="s">
        <v>92</v>
      </c>
      <c r="G13" s="3" t="s">
        <v>14</v>
      </c>
      <c r="H13" s="3" t="s">
        <v>12</v>
      </c>
      <c r="I13" s="3" t="s">
        <v>154</v>
      </c>
      <c r="J13" s="3" t="s">
        <v>32</v>
      </c>
      <c r="K13" s="3" t="s">
        <v>36</v>
      </c>
      <c r="L13" s="4">
        <v>46124</v>
      </c>
      <c r="M13" s="4">
        <v>46121</v>
      </c>
      <c r="N13" s="3" t="s">
        <v>293</v>
      </c>
      <c r="O13" s="5">
        <f>IF(N13="Closed",IF(M13&lt;=L13,"On-Time","Delayed"),"Pending")</f>
        <v>0</v>
      </c>
    </row>
    <row r="14" spans="1:17">
      <c r="A14" s="3">
        <v>11</v>
      </c>
      <c r="B14" s="3" t="s">
        <v>1261</v>
      </c>
      <c r="C14" s="4">
        <v>46083</v>
      </c>
      <c r="D14" s="3" t="s">
        <v>44</v>
      </c>
      <c r="E14" s="5" t="s">
        <v>1248</v>
      </c>
      <c r="F14" s="5" t="s">
        <v>89</v>
      </c>
      <c r="G14" s="3" t="s">
        <v>51</v>
      </c>
      <c r="H14" s="3" t="s">
        <v>91</v>
      </c>
      <c r="I14" s="3" t="s">
        <v>154</v>
      </c>
      <c r="J14" s="3" t="s">
        <v>78</v>
      </c>
      <c r="K14" s="3" t="s">
        <v>93</v>
      </c>
      <c r="L14" s="4">
        <v>46105</v>
      </c>
      <c r="M14" s="4">
        <v>46100</v>
      </c>
      <c r="N14" s="3" t="s">
        <v>293</v>
      </c>
      <c r="O14" s="5">
        <f>IF(N14="Closed",IF(M14&lt;=L14,"On-Time","Delayed"),"Pending")</f>
        <v>0</v>
      </c>
    </row>
    <row r="15" spans="1:17">
      <c r="A15" s="3">
        <v>12</v>
      </c>
      <c r="B15" s="3" t="s">
        <v>1262</v>
      </c>
      <c r="C15" s="4">
        <v>46107</v>
      </c>
      <c r="D15" s="3" t="s">
        <v>44</v>
      </c>
      <c r="E15" s="5" t="s">
        <v>1257</v>
      </c>
      <c r="F15" s="5" t="s">
        <v>65</v>
      </c>
      <c r="G15" s="3" t="s">
        <v>35</v>
      </c>
      <c r="H15" s="3" t="s">
        <v>64</v>
      </c>
      <c r="I15" s="3" t="s">
        <v>154</v>
      </c>
      <c r="J15" s="3" t="s">
        <v>15</v>
      </c>
      <c r="K15" s="3" t="s">
        <v>22</v>
      </c>
      <c r="L15" s="4">
        <v>46130</v>
      </c>
      <c r="M15" s="4">
        <v>46144</v>
      </c>
      <c r="N15" s="3" t="s">
        <v>293</v>
      </c>
      <c r="O15" s="5">
        <f>IF(N15="Closed",IF(M15&lt;=L15,"On-Time","Delayed"),"Pending")</f>
        <v>0</v>
      </c>
    </row>
    <row r="16" spans="1:17">
      <c r="A16" s="3">
        <v>13</v>
      </c>
      <c r="B16" s="3" t="s">
        <v>1263</v>
      </c>
      <c r="C16" s="4">
        <v>46094</v>
      </c>
      <c r="D16" s="3" t="s">
        <v>44</v>
      </c>
      <c r="E16" s="5" t="s">
        <v>1248</v>
      </c>
      <c r="F16" s="5" t="s">
        <v>27</v>
      </c>
      <c r="G16" s="3" t="s">
        <v>21</v>
      </c>
      <c r="H16" s="3" t="s">
        <v>54</v>
      </c>
      <c r="I16" s="3" t="s">
        <v>162</v>
      </c>
      <c r="J16" s="3" t="s">
        <v>93</v>
      </c>
      <c r="K16" s="3" t="s">
        <v>41</v>
      </c>
      <c r="L16" s="4">
        <v>46104</v>
      </c>
      <c r="M16" s="4">
        <v>46119</v>
      </c>
      <c r="N16" s="3" t="s">
        <v>254</v>
      </c>
      <c r="O16" s="5">
        <f>IF(N16="Closed",IF(M16&lt;=L16,"On-Time","Delayed"),"Pending")</f>
        <v>0</v>
      </c>
    </row>
    <row r="17" spans="1:15">
      <c r="A17" s="3">
        <v>14</v>
      </c>
      <c r="B17" s="3" t="s">
        <v>1264</v>
      </c>
      <c r="C17" s="4">
        <v>46130</v>
      </c>
      <c r="D17" s="3" t="s">
        <v>53</v>
      </c>
      <c r="E17" s="5" t="s">
        <v>1252</v>
      </c>
      <c r="F17" s="5" t="s">
        <v>65</v>
      </c>
      <c r="G17" s="3" t="s">
        <v>21</v>
      </c>
      <c r="H17" s="3" t="s">
        <v>4</v>
      </c>
      <c r="I17" s="3" t="s">
        <v>159</v>
      </c>
      <c r="J17" s="3" t="s">
        <v>62</v>
      </c>
      <c r="K17" s="3" t="s">
        <v>41</v>
      </c>
      <c r="L17" s="4">
        <v>46153</v>
      </c>
      <c r="M17" s="4">
        <v>46137</v>
      </c>
      <c r="N17" s="3" t="s">
        <v>293</v>
      </c>
      <c r="O17" s="5">
        <f>IF(N17="Closed",IF(M17&lt;=L17,"On-Time","Delayed"),"Pending")</f>
        <v>0</v>
      </c>
    </row>
    <row r="18" spans="1:15">
      <c r="A18" s="3">
        <v>15</v>
      </c>
      <c r="B18" s="3" t="s">
        <v>1265</v>
      </c>
      <c r="C18" s="4">
        <v>46123</v>
      </c>
      <c r="D18" s="3" t="s">
        <v>53</v>
      </c>
      <c r="E18" s="5" t="s">
        <v>1254</v>
      </c>
      <c r="F18" s="5" t="s">
        <v>13</v>
      </c>
      <c r="G18" s="3" t="s">
        <v>31</v>
      </c>
      <c r="H18" s="3" t="s">
        <v>61</v>
      </c>
      <c r="I18" s="3" t="s">
        <v>159</v>
      </c>
      <c r="J18" s="3" t="s">
        <v>66</v>
      </c>
      <c r="K18" s="3" t="s">
        <v>93</v>
      </c>
      <c r="L18" s="4">
        <v>46158</v>
      </c>
      <c r="M18" s="4">
        <v>46149</v>
      </c>
      <c r="N18" s="3" t="s">
        <v>238</v>
      </c>
      <c r="O18" s="5">
        <f>IF(N18="Closed",IF(M18&lt;=L18,"On-Time","Delayed"),"Pending")</f>
        <v>0</v>
      </c>
    </row>
    <row r="19" spans="1:15">
      <c r="A19" s="3">
        <v>16</v>
      </c>
      <c r="B19" s="3" t="s">
        <v>1266</v>
      </c>
      <c r="C19" s="4">
        <v>46138</v>
      </c>
      <c r="D19" s="3" t="s">
        <v>53</v>
      </c>
      <c r="E19" s="5" t="s">
        <v>1250</v>
      </c>
      <c r="F19" s="5" t="s">
        <v>50</v>
      </c>
      <c r="G19" s="3" t="s">
        <v>95</v>
      </c>
      <c r="H19" s="3" t="s">
        <v>12</v>
      </c>
      <c r="I19" s="3" t="s">
        <v>162</v>
      </c>
      <c r="J19" s="3" t="s">
        <v>93</v>
      </c>
      <c r="K19" s="3" t="s">
        <v>22</v>
      </c>
      <c r="L19" s="4">
        <v>46149</v>
      </c>
      <c r="M19" s="4">
        <v>46159</v>
      </c>
      <c r="N19" s="3" t="s">
        <v>238</v>
      </c>
      <c r="O19" s="5">
        <f>IF(N19="Closed",IF(M19&lt;=L19,"On-Time","Delayed"),"Pending")</f>
        <v>0</v>
      </c>
    </row>
    <row r="20" spans="1:15">
      <c r="A20" s="3">
        <v>17</v>
      </c>
      <c r="B20" s="3" t="s">
        <v>1267</v>
      </c>
      <c r="C20" s="4">
        <v>46130</v>
      </c>
      <c r="D20" s="3" t="s">
        <v>53</v>
      </c>
      <c r="E20" s="5" t="s">
        <v>1252</v>
      </c>
      <c r="F20" s="5" t="s">
        <v>46</v>
      </c>
      <c r="G20" s="3" t="s">
        <v>40</v>
      </c>
      <c r="H20" s="3" t="s">
        <v>91</v>
      </c>
      <c r="I20" s="3" t="s">
        <v>162</v>
      </c>
      <c r="J20" s="3" t="s">
        <v>36</v>
      </c>
      <c r="K20" s="3" t="s">
        <v>15</v>
      </c>
      <c r="L20" s="4">
        <v>46162</v>
      </c>
      <c r="M20" s="4">
        <v>46145</v>
      </c>
      <c r="N20" s="3" t="s">
        <v>293</v>
      </c>
      <c r="O20" s="5">
        <f>IF(N20="Closed",IF(M20&lt;=L20,"On-Time","Delayed"),"Pending")</f>
        <v>0</v>
      </c>
    </row>
    <row r="21" spans="1:15">
      <c r="A21" s="3">
        <v>18</v>
      </c>
      <c r="B21" s="3" t="s">
        <v>1268</v>
      </c>
      <c r="C21" s="4">
        <v>46150</v>
      </c>
      <c r="D21" s="3" t="s">
        <v>60</v>
      </c>
      <c r="E21" s="5" t="s">
        <v>1246</v>
      </c>
      <c r="F21" s="5" t="s">
        <v>13</v>
      </c>
      <c r="G21" s="3" t="s">
        <v>40</v>
      </c>
      <c r="H21" s="3" t="s">
        <v>20</v>
      </c>
      <c r="I21" s="3" t="s">
        <v>159</v>
      </c>
      <c r="J21" s="3" t="s">
        <v>32</v>
      </c>
      <c r="K21" s="3" t="s">
        <v>66</v>
      </c>
      <c r="L21" s="4">
        <v>46179</v>
      </c>
      <c r="M21" s="4">
        <v>46170</v>
      </c>
      <c r="N21" s="3" t="s">
        <v>293</v>
      </c>
      <c r="O21" s="5">
        <f>IF(N21="Closed",IF(M21&lt;=L21,"On-Time","Delayed"),"Pending")</f>
        <v>0</v>
      </c>
    </row>
    <row r="22" spans="1:15">
      <c r="A22" s="3">
        <v>19</v>
      </c>
      <c r="B22" s="3" t="s">
        <v>1269</v>
      </c>
      <c r="C22" s="4">
        <v>46157</v>
      </c>
      <c r="D22" s="3" t="s">
        <v>60</v>
      </c>
      <c r="E22" s="5" t="s">
        <v>1248</v>
      </c>
      <c r="F22" s="5" t="s">
        <v>92</v>
      </c>
      <c r="G22" s="3" t="s">
        <v>35</v>
      </c>
      <c r="H22" s="3" t="s">
        <v>49</v>
      </c>
      <c r="I22" s="3" t="s">
        <v>142</v>
      </c>
      <c r="J22" s="3" t="s">
        <v>41</v>
      </c>
      <c r="K22" s="3" t="s">
        <v>66</v>
      </c>
      <c r="L22" s="4">
        <v>46164</v>
      </c>
      <c r="M22" s="4">
        <v>46193</v>
      </c>
      <c r="N22" s="3" t="s">
        <v>254</v>
      </c>
      <c r="O22" s="5">
        <f>IF(N22="Closed",IF(M22&lt;=L22,"On-Time","Delayed"),"Pending")</f>
        <v>0</v>
      </c>
    </row>
    <row r="23" spans="1:15">
      <c r="A23" s="3">
        <v>20</v>
      </c>
      <c r="B23" s="3" t="s">
        <v>1270</v>
      </c>
      <c r="C23" s="4">
        <v>46152</v>
      </c>
      <c r="D23" s="3" t="s">
        <v>60</v>
      </c>
      <c r="E23" s="5" t="s">
        <v>1257</v>
      </c>
      <c r="F23" s="5" t="s">
        <v>58</v>
      </c>
      <c r="G23" s="3" t="s">
        <v>87</v>
      </c>
      <c r="H23" s="3" t="s">
        <v>49</v>
      </c>
      <c r="I23" s="3" t="s">
        <v>162</v>
      </c>
      <c r="J23" s="3" t="s">
        <v>70</v>
      </c>
      <c r="K23" s="3" t="s">
        <v>66</v>
      </c>
      <c r="L23" s="4">
        <v>46182</v>
      </c>
      <c r="M23" s="4">
        <v>46190</v>
      </c>
      <c r="N23" s="3" t="s">
        <v>293</v>
      </c>
      <c r="O23" s="5">
        <f>IF(N23="Closed",IF(M23&lt;=L23,"On-Time","Delayed"),"Pending")</f>
        <v>0</v>
      </c>
    </row>
    <row r="24" spans="1:15">
      <c r="A24" s="3">
        <v>21</v>
      </c>
      <c r="B24" s="3" t="s">
        <v>1271</v>
      </c>
      <c r="C24" s="4">
        <v>46156</v>
      </c>
      <c r="D24" s="3" t="s">
        <v>60</v>
      </c>
      <c r="E24" s="5" t="s">
        <v>1254</v>
      </c>
      <c r="F24" s="5" t="s">
        <v>39</v>
      </c>
      <c r="G24" s="3" t="s">
        <v>77</v>
      </c>
      <c r="H24" s="3" t="s">
        <v>57</v>
      </c>
      <c r="I24" s="3" t="s">
        <v>142</v>
      </c>
      <c r="J24" s="3" t="s">
        <v>7</v>
      </c>
      <c r="K24" s="3" t="s">
        <v>70</v>
      </c>
      <c r="L24" s="4">
        <v>46184</v>
      </c>
      <c r="M24" s="4">
        <v>46173</v>
      </c>
      <c r="N24" s="3" t="s">
        <v>297</v>
      </c>
      <c r="O24" s="5">
        <f>IF(N24="Closed",IF(M24&lt;=L24,"On-Time","Delayed"),"Pending")</f>
        <v>0</v>
      </c>
    </row>
    <row r="25" spans="1:15">
      <c r="A25" s="3">
        <v>22</v>
      </c>
      <c r="B25" s="3" t="s">
        <v>1272</v>
      </c>
      <c r="C25" s="4">
        <v>46167</v>
      </c>
      <c r="D25" s="3" t="s">
        <v>60</v>
      </c>
      <c r="E25" s="5" t="s">
        <v>1254</v>
      </c>
      <c r="F25" s="5" t="s">
        <v>27</v>
      </c>
      <c r="G25" s="3" t="s">
        <v>87</v>
      </c>
      <c r="H25" s="3" t="s">
        <v>30</v>
      </c>
      <c r="I25" s="3" t="s">
        <v>154</v>
      </c>
      <c r="J25" s="3" t="s">
        <v>68</v>
      </c>
      <c r="K25" s="3" t="s">
        <v>68</v>
      </c>
      <c r="L25" s="4">
        <v>46193</v>
      </c>
      <c r="M25" s="4">
        <v>46179</v>
      </c>
      <c r="N25" s="3" t="s">
        <v>293</v>
      </c>
      <c r="O25" s="5">
        <f>IF(N25="Closed",IF(M25&lt;=L25,"On-Time","Delayed"),"Pending")</f>
        <v>0</v>
      </c>
    </row>
    <row r="26" spans="1:15">
      <c r="A26" s="3">
        <v>23</v>
      </c>
      <c r="B26" s="3" t="s">
        <v>1273</v>
      </c>
      <c r="C26" s="4">
        <v>46176</v>
      </c>
      <c r="D26" s="3" t="s">
        <v>73</v>
      </c>
      <c r="E26" s="5" t="s">
        <v>1246</v>
      </c>
      <c r="F26" s="5" t="s">
        <v>92</v>
      </c>
      <c r="G26" s="3" t="s">
        <v>82</v>
      </c>
      <c r="H26" s="3" t="s">
        <v>20</v>
      </c>
      <c r="I26" s="3" t="s">
        <v>159</v>
      </c>
      <c r="J26" s="3" t="s">
        <v>28</v>
      </c>
      <c r="K26" s="3" t="s">
        <v>104</v>
      </c>
      <c r="L26" s="4">
        <v>46221</v>
      </c>
      <c r="M26" s="4">
        <v>46186</v>
      </c>
      <c r="N26" s="3" t="s">
        <v>293</v>
      </c>
      <c r="O26" s="5">
        <f>IF(N26="Closed",IF(M26&lt;=L26,"On-Time","Delayed"),"Pending")</f>
        <v>0</v>
      </c>
    </row>
    <row r="27" spans="1:15">
      <c r="A27" s="3">
        <v>24</v>
      </c>
      <c r="B27" s="3" t="s">
        <v>1274</v>
      </c>
      <c r="C27" s="4">
        <v>46189</v>
      </c>
      <c r="D27" s="3" t="s">
        <v>73</v>
      </c>
      <c r="E27" s="5" t="s">
        <v>1257</v>
      </c>
      <c r="F27" s="5" t="s">
        <v>27</v>
      </c>
      <c r="G27" s="3" t="s">
        <v>31</v>
      </c>
      <c r="H27" s="3" t="s">
        <v>54</v>
      </c>
      <c r="I27" s="3" t="s">
        <v>159</v>
      </c>
      <c r="J27" s="3" t="s">
        <v>32</v>
      </c>
      <c r="K27" s="3" t="s">
        <v>68</v>
      </c>
      <c r="L27" s="4">
        <v>46232</v>
      </c>
      <c r="M27" s="4">
        <v>46218</v>
      </c>
      <c r="N27" s="3" t="s">
        <v>293</v>
      </c>
      <c r="O27" s="5">
        <f>IF(N27="Closed",IF(M27&lt;=L27,"On-Time","Delayed"),"Pending")</f>
        <v>0</v>
      </c>
    </row>
    <row r="28" spans="1:15">
      <c r="A28" s="3">
        <v>25</v>
      </c>
      <c r="B28" s="3" t="s">
        <v>1275</v>
      </c>
      <c r="C28" s="4">
        <v>46183</v>
      </c>
      <c r="D28" s="3" t="s">
        <v>73</v>
      </c>
      <c r="E28" s="5" t="s">
        <v>1248</v>
      </c>
      <c r="F28" s="5" t="s">
        <v>39</v>
      </c>
      <c r="G28" s="3" t="s">
        <v>77</v>
      </c>
      <c r="H28" s="3" t="s">
        <v>54</v>
      </c>
      <c r="I28" s="3" t="s">
        <v>142</v>
      </c>
      <c r="J28" s="3" t="s">
        <v>15</v>
      </c>
      <c r="K28" s="3" t="s">
        <v>68</v>
      </c>
      <c r="L28" s="4">
        <v>46202</v>
      </c>
      <c r="M28" s="4">
        <v>46209</v>
      </c>
      <c r="N28" s="3" t="s">
        <v>293</v>
      </c>
      <c r="O28" s="5">
        <f>IF(N28="Closed",IF(M28&lt;=L28,"On-Time","Delayed"),"Pending")</f>
        <v>0</v>
      </c>
    </row>
    <row r="29" spans="1:15">
      <c r="A29" s="3">
        <v>26</v>
      </c>
      <c r="B29" s="3" t="s">
        <v>1276</v>
      </c>
      <c r="C29" s="4">
        <v>46182</v>
      </c>
      <c r="D29" s="3" t="s">
        <v>73</v>
      </c>
      <c r="E29" s="5" t="s">
        <v>1252</v>
      </c>
      <c r="F29" s="5" t="s">
        <v>13</v>
      </c>
      <c r="G29" s="3" t="s">
        <v>95</v>
      </c>
      <c r="H29" s="3" t="s">
        <v>45</v>
      </c>
      <c r="I29" s="3" t="s">
        <v>159</v>
      </c>
      <c r="J29" s="3" t="s">
        <v>15</v>
      </c>
      <c r="K29" s="3" t="s">
        <v>28</v>
      </c>
      <c r="L29" s="4">
        <v>46210</v>
      </c>
      <c r="M29" s="4">
        <v>46221</v>
      </c>
      <c r="N29" s="3" t="s">
        <v>238</v>
      </c>
      <c r="O29" s="5">
        <f>IF(N29="Closed",IF(M29&lt;=L29,"On-Time","Delayed"),"Pending")</f>
        <v>0</v>
      </c>
    </row>
    <row r="30" spans="1:15">
      <c r="A30" s="3">
        <v>27</v>
      </c>
      <c r="B30" s="3" t="s">
        <v>1277</v>
      </c>
      <c r="C30" s="4">
        <v>46210</v>
      </c>
      <c r="D30" s="3" t="s">
        <v>76</v>
      </c>
      <c r="E30" s="5" t="s">
        <v>1248</v>
      </c>
      <c r="F30" s="5" t="s">
        <v>13</v>
      </c>
      <c r="G30" s="3" t="s">
        <v>82</v>
      </c>
      <c r="H30" s="3" t="s">
        <v>16</v>
      </c>
      <c r="I30" s="3" t="s">
        <v>159</v>
      </c>
      <c r="J30" s="3" t="s">
        <v>41</v>
      </c>
      <c r="K30" s="3" t="s">
        <v>28</v>
      </c>
      <c r="L30" s="4">
        <v>46216</v>
      </c>
      <c r="M30" s="4">
        <v>46235</v>
      </c>
      <c r="N30" s="3" t="s">
        <v>293</v>
      </c>
      <c r="O30" s="5">
        <f>IF(N30="Closed",IF(M30&lt;=L30,"On-Time","Delayed"),"Pending")</f>
        <v>0</v>
      </c>
    </row>
    <row r="31" spans="1:15">
      <c r="A31" s="3">
        <v>28</v>
      </c>
      <c r="B31" s="3" t="s">
        <v>1278</v>
      </c>
      <c r="C31" s="4">
        <v>46231</v>
      </c>
      <c r="D31" s="3" t="s">
        <v>76</v>
      </c>
      <c r="E31" s="5" t="s">
        <v>1246</v>
      </c>
      <c r="F31" s="5" t="s">
        <v>92</v>
      </c>
      <c r="G31" s="3" t="s">
        <v>82</v>
      </c>
      <c r="H31" s="3" t="s">
        <v>57</v>
      </c>
      <c r="I31" s="3" t="s">
        <v>142</v>
      </c>
      <c r="J31" s="3" t="s">
        <v>62</v>
      </c>
      <c r="K31" s="3" t="s">
        <v>62</v>
      </c>
      <c r="L31" s="4">
        <v>46238</v>
      </c>
      <c r="M31" s="4">
        <v>46257</v>
      </c>
      <c r="N31" s="3" t="s">
        <v>254</v>
      </c>
      <c r="O31" s="5">
        <f>IF(N31="Closed",IF(M31&lt;=L31,"On-Time","Delayed"),"Pending")</f>
        <v>0</v>
      </c>
    </row>
    <row r="32" spans="1:15">
      <c r="A32" s="3">
        <v>29</v>
      </c>
      <c r="B32" s="3" t="s">
        <v>1279</v>
      </c>
      <c r="C32" s="4">
        <v>46204</v>
      </c>
      <c r="D32" s="3" t="s">
        <v>76</v>
      </c>
      <c r="E32" s="5" t="s">
        <v>1246</v>
      </c>
      <c r="F32" s="5" t="s">
        <v>50</v>
      </c>
      <c r="G32" s="3" t="s">
        <v>77</v>
      </c>
      <c r="H32" s="3" t="s">
        <v>49</v>
      </c>
      <c r="I32" s="3" t="s">
        <v>162</v>
      </c>
      <c r="J32" s="3" t="s">
        <v>32</v>
      </c>
      <c r="K32" s="3" t="s">
        <v>78</v>
      </c>
      <c r="L32" s="4">
        <v>46244</v>
      </c>
      <c r="M32" s="4">
        <v>46222</v>
      </c>
      <c r="N32" s="3" t="s">
        <v>238</v>
      </c>
      <c r="O32" s="5">
        <f>IF(N32="Closed",IF(M32&lt;=L32,"On-Time","Delayed"),"Pending")</f>
        <v>0</v>
      </c>
    </row>
    <row r="33" spans="1:15">
      <c r="A33" s="3">
        <v>30</v>
      </c>
      <c r="B33" s="3" t="s">
        <v>1280</v>
      </c>
      <c r="C33" s="4">
        <v>46222</v>
      </c>
      <c r="D33" s="3" t="s">
        <v>76</v>
      </c>
      <c r="E33" s="5" t="s">
        <v>1252</v>
      </c>
      <c r="F33" s="5" t="s">
        <v>46</v>
      </c>
      <c r="G33" s="3" t="s">
        <v>80</v>
      </c>
      <c r="H33" s="3" t="s">
        <v>54</v>
      </c>
      <c r="I33" s="3" t="s">
        <v>162</v>
      </c>
      <c r="J33" s="3" t="s">
        <v>70</v>
      </c>
      <c r="K33" s="3" t="s">
        <v>78</v>
      </c>
      <c r="L33" s="4">
        <v>46251</v>
      </c>
      <c r="M33" s="4">
        <v>46246</v>
      </c>
      <c r="N33" s="3" t="s">
        <v>238</v>
      </c>
      <c r="O33" s="5">
        <f>IF(N33="Closed",IF(M33&lt;=L33,"On-Time","Delayed"),"Pending")</f>
        <v>0</v>
      </c>
    </row>
    <row r="34" spans="1:15">
      <c r="A34" s="3">
        <v>31</v>
      </c>
      <c r="B34" s="3" t="s">
        <v>1281</v>
      </c>
      <c r="C34" s="4">
        <v>46220</v>
      </c>
      <c r="D34" s="3" t="s">
        <v>76</v>
      </c>
      <c r="E34" s="5" t="s">
        <v>1257</v>
      </c>
      <c r="F34" s="5" t="s">
        <v>50</v>
      </c>
      <c r="G34" s="3" t="s">
        <v>6</v>
      </c>
      <c r="H34" s="3" t="s">
        <v>54</v>
      </c>
      <c r="I34" s="3" t="s">
        <v>162</v>
      </c>
      <c r="J34" s="3" t="s">
        <v>7</v>
      </c>
      <c r="K34" s="3" t="s">
        <v>68</v>
      </c>
      <c r="L34" s="4">
        <v>46244</v>
      </c>
      <c r="M34" s="4">
        <v>46257</v>
      </c>
      <c r="N34" s="3" t="s">
        <v>238</v>
      </c>
      <c r="O34" s="5">
        <f>IF(N34="Closed",IF(M34&lt;=L34,"On-Time","Delayed"),"Pending")</f>
        <v>0</v>
      </c>
    </row>
    <row r="35" spans="1:15">
      <c r="A35" s="3">
        <v>32</v>
      </c>
      <c r="B35" s="3" t="s">
        <v>1282</v>
      </c>
      <c r="C35" s="4">
        <v>46255</v>
      </c>
      <c r="D35" s="3" t="s">
        <v>86</v>
      </c>
      <c r="E35" s="5" t="s">
        <v>1254</v>
      </c>
      <c r="F35" s="5" t="s">
        <v>92</v>
      </c>
      <c r="G35" s="3" t="s">
        <v>40</v>
      </c>
      <c r="H35" s="3" t="s">
        <v>45</v>
      </c>
      <c r="I35" s="3" t="s">
        <v>142</v>
      </c>
      <c r="J35" s="3" t="s">
        <v>66</v>
      </c>
      <c r="K35" s="3" t="s">
        <v>66</v>
      </c>
      <c r="L35" s="4">
        <v>46275</v>
      </c>
      <c r="M35" s="4">
        <v>46269</v>
      </c>
      <c r="N35" s="3" t="s">
        <v>293</v>
      </c>
      <c r="O35" s="5">
        <f>IF(N35="Closed",IF(M35&lt;=L35,"On-Time","Delayed"),"Pending")</f>
        <v>0</v>
      </c>
    </row>
    <row r="36" spans="1:15">
      <c r="A36" s="3">
        <v>33</v>
      </c>
      <c r="B36" s="3" t="s">
        <v>1283</v>
      </c>
      <c r="C36" s="4">
        <v>46248</v>
      </c>
      <c r="D36" s="3" t="s">
        <v>86</v>
      </c>
      <c r="E36" s="5" t="s">
        <v>1252</v>
      </c>
      <c r="F36" s="5" t="s">
        <v>39</v>
      </c>
      <c r="G36" s="3" t="s">
        <v>80</v>
      </c>
      <c r="H36" s="3" t="s">
        <v>54</v>
      </c>
      <c r="I36" s="3" t="s">
        <v>142</v>
      </c>
      <c r="J36" s="3" t="s">
        <v>22</v>
      </c>
      <c r="K36" s="3" t="s">
        <v>104</v>
      </c>
      <c r="L36" s="4">
        <v>46293</v>
      </c>
      <c r="M36" s="4">
        <v>46264</v>
      </c>
      <c r="N36" s="3" t="s">
        <v>293</v>
      </c>
      <c r="O36" s="5">
        <f>IF(N36="Closed",IF(M36&lt;=L36,"On-Time","Delayed"),"Pending")</f>
        <v>0</v>
      </c>
    </row>
    <row r="37" spans="1:15">
      <c r="A37" s="3">
        <v>34</v>
      </c>
      <c r="B37" s="3" t="s">
        <v>1284</v>
      </c>
      <c r="C37" s="4">
        <v>46276</v>
      </c>
      <c r="D37" s="3" t="s">
        <v>102</v>
      </c>
      <c r="E37" s="5" t="s">
        <v>1252</v>
      </c>
      <c r="F37" s="5" t="s">
        <v>58</v>
      </c>
      <c r="G37" s="3" t="s">
        <v>35</v>
      </c>
      <c r="H37" s="3" t="s">
        <v>12</v>
      </c>
      <c r="I37" s="3" t="s">
        <v>159</v>
      </c>
      <c r="J37" s="3" t="s">
        <v>32</v>
      </c>
      <c r="K37" s="3" t="s">
        <v>68</v>
      </c>
      <c r="L37" s="4">
        <v>46311</v>
      </c>
      <c r="M37" s="4">
        <v>46305</v>
      </c>
      <c r="N37" s="3" t="s">
        <v>293</v>
      </c>
      <c r="O37" s="5">
        <f>IF(N37="Closed",IF(M37&lt;=L37,"On-Time","Delayed"),"Pending")</f>
        <v>0</v>
      </c>
    </row>
    <row r="38" spans="1:15">
      <c r="A38" s="3">
        <v>35</v>
      </c>
      <c r="B38" s="3" t="s">
        <v>1285</v>
      </c>
      <c r="C38" s="4">
        <v>46290</v>
      </c>
      <c r="D38" s="3" t="s">
        <v>102</v>
      </c>
      <c r="E38" s="5" t="s">
        <v>1254</v>
      </c>
      <c r="F38" s="5" t="s">
        <v>27</v>
      </c>
      <c r="G38" s="3" t="s">
        <v>14</v>
      </c>
      <c r="H38" s="3" t="s">
        <v>45</v>
      </c>
      <c r="I38" s="3" t="s">
        <v>159</v>
      </c>
      <c r="J38" s="3" t="s">
        <v>78</v>
      </c>
      <c r="K38" s="3" t="s">
        <v>62</v>
      </c>
      <c r="L38" s="4">
        <v>46298</v>
      </c>
      <c r="M38" s="4">
        <v>46324</v>
      </c>
      <c r="N38" s="3" t="s">
        <v>238</v>
      </c>
      <c r="O38" s="5">
        <f>IF(N38="Closed",IF(M38&lt;=L38,"On-Time","Delayed"),"Pending")</f>
        <v>0</v>
      </c>
    </row>
    <row r="39" spans="1:15">
      <c r="A39" s="3">
        <v>36</v>
      </c>
      <c r="B39" s="3" t="s">
        <v>1286</v>
      </c>
      <c r="C39" s="4">
        <v>46286</v>
      </c>
      <c r="D39" s="3" t="s">
        <v>102</v>
      </c>
      <c r="E39" s="5" t="s">
        <v>1250</v>
      </c>
      <c r="F39" s="5" t="s">
        <v>27</v>
      </c>
      <c r="G39" s="3" t="s">
        <v>35</v>
      </c>
      <c r="H39" s="3" t="s">
        <v>38</v>
      </c>
      <c r="I39" s="3" t="s">
        <v>162</v>
      </c>
      <c r="J39" s="3" t="s">
        <v>41</v>
      </c>
      <c r="K39" s="3" t="s">
        <v>41</v>
      </c>
      <c r="L39" s="4">
        <v>46312</v>
      </c>
      <c r="M39" s="4">
        <v>46294</v>
      </c>
      <c r="N39" s="3" t="s">
        <v>293</v>
      </c>
      <c r="O39" s="5">
        <f>IF(N39="Closed",IF(M39&lt;=L39,"On-Time","Delayed"),"Pending")</f>
        <v>0</v>
      </c>
    </row>
    <row r="40" spans="1:15">
      <c r="A40" s="3">
        <v>37</v>
      </c>
      <c r="B40" s="3" t="s">
        <v>1287</v>
      </c>
      <c r="C40" s="4">
        <v>46281</v>
      </c>
      <c r="D40" s="3" t="s">
        <v>102</v>
      </c>
      <c r="E40" s="5" t="s">
        <v>1248</v>
      </c>
      <c r="F40" s="5" t="s">
        <v>58</v>
      </c>
      <c r="G40" s="3" t="s">
        <v>40</v>
      </c>
      <c r="H40" s="3" t="s">
        <v>12</v>
      </c>
      <c r="I40" s="3" t="s">
        <v>162</v>
      </c>
      <c r="J40" s="3" t="s">
        <v>41</v>
      </c>
      <c r="K40" s="3" t="s">
        <v>41</v>
      </c>
      <c r="L40" s="4">
        <v>46292</v>
      </c>
      <c r="M40" s="4">
        <v>46293</v>
      </c>
      <c r="N40" s="3" t="s">
        <v>293</v>
      </c>
      <c r="O40" s="5">
        <f>IF(N40="Closed",IF(M40&lt;=L40,"On-Time","Delayed"),"Pending")</f>
        <v>0</v>
      </c>
    </row>
    <row r="41" spans="1:15">
      <c r="A41" s="3">
        <v>38</v>
      </c>
      <c r="B41" s="3" t="s">
        <v>1288</v>
      </c>
      <c r="C41" s="4">
        <v>46286</v>
      </c>
      <c r="D41" s="3" t="s">
        <v>102</v>
      </c>
      <c r="E41" s="5" t="s">
        <v>1248</v>
      </c>
      <c r="F41" s="5" t="s">
        <v>39</v>
      </c>
      <c r="G41" s="3" t="s">
        <v>77</v>
      </c>
      <c r="H41" s="3" t="s">
        <v>57</v>
      </c>
      <c r="I41" s="3" t="s">
        <v>142</v>
      </c>
      <c r="J41" s="3" t="s">
        <v>66</v>
      </c>
      <c r="K41" s="3" t="s">
        <v>104</v>
      </c>
      <c r="L41" s="4">
        <v>46318</v>
      </c>
      <c r="M41" s="4">
        <v>46292</v>
      </c>
      <c r="N41" s="3" t="s">
        <v>293</v>
      </c>
      <c r="O41" s="5">
        <f>IF(N41="Closed",IF(M41&lt;=L41,"On-Time","Delayed"),"Pending")</f>
        <v>0</v>
      </c>
    </row>
    <row r="42" spans="1:15">
      <c r="A42" s="3">
        <v>39</v>
      </c>
      <c r="B42" s="3" t="s">
        <v>1289</v>
      </c>
      <c r="C42" s="4">
        <v>46317</v>
      </c>
      <c r="D42" s="3" t="s">
        <v>106</v>
      </c>
      <c r="E42" s="5" t="s">
        <v>1257</v>
      </c>
      <c r="F42" s="5" t="s">
        <v>13</v>
      </c>
      <c r="G42" s="3" t="s">
        <v>35</v>
      </c>
      <c r="H42" s="3" t="s">
        <v>64</v>
      </c>
      <c r="I42" s="3" t="s">
        <v>159</v>
      </c>
      <c r="J42" s="3" t="s">
        <v>36</v>
      </c>
      <c r="K42" s="3" t="s">
        <v>104</v>
      </c>
      <c r="L42" s="4">
        <v>46335</v>
      </c>
      <c r="M42" s="4">
        <v>46327</v>
      </c>
      <c r="N42" s="3" t="s">
        <v>293</v>
      </c>
      <c r="O42" s="5">
        <f>IF(N42="Closed",IF(M42&lt;=L42,"On-Time","Delayed"),"Pending")</f>
        <v>0</v>
      </c>
    </row>
    <row r="43" spans="1:15">
      <c r="A43" s="3">
        <v>40</v>
      </c>
      <c r="B43" s="3" t="s">
        <v>1290</v>
      </c>
      <c r="C43" s="4">
        <v>46303</v>
      </c>
      <c r="D43" s="3" t="s">
        <v>106</v>
      </c>
      <c r="E43" s="5" t="s">
        <v>1252</v>
      </c>
      <c r="F43" s="5" t="s">
        <v>65</v>
      </c>
      <c r="G43" s="3" t="s">
        <v>80</v>
      </c>
      <c r="H43" s="3" t="s">
        <v>61</v>
      </c>
      <c r="I43" s="3" t="s">
        <v>154</v>
      </c>
      <c r="J43" s="3" t="s">
        <v>70</v>
      </c>
      <c r="K43" s="3" t="s">
        <v>70</v>
      </c>
      <c r="L43" s="4">
        <v>46323</v>
      </c>
      <c r="M43" s="4">
        <v>46348</v>
      </c>
      <c r="N43" s="3" t="s">
        <v>293</v>
      </c>
      <c r="O43" s="5">
        <f>IF(N43="Closed",IF(M43&lt;=L43,"On-Time","Delayed"),"Pending")</f>
        <v>0</v>
      </c>
    </row>
    <row r="44" spans="1:15">
      <c r="A44" s="3">
        <v>41</v>
      </c>
      <c r="B44" s="3" t="s">
        <v>1291</v>
      </c>
      <c r="C44" s="4">
        <v>46303</v>
      </c>
      <c r="D44" s="3" t="s">
        <v>106</v>
      </c>
      <c r="E44" s="5" t="s">
        <v>1246</v>
      </c>
      <c r="F44" s="5" t="s">
        <v>58</v>
      </c>
      <c r="G44" s="3" t="s">
        <v>31</v>
      </c>
      <c r="H44" s="3" t="s">
        <v>30</v>
      </c>
      <c r="I44" s="3" t="s">
        <v>154</v>
      </c>
      <c r="J44" s="3" t="s">
        <v>68</v>
      </c>
      <c r="K44" s="3" t="s">
        <v>28</v>
      </c>
      <c r="L44" s="4">
        <v>46329</v>
      </c>
      <c r="M44" s="4">
        <v>46336</v>
      </c>
      <c r="N44" s="3" t="s">
        <v>293</v>
      </c>
      <c r="O44" s="5">
        <f>IF(N44="Closed",IF(M44&lt;=L44,"On-Time","Delayed"),"Pending")</f>
        <v>0</v>
      </c>
    </row>
    <row r="45" spans="1:15">
      <c r="A45" s="3">
        <v>42</v>
      </c>
      <c r="B45" s="3" t="s">
        <v>1292</v>
      </c>
      <c r="C45" s="4">
        <v>46312</v>
      </c>
      <c r="D45" s="3" t="s">
        <v>106</v>
      </c>
      <c r="E45" s="5" t="s">
        <v>1252</v>
      </c>
      <c r="F45" s="5" t="s">
        <v>27</v>
      </c>
      <c r="G45" s="3" t="s">
        <v>35</v>
      </c>
      <c r="H45" s="3" t="s">
        <v>30</v>
      </c>
      <c r="I45" s="3" t="s">
        <v>159</v>
      </c>
      <c r="J45" s="3" t="s">
        <v>68</v>
      </c>
      <c r="K45" s="3" t="s">
        <v>70</v>
      </c>
      <c r="L45" s="4">
        <v>46345</v>
      </c>
      <c r="M45" s="4">
        <v>46357</v>
      </c>
      <c r="N45" s="3" t="s">
        <v>293</v>
      </c>
      <c r="O45" s="5">
        <f>IF(N45="Closed",IF(M45&lt;=L45,"On-Time","Delayed"),"Pending")</f>
        <v>0</v>
      </c>
    </row>
    <row r="46" spans="1:15">
      <c r="A46" s="3">
        <v>43</v>
      </c>
      <c r="B46" s="3" t="s">
        <v>1293</v>
      </c>
      <c r="C46" s="4">
        <v>46344</v>
      </c>
      <c r="D46" s="3" t="s">
        <v>111</v>
      </c>
      <c r="E46" s="5" t="s">
        <v>1250</v>
      </c>
      <c r="F46" s="5" t="s">
        <v>89</v>
      </c>
      <c r="G46" s="3" t="s">
        <v>80</v>
      </c>
      <c r="H46" s="3" t="s">
        <v>26</v>
      </c>
      <c r="I46" s="3" t="s">
        <v>159</v>
      </c>
      <c r="J46" s="3" t="s">
        <v>104</v>
      </c>
      <c r="K46" s="3" t="s">
        <v>22</v>
      </c>
      <c r="L46" s="4">
        <v>46352</v>
      </c>
      <c r="M46" s="4">
        <v>46380</v>
      </c>
      <c r="N46" s="3" t="s">
        <v>254</v>
      </c>
      <c r="O46" s="5">
        <f>IF(N46="Closed",IF(M46&lt;=L46,"On-Time","Delayed"),"Pending")</f>
        <v>0</v>
      </c>
    </row>
    <row r="47" spans="1:15">
      <c r="A47" s="3">
        <v>44</v>
      </c>
      <c r="B47" s="3" t="s">
        <v>1294</v>
      </c>
      <c r="C47" s="4">
        <v>46354</v>
      </c>
      <c r="D47" s="3" t="s">
        <v>111</v>
      </c>
      <c r="E47" s="5" t="s">
        <v>1250</v>
      </c>
      <c r="F47" s="5" t="s">
        <v>46</v>
      </c>
      <c r="G47" s="3" t="s">
        <v>87</v>
      </c>
      <c r="H47" s="3" t="s">
        <v>49</v>
      </c>
      <c r="I47" s="3" t="s">
        <v>142</v>
      </c>
      <c r="J47" s="3" t="s">
        <v>68</v>
      </c>
      <c r="K47" s="3" t="s">
        <v>78</v>
      </c>
      <c r="L47" s="4">
        <v>46359</v>
      </c>
      <c r="M47" s="4">
        <v>46362</v>
      </c>
      <c r="N47" s="3" t="s">
        <v>293</v>
      </c>
      <c r="O47" s="5">
        <f>IF(N47="Closed",IF(M47&lt;=L47,"On-Time","Delayed"),"Pending")</f>
        <v>0</v>
      </c>
    </row>
    <row r="48" spans="1:15">
      <c r="A48" s="3">
        <v>45</v>
      </c>
      <c r="B48" s="3" t="s">
        <v>1295</v>
      </c>
      <c r="C48" s="4">
        <v>46375</v>
      </c>
      <c r="D48" s="3" t="s">
        <v>122</v>
      </c>
      <c r="E48" s="5" t="s">
        <v>1252</v>
      </c>
      <c r="F48" s="5" t="s">
        <v>5</v>
      </c>
      <c r="G48" s="3" t="s">
        <v>95</v>
      </c>
      <c r="H48" s="3" t="s">
        <v>12</v>
      </c>
      <c r="I48" s="3" t="s">
        <v>159</v>
      </c>
      <c r="J48" s="3" t="s">
        <v>32</v>
      </c>
      <c r="K48" s="3" t="s">
        <v>41</v>
      </c>
      <c r="L48" s="4">
        <v>46405</v>
      </c>
      <c r="M48" s="4">
        <v>46391</v>
      </c>
      <c r="N48" s="3" t="s">
        <v>254</v>
      </c>
      <c r="O48" s="5">
        <f>IF(N48="Closed",IF(M48&lt;=L48,"On-Time","Delayed"),"Pending")</f>
        <v>0</v>
      </c>
    </row>
    <row r="49" spans="1:15">
      <c r="A49" s="3">
        <v>46</v>
      </c>
      <c r="B49" s="3" t="s">
        <v>1296</v>
      </c>
      <c r="C49" s="4">
        <v>46368</v>
      </c>
      <c r="D49" s="3" t="s">
        <v>122</v>
      </c>
      <c r="E49" s="5" t="s">
        <v>1246</v>
      </c>
      <c r="F49" s="5" t="s">
        <v>46</v>
      </c>
      <c r="G49" s="3" t="s">
        <v>35</v>
      </c>
      <c r="H49" s="3" t="s">
        <v>30</v>
      </c>
      <c r="I49" s="3" t="s">
        <v>159</v>
      </c>
      <c r="J49" s="3" t="s">
        <v>62</v>
      </c>
      <c r="K49" s="3" t="s">
        <v>78</v>
      </c>
      <c r="L49" s="4">
        <v>46410</v>
      </c>
      <c r="M49" s="4">
        <v>46401</v>
      </c>
      <c r="N49" s="3" t="s">
        <v>238</v>
      </c>
      <c r="O49" s="5">
        <f>IF(N49="Closed",IF(M49&lt;=L49,"On-Time","Delayed"),"Pending")</f>
        <v>0</v>
      </c>
    </row>
    <row r="50" spans="1:15">
      <c r="A50" s="3">
        <v>47</v>
      </c>
      <c r="B50" s="3" t="s">
        <v>1297</v>
      </c>
      <c r="C50" s="4">
        <v>46380</v>
      </c>
      <c r="D50" s="3" t="s">
        <v>122</v>
      </c>
      <c r="E50" s="5" t="s">
        <v>1248</v>
      </c>
      <c r="F50" s="5" t="s">
        <v>50</v>
      </c>
      <c r="G50" s="3" t="s">
        <v>31</v>
      </c>
      <c r="H50" s="3" t="s">
        <v>12</v>
      </c>
      <c r="I50" s="3" t="s">
        <v>159</v>
      </c>
      <c r="J50" s="3" t="s">
        <v>28</v>
      </c>
      <c r="K50" s="3" t="s">
        <v>7</v>
      </c>
      <c r="L50" s="4">
        <v>46413</v>
      </c>
      <c r="M50" s="4">
        <v>46404</v>
      </c>
      <c r="N50" s="3" t="s">
        <v>293</v>
      </c>
      <c r="O50" s="5">
        <f>IF(N50="Closed",IF(M50&lt;=L50,"On-Time","Delayed"),"Pending")</f>
        <v>0</v>
      </c>
    </row>
    <row r="51" spans="1:15">
      <c r="A51" s="3">
        <v>48</v>
      </c>
      <c r="B51" s="3" t="s">
        <v>1298</v>
      </c>
      <c r="C51" s="4">
        <v>46361</v>
      </c>
      <c r="D51" s="3" t="s">
        <v>122</v>
      </c>
      <c r="E51" s="5" t="s">
        <v>1252</v>
      </c>
      <c r="F51" s="5" t="s">
        <v>89</v>
      </c>
      <c r="G51" s="3" t="s">
        <v>77</v>
      </c>
      <c r="H51" s="3" t="s">
        <v>12</v>
      </c>
      <c r="I51" s="3" t="s">
        <v>162</v>
      </c>
      <c r="J51" s="3" t="s">
        <v>66</v>
      </c>
      <c r="K51" s="3" t="s">
        <v>7</v>
      </c>
      <c r="L51" s="4">
        <v>46396</v>
      </c>
      <c r="M51" s="4">
        <v>46396</v>
      </c>
      <c r="N51" s="3" t="s">
        <v>293</v>
      </c>
      <c r="O51" s="5">
        <f>IF(N51="Closed",IF(M51&lt;=L51,"On-Time","Delayed"),"Pending")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N4:N5003">
      <formula1>L_Status</formula1>
    </dataValidation>
    <dataValidation type="list" allowBlank="1" showInputMessage="1" showErrorMessage="1" sqref="I4:I5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customWidth="1"/>
    <col min="3" max="3" width="13.7109375" customWidth="1"/>
    <col min="4" max="5" width="9.7109375" customWidth="1"/>
    <col min="6" max="6" width="10.7109375" customWidth="1"/>
    <col min="7" max="7" width="12.7109375" customWidth="1"/>
    <col min="8" max="8" width="16.7109375" customWidth="1"/>
    <col min="9" max="10" width="13.7109375" customWidth="1"/>
    <col min="11" max="12" width="19.7109375" customWidth="1"/>
    <col min="13" max="13" width="9.7109375" customWidth="1"/>
    <col min="14" max="14" width="19.7109375" customWidth="1"/>
  </cols>
  <sheetData>
    <row r="1" spans="1:16" ht="22" customHeight="1">
      <c r="A1" s="1" t="s">
        <v>1306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1361</v>
      </c>
      <c r="C3" t="s">
        <v>1300</v>
      </c>
      <c r="D3" t="s">
        <v>127</v>
      </c>
      <c r="E3" t="s">
        <v>1301</v>
      </c>
      <c r="F3" t="s">
        <v>1120</v>
      </c>
      <c r="G3" t="s">
        <v>129</v>
      </c>
      <c r="H3" t="s">
        <v>1362</v>
      </c>
      <c r="I3" t="s">
        <v>1302</v>
      </c>
      <c r="J3" t="s">
        <v>209</v>
      </c>
      <c r="K3" t="s">
        <v>1363</v>
      </c>
      <c r="L3" t="s">
        <v>1364</v>
      </c>
      <c r="M3" t="s">
        <v>287</v>
      </c>
      <c r="N3" t="s">
        <v>1365</v>
      </c>
    </row>
    <row r="4" spans="1:16">
      <c r="A4" s="3">
        <v>1</v>
      </c>
      <c r="B4" s="3" t="s">
        <v>1307</v>
      </c>
      <c r="C4" s="4">
        <v>46028</v>
      </c>
      <c r="D4" s="3" t="s">
        <v>3</v>
      </c>
      <c r="E4" s="5" t="s">
        <v>1254</v>
      </c>
      <c r="F4" s="5" t="s">
        <v>159</v>
      </c>
      <c r="G4" s="3" t="s">
        <v>58</v>
      </c>
      <c r="H4" s="3" t="s">
        <v>61</v>
      </c>
      <c r="I4" s="3" t="s">
        <v>78</v>
      </c>
      <c r="J4" s="3" t="s">
        <v>62</v>
      </c>
      <c r="K4" s="4">
        <v>46068</v>
      </c>
      <c r="L4" s="4">
        <v>46048</v>
      </c>
      <c r="M4" s="3" t="s">
        <v>293</v>
      </c>
      <c r="N4" s="3" t="s">
        <v>300</v>
      </c>
    </row>
    <row r="5" spans="1:16">
      <c r="A5" s="3">
        <v>2</v>
      </c>
      <c r="B5" s="3" t="s">
        <v>1308</v>
      </c>
      <c r="C5" s="4">
        <v>46029</v>
      </c>
      <c r="D5" s="3" t="s">
        <v>3</v>
      </c>
      <c r="E5" s="5" t="s">
        <v>1246</v>
      </c>
      <c r="F5" s="5" t="s">
        <v>159</v>
      </c>
      <c r="G5" s="3" t="s">
        <v>58</v>
      </c>
      <c r="H5" s="3" t="s">
        <v>49</v>
      </c>
      <c r="I5" s="3" t="s">
        <v>66</v>
      </c>
      <c r="J5" s="3" t="s">
        <v>70</v>
      </c>
      <c r="K5" s="4">
        <v>46071</v>
      </c>
      <c r="L5" s="4">
        <v>46049</v>
      </c>
      <c r="M5" s="3" t="s">
        <v>293</v>
      </c>
      <c r="N5" s="3" t="s">
        <v>300</v>
      </c>
    </row>
    <row r="6" spans="1:16">
      <c r="A6" s="3">
        <v>3</v>
      </c>
      <c r="B6" s="3" t="s">
        <v>1309</v>
      </c>
      <c r="C6" s="4">
        <v>46032</v>
      </c>
      <c r="D6" s="3" t="s">
        <v>3</v>
      </c>
      <c r="E6" s="5" t="s">
        <v>1252</v>
      </c>
      <c r="F6" s="5" t="s">
        <v>154</v>
      </c>
      <c r="G6" s="3" t="s">
        <v>39</v>
      </c>
      <c r="H6" s="3" t="s">
        <v>26</v>
      </c>
      <c r="I6" s="3" t="s">
        <v>104</v>
      </c>
      <c r="J6" s="3" t="s">
        <v>28</v>
      </c>
      <c r="K6" s="4">
        <v>46052</v>
      </c>
      <c r="L6" s="4">
        <v>46039</v>
      </c>
      <c r="M6" s="3" t="s">
        <v>293</v>
      </c>
      <c r="N6" s="3" t="s">
        <v>1310</v>
      </c>
    </row>
    <row r="7" spans="1:16">
      <c r="A7" s="3">
        <v>4</v>
      </c>
      <c r="B7" s="3" t="s">
        <v>1311</v>
      </c>
      <c r="C7" s="4">
        <v>46079</v>
      </c>
      <c r="D7" s="3" t="s">
        <v>19</v>
      </c>
      <c r="E7" s="5" t="s">
        <v>1257</v>
      </c>
      <c r="F7" s="5" t="s">
        <v>142</v>
      </c>
      <c r="G7" s="3" t="s">
        <v>89</v>
      </c>
      <c r="H7" s="3" t="s">
        <v>20</v>
      </c>
      <c r="I7" s="3" t="s">
        <v>28</v>
      </c>
      <c r="J7" s="3" t="s">
        <v>104</v>
      </c>
      <c r="K7" s="4">
        <v>46117</v>
      </c>
      <c r="L7" s="4">
        <v>46116</v>
      </c>
      <c r="M7" s="3" t="s">
        <v>293</v>
      </c>
      <c r="N7" s="3" t="s">
        <v>1312</v>
      </c>
    </row>
    <row r="8" spans="1:16">
      <c r="A8" s="3">
        <v>5</v>
      </c>
      <c r="B8" s="3" t="s">
        <v>1313</v>
      </c>
      <c r="C8" s="4">
        <v>46071</v>
      </c>
      <c r="D8" s="3" t="s">
        <v>19</v>
      </c>
      <c r="E8" s="5" t="s">
        <v>1246</v>
      </c>
      <c r="F8" s="5" t="s">
        <v>154</v>
      </c>
      <c r="G8" s="3" t="s">
        <v>5</v>
      </c>
      <c r="H8" s="3" t="s">
        <v>26</v>
      </c>
      <c r="I8" s="3" t="s">
        <v>32</v>
      </c>
      <c r="J8" s="3" t="s">
        <v>36</v>
      </c>
      <c r="K8" s="4">
        <v>46108</v>
      </c>
      <c r="L8" s="4">
        <v>46106</v>
      </c>
      <c r="M8" s="3" t="s">
        <v>254</v>
      </c>
      <c r="N8" s="3" t="s">
        <v>296</v>
      </c>
    </row>
    <row r="9" spans="1:16">
      <c r="A9" s="3">
        <v>6</v>
      </c>
      <c r="B9" s="3" t="s">
        <v>1314</v>
      </c>
      <c r="C9" s="4">
        <v>46064</v>
      </c>
      <c r="D9" s="3" t="s">
        <v>19</v>
      </c>
      <c r="E9" s="5" t="s">
        <v>1250</v>
      </c>
      <c r="F9" s="5" t="s">
        <v>142</v>
      </c>
      <c r="G9" s="3" t="s">
        <v>89</v>
      </c>
      <c r="H9" s="3" t="s">
        <v>91</v>
      </c>
      <c r="I9" s="3" t="s">
        <v>93</v>
      </c>
      <c r="J9" s="3" t="s">
        <v>70</v>
      </c>
      <c r="K9" s="4">
        <v>46095</v>
      </c>
      <c r="L9" s="4">
        <v>46082</v>
      </c>
      <c r="M9" s="3" t="s">
        <v>293</v>
      </c>
      <c r="N9" s="3" t="s">
        <v>1315</v>
      </c>
    </row>
    <row r="10" spans="1:16">
      <c r="A10" s="3">
        <v>7</v>
      </c>
      <c r="B10" s="3" t="s">
        <v>1316</v>
      </c>
      <c r="C10" s="4">
        <v>46062</v>
      </c>
      <c r="D10" s="3" t="s">
        <v>19</v>
      </c>
      <c r="E10" s="5" t="s">
        <v>1254</v>
      </c>
      <c r="F10" s="5" t="s">
        <v>142</v>
      </c>
      <c r="G10" s="3" t="s">
        <v>89</v>
      </c>
      <c r="H10" s="3" t="s">
        <v>91</v>
      </c>
      <c r="I10" s="3" t="s">
        <v>15</v>
      </c>
      <c r="J10" s="3" t="s">
        <v>15</v>
      </c>
      <c r="K10" s="4">
        <v>46078</v>
      </c>
      <c r="L10" s="4">
        <v>46080</v>
      </c>
      <c r="M10" s="3" t="s">
        <v>293</v>
      </c>
      <c r="N10" s="3" t="s">
        <v>1312</v>
      </c>
    </row>
    <row r="11" spans="1:16">
      <c r="A11" s="3">
        <v>8</v>
      </c>
      <c r="B11" s="3" t="s">
        <v>1317</v>
      </c>
      <c r="C11" s="4">
        <v>46088</v>
      </c>
      <c r="D11" s="3" t="s">
        <v>44</v>
      </c>
      <c r="E11" s="5" t="s">
        <v>1252</v>
      </c>
      <c r="F11" s="5" t="s">
        <v>142</v>
      </c>
      <c r="G11" s="3" t="s">
        <v>13</v>
      </c>
      <c r="H11" s="3" t="s">
        <v>61</v>
      </c>
      <c r="I11" s="3" t="s">
        <v>70</v>
      </c>
      <c r="J11" s="3" t="s">
        <v>70</v>
      </c>
      <c r="K11" s="4">
        <v>46129</v>
      </c>
      <c r="L11" s="4">
        <v>46128</v>
      </c>
      <c r="M11" s="3" t="s">
        <v>297</v>
      </c>
      <c r="N11" s="3" t="s">
        <v>1318</v>
      </c>
    </row>
    <row r="12" spans="1:16">
      <c r="A12" s="3">
        <v>9</v>
      </c>
      <c r="B12" s="3" t="s">
        <v>1319</v>
      </c>
      <c r="C12" s="4">
        <v>46082</v>
      </c>
      <c r="D12" s="3" t="s">
        <v>44</v>
      </c>
      <c r="E12" s="5" t="s">
        <v>1248</v>
      </c>
      <c r="F12" s="5" t="s">
        <v>154</v>
      </c>
      <c r="G12" s="3" t="s">
        <v>46</v>
      </c>
      <c r="H12" s="3" t="s">
        <v>4</v>
      </c>
      <c r="I12" s="3" t="s">
        <v>62</v>
      </c>
      <c r="J12" s="3" t="s">
        <v>70</v>
      </c>
      <c r="K12" s="4">
        <v>46113</v>
      </c>
      <c r="L12" s="4">
        <v>46098</v>
      </c>
      <c r="M12" s="3" t="s">
        <v>297</v>
      </c>
      <c r="N12" s="3" t="s">
        <v>296</v>
      </c>
    </row>
    <row r="13" spans="1:16">
      <c r="A13" s="3">
        <v>10</v>
      </c>
      <c r="B13" s="3" t="s">
        <v>1320</v>
      </c>
      <c r="C13" s="4">
        <v>46107</v>
      </c>
      <c r="D13" s="3" t="s">
        <v>44</v>
      </c>
      <c r="E13" s="5" t="s">
        <v>1250</v>
      </c>
      <c r="F13" s="5" t="s">
        <v>159</v>
      </c>
      <c r="G13" s="3" t="s">
        <v>92</v>
      </c>
      <c r="H13" s="3" t="s">
        <v>61</v>
      </c>
      <c r="I13" s="3" t="s">
        <v>62</v>
      </c>
      <c r="J13" s="3" t="s">
        <v>93</v>
      </c>
      <c r="K13" s="4">
        <v>46147</v>
      </c>
      <c r="L13" s="4">
        <v>46123</v>
      </c>
      <c r="M13" s="3" t="s">
        <v>293</v>
      </c>
      <c r="N13" s="3" t="s">
        <v>1310</v>
      </c>
    </row>
    <row r="14" spans="1:16">
      <c r="A14" s="3">
        <v>11</v>
      </c>
      <c r="B14" s="3" t="s">
        <v>1321</v>
      </c>
      <c r="C14" s="4">
        <v>46137</v>
      </c>
      <c r="D14" s="3" t="s">
        <v>53</v>
      </c>
      <c r="E14" s="5" t="s">
        <v>1254</v>
      </c>
      <c r="F14" s="5" t="s">
        <v>142</v>
      </c>
      <c r="G14" s="3" t="s">
        <v>92</v>
      </c>
      <c r="H14" s="3" t="s">
        <v>91</v>
      </c>
      <c r="I14" s="3" t="s">
        <v>66</v>
      </c>
      <c r="J14" s="3" t="s">
        <v>68</v>
      </c>
      <c r="K14" s="4">
        <v>46150</v>
      </c>
      <c r="L14" s="4">
        <v>46145</v>
      </c>
      <c r="M14" s="3" t="s">
        <v>293</v>
      </c>
      <c r="N14" s="3" t="s">
        <v>1318</v>
      </c>
    </row>
    <row r="15" spans="1:16">
      <c r="A15" s="3">
        <v>12</v>
      </c>
      <c r="B15" s="3" t="s">
        <v>1322</v>
      </c>
      <c r="C15" s="4">
        <v>46114</v>
      </c>
      <c r="D15" s="3" t="s">
        <v>53</v>
      </c>
      <c r="E15" s="5" t="s">
        <v>1257</v>
      </c>
      <c r="F15" s="5" t="s">
        <v>154</v>
      </c>
      <c r="G15" s="3" t="s">
        <v>13</v>
      </c>
      <c r="H15" s="3" t="s">
        <v>26</v>
      </c>
      <c r="I15" s="3" t="s">
        <v>32</v>
      </c>
      <c r="J15" s="3" t="s">
        <v>62</v>
      </c>
      <c r="K15" s="4">
        <v>46139</v>
      </c>
      <c r="L15" s="4">
        <v>46123</v>
      </c>
      <c r="M15" s="3" t="s">
        <v>293</v>
      </c>
      <c r="N15" s="3" t="s">
        <v>1318</v>
      </c>
    </row>
    <row r="16" spans="1:16">
      <c r="A16" s="3">
        <v>13</v>
      </c>
      <c r="B16" s="3" t="s">
        <v>1323</v>
      </c>
      <c r="C16" s="4">
        <v>46117</v>
      </c>
      <c r="D16" s="3" t="s">
        <v>53</v>
      </c>
      <c r="E16" s="5" t="s">
        <v>1257</v>
      </c>
      <c r="F16" s="5" t="s">
        <v>159</v>
      </c>
      <c r="G16" s="3" t="s">
        <v>13</v>
      </c>
      <c r="H16" s="3" t="s">
        <v>91</v>
      </c>
      <c r="I16" s="3" t="s">
        <v>66</v>
      </c>
      <c r="J16" s="3" t="s">
        <v>28</v>
      </c>
      <c r="K16" s="4">
        <v>46138</v>
      </c>
      <c r="L16" s="4">
        <v>46149</v>
      </c>
      <c r="M16" s="3" t="s">
        <v>293</v>
      </c>
      <c r="N16" s="3" t="s">
        <v>296</v>
      </c>
    </row>
    <row r="17" spans="1:14">
      <c r="A17" s="3">
        <v>14</v>
      </c>
      <c r="B17" s="3" t="s">
        <v>1324</v>
      </c>
      <c r="C17" s="4">
        <v>46135</v>
      </c>
      <c r="D17" s="3" t="s">
        <v>53</v>
      </c>
      <c r="E17" s="5" t="s">
        <v>1257</v>
      </c>
      <c r="F17" s="5" t="s">
        <v>162</v>
      </c>
      <c r="G17" s="3" t="s">
        <v>13</v>
      </c>
      <c r="H17" s="3" t="s">
        <v>20</v>
      </c>
      <c r="I17" s="3" t="s">
        <v>41</v>
      </c>
      <c r="J17" s="3" t="s">
        <v>62</v>
      </c>
      <c r="K17" s="4">
        <v>46156</v>
      </c>
      <c r="L17" s="4">
        <v>46156</v>
      </c>
      <c r="M17" s="3" t="s">
        <v>293</v>
      </c>
      <c r="N17" s="3" t="s">
        <v>1315</v>
      </c>
    </row>
    <row r="18" spans="1:14">
      <c r="A18" s="3">
        <v>15</v>
      </c>
      <c r="B18" s="3" t="s">
        <v>1325</v>
      </c>
      <c r="C18" s="4">
        <v>46125</v>
      </c>
      <c r="D18" s="3" t="s">
        <v>53</v>
      </c>
      <c r="E18" s="5" t="s">
        <v>1252</v>
      </c>
      <c r="F18" s="5" t="s">
        <v>142</v>
      </c>
      <c r="G18" s="3" t="s">
        <v>39</v>
      </c>
      <c r="H18" s="3" t="s">
        <v>49</v>
      </c>
      <c r="I18" s="3" t="s">
        <v>62</v>
      </c>
      <c r="J18" s="3" t="s">
        <v>22</v>
      </c>
      <c r="K18" s="4">
        <v>46160</v>
      </c>
      <c r="L18" s="4">
        <v>46156</v>
      </c>
      <c r="M18" s="3" t="s">
        <v>254</v>
      </c>
      <c r="N18" s="3" t="s">
        <v>1312</v>
      </c>
    </row>
    <row r="19" spans="1:14">
      <c r="A19" s="3">
        <v>16</v>
      </c>
      <c r="B19" s="3" t="s">
        <v>1326</v>
      </c>
      <c r="C19" s="4">
        <v>46124</v>
      </c>
      <c r="D19" s="3" t="s">
        <v>53</v>
      </c>
      <c r="E19" s="5" t="s">
        <v>1257</v>
      </c>
      <c r="F19" s="5" t="s">
        <v>154</v>
      </c>
      <c r="G19" s="3" t="s">
        <v>50</v>
      </c>
      <c r="H19" s="3" t="s">
        <v>64</v>
      </c>
      <c r="I19" s="3" t="s">
        <v>28</v>
      </c>
      <c r="J19" s="3" t="s">
        <v>15</v>
      </c>
      <c r="K19" s="4">
        <v>46158</v>
      </c>
      <c r="L19" s="4">
        <v>46148</v>
      </c>
      <c r="M19" s="3" t="s">
        <v>254</v>
      </c>
      <c r="N19" s="3" t="s">
        <v>300</v>
      </c>
    </row>
    <row r="20" spans="1:14">
      <c r="A20" s="3">
        <v>17</v>
      </c>
      <c r="B20" s="3" t="s">
        <v>1327</v>
      </c>
      <c r="C20" s="4">
        <v>46136</v>
      </c>
      <c r="D20" s="3" t="s">
        <v>53</v>
      </c>
      <c r="E20" s="5" t="s">
        <v>1248</v>
      </c>
      <c r="F20" s="5" t="s">
        <v>142</v>
      </c>
      <c r="G20" s="3" t="s">
        <v>65</v>
      </c>
      <c r="H20" s="3" t="s">
        <v>38</v>
      </c>
      <c r="I20" s="3" t="s">
        <v>93</v>
      </c>
      <c r="J20" s="3" t="s">
        <v>70</v>
      </c>
      <c r="K20" s="4">
        <v>46176</v>
      </c>
      <c r="L20" s="4">
        <v>46153</v>
      </c>
      <c r="M20" s="3" t="s">
        <v>238</v>
      </c>
      <c r="N20" s="3" t="s">
        <v>1318</v>
      </c>
    </row>
    <row r="21" spans="1:14">
      <c r="A21" s="3">
        <v>18</v>
      </c>
      <c r="B21" s="3" t="s">
        <v>1328</v>
      </c>
      <c r="C21" s="4">
        <v>46166</v>
      </c>
      <c r="D21" s="3" t="s">
        <v>60</v>
      </c>
      <c r="E21" s="5" t="s">
        <v>1252</v>
      </c>
      <c r="F21" s="5" t="s">
        <v>142</v>
      </c>
      <c r="G21" s="3" t="s">
        <v>5</v>
      </c>
      <c r="H21" s="3" t="s">
        <v>38</v>
      </c>
      <c r="I21" s="3" t="s">
        <v>70</v>
      </c>
      <c r="J21" s="3" t="s">
        <v>68</v>
      </c>
      <c r="K21" s="4">
        <v>46179</v>
      </c>
      <c r="L21" s="4">
        <v>46194</v>
      </c>
      <c r="M21" s="3" t="s">
        <v>293</v>
      </c>
      <c r="N21" s="3" t="s">
        <v>1315</v>
      </c>
    </row>
    <row r="22" spans="1:14">
      <c r="A22" s="3">
        <v>19</v>
      </c>
      <c r="B22" s="3" t="s">
        <v>1329</v>
      </c>
      <c r="C22" s="4">
        <v>46157</v>
      </c>
      <c r="D22" s="3" t="s">
        <v>60</v>
      </c>
      <c r="E22" s="5" t="s">
        <v>1252</v>
      </c>
      <c r="F22" s="5" t="s">
        <v>154</v>
      </c>
      <c r="G22" s="3" t="s">
        <v>5</v>
      </c>
      <c r="H22" s="3" t="s">
        <v>30</v>
      </c>
      <c r="I22" s="3" t="s">
        <v>104</v>
      </c>
      <c r="J22" s="3" t="s">
        <v>22</v>
      </c>
      <c r="K22" s="4">
        <v>46201</v>
      </c>
      <c r="L22" s="4">
        <v>46164</v>
      </c>
      <c r="M22" s="3" t="s">
        <v>254</v>
      </c>
      <c r="N22" s="3" t="s">
        <v>1330</v>
      </c>
    </row>
    <row r="23" spans="1:14">
      <c r="A23" s="3">
        <v>20</v>
      </c>
      <c r="B23" s="3" t="s">
        <v>1331</v>
      </c>
      <c r="C23" s="4">
        <v>46199</v>
      </c>
      <c r="D23" s="3" t="s">
        <v>73</v>
      </c>
      <c r="E23" s="5" t="s">
        <v>1246</v>
      </c>
      <c r="F23" s="5" t="s">
        <v>154</v>
      </c>
      <c r="G23" s="3" t="s">
        <v>39</v>
      </c>
      <c r="H23" s="3" t="s">
        <v>26</v>
      </c>
      <c r="I23" s="3" t="s">
        <v>41</v>
      </c>
      <c r="J23" s="3" t="s">
        <v>66</v>
      </c>
      <c r="K23" s="4">
        <v>46228</v>
      </c>
      <c r="L23" s="4">
        <v>46231</v>
      </c>
      <c r="M23" s="3" t="s">
        <v>254</v>
      </c>
      <c r="N23" s="3" t="s">
        <v>1310</v>
      </c>
    </row>
    <row r="24" spans="1:14">
      <c r="A24" s="3">
        <v>21</v>
      </c>
      <c r="B24" s="3" t="s">
        <v>1332</v>
      </c>
      <c r="C24" s="4">
        <v>46195</v>
      </c>
      <c r="D24" s="3" t="s">
        <v>73</v>
      </c>
      <c r="E24" s="5" t="s">
        <v>1254</v>
      </c>
      <c r="F24" s="5" t="s">
        <v>154</v>
      </c>
      <c r="G24" s="3" t="s">
        <v>92</v>
      </c>
      <c r="H24" s="3" t="s">
        <v>16</v>
      </c>
      <c r="I24" s="3" t="s">
        <v>28</v>
      </c>
      <c r="J24" s="3" t="s">
        <v>41</v>
      </c>
      <c r="K24" s="4">
        <v>46233</v>
      </c>
      <c r="L24" s="4">
        <v>46240</v>
      </c>
      <c r="M24" s="3" t="s">
        <v>254</v>
      </c>
      <c r="N24" s="3" t="s">
        <v>300</v>
      </c>
    </row>
    <row r="25" spans="1:14">
      <c r="A25" s="3">
        <v>22</v>
      </c>
      <c r="B25" s="3" t="s">
        <v>1333</v>
      </c>
      <c r="C25" s="4">
        <v>46201</v>
      </c>
      <c r="D25" s="3" t="s">
        <v>73</v>
      </c>
      <c r="E25" s="5" t="s">
        <v>1254</v>
      </c>
      <c r="F25" s="5" t="s">
        <v>162</v>
      </c>
      <c r="G25" s="3" t="s">
        <v>58</v>
      </c>
      <c r="H25" s="3" t="s">
        <v>61</v>
      </c>
      <c r="I25" s="3" t="s">
        <v>36</v>
      </c>
      <c r="J25" s="3" t="s">
        <v>32</v>
      </c>
      <c r="K25" s="4">
        <v>46224</v>
      </c>
      <c r="L25" s="4">
        <v>46238</v>
      </c>
      <c r="M25" s="3" t="s">
        <v>293</v>
      </c>
      <c r="N25" s="3" t="s">
        <v>1318</v>
      </c>
    </row>
    <row r="26" spans="1:14">
      <c r="A26" s="3">
        <v>23</v>
      </c>
      <c r="B26" s="3" t="s">
        <v>1334</v>
      </c>
      <c r="C26" s="4">
        <v>46200</v>
      </c>
      <c r="D26" s="3" t="s">
        <v>73</v>
      </c>
      <c r="E26" s="5" t="s">
        <v>1252</v>
      </c>
      <c r="F26" s="5" t="s">
        <v>154</v>
      </c>
      <c r="G26" s="3" t="s">
        <v>50</v>
      </c>
      <c r="H26" s="3" t="s">
        <v>57</v>
      </c>
      <c r="I26" s="3" t="s">
        <v>104</v>
      </c>
      <c r="J26" s="3" t="s">
        <v>66</v>
      </c>
      <c r="K26" s="4">
        <v>46237</v>
      </c>
      <c r="L26" s="4">
        <v>46226</v>
      </c>
      <c r="M26" s="3" t="s">
        <v>293</v>
      </c>
      <c r="N26" s="3" t="s">
        <v>1315</v>
      </c>
    </row>
    <row r="27" spans="1:14">
      <c r="A27" s="3">
        <v>24</v>
      </c>
      <c r="B27" s="3" t="s">
        <v>1335</v>
      </c>
      <c r="C27" s="4">
        <v>46179</v>
      </c>
      <c r="D27" s="3" t="s">
        <v>73</v>
      </c>
      <c r="E27" s="5" t="s">
        <v>1254</v>
      </c>
      <c r="F27" s="5" t="s">
        <v>142</v>
      </c>
      <c r="G27" s="3" t="s">
        <v>65</v>
      </c>
      <c r="H27" s="3" t="s">
        <v>4</v>
      </c>
      <c r="I27" s="3" t="s">
        <v>104</v>
      </c>
      <c r="J27" s="3" t="s">
        <v>36</v>
      </c>
      <c r="K27" s="4">
        <v>46188</v>
      </c>
      <c r="L27" s="4">
        <v>46186</v>
      </c>
      <c r="M27" s="3" t="s">
        <v>238</v>
      </c>
      <c r="N27" s="3" t="s">
        <v>296</v>
      </c>
    </row>
    <row r="28" spans="1:14">
      <c r="A28" s="3">
        <v>25</v>
      </c>
      <c r="B28" s="3" t="s">
        <v>1336</v>
      </c>
      <c r="C28" s="4">
        <v>46230</v>
      </c>
      <c r="D28" s="3" t="s">
        <v>76</v>
      </c>
      <c r="E28" s="5" t="s">
        <v>1254</v>
      </c>
      <c r="F28" s="5" t="s">
        <v>154</v>
      </c>
      <c r="G28" s="3" t="s">
        <v>50</v>
      </c>
      <c r="H28" s="3" t="s">
        <v>20</v>
      </c>
      <c r="I28" s="3" t="s">
        <v>104</v>
      </c>
      <c r="J28" s="3" t="s">
        <v>36</v>
      </c>
      <c r="K28" s="4">
        <v>46267</v>
      </c>
      <c r="L28" s="4">
        <v>46240</v>
      </c>
      <c r="M28" s="3" t="s">
        <v>254</v>
      </c>
      <c r="N28" s="3" t="s">
        <v>1337</v>
      </c>
    </row>
    <row r="29" spans="1:14">
      <c r="A29" s="3">
        <v>26</v>
      </c>
      <c r="B29" s="3" t="s">
        <v>1338</v>
      </c>
      <c r="C29" s="4">
        <v>46221</v>
      </c>
      <c r="D29" s="3" t="s">
        <v>76</v>
      </c>
      <c r="E29" s="5" t="s">
        <v>1250</v>
      </c>
      <c r="F29" s="5" t="s">
        <v>142</v>
      </c>
      <c r="G29" s="3" t="s">
        <v>13</v>
      </c>
      <c r="H29" s="3" t="s">
        <v>45</v>
      </c>
      <c r="I29" s="3" t="s">
        <v>78</v>
      </c>
      <c r="J29" s="3" t="s">
        <v>28</v>
      </c>
      <c r="K29" s="4">
        <v>46245</v>
      </c>
      <c r="L29" s="4">
        <v>46237</v>
      </c>
      <c r="M29" s="3" t="s">
        <v>293</v>
      </c>
      <c r="N29" s="3" t="s">
        <v>300</v>
      </c>
    </row>
    <row r="30" spans="1:14">
      <c r="A30" s="3">
        <v>27</v>
      </c>
      <c r="B30" s="3" t="s">
        <v>1339</v>
      </c>
      <c r="C30" s="4">
        <v>46228</v>
      </c>
      <c r="D30" s="3" t="s">
        <v>76</v>
      </c>
      <c r="E30" s="5" t="s">
        <v>1257</v>
      </c>
      <c r="F30" s="5" t="s">
        <v>154</v>
      </c>
      <c r="G30" s="3" t="s">
        <v>13</v>
      </c>
      <c r="H30" s="3" t="s">
        <v>12</v>
      </c>
      <c r="I30" s="3" t="s">
        <v>93</v>
      </c>
      <c r="J30" s="3" t="s">
        <v>22</v>
      </c>
      <c r="K30" s="4">
        <v>46237</v>
      </c>
      <c r="L30" s="4">
        <v>46256</v>
      </c>
      <c r="M30" s="3" t="s">
        <v>254</v>
      </c>
      <c r="N30" s="3" t="s">
        <v>1330</v>
      </c>
    </row>
    <row r="31" spans="1:14">
      <c r="A31" s="3">
        <v>28</v>
      </c>
      <c r="B31" s="3" t="s">
        <v>1340</v>
      </c>
      <c r="C31" s="4">
        <v>46228</v>
      </c>
      <c r="D31" s="3" t="s">
        <v>76</v>
      </c>
      <c r="E31" s="5" t="s">
        <v>1248</v>
      </c>
      <c r="F31" s="5" t="s">
        <v>154</v>
      </c>
      <c r="G31" s="3" t="s">
        <v>46</v>
      </c>
      <c r="H31" s="3" t="s">
        <v>45</v>
      </c>
      <c r="I31" s="3" t="s">
        <v>41</v>
      </c>
      <c r="J31" s="3" t="s">
        <v>70</v>
      </c>
      <c r="K31" s="4">
        <v>46258</v>
      </c>
      <c r="L31" s="4">
        <v>46236</v>
      </c>
      <c r="M31" s="3" t="s">
        <v>254</v>
      </c>
      <c r="N31" s="3" t="s">
        <v>1337</v>
      </c>
    </row>
    <row r="32" spans="1:14">
      <c r="A32" s="3">
        <v>29</v>
      </c>
      <c r="B32" s="3" t="s">
        <v>1341</v>
      </c>
      <c r="C32" s="4">
        <v>46255</v>
      </c>
      <c r="D32" s="3" t="s">
        <v>86</v>
      </c>
      <c r="E32" s="5" t="s">
        <v>1248</v>
      </c>
      <c r="F32" s="5" t="s">
        <v>142</v>
      </c>
      <c r="G32" s="3" t="s">
        <v>13</v>
      </c>
      <c r="H32" s="3" t="s">
        <v>61</v>
      </c>
      <c r="I32" s="3" t="s">
        <v>15</v>
      </c>
      <c r="J32" s="3" t="s">
        <v>32</v>
      </c>
      <c r="K32" s="4">
        <v>46292</v>
      </c>
      <c r="L32" s="4">
        <v>46267</v>
      </c>
      <c r="M32" s="3" t="s">
        <v>254</v>
      </c>
      <c r="N32" s="3" t="s">
        <v>1315</v>
      </c>
    </row>
    <row r="33" spans="1:14">
      <c r="A33" s="3">
        <v>30</v>
      </c>
      <c r="B33" s="3" t="s">
        <v>1342</v>
      </c>
      <c r="C33" s="4">
        <v>46235</v>
      </c>
      <c r="D33" s="3" t="s">
        <v>86</v>
      </c>
      <c r="E33" s="5" t="s">
        <v>1246</v>
      </c>
      <c r="F33" s="5" t="s">
        <v>142</v>
      </c>
      <c r="G33" s="3" t="s">
        <v>46</v>
      </c>
      <c r="H33" s="3" t="s">
        <v>30</v>
      </c>
      <c r="I33" s="3" t="s">
        <v>15</v>
      </c>
      <c r="J33" s="3" t="s">
        <v>36</v>
      </c>
      <c r="K33" s="4">
        <v>46240</v>
      </c>
      <c r="L33" s="4">
        <v>46250</v>
      </c>
      <c r="M33" s="3" t="s">
        <v>293</v>
      </c>
      <c r="N33" s="3" t="s">
        <v>300</v>
      </c>
    </row>
    <row r="34" spans="1:14">
      <c r="A34" s="3">
        <v>31</v>
      </c>
      <c r="B34" s="3" t="s">
        <v>1343</v>
      </c>
      <c r="C34" s="4">
        <v>46251</v>
      </c>
      <c r="D34" s="3" t="s">
        <v>86</v>
      </c>
      <c r="E34" s="5" t="s">
        <v>1246</v>
      </c>
      <c r="F34" s="5" t="s">
        <v>154</v>
      </c>
      <c r="G34" s="3" t="s">
        <v>50</v>
      </c>
      <c r="H34" s="3" t="s">
        <v>61</v>
      </c>
      <c r="I34" s="3" t="s">
        <v>93</v>
      </c>
      <c r="J34" s="3" t="s">
        <v>62</v>
      </c>
      <c r="K34" s="4">
        <v>46288</v>
      </c>
      <c r="L34" s="4">
        <v>46268</v>
      </c>
      <c r="M34" s="3" t="s">
        <v>238</v>
      </c>
      <c r="N34" s="3" t="s">
        <v>1312</v>
      </c>
    </row>
    <row r="35" spans="1:14">
      <c r="A35" s="3">
        <v>32</v>
      </c>
      <c r="B35" s="3" t="s">
        <v>1344</v>
      </c>
      <c r="C35" s="4">
        <v>46246</v>
      </c>
      <c r="D35" s="3" t="s">
        <v>86</v>
      </c>
      <c r="E35" s="5" t="s">
        <v>1246</v>
      </c>
      <c r="F35" s="5" t="s">
        <v>142</v>
      </c>
      <c r="G35" s="3" t="s">
        <v>58</v>
      </c>
      <c r="H35" s="3" t="s">
        <v>57</v>
      </c>
      <c r="I35" s="3" t="s">
        <v>41</v>
      </c>
      <c r="J35" s="3" t="s">
        <v>68</v>
      </c>
      <c r="K35" s="4">
        <v>46283</v>
      </c>
      <c r="L35" s="4">
        <v>46254</v>
      </c>
      <c r="M35" s="3" t="s">
        <v>254</v>
      </c>
      <c r="N35" s="3" t="s">
        <v>1330</v>
      </c>
    </row>
    <row r="36" spans="1:14">
      <c r="A36" s="3">
        <v>33</v>
      </c>
      <c r="B36" s="3" t="s">
        <v>1345</v>
      </c>
      <c r="C36" s="4">
        <v>46262</v>
      </c>
      <c r="D36" s="3" t="s">
        <v>86</v>
      </c>
      <c r="E36" s="5" t="s">
        <v>1252</v>
      </c>
      <c r="F36" s="5" t="s">
        <v>142</v>
      </c>
      <c r="G36" s="3" t="s">
        <v>39</v>
      </c>
      <c r="H36" s="3" t="s">
        <v>64</v>
      </c>
      <c r="I36" s="3" t="s">
        <v>32</v>
      </c>
      <c r="J36" s="3" t="s">
        <v>62</v>
      </c>
      <c r="K36" s="4">
        <v>46293</v>
      </c>
      <c r="L36" s="4">
        <v>46267</v>
      </c>
      <c r="M36" s="3" t="s">
        <v>293</v>
      </c>
      <c r="N36" s="3" t="s">
        <v>1310</v>
      </c>
    </row>
    <row r="37" spans="1:14">
      <c r="A37" s="3">
        <v>34</v>
      </c>
      <c r="B37" s="3" t="s">
        <v>1346</v>
      </c>
      <c r="C37" s="4">
        <v>46293</v>
      </c>
      <c r="D37" s="3" t="s">
        <v>102</v>
      </c>
      <c r="E37" s="5" t="s">
        <v>1254</v>
      </c>
      <c r="F37" s="5" t="s">
        <v>154</v>
      </c>
      <c r="G37" s="3" t="s">
        <v>27</v>
      </c>
      <c r="H37" s="3" t="s">
        <v>20</v>
      </c>
      <c r="I37" s="3" t="s">
        <v>36</v>
      </c>
      <c r="J37" s="3" t="s">
        <v>22</v>
      </c>
      <c r="K37" s="4">
        <v>46320</v>
      </c>
      <c r="L37" s="4">
        <v>46311</v>
      </c>
      <c r="M37" s="3" t="s">
        <v>293</v>
      </c>
      <c r="N37" s="3" t="s">
        <v>1337</v>
      </c>
    </row>
    <row r="38" spans="1:14">
      <c r="A38" s="3">
        <v>35</v>
      </c>
      <c r="B38" s="3" t="s">
        <v>1347</v>
      </c>
      <c r="C38" s="4">
        <v>46293</v>
      </c>
      <c r="D38" s="3" t="s">
        <v>102</v>
      </c>
      <c r="E38" s="5" t="s">
        <v>1248</v>
      </c>
      <c r="F38" s="5" t="s">
        <v>154</v>
      </c>
      <c r="G38" s="3" t="s">
        <v>46</v>
      </c>
      <c r="H38" s="3" t="s">
        <v>30</v>
      </c>
      <c r="I38" s="3" t="s">
        <v>36</v>
      </c>
      <c r="J38" s="3" t="s">
        <v>78</v>
      </c>
      <c r="K38" s="4">
        <v>46309</v>
      </c>
      <c r="L38" s="4">
        <v>46315</v>
      </c>
      <c r="M38" s="3" t="s">
        <v>293</v>
      </c>
      <c r="N38" s="3" t="s">
        <v>1337</v>
      </c>
    </row>
    <row r="39" spans="1:14">
      <c r="A39" s="3">
        <v>36</v>
      </c>
      <c r="B39" s="3" t="s">
        <v>1348</v>
      </c>
      <c r="C39" s="4">
        <v>46283</v>
      </c>
      <c r="D39" s="3" t="s">
        <v>102</v>
      </c>
      <c r="E39" s="5" t="s">
        <v>1246</v>
      </c>
      <c r="F39" s="5" t="s">
        <v>142</v>
      </c>
      <c r="G39" s="3" t="s">
        <v>50</v>
      </c>
      <c r="H39" s="3" t="s">
        <v>20</v>
      </c>
      <c r="I39" s="3" t="s">
        <v>104</v>
      </c>
      <c r="J39" s="3" t="s">
        <v>15</v>
      </c>
      <c r="K39" s="4">
        <v>46309</v>
      </c>
      <c r="L39" s="4">
        <v>46293</v>
      </c>
      <c r="M39" s="3" t="s">
        <v>254</v>
      </c>
      <c r="N39" s="3" t="s">
        <v>1315</v>
      </c>
    </row>
    <row r="40" spans="1:14">
      <c r="A40" s="3">
        <v>37</v>
      </c>
      <c r="B40" s="3" t="s">
        <v>1349</v>
      </c>
      <c r="C40" s="4">
        <v>46269</v>
      </c>
      <c r="D40" s="3" t="s">
        <v>102</v>
      </c>
      <c r="E40" s="5" t="s">
        <v>1257</v>
      </c>
      <c r="F40" s="5" t="s">
        <v>159</v>
      </c>
      <c r="G40" s="3" t="s">
        <v>50</v>
      </c>
      <c r="H40" s="3" t="s">
        <v>64</v>
      </c>
      <c r="I40" s="3" t="s">
        <v>36</v>
      </c>
      <c r="J40" s="3" t="s">
        <v>41</v>
      </c>
      <c r="K40" s="4">
        <v>46296</v>
      </c>
      <c r="L40" s="4">
        <v>46296</v>
      </c>
      <c r="M40" s="3" t="s">
        <v>293</v>
      </c>
      <c r="N40" s="3" t="s">
        <v>1318</v>
      </c>
    </row>
    <row r="41" spans="1:14">
      <c r="A41" s="3">
        <v>38</v>
      </c>
      <c r="B41" s="3" t="s">
        <v>1350</v>
      </c>
      <c r="C41" s="4">
        <v>46280</v>
      </c>
      <c r="D41" s="3" t="s">
        <v>102</v>
      </c>
      <c r="E41" s="5" t="s">
        <v>1257</v>
      </c>
      <c r="F41" s="5" t="s">
        <v>162</v>
      </c>
      <c r="G41" s="3" t="s">
        <v>27</v>
      </c>
      <c r="H41" s="3" t="s">
        <v>38</v>
      </c>
      <c r="I41" s="3" t="s">
        <v>28</v>
      </c>
      <c r="J41" s="3" t="s">
        <v>41</v>
      </c>
      <c r="K41" s="4">
        <v>46312</v>
      </c>
      <c r="L41" s="4">
        <v>46298</v>
      </c>
      <c r="M41" s="3" t="s">
        <v>293</v>
      </c>
      <c r="N41" s="3" t="s">
        <v>1315</v>
      </c>
    </row>
    <row r="42" spans="1:14">
      <c r="A42" s="3">
        <v>39</v>
      </c>
      <c r="B42" s="3" t="s">
        <v>1351</v>
      </c>
      <c r="C42" s="4">
        <v>46300</v>
      </c>
      <c r="D42" s="3" t="s">
        <v>106</v>
      </c>
      <c r="E42" s="5" t="s">
        <v>1257</v>
      </c>
      <c r="F42" s="5" t="s">
        <v>154</v>
      </c>
      <c r="G42" s="3" t="s">
        <v>50</v>
      </c>
      <c r="H42" s="3" t="s">
        <v>57</v>
      </c>
      <c r="I42" s="3" t="s">
        <v>15</v>
      </c>
      <c r="J42" s="3" t="s">
        <v>62</v>
      </c>
      <c r="K42" s="4">
        <v>46333</v>
      </c>
      <c r="L42" s="4">
        <v>46342</v>
      </c>
      <c r="M42" s="3" t="s">
        <v>293</v>
      </c>
      <c r="N42" s="3" t="s">
        <v>1330</v>
      </c>
    </row>
    <row r="43" spans="1:14">
      <c r="A43" s="3">
        <v>40</v>
      </c>
      <c r="B43" s="3" t="s">
        <v>1352</v>
      </c>
      <c r="C43" s="4">
        <v>46322</v>
      </c>
      <c r="D43" s="3" t="s">
        <v>106</v>
      </c>
      <c r="E43" s="5" t="s">
        <v>1252</v>
      </c>
      <c r="F43" s="5" t="s">
        <v>154</v>
      </c>
      <c r="G43" s="3" t="s">
        <v>46</v>
      </c>
      <c r="H43" s="3" t="s">
        <v>4</v>
      </c>
      <c r="I43" s="3" t="s">
        <v>36</v>
      </c>
      <c r="J43" s="3" t="s">
        <v>62</v>
      </c>
      <c r="K43" s="4">
        <v>46330</v>
      </c>
      <c r="L43" s="4">
        <v>46348</v>
      </c>
      <c r="M43" s="3" t="s">
        <v>293</v>
      </c>
      <c r="N43" s="3" t="s">
        <v>1312</v>
      </c>
    </row>
    <row r="44" spans="1:14">
      <c r="A44" s="3">
        <v>41</v>
      </c>
      <c r="B44" s="3" t="s">
        <v>1353</v>
      </c>
      <c r="C44" s="4">
        <v>46303</v>
      </c>
      <c r="D44" s="3" t="s">
        <v>106</v>
      </c>
      <c r="E44" s="5" t="s">
        <v>1254</v>
      </c>
      <c r="F44" s="5" t="s">
        <v>154</v>
      </c>
      <c r="G44" s="3" t="s">
        <v>46</v>
      </c>
      <c r="H44" s="3" t="s">
        <v>57</v>
      </c>
      <c r="I44" s="3" t="s">
        <v>66</v>
      </c>
      <c r="J44" s="3" t="s">
        <v>22</v>
      </c>
      <c r="K44" s="4">
        <v>46329</v>
      </c>
      <c r="L44" s="4">
        <v>46343</v>
      </c>
      <c r="M44" s="3" t="s">
        <v>293</v>
      </c>
      <c r="N44" s="3" t="s">
        <v>1318</v>
      </c>
    </row>
    <row r="45" spans="1:14">
      <c r="A45" s="3">
        <v>42</v>
      </c>
      <c r="B45" s="3" t="s">
        <v>1354</v>
      </c>
      <c r="C45" s="4">
        <v>46303</v>
      </c>
      <c r="D45" s="3" t="s">
        <v>106</v>
      </c>
      <c r="E45" s="5" t="s">
        <v>1246</v>
      </c>
      <c r="F45" s="5" t="s">
        <v>154</v>
      </c>
      <c r="G45" s="3" t="s">
        <v>65</v>
      </c>
      <c r="H45" s="3" t="s">
        <v>20</v>
      </c>
      <c r="I45" s="3" t="s">
        <v>104</v>
      </c>
      <c r="J45" s="3" t="s">
        <v>32</v>
      </c>
      <c r="K45" s="4">
        <v>46320</v>
      </c>
      <c r="L45" s="4">
        <v>46309</v>
      </c>
      <c r="M45" s="3" t="s">
        <v>293</v>
      </c>
      <c r="N45" s="3" t="s">
        <v>296</v>
      </c>
    </row>
    <row r="46" spans="1:14">
      <c r="A46" s="3">
        <v>43</v>
      </c>
      <c r="B46" s="3" t="s">
        <v>1355</v>
      </c>
      <c r="C46" s="4">
        <v>46343</v>
      </c>
      <c r="D46" s="3" t="s">
        <v>111</v>
      </c>
      <c r="E46" s="5" t="s">
        <v>1248</v>
      </c>
      <c r="F46" s="5" t="s">
        <v>162</v>
      </c>
      <c r="G46" s="3" t="s">
        <v>65</v>
      </c>
      <c r="H46" s="3" t="s">
        <v>61</v>
      </c>
      <c r="I46" s="3" t="s">
        <v>7</v>
      </c>
      <c r="J46" s="3" t="s">
        <v>62</v>
      </c>
      <c r="K46" s="4">
        <v>46359</v>
      </c>
      <c r="L46" s="4">
        <v>46348</v>
      </c>
      <c r="M46" s="3" t="s">
        <v>293</v>
      </c>
      <c r="N46" s="3" t="s">
        <v>296</v>
      </c>
    </row>
    <row r="47" spans="1:14">
      <c r="A47" s="3">
        <v>44</v>
      </c>
      <c r="B47" s="3" t="s">
        <v>1356</v>
      </c>
      <c r="C47" s="4">
        <v>46352</v>
      </c>
      <c r="D47" s="3" t="s">
        <v>111</v>
      </c>
      <c r="E47" s="5" t="s">
        <v>1252</v>
      </c>
      <c r="F47" s="5" t="s">
        <v>142</v>
      </c>
      <c r="G47" s="3" t="s">
        <v>39</v>
      </c>
      <c r="H47" s="3" t="s">
        <v>16</v>
      </c>
      <c r="I47" s="3" t="s">
        <v>104</v>
      </c>
      <c r="J47" s="3" t="s">
        <v>93</v>
      </c>
      <c r="K47" s="4">
        <v>46389</v>
      </c>
      <c r="L47" s="4">
        <v>46396</v>
      </c>
      <c r="M47" s="3" t="s">
        <v>293</v>
      </c>
      <c r="N47" s="3" t="s">
        <v>1318</v>
      </c>
    </row>
    <row r="48" spans="1:14">
      <c r="A48" s="3">
        <v>45</v>
      </c>
      <c r="B48" s="3" t="s">
        <v>1357</v>
      </c>
      <c r="C48" s="4">
        <v>46336</v>
      </c>
      <c r="D48" s="3" t="s">
        <v>111</v>
      </c>
      <c r="E48" s="5" t="s">
        <v>1248</v>
      </c>
      <c r="F48" s="5" t="s">
        <v>154</v>
      </c>
      <c r="G48" s="3" t="s">
        <v>5</v>
      </c>
      <c r="H48" s="3" t="s">
        <v>57</v>
      </c>
      <c r="I48" s="3" t="s">
        <v>68</v>
      </c>
      <c r="J48" s="3" t="s">
        <v>104</v>
      </c>
      <c r="K48" s="4">
        <v>46342</v>
      </c>
      <c r="L48" s="4">
        <v>46351</v>
      </c>
      <c r="M48" s="3" t="s">
        <v>293</v>
      </c>
      <c r="N48" s="3" t="s">
        <v>296</v>
      </c>
    </row>
    <row r="49" spans="1:14">
      <c r="A49" s="3">
        <v>46</v>
      </c>
      <c r="B49" s="3" t="s">
        <v>1358</v>
      </c>
      <c r="C49" s="4">
        <v>46376</v>
      </c>
      <c r="D49" s="3" t="s">
        <v>122</v>
      </c>
      <c r="E49" s="5" t="s">
        <v>1254</v>
      </c>
      <c r="F49" s="5" t="s">
        <v>159</v>
      </c>
      <c r="G49" s="3" t="s">
        <v>27</v>
      </c>
      <c r="H49" s="3" t="s">
        <v>26</v>
      </c>
      <c r="I49" s="3" t="s">
        <v>22</v>
      </c>
      <c r="J49" s="3" t="s">
        <v>41</v>
      </c>
      <c r="K49" s="4">
        <v>46404</v>
      </c>
      <c r="L49" s="4">
        <v>46409</v>
      </c>
      <c r="M49" s="3" t="s">
        <v>293</v>
      </c>
      <c r="N49" s="3" t="s">
        <v>1310</v>
      </c>
    </row>
    <row r="50" spans="1:14">
      <c r="A50" s="3">
        <v>47</v>
      </c>
      <c r="B50" s="3" t="s">
        <v>1359</v>
      </c>
      <c r="C50" s="4">
        <v>46360</v>
      </c>
      <c r="D50" s="3" t="s">
        <v>122</v>
      </c>
      <c r="E50" s="5" t="s">
        <v>1248</v>
      </c>
      <c r="F50" s="5" t="s">
        <v>159</v>
      </c>
      <c r="G50" s="3" t="s">
        <v>39</v>
      </c>
      <c r="H50" s="3" t="s">
        <v>45</v>
      </c>
      <c r="I50" s="3" t="s">
        <v>62</v>
      </c>
      <c r="J50" s="3" t="s">
        <v>28</v>
      </c>
      <c r="K50" s="4">
        <v>46372</v>
      </c>
      <c r="L50" s="4">
        <v>46404</v>
      </c>
      <c r="M50" s="3" t="s">
        <v>293</v>
      </c>
      <c r="N50" s="3" t="s">
        <v>300</v>
      </c>
    </row>
    <row r="51" spans="1:14">
      <c r="A51" s="3">
        <v>48</v>
      </c>
      <c r="B51" s="3" t="s">
        <v>1360</v>
      </c>
      <c r="C51" s="4">
        <v>46363</v>
      </c>
      <c r="D51" s="3" t="s">
        <v>122</v>
      </c>
      <c r="E51" s="5" t="s">
        <v>1257</v>
      </c>
      <c r="F51" s="5" t="s">
        <v>154</v>
      </c>
      <c r="G51" s="3" t="s">
        <v>65</v>
      </c>
      <c r="H51" s="3" t="s">
        <v>91</v>
      </c>
      <c r="I51" s="3" t="s">
        <v>68</v>
      </c>
      <c r="J51" s="3" t="s">
        <v>28</v>
      </c>
      <c r="K51" s="4">
        <v>46384</v>
      </c>
      <c r="L51" s="4">
        <v>46394</v>
      </c>
      <c r="M51" s="3" t="s">
        <v>293</v>
      </c>
      <c r="N51" s="3" t="s">
        <v>300</v>
      </c>
    </row>
  </sheetData>
  <mergeCells count="2">
    <mergeCell ref="A1:N1"/>
    <mergeCell ref="A2:N2"/>
  </mergeCells>
  <dataValidations count="3">
    <dataValidation type="list" allowBlank="1" showInputMessage="1" showErrorMessage="1" sqref="G4:G5003">
      <formula1>L_Dept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F4:F5003">
      <formula1>L_Risk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2.7109375" customWidth="1"/>
    <col min="3" max="4" width="9.7109375" customWidth="1"/>
    <col min="5" max="5" width="13.7109375" customWidth="1"/>
    <col min="6" max="6" width="12.7109375" customWidth="1"/>
    <col min="7" max="7" width="10.7109375" customWidth="1"/>
    <col min="8" max="8" width="13.7109375" customWidth="1"/>
    <col min="9" max="9" width="12.7109375" customWidth="1"/>
    <col min="10" max="10" width="18.7109375" customWidth="1"/>
    <col min="11" max="11" width="19.7109375" customWidth="1"/>
    <col min="12" max="12" width="10.7109375" customWidth="1"/>
    <col min="13" max="13" width="9.7109375" customWidth="1"/>
  </cols>
  <sheetData>
    <row r="1" spans="1:15" ht="22" customHeight="1">
      <c r="A1" s="1" t="s">
        <v>1366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O1" s="2" t="s">
        <v>139</v>
      </c>
    </row>
    <row r="2" spans="1:1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5">
      <c r="A3" t="s">
        <v>124</v>
      </c>
      <c r="B3" t="s">
        <v>1425</v>
      </c>
      <c r="C3" t="s">
        <v>126</v>
      </c>
      <c r="D3" t="s">
        <v>127</v>
      </c>
      <c r="E3" t="s">
        <v>352</v>
      </c>
      <c r="F3" t="s">
        <v>129</v>
      </c>
      <c r="G3" t="s">
        <v>130</v>
      </c>
      <c r="H3" t="s">
        <v>1426</v>
      </c>
      <c r="I3" t="s">
        <v>210</v>
      </c>
      <c r="J3" t="s">
        <v>1427</v>
      </c>
      <c r="K3" t="s">
        <v>413</v>
      </c>
      <c r="L3" t="s">
        <v>357</v>
      </c>
      <c r="M3" t="s">
        <v>287</v>
      </c>
    </row>
    <row r="4" spans="1:15">
      <c r="A4" s="3">
        <v>1</v>
      </c>
      <c r="B4" s="3" t="s">
        <v>1367</v>
      </c>
      <c r="C4" s="4">
        <v>46032</v>
      </c>
      <c r="D4" s="3" t="s">
        <v>3</v>
      </c>
      <c r="E4" s="5" t="s">
        <v>1368</v>
      </c>
      <c r="F4" s="5" t="s">
        <v>89</v>
      </c>
      <c r="G4" s="3" t="s">
        <v>82</v>
      </c>
      <c r="H4" s="3" t="s">
        <v>32</v>
      </c>
      <c r="I4" s="3" t="s">
        <v>142</v>
      </c>
      <c r="J4" s="3" t="s">
        <v>26</v>
      </c>
      <c r="K4" s="3" t="s">
        <v>64</v>
      </c>
      <c r="L4" s="4">
        <v>46068</v>
      </c>
      <c r="M4" s="3" t="s">
        <v>293</v>
      </c>
    </row>
    <row r="5" spans="1:15">
      <c r="A5" s="3">
        <v>2</v>
      </c>
      <c r="B5" s="3" t="s">
        <v>1369</v>
      </c>
      <c r="C5" s="4">
        <v>46038</v>
      </c>
      <c r="D5" s="3" t="s">
        <v>3</v>
      </c>
      <c r="E5" s="5" t="s">
        <v>1370</v>
      </c>
      <c r="F5" s="5" t="s">
        <v>39</v>
      </c>
      <c r="G5" s="3" t="s">
        <v>77</v>
      </c>
      <c r="H5" s="3" t="s">
        <v>22</v>
      </c>
      <c r="I5" s="3" t="s">
        <v>142</v>
      </c>
      <c r="J5" s="3" t="s">
        <v>30</v>
      </c>
      <c r="K5" s="3" t="s">
        <v>54</v>
      </c>
      <c r="L5" s="4">
        <v>46057</v>
      </c>
      <c r="M5" s="3" t="s">
        <v>293</v>
      </c>
    </row>
    <row r="6" spans="1:15">
      <c r="A6" s="3">
        <v>3</v>
      </c>
      <c r="B6" s="3" t="s">
        <v>1371</v>
      </c>
      <c r="C6" s="4">
        <v>46027</v>
      </c>
      <c r="D6" s="3" t="s">
        <v>3</v>
      </c>
      <c r="E6" s="5" t="s">
        <v>1372</v>
      </c>
      <c r="F6" s="5" t="s">
        <v>5</v>
      </c>
      <c r="G6" s="3" t="s">
        <v>6</v>
      </c>
      <c r="H6" s="3" t="s">
        <v>22</v>
      </c>
      <c r="I6" s="3" t="s">
        <v>154</v>
      </c>
      <c r="J6" s="3" t="s">
        <v>12</v>
      </c>
      <c r="K6" s="3" t="s">
        <v>45</v>
      </c>
      <c r="L6" s="4">
        <v>46037</v>
      </c>
      <c r="M6" s="3" t="s">
        <v>254</v>
      </c>
    </row>
    <row r="7" spans="1:15">
      <c r="A7" s="3">
        <v>4</v>
      </c>
      <c r="B7" s="3" t="s">
        <v>1373</v>
      </c>
      <c r="C7" s="4">
        <v>46049</v>
      </c>
      <c r="D7" s="3" t="s">
        <v>3</v>
      </c>
      <c r="E7" s="5" t="s">
        <v>1368</v>
      </c>
      <c r="F7" s="5" t="s">
        <v>5</v>
      </c>
      <c r="G7" s="3" t="s">
        <v>51</v>
      </c>
      <c r="H7" s="3" t="s">
        <v>68</v>
      </c>
      <c r="I7" s="3" t="s">
        <v>142</v>
      </c>
      <c r="J7" s="3" t="s">
        <v>54</v>
      </c>
      <c r="K7" s="3" t="s">
        <v>20</v>
      </c>
      <c r="L7" s="4">
        <v>46080</v>
      </c>
      <c r="M7" s="3" t="s">
        <v>254</v>
      </c>
    </row>
    <row r="8" spans="1:15">
      <c r="A8" s="3">
        <v>5</v>
      </c>
      <c r="B8" s="3" t="s">
        <v>1374</v>
      </c>
      <c r="C8" s="4">
        <v>46076</v>
      </c>
      <c r="D8" s="3" t="s">
        <v>19</v>
      </c>
      <c r="E8" s="5" t="s">
        <v>1375</v>
      </c>
      <c r="F8" s="5" t="s">
        <v>46</v>
      </c>
      <c r="G8" s="3" t="s">
        <v>31</v>
      </c>
      <c r="H8" s="3" t="s">
        <v>104</v>
      </c>
      <c r="I8" s="3" t="s">
        <v>162</v>
      </c>
      <c r="J8" s="3" t="s">
        <v>57</v>
      </c>
      <c r="K8" s="3" t="s">
        <v>4</v>
      </c>
      <c r="L8" s="4">
        <v>46101</v>
      </c>
      <c r="M8" s="3" t="s">
        <v>293</v>
      </c>
    </row>
    <row r="9" spans="1:15">
      <c r="A9" s="3">
        <v>6</v>
      </c>
      <c r="B9" s="3" t="s">
        <v>1376</v>
      </c>
      <c r="C9" s="4">
        <v>46064</v>
      </c>
      <c r="D9" s="3" t="s">
        <v>19</v>
      </c>
      <c r="E9" s="5" t="s">
        <v>1377</v>
      </c>
      <c r="F9" s="5" t="s">
        <v>46</v>
      </c>
      <c r="G9" s="3" t="s">
        <v>40</v>
      </c>
      <c r="H9" s="3" t="s">
        <v>93</v>
      </c>
      <c r="I9" s="3" t="s">
        <v>159</v>
      </c>
      <c r="J9" s="3" t="s">
        <v>16</v>
      </c>
      <c r="K9" s="3" t="s">
        <v>16</v>
      </c>
      <c r="L9" s="4">
        <v>46104</v>
      </c>
      <c r="M9" s="3" t="s">
        <v>254</v>
      </c>
    </row>
    <row r="10" spans="1:15">
      <c r="A10" s="3">
        <v>7</v>
      </c>
      <c r="B10" s="3" t="s">
        <v>1378</v>
      </c>
      <c r="C10" s="4">
        <v>46056</v>
      </c>
      <c r="D10" s="3" t="s">
        <v>19</v>
      </c>
      <c r="E10" s="5" t="s">
        <v>1379</v>
      </c>
      <c r="F10" s="5" t="s">
        <v>89</v>
      </c>
      <c r="G10" s="3" t="s">
        <v>51</v>
      </c>
      <c r="H10" s="3" t="s">
        <v>15</v>
      </c>
      <c r="I10" s="3" t="s">
        <v>154</v>
      </c>
      <c r="J10" s="3" t="s">
        <v>26</v>
      </c>
      <c r="K10" s="3" t="s">
        <v>38</v>
      </c>
      <c r="L10" s="4">
        <v>46081</v>
      </c>
      <c r="M10" s="3" t="s">
        <v>254</v>
      </c>
    </row>
    <row r="11" spans="1:15">
      <c r="A11" s="3">
        <v>8</v>
      </c>
      <c r="B11" s="3" t="s">
        <v>1380</v>
      </c>
      <c r="C11" s="4">
        <v>46074</v>
      </c>
      <c r="D11" s="3" t="s">
        <v>19</v>
      </c>
      <c r="E11" s="5" t="s">
        <v>1381</v>
      </c>
      <c r="F11" s="5" t="s">
        <v>39</v>
      </c>
      <c r="G11" s="3" t="s">
        <v>35</v>
      </c>
      <c r="H11" s="3" t="s">
        <v>22</v>
      </c>
      <c r="I11" s="3" t="s">
        <v>154</v>
      </c>
      <c r="J11" s="3" t="s">
        <v>49</v>
      </c>
      <c r="K11" s="3" t="s">
        <v>26</v>
      </c>
      <c r="L11" s="4">
        <v>46094</v>
      </c>
      <c r="M11" s="3" t="s">
        <v>293</v>
      </c>
    </row>
    <row r="12" spans="1:15">
      <c r="A12" s="3">
        <v>9</v>
      </c>
      <c r="B12" s="3" t="s">
        <v>1382</v>
      </c>
      <c r="C12" s="4">
        <v>46084</v>
      </c>
      <c r="D12" s="3" t="s">
        <v>44</v>
      </c>
      <c r="E12" s="5" t="s">
        <v>1372</v>
      </c>
      <c r="F12" s="5" t="s">
        <v>58</v>
      </c>
      <c r="G12" s="3" t="s">
        <v>35</v>
      </c>
      <c r="H12" s="3" t="s">
        <v>32</v>
      </c>
      <c r="I12" s="3" t="s">
        <v>142</v>
      </c>
      <c r="J12" s="3" t="s">
        <v>16</v>
      </c>
      <c r="K12" s="3" t="s">
        <v>30</v>
      </c>
      <c r="L12" s="4">
        <v>46112</v>
      </c>
      <c r="M12" s="3" t="s">
        <v>297</v>
      </c>
    </row>
    <row r="13" spans="1:15">
      <c r="A13" s="3">
        <v>10</v>
      </c>
      <c r="B13" s="3" t="s">
        <v>1383</v>
      </c>
      <c r="C13" s="4">
        <v>46101</v>
      </c>
      <c r="D13" s="3" t="s">
        <v>44</v>
      </c>
      <c r="E13" s="5" t="s">
        <v>1384</v>
      </c>
      <c r="F13" s="5" t="s">
        <v>13</v>
      </c>
      <c r="G13" s="3" t="s">
        <v>31</v>
      </c>
      <c r="H13" s="3" t="s">
        <v>78</v>
      </c>
      <c r="I13" s="3" t="s">
        <v>142</v>
      </c>
      <c r="J13" s="3" t="s">
        <v>4</v>
      </c>
      <c r="K13" s="3" t="s">
        <v>91</v>
      </c>
      <c r="L13" s="4">
        <v>46134</v>
      </c>
      <c r="M13" s="3" t="s">
        <v>293</v>
      </c>
    </row>
    <row r="14" spans="1:15">
      <c r="A14" s="3">
        <v>11</v>
      </c>
      <c r="B14" s="3" t="s">
        <v>1385</v>
      </c>
      <c r="C14" s="4">
        <v>46109</v>
      </c>
      <c r="D14" s="3" t="s">
        <v>44</v>
      </c>
      <c r="E14" s="5" t="s">
        <v>1379</v>
      </c>
      <c r="F14" s="5" t="s">
        <v>39</v>
      </c>
      <c r="G14" s="3" t="s">
        <v>51</v>
      </c>
      <c r="H14" s="3" t="s">
        <v>32</v>
      </c>
      <c r="I14" s="3" t="s">
        <v>154</v>
      </c>
      <c r="J14" s="3" t="s">
        <v>4</v>
      </c>
      <c r="K14" s="3" t="s">
        <v>61</v>
      </c>
      <c r="L14" s="4">
        <v>46125</v>
      </c>
      <c r="M14" s="3" t="s">
        <v>293</v>
      </c>
    </row>
    <row r="15" spans="1:15">
      <c r="A15" s="3">
        <v>12</v>
      </c>
      <c r="B15" s="3" t="s">
        <v>1386</v>
      </c>
      <c r="C15" s="4">
        <v>46108</v>
      </c>
      <c r="D15" s="3" t="s">
        <v>44</v>
      </c>
      <c r="E15" s="5" t="s">
        <v>1368</v>
      </c>
      <c r="F15" s="5" t="s">
        <v>89</v>
      </c>
      <c r="G15" s="3" t="s">
        <v>82</v>
      </c>
      <c r="H15" s="3" t="s">
        <v>41</v>
      </c>
      <c r="I15" s="3" t="s">
        <v>154</v>
      </c>
      <c r="J15" s="3" t="s">
        <v>91</v>
      </c>
      <c r="K15" s="3" t="s">
        <v>49</v>
      </c>
      <c r="L15" s="4">
        <v>46126</v>
      </c>
      <c r="M15" s="3" t="s">
        <v>293</v>
      </c>
    </row>
    <row r="16" spans="1:15">
      <c r="A16" s="3">
        <v>13</v>
      </c>
      <c r="B16" s="3" t="s">
        <v>1387</v>
      </c>
      <c r="C16" s="4">
        <v>46085</v>
      </c>
      <c r="D16" s="3" t="s">
        <v>44</v>
      </c>
      <c r="E16" s="5" t="s">
        <v>1372</v>
      </c>
      <c r="F16" s="5" t="s">
        <v>46</v>
      </c>
      <c r="G16" s="3" t="s">
        <v>82</v>
      </c>
      <c r="H16" s="3" t="s">
        <v>66</v>
      </c>
      <c r="I16" s="3" t="s">
        <v>154</v>
      </c>
      <c r="J16" s="3" t="s">
        <v>26</v>
      </c>
      <c r="K16" s="3" t="s">
        <v>4</v>
      </c>
      <c r="L16" s="4">
        <v>46130</v>
      </c>
      <c r="M16" s="3" t="s">
        <v>293</v>
      </c>
    </row>
    <row r="17" spans="1:13">
      <c r="A17" s="3">
        <v>14</v>
      </c>
      <c r="B17" s="3" t="s">
        <v>1388</v>
      </c>
      <c r="C17" s="4">
        <v>46102</v>
      </c>
      <c r="D17" s="3" t="s">
        <v>44</v>
      </c>
      <c r="E17" s="5" t="s">
        <v>1375</v>
      </c>
      <c r="F17" s="5" t="s">
        <v>50</v>
      </c>
      <c r="G17" s="3" t="s">
        <v>87</v>
      </c>
      <c r="H17" s="3" t="s">
        <v>7</v>
      </c>
      <c r="I17" s="3" t="s">
        <v>159</v>
      </c>
      <c r="J17" s="3" t="s">
        <v>16</v>
      </c>
      <c r="K17" s="3" t="s">
        <v>30</v>
      </c>
      <c r="L17" s="4">
        <v>46119</v>
      </c>
      <c r="M17" s="3" t="s">
        <v>293</v>
      </c>
    </row>
    <row r="18" spans="1:13">
      <c r="A18" s="3">
        <v>15</v>
      </c>
      <c r="B18" s="3" t="s">
        <v>1389</v>
      </c>
      <c r="C18" s="4">
        <v>46136</v>
      </c>
      <c r="D18" s="3" t="s">
        <v>53</v>
      </c>
      <c r="E18" s="5" t="s">
        <v>1368</v>
      </c>
      <c r="F18" s="5" t="s">
        <v>65</v>
      </c>
      <c r="G18" s="3" t="s">
        <v>6</v>
      </c>
      <c r="H18" s="3" t="s">
        <v>78</v>
      </c>
      <c r="I18" s="3" t="s">
        <v>142</v>
      </c>
      <c r="J18" s="3" t="s">
        <v>26</v>
      </c>
      <c r="K18" s="3" t="s">
        <v>4</v>
      </c>
      <c r="L18" s="4">
        <v>46141</v>
      </c>
      <c r="M18" s="3" t="s">
        <v>293</v>
      </c>
    </row>
    <row r="19" spans="1:13">
      <c r="A19" s="3">
        <v>16</v>
      </c>
      <c r="B19" s="3" t="s">
        <v>1390</v>
      </c>
      <c r="C19" s="4">
        <v>46123</v>
      </c>
      <c r="D19" s="3" t="s">
        <v>53</v>
      </c>
      <c r="E19" s="5" t="s">
        <v>1370</v>
      </c>
      <c r="F19" s="5" t="s">
        <v>65</v>
      </c>
      <c r="G19" s="3" t="s">
        <v>95</v>
      </c>
      <c r="H19" s="3" t="s">
        <v>70</v>
      </c>
      <c r="I19" s="3" t="s">
        <v>142</v>
      </c>
      <c r="J19" s="3" t="s">
        <v>45</v>
      </c>
      <c r="K19" s="3" t="s">
        <v>54</v>
      </c>
      <c r="L19" s="4">
        <v>46131</v>
      </c>
      <c r="M19" s="3" t="s">
        <v>297</v>
      </c>
    </row>
    <row r="20" spans="1:13">
      <c r="A20" s="3">
        <v>17</v>
      </c>
      <c r="B20" s="3" t="s">
        <v>1391</v>
      </c>
      <c r="C20" s="4">
        <v>46134</v>
      </c>
      <c r="D20" s="3" t="s">
        <v>53</v>
      </c>
      <c r="E20" s="5" t="s">
        <v>1368</v>
      </c>
      <c r="F20" s="5" t="s">
        <v>27</v>
      </c>
      <c r="G20" s="3" t="s">
        <v>35</v>
      </c>
      <c r="H20" s="3" t="s">
        <v>7</v>
      </c>
      <c r="I20" s="3" t="s">
        <v>154</v>
      </c>
      <c r="J20" s="3" t="s">
        <v>30</v>
      </c>
      <c r="K20" s="3" t="s">
        <v>64</v>
      </c>
      <c r="L20" s="4">
        <v>46170</v>
      </c>
      <c r="M20" s="3" t="s">
        <v>293</v>
      </c>
    </row>
    <row r="21" spans="1:13">
      <c r="A21" s="3">
        <v>18</v>
      </c>
      <c r="B21" s="3" t="s">
        <v>1392</v>
      </c>
      <c r="C21" s="4">
        <v>46130</v>
      </c>
      <c r="D21" s="3" t="s">
        <v>53</v>
      </c>
      <c r="E21" s="5" t="s">
        <v>1379</v>
      </c>
      <c r="F21" s="5" t="s">
        <v>27</v>
      </c>
      <c r="G21" s="3" t="s">
        <v>82</v>
      </c>
      <c r="H21" s="3" t="s">
        <v>22</v>
      </c>
      <c r="I21" s="3" t="s">
        <v>159</v>
      </c>
      <c r="J21" s="3" t="s">
        <v>30</v>
      </c>
      <c r="K21" s="3" t="s">
        <v>49</v>
      </c>
      <c r="L21" s="4">
        <v>46145</v>
      </c>
      <c r="M21" s="3" t="s">
        <v>293</v>
      </c>
    </row>
    <row r="22" spans="1:13">
      <c r="A22" s="3">
        <v>19</v>
      </c>
      <c r="B22" s="3" t="s">
        <v>1393</v>
      </c>
      <c r="C22" s="4">
        <v>46140</v>
      </c>
      <c r="D22" s="3" t="s">
        <v>53</v>
      </c>
      <c r="E22" s="5" t="s">
        <v>1377</v>
      </c>
      <c r="F22" s="5" t="s">
        <v>50</v>
      </c>
      <c r="G22" s="3" t="s">
        <v>51</v>
      </c>
      <c r="H22" s="3" t="s">
        <v>104</v>
      </c>
      <c r="I22" s="3" t="s">
        <v>154</v>
      </c>
      <c r="J22" s="3" t="s">
        <v>4</v>
      </c>
      <c r="K22" s="3" t="s">
        <v>12</v>
      </c>
      <c r="L22" s="4">
        <v>46154</v>
      </c>
      <c r="M22" s="3" t="s">
        <v>293</v>
      </c>
    </row>
    <row r="23" spans="1:13">
      <c r="A23" s="3">
        <v>20</v>
      </c>
      <c r="B23" s="3" t="s">
        <v>1394</v>
      </c>
      <c r="C23" s="4">
        <v>46120</v>
      </c>
      <c r="D23" s="3" t="s">
        <v>53</v>
      </c>
      <c r="E23" s="5" t="s">
        <v>1395</v>
      </c>
      <c r="F23" s="5" t="s">
        <v>13</v>
      </c>
      <c r="G23" s="3" t="s">
        <v>77</v>
      </c>
      <c r="H23" s="3" t="s">
        <v>15</v>
      </c>
      <c r="I23" s="3" t="s">
        <v>142</v>
      </c>
      <c r="J23" s="3" t="s">
        <v>20</v>
      </c>
      <c r="K23" s="3" t="s">
        <v>4</v>
      </c>
      <c r="L23" s="4">
        <v>46163</v>
      </c>
      <c r="M23" s="3" t="s">
        <v>293</v>
      </c>
    </row>
    <row r="24" spans="1:13">
      <c r="A24" s="3">
        <v>21</v>
      </c>
      <c r="B24" s="3" t="s">
        <v>1396</v>
      </c>
      <c r="C24" s="4">
        <v>46146</v>
      </c>
      <c r="D24" s="3" t="s">
        <v>60</v>
      </c>
      <c r="E24" s="5" t="s">
        <v>1381</v>
      </c>
      <c r="F24" s="5" t="s">
        <v>39</v>
      </c>
      <c r="G24" s="3" t="s">
        <v>95</v>
      </c>
      <c r="H24" s="3" t="s">
        <v>22</v>
      </c>
      <c r="I24" s="3" t="s">
        <v>154</v>
      </c>
      <c r="J24" s="3" t="s">
        <v>4</v>
      </c>
      <c r="K24" s="3" t="s">
        <v>91</v>
      </c>
      <c r="L24" s="4">
        <v>46156</v>
      </c>
      <c r="M24" s="3" t="s">
        <v>293</v>
      </c>
    </row>
    <row r="25" spans="1:13">
      <c r="A25" s="3">
        <v>22</v>
      </c>
      <c r="B25" s="3" t="s">
        <v>1397</v>
      </c>
      <c r="C25" s="4">
        <v>46153</v>
      </c>
      <c r="D25" s="3" t="s">
        <v>60</v>
      </c>
      <c r="E25" s="5" t="s">
        <v>1370</v>
      </c>
      <c r="F25" s="5" t="s">
        <v>89</v>
      </c>
      <c r="G25" s="3" t="s">
        <v>95</v>
      </c>
      <c r="H25" s="3" t="s">
        <v>28</v>
      </c>
      <c r="I25" s="3" t="s">
        <v>142</v>
      </c>
      <c r="J25" s="3" t="s">
        <v>26</v>
      </c>
      <c r="K25" s="3" t="s">
        <v>64</v>
      </c>
      <c r="L25" s="4">
        <v>46176</v>
      </c>
      <c r="M25" s="3" t="s">
        <v>293</v>
      </c>
    </row>
    <row r="26" spans="1:13">
      <c r="A26" s="3">
        <v>23</v>
      </c>
      <c r="B26" s="3" t="s">
        <v>1398</v>
      </c>
      <c r="C26" s="4">
        <v>46179</v>
      </c>
      <c r="D26" s="3" t="s">
        <v>73</v>
      </c>
      <c r="E26" s="5" t="s">
        <v>1384</v>
      </c>
      <c r="F26" s="5" t="s">
        <v>50</v>
      </c>
      <c r="G26" s="3" t="s">
        <v>35</v>
      </c>
      <c r="H26" s="3" t="s">
        <v>70</v>
      </c>
      <c r="I26" s="3" t="s">
        <v>142</v>
      </c>
      <c r="J26" s="3" t="s">
        <v>49</v>
      </c>
      <c r="K26" s="3" t="s">
        <v>20</v>
      </c>
      <c r="L26" s="4">
        <v>46215</v>
      </c>
      <c r="M26" s="3" t="s">
        <v>293</v>
      </c>
    </row>
    <row r="27" spans="1:13">
      <c r="A27" s="3">
        <v>24</v>
      </c>
      <c r="B27" s="3" t="s">
        <v>1399</v>
      </c>
      <c r="C27" s="4">
        <v>46201</v>
      </c>
      <c r="D27" s="3" t="s">
        <v>73</v>
      </c>
      <c r="E27" s="5" t="s">
        <v>1375</v>
      </c>
      <c r="F27" s="5" t="s">
        <v>65</v>
      </c>
      <c r="G27" s="3" t="s">
        <v>82</v>
      </c>
      <c r="H27" s="3" t="s">
        <v>36</v>
      </c>
      <c r="I27" s="3" t="s">
        <v>142</v>
      </c>
      <c r="J27" s="3" t="s">
        <v>57</v>
      </c>
      <c r="K27" s="3" t="s">
        <v>91</v>
      </c>
      <c r="L27" s="4">
        <v>46209</v>
      </c>
      <c r="M27" s="3" t="s">
        <v>293</v>
      </c>
    </row>
    <row r="28" spans="1:13">
      <c r="A28" s="3">
        <v>25</v>
      </c>
      <c r="B28" s="3" t="s">
        <v>1400</v>
      </c>
      <c r="C28" s="4">
        <v>46178</v>
      </c>
      <c r="D28" s="3" t="s">
        <v>73</v>
      </c>
      <c r="E28" s="5" t="s">
        <v>1375</v>
      </c>
      <c r="F28" s="5" t="s">
        <v>58</v>
      </c>
      <c r="G28" s="3" t="s">
        <v>82</v>
      </c>
      <c r="H28" s="3" t="s">
        <v>15</v>
      </c>
      <c r="I28" s="3" t="s">
        <v>154</v>
      </c>
      <c r="J28" s="3" t="s">
        <v>26</v>
      </c>
      <c r="K28" s="3" t="s">
        <v>4</v>
      </c>
      <c r="L28" s="4">
        <v>46223</v>
      </c>
      <c r="M28" s="3" t="s">
        <v>254</v>
      </c>
    </row>
    <row r="29" spans="1:13">
      <c r="A29" s="3">
        <v>26</v>
      </c>
      <c r="B29" s="3" t="s">
        <v>1401</v>
      </c>
      <c r="C29" s="4">
        <v>46208</v>
      </c>
      <c r="D29" s="3" t="s">
        <v>76</v>
      </c>
      <c r="E29" s="5" t="s">
        <v>1370</v>
      </c>
      <c r="F29" s="5" t="s">
        <v>65</v>
      </c>
      <c r="G29" s="3" t="s">
        <v>51</v>
      </c>
      <c r="H29" s="3" t="s">
        <v>41</v>
      </c>
      <c r="I29" s="3" t="s">
        <v>142</v>
      </c>
      <c r="J29" s="3" t="s">
        <v>91</v>
      </c>
      <c r="K29" s="3" t="s">
        <v>54</v>
      </c>
      <c r="L29" s="4">
        <v>46224</v>
      </c>
      <c r="M29" s="3" t="s">
        <v>238</v>
      </c>
    </row>
    <row r="30" spans="1:13">
      <c r="A30" s="3">
        <v>27</v>
      </c>
      <c r="B30" s="3" t="s">
        <v>1402</v>
      </c>
      <c r="C30" s="4">
        <v>46207</v>
      </c>
      <c r="D30" s="3" t="s">
        <v>76</v>
      </c>
      <c r="E30" s="5" t="s">
        <v>1379</v>
      </c>
      <c r="F30" s="5" t="s">
        <v>65</v>
      </c>
      <c r="G30" s="3" t="s">
        <v>87</v>
      </c>
      <c r="H30" s="3" t="s">
        <v>15</v>
      </c>
      <c r="I30" s="3" t="s">
        <v>159</v>
      </c>
      <c r="J30" s="3" t="s">
        <v>61</v>
      </c>
      <c r="K30" s="3" t="s">
        <v>4</v>
      </c>
      <c r="L30" s="4">
        <v>46252</v>
      </c>
      <c r="M30" s="3" t="s">
        <v>293</v>
      </c>
    </row>
    <row r="31" spans="1:13">
      <c r="A31" s="3">
        <v>28</v>
      </c>
      <c r="B31" s="3" t="s">
        <v>1403</v>
      </c>
      <c r="C31" s="4">
        <v>46205</v>
      </c>
      <c r="D31" s="3" t="s">
        <v>76</v>
      </c>
      <c r="E31" s="5" t="s">
        <v>1375</v>
      </c>
      <c r="F31" s="5" t="s">
        <v>13</v>
      </c>
      <c r="G31" s="3" t="s">
        <v>6</v>
      </c>
      <c r="H31" s="3" t="s">
        <v>93</v>
      </c>
      <c r="I31" s="3" t="s">
        <v>159</v>
      </c>
      <c r="J31" s="3" t="s">
        <v>38</v>
      </c>
      <c r="K31" s="3" t="s">
        <v>30</v>
      </c>
      <c r="L31" s="4">
        <v>46213</v>
      </c>
      <c r="M31" s="3" t="s">
        <v>297</v>
      </c>
    </row>
    <row r="32" spans="1:13">
      <c r="A32" s="3">
        <v>29</v>
      </c>
      <c r="B32" s="3" t="s">
        <v>1404</v>
      </c>
      <c r="C32" s="4">
        <v>46220</v>
      </c>
      <c r="D32" s="3" t="s">
        <v>76</v>
      </c>
      <c r="E32" s="5" t="s">
        <v>1381</v>
      </c>
      <c r="F32" s="5" t="s">
        <v>13</v>
      </c>
      <c r="G32" s="3" t="s">
        <v>82</v>
      </c>
      <c r="H32" s="3" t="s">
        <v>22</v>
      </c>
      <c r="I32" s="3" t="s">
        <v>159</v>
      </c>
      <c r="J32" s="3" t="s">
        <v>16</v>
      </c>
      <c r="K32" s="3" t="s">
        <v>61</v>
      </c>
      <c r="L32" s="4">
        <v>46245</v>
      </c>
      <c r="M32" s="3" t="s">
        <v>293</v>
      </c>
    </row>
    <row r="33" spans="1:13">
      <c r="A33" s="3">
        <v>30</v>
      </c>
      <c r="B33" s="3" t="s">
        <v>1405</v>
      </c>
      <c r="C33" s="4">
        <v>46260</v>
      </c>
      <c r="D33" s="3" t="s">
        <v>86</v>
      </c>
      <c r="E33" s="5" t="s">
        <v>1375</v>
      </c>
      <c r="F33" s="5" t="s">
        <v>27</v>
      </c>
      <c r="G33" s="3" t="s">
        <v>21</v>
      </c>
      <c r="H33" s="3" t="s">
        <v>66</v>
      </c>
      <c r="I33" s="3" t="s">
        <v>142</v>
      </c>
      <c r="J33" s="3" t="s">
        <v>20</v>
      </c>
      <c r="K33" s="3" t="s">
        <v>38</v>
      </c>
      <c r="L33" s="4">
        <v>46291</v>
      </c>
      <c r="M33" s="3" t="s">
        <v>254</v>
      </c>
    </row>
    <row r="34" spans="1:13">
      <c r="A34" s="3">
        <v>31</v>
      </c>
      <c r="B34" s="3" t="s">
        <v>1406</v>
      </c>
      <c r="C34" s="4">
        <v>46259</v>
      </c>
      <c r="D34" s="3" t="s">
        <v>86</v>
      </c>
      <c r="E34" s="5" t="s">
        <v>1377</v>
      </c>
      <c r="F34" s="5" t="s">
        <v>5</v>
      </c>
      <c r="G34" s="3" t="s">
        <v>40</v>
      </c>
      <c r="H34" s="3" t="s">
        <v>93</v>
      </c>
      <c r="I34" s="3" t="s">
        <v>142</v>
      </c>
      <c r="J34" s="3" t="s">
        <v>64</v>
      </c>
      <c r="K34" s="3" t="s">
        <v>26</v>
      </c>
      <c r="L34" s="4">
        <v>46271</v>
      </c>
      <c r="M34" s="3" t="s">
        <v>254</v>
      </c>
    </row>
    <row r="35" spans="1:13">
      <c r="A35" s="3">
        <v>32</v>
      </c>
      <c r="B35" s="3" t="s">
        <v>1407</v>
      </c>
      <c r="C35" s="4">
        <v>46256</v>
      </c>
      <c r="D35" s="3" t="s">
        <v>86</v>
      </c>
      <c r="E35" s="5" t="s">
        <v>1381</v>
      </c>
      <c r="F35" s="5" t="s">
        <v>89</v>
      </c>
      <c r="G35" s="3" t="s">
        <v>14</v>
      </c>
      <c r="H35" s="3" t="s">
        <v>36</v>
      </c>
      <c r="I35" s="3" t="s">
        <v>142</v>
      </c>
      <c r="J35" s="3" t="s">
        <v>12</v>
      </c>
      <c r="K35" s="3" t="s">
        <v>57</v>
      </c>
      <c r="L35" s="4">
        <v>46288</v>
      </c>
      <c r="M35" s="3" t="s">
        <v>297</v>
      </c>
    </row>
    <row r="36" spans="1:13">
      <c r="A36" s="3">
        <v>33</v>
      </c>
      <c r="B36" s="3" t="s">
        <v>1408</v>
      </c>
      <c r="C36" s="4">
        <v>46249</v>
      </c>
      <c r="D36" s="3" t="s">
        <v>86</v>
      </c>
      <c r="E36" s="5" t="s">
        <v>1395</v>
      </c>
      <c r="F36" s="5" t="s">
        <v>5</v>
      </c>
      <c r="G36" s="3" t="s">
        <v>6</v>
      </c>
      <c r="H36" s="3" t="s">
        <v>66</v>
      </c>
      <c r="I36" s="3" t="s">
        <v>159</v>
      </c>
      <c r="J36" s="3" t="s">
        <v>30</v>
      </c>
      <c r="K36" s="3" t="s">
        <v>30</v>
      </c>
      <c r="L36" s="4">
        <v>46273</v>
      </c>
      <c r="M36" s="3" t="s">
        <v>238</v>
      </c>
    </row>
    <row r="37" spans="1:13">
      <c r="A37" s="3">
        <v>34</v>
      </c>
      <c r="B37" s="3" t="s">
        <v>1409</v>
      </c>
      <c r="C37" s="4">
        <v>46286</v>
      </c>
      <c r="D37" s="3" t="s">
        <v>102</v>
      </c>
      <c r="E37" s="5" t="s">
        <v>1375</v>
      </c>
      <c r="F37" s="5" t="s">
        <v>50</v>
      </c>
      <c r="G37" s="3" t="s">
        <v>40</v>
      </c>
      <c r="H37" s="3" t="s">
        <v>93</v>
      </c>
      <c r="I37" s="3" t="s">
        <v>154</v>
      </c>
      <c r="J37" s="3" t="s">
        <v>49</v>
      </c>
      <c r="K37" s="3" t="s">
        <v>57</v>
      </c>
      <c r="L37" s="4">
        <v>46296</v>
      </c>
      <c r="M37" s="3" t="s">
        <v>238</v>
      </c>
    </row>
    <row r="38" spans="1:13">
      <c r="A38" s="3">
        <v>35</v>
      </c>
      <c r="B38" s="3" t="s">
        <v>1410</v>
      </c>
      <c r="C38" s="4">
        <v>46271</v>
      </c>
      <c r="D38" s="3" t="s">
        <v>102</v>
      </c>
      <c r="E38" s="5" t="s">
        <v>1411</v>
      </c>
      <c r="F38" s="5" t="s">
        <v>92</v>
      </c>
      <c r="G38" s="3" t="s">
        <v>82</v>
      </c>
      <c r="H38" s="3" t="s">
        <v>32</v>
      </c>
      <c r="I38" s="3" t="s">
        <v>142</v>
      </c>
      <c r="J38" s="3" t="s">
        <v>4</v>
      </c>
      <c r="K38" s="3" t="s">
        <v>4</v>
      </c>
      <c r="L38" s="4">
        <v>46314</v>
      </c>
      <c r="M38" s="3" t="s">
        <v>238</v>
      </c>
    </row>
    <row r="39" spans="1:13">
      <c r="A39" s="3">
        <v>36</v>
      </c>
      <c r="B39" s="3" t="s">
        <v>1412</v>
      </c>
      <c r="C39" s="4">
        <v>46287</v>
      </c>
      <c r="D39" s="3" t="s">
        <v>102</v>
      </c>
      <c r="E39" s="5" t="s">
        <v>1395</v>
      </c>
      <c r="F39" s="5" t="s">
        <v>92</v>
      </c>
      <c r="G39" s="3" t="s">
        <v>35</v>
      </c>
      <c r="H39" s="3" t="s">
        <v>104</v>
      </c>
      <c r="I39" s="3" t="s">
        <v>154</v>
      </c>
      <c r="J39" s="3" t="s">
        <v>91</v>
      </c>
      <c r="K39" s="3" t="s">
        <v>20</v>
      </c>
      <c r="L39" s="4">
        <v>46321</v>
      </c>
      <c r="M39" s="3" t="s">
        <v>293</v>
      </c>
    </row>
    <row r="40" spans="1:13">
      <c r="A40" s="3">
        <v>37</v>
      </c>
      <c r="B40" s="3" t="s">
        <v>1413</v>
      </c>
      <c r="C40" s="4">
        <v>46287</v>
      </c>
      <c r="D40" s="3" t="s">
        <v>102</v>
      </c>
      <c r="E40" s="5" t="s">
        <v>1379</v>
      </c>
      <c r="F40" s="5" t="s">
        <v>89</v>
      </c>
      <c r="G40" s="3" t="s">
        <v>77</v>
      </c>
      <c r="H40" s="3" t="s">
        <v>78</v>
      </c>
      <c r="I40" s="3" t="s">
        <v>162</v>
      </c>
      <c r="J40" s="3" t="s">
        <v>61</v>
      </c>
      <c r="K40" s="3" t="s">
        <v>61</v>
      </c>
      <c r="L40" s="4">
        <v>46318</v>
      </c>
      <c r="M40" s="3" t="s">
        <v>238</v>
      </c>
    </row>
    <row r="41" spans="1:13">
      <c r="A41" s="3">
        <v>38</v>
      </c>
      <c r="B41" s="3" t="s">
        <v>1414</v>
      </c>
      <c r="C41" s="4">
        <v>46266</v>
      </c>
      <c r="D41" s="3" t="s">
        <v>102</v>
      </c>
      <c r="E41" s="5" t="s">
        <v>1370</v>
      </c>
      <c r="F41" s="5" t="s">
        <v>39</v>
      </c>
      <c r="G41" s="3" t="s">
        <v>87</v>
      </c>
      <c r="H41" s="3" t="s">
        <v>93</v>
      </c>
      <c r="I41" s="3" t="s">
        <v>162</v>
      </c>
      <c r="J41" s="3" t="s">
        <v>57</v>
      </c>
      <c r="K41" s="3" t="s">
        <v>54</v>
      </c>
      <c r="L41" s="4">
        <v>46310</v>
      </c>
      <c r="M41" s="3" t="s">
        <v>254</v>
      </c>
    </row>
    <row r="42" spans="1:13">
      <c r="A42" s="3">
        <v>39</v>
      </c>
      <c r="B42" s="3" t="s">
        <v>1415</v>
      </c>
      <c r="C42" s="4">
        <v>46281</v>
      </c>
      <c r="D42" s="3" t="s">
        <v>102</v>
      </c>
      <c r="E42" s="5" t="s">
        <v>1375</v>
      </c>
      <c r="F42" s="5" t="s">
        <v>89</v>
      </c>
      <c r="G42" s="3" t="s">
        <v>31</v>
      </c>
      <c r="H42" s="3" t="s">
        <v>7</v>
      </c>
      <c r="I42" s="3" t="s">
        <v>159</v>
      </c>
      <c r="J42" s="3" t="s">
        <v>20</v>
      </c>
      <c r="K42" s="3" t="s">
        <v>61</v>
      </c>
      <c r="L42" s="4">
        <v>46294</v>
      </c>
      <c r="M42" s="3" t="s">
        <v>293</v>
      </c>
    </row>
    <row r="43" spans="1:13">
      <c r="A43" s="3">
        <v>40</v>
      </c>
      <c r="B43" s="3" t="s">
        <v>1416</v>
      </c>
      <c r="C43" s="4">
        <v>46278</v>
      </c>
      <c r="D43" s="3" t="s">
        <v>102</v>
      </c>
      <c r="E43" s="5" t="s">
        <v>1377</v>
      </c>
      <c r="F43" s="5" t="s">
        <v>65</v>
      </c>
      <c r="G43" s="3" t="s">
        <v>82</v>
      </c>
      <c r="H43" s="3" t="s">
        <v>93</v>
      </c>
      <c r="I43" s="3" t="s">
        <v>154</v>
      </c>
      <c r="J43" s="3" t="s">
        <v>4</v>
      </c>
      <c r="K43" s="3" t="s">
        <v>38</v>
      </c>
      <c r="L43" s="4">
        <v>46287</v>
      </c>
      <c r="M43" s="3" t="s">
        <v>293</v>
      </c>
    </row>
    <row r="44" spans="1:13">
      <c r="A44" s="3">
        <v>41</v>
      </c>
      <c r="B44" s="3" t="s">
        <v>1417</v>
      </c>
      <c r="C44" s="4">
        <v>46302</v>
      </c>
      <c r="D44" s="3" t="s">
        <v>106</v>
      </c>
      <c r="E44" s="5" t="s">
        <v>1384</v>
      </c>
      <c r="F44" s="5" t="s">
        <v>46</v>
      </c>
      <c r="G44" s="3" t="s">
        <v>21</v>
      </c>
      <c r="H44" s="3" t="s">
        <v>22</v>
      </c>
      <c r="I44" s="3" t="s">
        <v>142</v>
      </c>
      <c r="J44" s="3" t="s">
        <v>54</v>
      </c>
      <c r="K44" s="3" t="s">
        <v>30</v>
      </c>
      <c r="L44" s="4">
        <v>46346</v>
      </c>
      <c r="M44" s="3" t="s">
        <v>293</v>
      </c>
    </row>
    <row r="45" spans="1:13">
      <c r="A45" s="3">
        <v>42</v>
      </c>
      <c r="B45" s="3" t="s">
        <v>1418</v>
      </c>
      <c r="C45" s="4">
        <v>46323</v>
      </c>
      <c r="D45" s="3" t="s">
        <v>106</v>
      </c>
      <c r="E45" s="5" t="s">
        <v>1368</v>
      </c>
      <c r="F45" s="5" t="s">
        <v>13</v>
      </c>
      <c r="G45" s="3" t="s">
        <v>77</v>
      </c>
      <c r="H45" s="3" t="s">
        <v>70</v>
      </c>
      <c r="I45" s="3" t="s">
        <v>159</v>
      </c>
      <c r="J45" s="3" t="s">
        <v>64</v>
      </c>
      <c r="K45" s="3" t="s">
        <v>49</v>
      </c>
      <c r="L45" s="4">
        <v>46347</v>
      </c>
      <c r="M45" s="3" t="s">
        <v>238</v>
      </c>
    </row>
    <row r="46" spans="1:13">
      <c r="A46" s="3">
        <v>43</v>
      </c>
      <c r="B46" s="3" t="s">
        <v>1419</v>
      </c>
      <c r="C46" s="4">
        <v>46347</v>
      </c>
      <c r="D46" s="3" t="s">
        <v>111</v>
      </c>
      <c r="E46" s="5" t="s">
        <v>1372</v>
      </c>
      <c r="F46" s="5" t="s">
        <v>39</v>
      </c>
      <c r="G46" s="3" t="s">
        <v>87</v>
      </c>
      <c r="H46" s="3" t="s">
        <v>15</v>
      </c>
      <c r="I46" s="3" t="s">
        <v>159</v>
      </c>
      <c r="J46" s="3" t="s">
        <v>91</v>
      </c>
      <c r="K46" s="3" t="s">
        <v>26</v>
      </c>
      <c r="L46" s="4">
        <v>46353</v>
      </c>
      <c r="M46" s="3" t="s">
        <v>293</v>
      </c>
    </row>
    <row r="47" spans="1:13">
      <c r="A47" s="3">
        <v>44</v>
      </c>
      <c r="B47" s="3" t="s">
        <v>1420</v>
      </c>
      <c r="C47" s="4">
        <v>46342</v>
      </c>
      <c r="D47" s="3" t="s">
        <v>111</v>
      </c>
      <c r="E47" s="5" t="s">
        <v>1381</v>
      </c>
      <c r="F47" s="5" t="s">
        <v>13</v>
      </c>
      <c r="G47" s="3" t="s">
        <v>31</v>
      </c>
      <c r="H47" s="3" t="s">
        <v>22</v>
      </c>
      <c r="I47" s="3" t="s">
        <v>154</v>
      </c>
      <c r="J47" s="3" t="s">
        <v>49</v>
      </c>
      <c r="K47" s="3" t="s">
        <v>30</v>
      </c>
      <c r="L47" s="4">
        <v>46360</v>
      </c>
      <c r="M47" s="3" t="s">
        <v>254</v>
      </c>
    </row>
    <row r="48" spans="1:13">
      <c r="A48" s="3">
        <v>45</v>
      </c>
      <c r="B48" s="3" t="s">
        <v>1421</v>
      </c>
      <c r="C48" s="4">
        <v>46347</v>
      </c>
      <c r="D48" s="3" t="s">
        <v>111</v>
      </c>
      <c r="E48" s="5" t="s">
        <v>1370</v>
      </c>
      <c r="F48" s="5" t="s">
        <v>5</v>
      </c>
      <c r="G48" s="3" t="s">
        <v>40</v>
      </c>
      <c r="H48" s="3" t="s">
        <v>28</v>
      </c>
      <c r="I48" s="3" t="s">
        <v>154</v>
      </c>
      <c r="J48" s="3" t="s">
        <v>26</v>
      </c>
      <c r="K48" s="3" t="s">
        <v>12</v>
      </c>
      <c r="L48" s="4">
        <v>46386</v>
      </c>
      <c r="M48" s="3" t="s">
        <v>293</v>
      </c>
    </row>
    <row r="49" spans="1:13">
      <c r="A49" s="3">
        <v>46</v>
      </c>
      <c r="B49" s="3" t="s">
        <v>1422</v>
      </c>
      <c r="C49" s="4">
        <v>46383</v>
      </c>
      <c r="D49" s="3" t="s">
        <v>122</v>
      </c>
      <c r="E49" s="5" t="s">
        <v>1411</v>
      </c>
      <c r="F49" s="5" t="s">
        <v>46</v>
      </c>
      <c r="G49" s="3" t="s">
        <v>31</v>
      </c>
      <c r="H49" s="3" t="s">
        <v>7</v>
      </c>
      <c r="I49" s="3" t="s">
        <v>154</v>
      </c>
      <c r="J49" s="3" t="s">
        <v>4</v>
      </c>
      <c r="K49" s="3" t="s">
        <v>20</v>
      </c>
      <c r="L49" s="4">
        <v>46417</v>
      </c>
      <c r="M49" s="3" t="s">
        <v>293</v>
      </c>
    </row>
    <row r="50" spans="1:13">
      <c r="A50" s="3">
        <v>47</v>
      </c>
      <c r="B50" s="3" t="s">
        <v>1423</v>
      </c>
      <c r="C50" s="4">
        <v>46374</v>
      </c>
      <c r="D50" s="3" t="s">
        <v>122</v>
      </c>
      <c r="E50" s="5" t="s">
        <v>1384</v>
      </c>
      <c r="F50" s="5" t="s">
        <v>50</v>
      </c>
      <c r="G50" s="3" t="s">
        <v>14</v>
      </c>
      <c r="H50" s="3" t="s">
        <v>78</v>
      </c>
      <c r="I50" s="3" t="s">
        <v>142</v>
      </c>
      <c r="J50" s="3" t="s">
        <v>30</v>
      </c>
      <c r="K50" s="3" t="s">
        <v>57</v>
      </c>
      <c r="L50" s="4">
        <v>46407</v>
      </c>
      <c r="M50" s="3" t="s">
        <v>293</v>
      </c>
    </row>
    <row r="51" spans="1:13">
      <c r="A51" s="3">
        <v>48</v>
      </c>
      <c r="B51" s="3" t="s">
        <v>1424</v>
      </c>
      <c r="C51" s="4">
        <v>46372</v>
      </c>
      <c r="D51" s="3" t="s">
        <v>122</v>
      </c>
      <c r="E51" s="5" t="s">
        <v>1395</v>
      </c>
      <c r="F51" s="5" t="s">
        <v>5</v>
      </c>
      <c r="G51" s="3" t="s">
        <v>35</v>
      </c>
      <c r="H51" s="3" t="s">
        <v>104</v>
      </c>
      <c r="I51" s="3" t="s">
        <v>142</v>
      </c>
      <c r="J51" s="3" t="s">
        <v>61</v>
      </c>
      <c r="K51" s="3" t="s">
        <v>57</v>
      </c>
      <c r="L51" s="4">
        <v>46396</v>
      </c>
      <c r="M51" s="3" t="s">
        <v>238</v>
      </c>
    </row>
  </sheetData>
  <mergeCells count="2">
    <mergeCell ref="A1:M1"/>
    <mergeCell ref="A2:M2"/>
  </mergeCells>
  <dataValidations count="4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I4:I5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2.7109375" customWidth="1"/>
    <col min="3" max="4" width="9.7109375" customWidth="1"/>
    <col min="5" max="5" width="13.7109375" customWidth="1"/>
    <col min="6" max="6" width="12.7109375" customWidth="1"/>
    <col min="7" max="7" width="10.7109375" customWidth="1"/>
    <col min="8" max="8" width="13.7109375" customWidth="1"/>
    <col min="9" max="9" width="12.7109375" customWidth="1"/>
    <col min="10" max="10" width="18.7109375" customWidth="1"/>
    <col min="11" max="11" width="19.7109375" customWidth="1"/>
    <col min="12" max="12" width="10.7109375" customWidth="1"/>
    <col min="13" max="13" width="9.7109375" customWidth="1"/>
  </cols>
  <sheetData>
    <row r="1" spans="1:15" ht="22" customHeight="1">
      <c r="A1" s="1" t="s">
        <v>1428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O1" s="2" t="s">
        <v>139</v>
      </c>
    </row>
    <row r="2" spans="1:1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5">
      <c r="A3" t="s">
        <v>124</v>
      </c>
      <c r="B3" t="s">
        <v>1425</v>
      </c>
      <c r="C3" t="s">
        <v>126</v>
      </c>
      <c r="D3" t="s">
        <v>127</v>
      </c>
      <c r="E3" t="s">
        <v>352</v>
      </c>
      <c r="F3" t="s">
        <v>129</v>
      </c>
      <c r="G3" t="s">
        <v>130</v>
      </c>
      <c r="H3" t="s">
        <v>1426</v>
      </c>
      <c r="I3" t="s">
        <v>210</v>
      </c>
      <c r="J3" t="s">
        <v>1427</v>
      </c>
      <c r="K3" t="s">
        <v>413</v>
      </c>
      <c r="L3" t="s">
        <v>357</v>
      </c>
      <c r="M3" t="s">
        <v>287</v>
      </c>
    </row>
    <row r="4" spans="1:15">
      <c r="A4" s="3">
        <v>1</v>
      </c>
      <c r="B4" s="3" t="s">
        <v>1429</v>
      </c>
      <c r="C4" s="4">
        <v>46046</v>
      </c>
      <c r="D4" s="3" t="s">
        <v>3</v>
      </c>
      <c r="E4" s="5" t="s">
        <v>1430</v>
      </c>
      <c r="F4" s="5" t="s">
        <v>46</v>
      </c>
      <c r="G4" s="3" t="s">
        <v>80</v>
      </c>
      <c r="H4" s="3" t="s">
        <v>104</v>
      </c>
      <c r="I4" s="3" t="s">
        <v>159</v>
      </c>
      <c r="J4" s="3" t="s">
        <v>20</v>
      </c>
      <c r="K4" s="3" t="s">
        <v>91</v>
      </c>
      <c r="L4" s="4">
        <v>46086</v>
      </c>
      <c r="M4" s="3" t="s">
        <v>293</v>
      </c>
    </row>
    <row r="5" spans="1:15">
      <c r="A5" s="3">
        <v>2</v>
      </c>
      <c r="B5" s="3" t="s">
        <v>1431</v>
      </c>
      <c r="C5" s="4">
        <v>46031</v>
      </c>
      <c r="D5" s="3" t="s">
        <v>3</v>
      </c>
      <c r="E5" s="5" t="s">
        <v>1432</v>
      </c>
      <c r="F5" s="5" t="s">
        <v>13</v>
      </c>
      <c r="G5" s="3" t="s">
        <v>14</v>
      </c>
      <c r="H5" s="3" t="s">
        <v>22</v>
      </c>
      <c r="I5" s="3" t="s">
        <v>154</v>
      </c>
      <c r="J5" s="3" t="s">
        <v>20</v>
      </c>
      <c r="K5" s="3" t="s">
        <v>20</v>
      </c>
      <c r="L5" s="4">
        <v>46043</v>
      </c>
      <c r="M5" s="3" t="s">
        <v>293</v>
      </c>
    </row>
    <row r="6" spans="1:15">
      <c r="A6" s="3">
        <v>3</v>
      </c>
      <c r="B6" s="3" t="s">
        <v>1433</v>
      </c>
      <c r="C6" s="4">
        <v>46068</v>
      </c>
      <c r="D6" s="3" t="s">
        <v>19</v>
      </c>
      <c r="E6" s="5" t="s">
        <v>1434</v>
      </c>
      <c r="F6" s="5" t="s">
        <v>89</v>
      </c>
      <c r="G6" s="3" t="s">
        <v>35</v>
      </c>
      <c r="H6" s="3" t="s">
        <v>41</v>
      </c>
      <c r="I6" s="3" t="s">
        <v>142</v>
      </c>
      <c r="J6" s="3" t="s">
        <v>38</v>
      </c>
      <c r="K6" s="3" t="s">
        <v>38</v>
      </c>
      <c r="L6" s="4">
        <v>46112</v>
      </c>
      <c r="M6" s="3" t="s">
        <v>293</v>
      </c>
    </row>
    <row r="7" spans="1:15">
      <c r="A7" s="3">
        <v>4</v>
      </c>
      <c r="B7" s="3" t="s">
        <v>1435</v>
      </c>
      <c r="C7" s="4">
        <v>46060</v>
      </c>
      <c r="D7" s="3" t="s">
        <v>19</v>
      </c>
      <c r="E7" s="5" t="s">
        <v>1434</v>
      </c>
      <c r="F7" s="5" t="s">
        <v>46</v>
      </c>
      <c r="G7" s="3" t="s">
        <v>40</v>
      </c>
      <c r="H7" s="3" t="s">
        <v>78</v>
      </c>
      <c r="I7" s="3" t="s">
        <v>159</v>
      </c>
      <c r="J7" s="3" t="s">
        <v>26</v>
      </c>
      <c r="K7" s="3" t="s">
        <v>64</v>
      </c>
      <c r="L7" s="4">
        <v>46072</v>
      </c>
      <c r="M7" s="3" t="s">
        <v>297</v>
      </c>
    </row>
    <row r="8" spans="1:15">
      <c r="A8" s="3">
        <v>5</v>
      </c>
      <c r="B8" s="3" t="s">
        <v>1436</v>
      </c>
      <c r="C8" s="4">
        <v>46067</v>
      </c>
      <c r="D8" s="3" t="s">
        <v>19</v>
      </c>
      <c r="E8" s="5" t="s">
        <v>1437</v>
      </c>
      <c r="F8" s="5" t="s">
        <v>89</v>
      </c>
      <c r="G8" s="3" t="s">
        <v>21</v>
      </c>
      <c r="H8" s="3" t="s">
        <v>93</v>
      </c>
      <c r="I8" s="3" t="s">
        <v>162</v>
      </c>
      <c r="J8" s="3" t="s">
        <v>64</v>
      </c>
      <c r="K8" s="3" t="s">
        <v>64</v>
      </c>
      <c r="L8" s="4">
        <v>46109</v>
      </c>
      <c r="M8" s="3" t="s">
        <v>293</v>
      </c>
    </row>
    <row r="9" spans="1:15">
      <c r="A9" s="3">
        <v>6</v>
      </c>
      <c r="B9" s="3" t="s">
        <v>1438</v>
      </c>
      <c r="C9" s="4">
        <v>46054</v>
      </c>
      <c r="D9" s="3" t="s">
        <v>19</v>
      </c>
      <c r="E9" s="5" t="s">
        <v>1439</v>
      </c>
      <c r="F9" s="5" t="s">
        <v>13</v>
      </c>
      <c r="G9" s="3" t="s">
        <v>35</v>
      </c>
      <c r="H9" s="3" t="s">
        <v>104</v>
      </c>
      <c r="I9" s="3" t="s">
        <v>159</v>
      </c>
      <c r="J9" s="3" t="s">
        <v>30</v>
      </c>
      <c r="K9" s="3" t="s">
        <v>4</v>
      </c>
      <c r="L9" s="4">
        <v>46091</v>
      </c>
      <c r="M9" s="3" t="s">
        <v>293</v>
      </c>
    </row>
    <row r="10" spans="1:15">
      <c r="A10" s="3">
        <v>7</v>
      </c>
      <c r="B10" s="3" t="s">
        <v>1440</v>
      </c>
      <c r="C10" s="4">
        <v>46100</v>
      </c>
      <c r="D10" s="3" t="s">
        <v>44</v>
      </c>
      <c r="E10" s="5" t="s">
        <v>1312</v>
      </c>
      <c r="F10" s="5" t="s">
        <v>58</v>
      </c>
      <c r="G10" s="3" t="s">
        <v>21</v>
      </c>
      <c r="H10" s="3" t="s">
        <v>104</v>
      </c>
      <c r="I10" s="3" t="s">
        <v>142</v>
      </c>
      <c r="J10" s="3" t="s">
        <v>57</v>
      </c>
      <c r="K10" s="3" t="s">
        <v>4</v>
      </c>
      <c r="L10" s="4">
        <v>46135</v>
      </c>
      <c r="M10" s="3" t="s">
        <v>254</v>
      </c>
    </row>
    <row r="11" spans="1:15">
      <c r="A11" s="3">
        <v>8</v>
      </c>
      <c r="B11" s="3" t="s">
        <v>1441</v>
      </c>
      <c r="C11" s="4">
        <v>46098</v>
      </c>
      <c r="D11" s="3" t="s">
        <v>44</v>
      </c>
      <c r="E11" s="5" t="s">
        <v>1439</v>
      </c>
      <c r="F11" s="5" t="s">
        <v>5</v>
      </c>
      <c r="G11" s="3" t="s">
        <v>87</v>
      </c>
      <c r="H11" s="3" t="s">
        <v>70</v>
      </c>
      <c r="I11" s="3" t="s">
        <v>154</v>
      </c>
      <c r="J11" s="3" t="s">
        <v>91</v>
      </c>
      <c r="K11" s="3" t="s">
        <v>12</v>
      </c>
      <c r="L11" s="4">
        <v>46130</v>
      </c>
      <c r="M11" s="3" t="s">
        <v>293</v>
      </c>
    </row>
    <row r="12" spans="1:15">
      <c r="A12" s="3">
        <v>9</v>
      </c>
      <c r="B12" s="3" t="s">
        <v>1442</v>
      </c>
      <c r="C12" s="4">
        <v>46083</v>
      </c>
      <c r="D12" s="3" t="s">
        <v>44</v>
      </c>
      <c r="E12" s="5" t="s">
        <v>1432</v>
      </c>
      <c r="F12" s="5" t="s">
        <v>39</v>
      </c>
      <c r="G12" s="3" t="s">
        <v>31</v>
      </c>
      <c r="H12" s="3" t="s">
        <v>62</v>
      </c>
      <c r="I12" s="3" t="s">
        <v>159</v>
      </c>
      <c r="J12" s="3" t="s">
        <v>20</v>
      </c>
      <c r="K12" s="3" t="s">
        <v>30</v>
      </c>
      <c r="L12" s="4">
        <v>46094</v>
      </c>
      <c r="M12" s="3" t="s">
        <v>297</v>
      </c>
    </row>
    <row r="13" spans="1:15">
      <c r="A13" s="3">
        <v>10</v>
      </c>
      <c r="B13" s="3" t="s">
        <v>1443</v>
      </c>
      <c r="C13" s="4">
        <v>46087</v>
      </c>
      <c r="D13" s="3" t="s">
        <v>44</v>
      </c>
      <c r="E13" s="5" t="s">
        <v>1430</v>
      </c>
      <c r="F13" s="5" t="s">
        <v>27</v>
      </c>
      <c r="G13" s="3" t="s">
        <v>31</v>
      </c>
      <c r="H13" s="3" t="s">
        <v>36</v>
      </c>
      <c r="I13" s="3" t="s">
        <v>154</v>
      </c>
      <c r="J13" s="3" t="s">
        <v>4</v>
      </c>
      <c r="K13" s="3" t="s">
        <v>91</v>
      </c>
      <c r="L13" s="4">
        <v>46108</v>
      </c>
      <c r="M13" s="3" t="s">
        <v>254</v>
      </c>
    </row>
    <row r="14" spans="1:15">
      <c r="A14" s="3">
        <v>11</v>
      </c>
      <c r="B14" s="3" t="s">
        <v>1444</v>
      </c>
      <c r="C14" s="4">
        <v>46121</v>
      </c>
      <c r="D14" s="3" t="s">
        <v>53</v>
      </c>
      <c r="E14" s="5" t="s">
        <v>1445</v>
      </c>
      <c r="F14" s="5" t="s">
        <v>39</v>
      </c>
      <c r="G14" s="3" t="s">
        <v>95</v>
      </c>
      <c r="H14" s="3" t="s">
        <v>15</v>
      </c>
      <c r="I14" s="3" t="s">
        <v>159</v>
      </c>
      <c r="J14" s="3" t="s">
        <v>38</v>
      </c>
      <c r="K14" s="3" t="s">
        <v>38</v>
      </c>
      <c r="L14" s="4">
        <v>46137</v>
      </c>
      <c r="M14" s="3" t="s">
        <v>293</v>
      </c>
    </row>
    <row r="15" spans="1:15">
      <c r="A15" s="3">
        <v>12</v>
      </c>
      <c r="B15" s="3" t="s">
        <v>1446</v>
      </c>
      <c r="C15" s="4">
        <v>46129</v>
      </c>
      <c r="D15" s="3" t="s">
        <v>53</v>
      </c>
      <c r="E15" s="5" t="s">
        <v>1447</v>
      </c>
      <c r="F15" s="5" t="s">
        <v>13</v>
      </c>
      <c r="G15" s="3" t="s">
        <v>40</v>
      </c>
      <c r="H15" s="3" t="s">
        <v>70</v>
      </c>
      <c r="I15" s="3" t="s">
        <v>142</v>
      </c>
      <c r="J15" s="3" t="s">
        <v>38</v>
      </c>
      <c r="K15" s="3" t="s">
        <v>54</v>
      </c>
      <c r="L15" s="4">
        <v>46154</v>
      </c>
      <c r="M15" s="3" t="s">
        <v>238</v>
      </c>
    </row>
    <row r="16" spans="1:15">
      <c r="A16" s="3">
        <v>13</v>
      </c>
      <c r="B16" s="3" t="s">
        <v>1448</v>
      </c>
      <c r="C16" s="4">
        <v>46117</v>
      </c>
      <c r="D16" s="3" t="s">
        <v>53</v>
      </c>
      <c r="E16" s="5" t="s">
        <v>1449</v>
      </c>
      <c r="F16" s="5" t="s">
        <v>46</v>
      </c>
      <c r="G16" s="3" t="s">
        <v>14</v>
      </c>
      <c r="H16" s="3" t="s">
        <v>78</v>
      </c>
      <c r="I16" s="3" t="s">
        <v>142</v>
      </c>
      <c r="J16" s="3" t="s">
        <v>16</v>
      </c>
      <c r="K16" s="3" t="s">
        <v>12</v>
      </c>
      <c r="L16" s="4">
        <v>46127</v>
      </c>
      <c r="M16" s="3" t="s">
        <v>293</v>
      </c>
    </row>
    <row r="17" spans="1:13">
      <c r="A17" s="3">
        <v>14</v>
      </c>
      <c r="B17" s="3" t="s">
        <v>1450</v>
      </c>
      <c r="C17" s="4">
        <v>46132</v>
      </c>
      <c r="D17" s="3" t="s">
        <v>53</v>
      </c>
      <c r="E17" s="5" t="s">
        <v>1445</v>
      </c>
      <c r="F17" s="5" t="s">
        <v>46</v>
      </c>
      <c r="G17" s="3" t="s">
        <v>95</v>
      </c>
      <c r="H17" s="3" t="s">
        <v>15</v>
      </c>
      <c r="I17" s="3" t="s">
        <v>162</v>
      </c>
      <c r="J17" s="3" t="s">
        <v>4</v>
      </c>
      <c r="K17" s="3" t="s">
        <v>16</v>
      </c>
      <c r="L17" s="4">
        <v>46145</v>
      </c>
      <c r="M17" s="3" t="s">
        <v>293</v>
      </c>
    </row>
    <row r="18" spans="1:13">
      <c r="A18" s="3">
        <v>15</v>
      </c>
      <c r="B18" s="3" t="s">
        <v>1451</v>
      </c>
      <c r="C18" s="4">
        <v>46115</v>
      </c>
      <c r="D18" s="3" t="s">
        <v>53</v>
      </c>
      <c r="E18" s="5" t="s">
        <v>1452</v>
      </c>
      <c r="F18" s="5" t="s">
        <v>50</v>
      </c>
      <c r="G18" s="3" t="s">
        <v>82</v>
      </c>
      <c r="H18" s="3" t="s">
        <v>15</v>
      </c>
      <c r="I18" s="3" t="s">
        <v>142</v>
      </c>
      <c r="J18" s="3" t="s">
        <v>57</v>
      </c>
      <c r="K18" s="3" t="s">
        <v>26</v>
      </c>
      <c r="L18" s="4">
        <v>46131</v>
      </c>
      <c r="M18" s="3" t="s">
        <v>297</v>
      </c>
    </row>
    <row r="19" spans="1:13">
      <c r="A19" s="3">
        <v>16</v>
      </c>
      <c r="B19" s="3" t="s">
        <v>1453</v>
      </c>
      <c r="C19" s="4">
        <v>46161</v>
      </c>
      <c r="D19" s="3" t="s">
        <v>60</v>
      </c>
      <c r="E19" s="5" t="s">
        <v>1452</v>
      </c>
      <c r="F19" s="5" t="s">
        <v>50</v>
      </c>
      <c r="G19" s="3" t="s">
        <v>51</v>
      </c>
      <c r="H19" s="3" t="s">
        <v>7</v>
      </c>
      <c r="I19" s="3" t="s">
        <v>142</v>
      </c>
      <c r="J19" s="3" t="s">
        <v>49</v>
      </c>
      <c r="K19" s="3" t="s">
        <v>38</v>
      </c>
      <c r="L19" s="4">
        <v>46188</v>
      </c>
      <c r="M19" s="3" t="s">
        <v>297</v>
      </c>
    </row>
    <row r="20" spans="1:13">
      <c r="A20" s="3">
        <v>17</v>
      </c>
      <c r="B20" s="3" t="s">
        <v>1454</v>
      </c>
      <c r="C20" s="4">
        <v>46158</v>
      </c>
      <c r="D20" s="3" t="s">
        <v>60</v>
      </c>
      <c r="E20" s="5" t="s">
        <v>1445</v>
      </c>
      <c r="F20" s="5" t="s">
        <v>89</v>
      </c>
      <c r="G20" s="3" t="s">
        <v>80</v>
      </c>
      <c r="H20" s="3" t="s">
        <v>93</v>
      </c>
      <c r="I20" s="3" t="s">
        <v>154</v>
      </c>
      <c r="J20" s="3" t="s">
        <v>91</v>
      </c>
      <c r="K20" s="3" t="s">
        <v>64</v>
      </c>
      <c r="L20" s="4">
        <v>46188</v>
      </c>
      <c r="M20" s="3" t="s">
        <v>293</v>
      </c>
    </row>
    <row r="21" spans="1:13">
      <c r="A21" s="3">
        <v>18</v>
      </c>
      <c r="B21" s="3" t="s">
        <v>1455</v>
      </c>
      <c r="C21" s="4">
        <v>46145</v>
      </c>
      <c r="D21" s="3" t="s">
        <v>60</v>
      </c>
      <c r="E21" s="5" t="s">
        <v>1434</v>
      </c>
      <c r="F21" s="5" t="s">
        <v>50</v>
      </c>
      <c r="G21" s="3" t="s">
        <v>95</v>
      </c>
      <c r="H21" s="3" t="s">
        <v>93</v>
      </c>
      <c r="I21" s="3" t="s">
        <v>159</v>
      </c>
      <c r="J21" s="3" t="s">
        <v>54</v>
      </c>
      <c r="K21" s="3" t="s">
        <v>49</v>
      </c>
      <c r="L21" s="4">
        <v>46166</v>
      </c>
      <c r="M21" s="3" t="s">
        <v>293</v>
      </c>
    </row>
    <row r="22" spans="1:13">
      <c r="A22" s="3">
        <v>19</v>
      </c>
      <c r="B22" s="3" t="s">
        <v>1456</v>
      </c>
      <c r="C22" s="4">
        <v>46156</v>
      </c>
      <c r="D22" s="3" t="s">
        <v>60</v>
      </c>
      <c r="E22" s="5" t="s">
        <v>1437</v>
      </c>
      <c r="F22" s="5" t="s">
        <v>13</v>
      </c>
      <c r="G22" s="3" t="s">
        <v>51</v>
      </c>
      <c r="H22" s="3" t="s">
        <v>41</v>
      </c>
      <c r="I22" s="3" t="s">
        <v>159</v>
      </c>
      <c r="J22" s="3" t="s">
        <v>4</v>
      </c>
      <c r="K22" s="3" t="s">
        <v>26</v>
      </c>
      <c r="L22" s="4">
        <v>46180</v>
      </c>
      <c r="M22" s="3" t="s">
        <v>254</v>
      </c>
    </row>
    <row r="23" spans="1:13">
      <c r="A23" s="3">
        <v>20</v>
      </c>
      <c r="B23" s="3" t="s">
        <v>1457</v>
      </c>
      <c r="C23" s="4">
        <v>46198</v>
      </c>
      <c r="D23" s="3" t="s">
        <v>73</v>
      </c>
      <c r="E23" s="5" t="s">
        <v>1452</v>
      </c>
      <c r="F23" s="5" t="s">
        <v>89</v>
      </c>
      <c r="G23" s="3" t="s">
        <v>40</v>
      </c>
      <c r="H23" s="3" t="s">
        <v>28</v>
      </c>
      <c r="I23" s="3" t="s">
        <v>142</v>
      </c>
      <c r="J23" s="3" t="s">
        <v>38</v>
      </c>
      <c r="K23" s="3" t="s">
        <v>26</v>
      </c>
      <c r="L23" s="4">
        <v>46218</v>
      </c>
      <c r="M23" s="3" t="s">
        <v>297</v>
      </c>
    </row>
    <row r="24" spans="1:13">
      <c r="A24" s="3">
        <v>21</v>
      </c>
      <c r="B24" s="3" t="s">
        <v>1458</v>
      </c>
      <c r="C24" s="4">
        <v>46197</v>
      </c>
      <c r="D24" s="3" t="s">
        <v>73</v>
      </c>
      <c r="E24" s="5" t="s">
        <v>1452</v>
      </c>
      <c r="F24" s="5" t="s">
        <v>89</v>
      </c>
      <c r="G24" s="3" t="s">
        <v>77</v>
      </c>
      <c r="H24" s="3" t="s">
        <v>62</v>
      </c>
      <c r="I24" s="3" t="s">
        <v>142</v>
      </c>
      <c r="J24" s="3" t="s">
        <v>91</v>
      </c>
      <c r="K24" s="3" t="s">
        <v>64</v>
      </c>
      <c r="L24" s="4">
        <v>46219</v>
      </c>
      <c r="M24" s="3" t="s">
        <v>293</v>
      </c>
    </row>
    <row r="25" spans="1:13">
      <c r="A25" s="3">
        <v>22</v>
      </c>
      <c r="B25" s="3" t="s">
        <v>1459</v>
      </c>
      <c r="C25" s="4">
        <v>46193</v>
      </c>
      <c r="D25" s="3" t="s">
        <v>73</v>
      </c>
      <c r="E25" s="5" t="s">
        <v>1432</v>
      </c>
      <c r="F25" s="5" t="s">
        <v>65</v>
      </c>
      <c r="G25" s="3" t="s">
        <v>40</v>
      </c>
      <c r="H25" s="3" t="s">
        <v>41</v>
      </c>
      <c r="I25" s="3" t="s">
        <v>154</v>
      </c>
      <c r="J25" s="3" t="s">
        <v>64</v>
      </c>
      <c r="K25" s="3" t="s">
        <v>64</v>
      </c>
      <c r="L25" s="4">
        <v>46221</v>
      </c>
      <c r="M25" s="3" t="s">
        <v>297</v>
      </c>
    </row>
    <row r="26" spans="1:13">
      <c r="A26" s="3">
        <v>23</v>
      </c>
      <c r="B26" s="3" t="s">
        <v>1460</v>
      </c>
      <c r="C26" s="4">
        <v>46224</v>
      </c>
      <c r="D26" s="3" t="s">
        <v>76</v>
      </c>
      <c r="E26" s="5" t="s">
        <v>1449</v>
      </c>
      <c r="F26" s="5" t="s">
        <v>65</v>
      </c>
      <c r="G26" s="3" t="s">
        <v>51</v>
      </c>
      <c r="H26" s="3" t="s">
        <v>62</v>
      </c>
      <c r="I26" s="3" t="s">
        <v>154</v>
      </c>
      <c r="J26" s="3" t="s">
        <v>16</v>
      </c>
      <c r="K26" s="3" t="s">
        <v>4</v>
      </c>
      <c r="L26" s="4">
        <v>46256</v>
      </c>
      <c r="M26" s="3" t="s">
        <v>254</v>
      </c>
    </row>
    <row r="27" spans="1:13">
      <c r="A27" s="3">
        <v>24</v>
      </c>
      <c r="B27" s="3" t="s">
        <v>1461</v>
      </c>
      <c r="C27" s="4">
        <v>46230</v>
      </c>
      <c r="D27" s="3" t="s">
        <v>76</v>
      </c>
      <c r="E27" s="5" t="s">
        <v>1447</v>
      </c>
      <c r="F27" s="5" t="s">
        <v>58</v>
      </c>
      <c r="G27" s="3" t="s">
        <v>6</v>
      </c>
      <c r="H27" s="3" t="s">
        <v>15</v>
      </c>
      <c r="I27" s="3" t="s">
        <v>142</v>
      </c>
      <c r="J27" s="3" t="s">
        <v>30</v>
      </c>
      <c r="K27" s="3" t="s">
        <v>61</v>
      </c>
      <c r="L27" s="4">
        <v>46258</v>
      </c>
      <c r="M27" s="3" t="s">
        <v>293</v>
      </c>
    </row>
    <row r="28" spans="1:13">
      <c r="A28" s="3">
        <v>25</v>
      </c>
      <c r="B28" s="3" t="s">
        <v>1462</v>
      </c>
      <c r="C28" s="4">
        <v>46216</v>
      </c>
      <c r="D28" s="3" t="s">
        <v>76</v>
      </c>
      <c r="E28" s="5" t="s">
        <v>1452</v>
      </c>
      <c r="F28" s="5" t="s">
        <v>65</v>
      </c>
      <c r="G28" s="3" t="s">
        <v>14</v>
      </c>
      <c r="H28" s="3" t="s">
        <v>15</v>
      </c>
      <c r="I28" s="3" t="s">
        <v>154</v>
      </c>
      <c r="J28" s="3" t="s">
        <v>26</v>
      </c>
      <c r="K28" s="3" t="s">
        <v>26</v>
      </c>
      <c r="L28" s="4">
        <v>46256</v>
      </c>
      <c r="M28" s="3" t="s">
        <v>254</v>
      </c>
    </row>
    <row r="29" spans="1:13">
      <c r="A29" s="3">
        <v>26</v>
      </c>
      <c r="B29" s="3" t="s">
        <v>1463</v>
      </c>
      <c r="C29" s="4">
        <v>46231</v>
      </c>
      <c r="D29" s="3" t="s">
        <v>76</v>
      </c>
      <c r="E29" s="5" t="s">
        <v>1430</v>
      </c>
      <c r="F29" s="5" t="s">
        <v>13</v>
      </c>
      <c r="G29" s="3" t="s">
        <v>35</v>
      </c>
      <c r="H29" s="3" t="s">
        <v>7</v>
      </c>
      <c r="I29" s="3" t="s">
        <v>159</v>
      </c>
      <c r="J29" s="3" t="s">
        <v>26</v>
      </c>
      <c r="K29" s="3" t="s">
        <v>16</v>
      </c>
      <c r="L29" s="4">
        <v>46255</v>
      </c>
      <c r="M29" s="3" t="s">
        <v>254</v>
      </c>
    </row>
    <row r="30" spans="1:13">
      <c r="A30" s="3">
        <v>27</v>
      </c>
      <c r="B30" s="3" t="s">
        <v>1464</v>
      </c>
      <c r="C30" s="4">
        <v>46228</v>
      </c>
      <c r="D30" s="3" t="s">
        <v>76</v>
      </c>
      <c r="E30" s="5" t="s">
        <v>1432</v>
      </c>
      <c r="F30" s="5" t="s">
        <v>46</v>
      </c>
      <c r="G30" s="3" t="s">
        <v>6</v>
      </c>
      <c r="H30" s="3" t="s">
        <v>36</v>
      </c>
      <c r="I30" s="3" t="s">
        <v>142</v>
      </c>
      <c r="J30" s="3" t="s">
        <v>26</v>
      </c>
      <c r="K30" s="3" t="s">
        <v>61</v>
      </c>
      <c r="L30" s="4">
        <v>46261</v>
      </c>
      <c r="M30" s="3" t="s">
        <v>254</v>
      </c>
    </row>
    <row r="31" spans="1:13">
      <c r="A31" s="3">
        <v>28</v>
      </c>
      <c r="B31" s="3" t="s">
        <v>1465</v>
      </c>
      <c r="C31" s="4">
        <v>46227</v>
      </c>
      <c r="D31" s="3" t="s">
        <v>76</v>
      </c>
      <c r="E31" s="5" t="s">
        <v>1452</v>
      </c>
      <c r="F31" s="5" t="s">
        <v>46</v>
      </c>
      <c r="G31" s="3" t="s">
        <v>35</v>
      </c>
      <c r="H31" s="3" t="s">
        <v>7</v>
      </c>
      <c r="I31" s="3" t="s">
        <v>159</v>
      </c>
      <c r="J31" s="3" t="s">
        <v>16</v>
      </c>
      <c r="K31" s="3" t="s">
        <v>4</v>
      </c>
      <c r="L31" s="4">
        <v>46258</v>
      </c>
      <c r="M31" s="3" t="s">
        <v>293</v>
      </c>
    </row>
    <row r="32" spans="1:13">
      <c r="A32" s="3">
        <v>29</v>
      </c>
      <c r="B32" s="3" t="s">
        <v>1466</v>
      </c>
      <c r="C32" s="4">
        <v>46221</v>
      </c>
      <c r="D32" s="3" t="s">
        <v>76</v>
      </c>
      <c r="E32" s="5" t="s">
        <v>1447</v>
      </c>
      <c r="F32" s="5" t="s">
        <v>92</v>
      </c>
      <c r="G32" s="3" t="s">
        <v>80</v>
      </c>
      <c r="H32" s="3" t="s">
        <v>32</v>
      </c>
      <c r="I32" s="3" t="s">
        <v>154</v>
      </c>
      <c r="J32" s="3" t="s">
        <v>12</v>
      </c>
      <c r="K32" s="3" t="s">
        <v>64</v>
      </c>
      <c r="L32" s="4">
        <v>46249</v>
      </c>
      <c r="M32" s="3" t="s">
        <v>297</v>
      </c>
    </row>
    <row r="33" spans="1:13">
      <c r="A33" s="3">
        <v>30</v>
      </c>
      <c r="B33" s="3" t="s">
        <v>1467</v>
      </c>
      <c r="C33" s="4">
        <v>46257</v>
      </c>
      <c r="D33" s="3" t="s">
        <v>86</v>
      </c>
      <c r="E33" s="5" t="s">
        <v>1430</v>
      </c>
      <c r="F33" s="5" t="s">
        <v>50</v>
      </c>
      <c r="G33" s="3" t="s">
        <v>87</v>
      </c>
      <c r="H33" s="3" t="s">
        <v>22</v>
      </c>
      <c r="I33" s="3" t="s">
        <v>142</v>
      </c>
      <c r="J33" s="3" t="s">
        <v>26</v>
      </c>
      <c r="K33" s="3" t="s">
        <v>91</v>
      </c>
      <c r="L33" s="4">
        <v>46297</v>
      </c>
      <c r="M33" s="3" t="s">
        <v>293</v>
      </c>
    </row>
    <row r="34" spans="1:13">
      <c r="A34" s="3">
        <v>31</v>
      </c>
      <c r="B34" s="3" t="s">
        <v>1468</v>
      </c>
      <c r="C34" s="4">
        <v>46252</v>
      </c>
      <c r="D34" s="3" t="s">
        <v>86</v>
      </c>
      <c r="E34" s="5" t="s">
        <v>1432</v>
      </c>
      <c r="F34" s="5" t="s">
        <v>89</v>
      </c>
      <c r="G34" s="3" t="s">
        <v>80</v>
      </c>
      <c r="H34" s="3" t="s">
        <v>93</v>
      </c>
      <c r="I34" s="3" t="s">
        <v>154</v>
      </c>
      <c r="J34" s="3" t="s">
        <v>12</v>
      </c>
      <c r="K34" s="3" t="s">
        <v>12</v>
      </c>
      <c r="L34" s="4">
        <v>46294</v>
      </c>
      <c r="M34" s="3" t="s">
        <v>293</v>
      </c>
    </row>
    <row r="35" spans="1:13">
      <c r="A35" s="3">
        <v>32</v>
      </c>
      <c r="B35" s="3" t="s">
        <v>1469</v>
      </c>
      <c r="C35" s="4">
        <v>46240</v>
      </c>
      <c r="D35" s="3" t="s">
        <v>86</v>
      </c>
      <c r="E35" s="5" t="s">
        <v>1449</v>
      </c>
      <c r="F35" s="5" t="s">
        <v>50</v>
      </c>
      <c r="G35" s="3" t="s">
        <v>21</v>
      </c>
      <c r="H35" s="3" t="s">
        <v>78</v>
      </c>
      <c r="I35" s="3" t="s">
        <v>142</v>
      </c>
      <c r="J35" s="3" t="s">
        <v>38</v>
      </c>
      <c r="K35" s="3" t="s">
        <v>20</v>
      </c>
      <c r="L35" s="4">
        <v>46277</v>
      </c>
      <c r="M35" s="3" t="s">
        <v>293</v>
      </c>
    </row>
    <row r="36" spans="1:13">
      <c r="A36" s="3">
        <v>33</v>
      </c>
      <c r="B36" s="3" t="s">
        <v>1470</v>
      </c>
      <c r="C36" s="4">
        <v>46247</v>
      </c>
      <c r="D36" s="3" t="s">
        <v>86</v>
      </c>
      <c r="E36" s="5" t="s">
        <v>1449</v>
      </c>
      <c r="F36" s="5" t="s">
        <v>46</v>
      </c>
      <c r="G36" s="3" t="s">
        <v>35</v>
      </c>
      <c r="H36" s="3" t="s">
        <v>93</v>
      </c>
      <c r="I36" s="3" t="s">
        <v>154</v>
      </c>
      <c r="J36" s="3" t="s">
        <v>16</v>
      </c>
      <c r="K36" s="3" t="s">
        <v>20</v>
      </c>
      <c r="L36" s="4">
        <v>46268</v>
      </c>
      <c r="M36" s="3" t="s">
        <v>293</v>
      </c>
    </row>
    <row r="37" spans="1:13">
      <c r="A37" s="3">
        <v>34</v>
      </c>
      <c r="B37" s="3" t="s">
        <v>1471</v>
      </c>
      <c r="C37" s="4">
        <v>46260</v>
      </c>
      <c r="D37" s="3" t="s">
        <v>86</v>
      </c>
      <c r="E37" s="5" t="s">
        <v>1449</v>
      </c>
      <c r="F37" s="5" t="s">
        <v>5</v>
      </c>
      <c r="G37" s="3" t="s">
        <v>35</v>
      </c>
      <c r="H37" s="3" t="s">
        <v>36</v>
      </c>
      <c r="I37" s="3" t="s">
        <v>159</v>
      </c>
      <c r="J37" s="3" t="s">
        <v>30</v>
      </c>
      <c r="K37" s="3" t="s">
        <v>26</v>
      </c>
      <c r="L37" s="4">
        <v>46295</v>
      </c>
      <c r="M37" s="3" t="s">
        <v>293</v>
      </c>
    </row>
    <row r="38" spans="1:13">
      <c r="A38" s="3">
        <v>35</v>
      </c>
      <c r="B38" s="3" t="s">
        <v>1472</v>
      </c>
      <c r="C38" s="4">
        <v>46283</v>
      </c>
      <c r="D38" s="3" t="s">
        <v>102</v>
      </c>
      <c r="E38" s="5" t="s">
        <v>1452</v>
      </c>
      <c r="F38" s="5" t="s">
        <v>92</v>
      </c>
      <c r="G38" s="3" t="s">
        <v>82</v>
      </c>
      <c r="H38" s="3" t="s">
        <v>68</v>
      </c>
      <c r="I38" s="3" t="s">
        <v>142</v>
      </c>
      <c r="J38" s="3" t="s">
        <v>20</v>
      </c>
      <c r="K38" s="3" t="s">
        <v>45</v>
      </c>
      <c r="L38" s="4">
        <v>46292</v>
      </c>
      <c r="M38" s="3" t="s">
        <v>293</v>
      </c>
    </row>
    <row r="39" spans="1:13">
      <c r="A39" s="3">
        <v>36</v>
      </c>
      <c r="B39" s="3" t="s">
        <v>1473</v>
      </c>
      <c r="C39" s="4">
        <v>46291</v>
      </c>
      <c r="D39" s="3" t="s">
        <v>102</v>
      </c>
      <c r="E39" s="5" t="s">
        <v>1452</v>
      </c>
      <c r="F39" s="5" t="s">
        <v>65</v>
      </c>
      <c r="G39" s="3" t="s">
        <v>95</v>
      </c>
      <c r="H39" s="3" t="s">
        <v>93</v>
      </c>
      <c r="I39" s="3" t="s">
        <v>142</v>
      </c>
      <c r="J39" s="3" t="s">
        <v>54</v>
      </c>
      <c r="K39" s="3" t="s">
        <v>54</v>
      </c>
      <c r="L39" s="4">
        <v>46334</v>
      </c>
      <c r="M39" s="3" t="s">
        <v>297</v>
      </c>
    </row>
    <row r="40" spans="1:13">
      <c r="A40" s="3">
        <v>37</v>
      </c>
      <c r="B40" s="3" t="s">
        <v>1474</v>
      </c>
      <c r="C40" s="4">
        <v>46273</v>
      </c>
      <c r="D40" s="3" t="s">
        <v>102</v>
      </c>
      <c r="E40" s="5" t="s">
        <v>1452</v>
      </c>
      <c r="F40" s="5" t="s">
        <v>50</v>
      </c>
      <c r="G40" s="3" t="s">
        <v>77</v>
      </c>
      <c r="H40" s="3" t="s">
        <v>28</v>
      </c>
      <c r="I40" s="3" t="s">
        <v>142</v>
      </c>
      <c r="J40" s="3" t="s">
        <v>4</v>
      </c>
      <c r="K40" s="3" t="s">
        <v>38</v>
      </c>
      <c r="L40" s="4">
        <v>46318</v>
      </c>
      <c r="M40" s="3" t="s">
        <v>293</v>
      </c>
    </row>
    <row r="41" spans="1:13">
      <c r="A41" s="3">
        <v>38</v>
      </c>
      <c r="B41" s="3" t="s">
        <v>1475</v>
      </c>
      <c r="C41" s="4">
        <v>46317</v>
      </c>
      <c r="D41" s="3" t="s">
        <v>106</v>
      </c>
      <c r="E41" s="5" t="s">
        <v>1432</v>
      </c>
      <c r="F41" s="5" t="s">
        <v>39</v>
      </c>
      <c r="G41" s="3" t="s">
        <v>95</v>
      </c>
      <c r="H41" s="3" t="s">
        <v>32</v>
      </c>
      <c r="I41" s="3" t="s">
        <v>154</v>
      </c>
      <c r="J41" s="3" t="s">
        <v>16</v>
      </c>
      <c r="K41" s="3" t="s">
        <v>30</v>
      </c>
      <c r="L41" s="4">
        <v>46360</v>
      </c>
      <c r="M41" s="3" t="s">
        <v>293</v>
      </c>
    </row>
    <row r="42" spans="1:13">
      <c r="A42" s="3">
        <v>39</v>
      </c>
      <c r="B42" s="3" t="s">
        <v>1476</v>
      </c>
      <c r="C42" s="4">
        <v>46301</v>
      </c>
      <c r="D42" s="3" t="s">
        <v>106</v>
      </c>
      <c r="E42" s="5" t="s">
        <v>1437</v>
      </c>
      <c r="F42" s="5" t="s">
        <v>5</v>
      </c>
      <c r="G42" s="3" t="s">
        <v>40</v>
      </c>
      <c r="H42" s="3" t="s">
        <v>41</v>
      </c>
      <c r="I42" s="3" t="s">
        <v>154</v>
      </c>
      <c r="J42" s="3" t="s">
        <v>38</v>
      </c>
      <c r="K42" s="3" t="s">
        <v>38</v>
      </c>
      <c r="L42" s="4">
        <v>46331</v>
      </c>
      <c r="M42" s="3" t="s">
        <v>254</v>
      </c>
    </row>
    <row r="43" spans="1:13">
      <c r="A43" s="3">
        <v>40</v>
      </c>
      <c r="B43" s="3" t="s">
        <v>1477</v>
      </c>
      <c r="C43" s="4">
        <v>46300</v>
      </c>
      <c r="D43" s="3" t="s">
        <v>106</v>
      </c>
      <c r="E43" s="5" t="s">
        <v>1449</v>
      </c>
      <c r="F43" s="5" t="s">
        <v>5</v>
      </c>
      <c r="G43" s="3" t="s">
        <v>51</v>
      </c>
      <c r="H43" s="3" t="s">
        <v>70</v>
      </c>
      <c r="I43" s="3" t="s">
        <v>154</v>
      </c>
      <c r="J43" s="3" t="s">
        <v>91</v>
      </c>
      <c r="K43" s="3" t="s">
        <v>91</v>
      </c>
      <c r="L43" s="4">
        <v>46328</v>
      </c>
      <c r="M43" s="3" t="s">
        <v>238</v>
      </c>
    </row>
    <row r="44" spans="1:13">
      <c r="A44" s="3">
        <v>41</v>
      </c>
      <c r="B44" s="3" t="s">
        <v>1478</v>
      </c>
      <c r="C44" s="4">
        <v>46297</v>
      </c>
      <c r="D44" s="3" t="s">
        <v>106</v>
      </c>
      <c r="E44" s="5" t="s">
        <v>1452</v>
      </c>
      <c r="F44" s="5" t="s">
        <v>27</v>
      </c>
      <c r="G44" s="3" t="s">
        <v>82</v>
      </c>
      <c r="H44" s="3" t="s">
        <v>93</v>
      </c>
      <c r="I44" s="3" t="s">
        <v>142</v>
      </c>
      <c r="J44" s="3" t="s">
        <v>20</v>
      </c>
      <c r="K44" s="3" t="s">
        <v>26</v>
      </c>
      <c r="L44" s="4">
        <v>46309</v>
      </c>
      <c r="M44" s="3" t="s">
        <v>293</v>
      </c>
    </row>
    <row r="45" spans="1:13">
      <c r="A45" s="3">
        <v>42</v>
      </c>
      <c r="B45" s="3" t="s">
        <v>1479</v>
      </c>
      <c r="C45" s="4">
        <v>46322</v>
      </c>
      <c r="D45" s="3" t="s">
        <v>106</v>
      </c>
      <c r="E45" s="5" t="s">
        <v>1432</v>
      </c>
      <c r="F45" s="5" t="s">
        <v>46</v>
      </c>
      <c r="G45" s="3" t="s">
        <v>87</v>
      </c>
      <c r="H45" s="3" t="s">
        <v>15</v>
      </c>
      <c r="I45" s="3" t="s">
        <v>154</v>
      </c>
      <c r="J45" s="3" t="s">
        <v>49</v>
      </c>
      <c r="K45" s="3" t="s">
        <v>45</v>
      </c>
      <c r="L45" s="4">
        <v>46358</v>
      </c>
      <c r="M45" s="3" t="s">
        <v>293</v>
      </c>
    </row>
    <row r="46" spans="1:13">
      <c r="A46" s="3">
        <v>43</v>
      </c>
      <c r="B46" s="3" t="s">
        <v>1480</v>
      </c>
      <c r="C46" s="4">
        <v>46296</v>
      </c>
      <c r="D46" s="3" t="s">
        <v>106</v>
      </c>
      <c r="E46" s="5" t="s">
        <v>1312</v>
      </c>
      <c r="F46" s="5" t="s">
        <v>46</v>
      </c>
      <c r="G46" s="3" t="s">
        <v>14</v>
      </c>
      <c r="H46" s="3" t="s">
        <v>104</v>
      </c>
      <c r="I46" s="3" t="s">
        <v>159</v>
      </c>
      <c r="J46" s="3" t="s">
        <v>57</v>
      </c>
      <c r="K46" s="3" t="s">
        <v>91</v>
      </c>
      <c r="L46" s="4">
        <v>46333</v>
      </c>
      <c r="M46" s="3" t="s">
        <v>297</v>
      </c>
    </row>
    <row r="47" spans="1:13">
      <c r="A47" s="3">
        <v>44</v>
      </c>
      <c r="B47" s="3" t="s">
        <v>1481</v>
      </c>
      <c r="C47" s="4">
        <v>46350</v>
      </c>
      <c r="D47" s="3" t="s">
        <v>111</v>
      </c>
      <c r="E47" s="5" t="s">
        <v>1312</v>
      </c>
      <c r="F47" s="5" t="s">
        <v>13</v>
      </c>
      <c r="G47" s="3" t="s">
        <v>14</v>
      </c>
      <c r="H47" s="3" t="s">
        <v>70</v>
      </c>
      <c r="I47" s="3" t="s">
        <v>142</v>
      </c>
      <c r="J47" s="3" t="s">
        <v>61</v>
      </c>
      <c r="K47" s="3" t="s">
        <v>49</v>
      </c>
      <c r="L47" s="4">
        <v>46380</v>
      </c>
      <c r="M47" s="3" t="s">
        <v>293</v>
      </c>
    </row>
    <row r="48" spans="1:13">
      <c r="A48" s="3">
        <v>45</v>
      </c>
      <c r="B48" s="3" t="s">
        <v>1482</v>
      </c>
      <c r="C48" s="4">
        <v>46329</v>
      </c>
      <c r="D48" s="3" t="s">
        <v>111</v>
      </c>
      <c r="E48" s="5" t="s">
        <v>1434</v>
      </c>
      <c r="F48" s="5" t="s">
        <v>65</v>
      </c>
      <c r="G48" s="3" t="s">
        <v>31</v>
      </c>
      <c r="H48" s="3" t="s">
        <v>68</v>
      </c>
      <c r="I48" s="3" t="s">
        <v>162</v>
      </c>
      <c r="J48" s="3" t="s">
        <v>30</v>
      </c>
      <c r="K48" s="3" t="s">
        <v>54</v>
      </c>
      <c r="L48" s="4">
        <v>46363</v>
      </c>
      <c r="M48" s="3" t="s">
        <v>238</v>
      </c>
    </row>
    <row r="49" spans="1:13">
      <c r="A49" s="3">
        <v>46</v>
      </c>
      <c r="B49" s="3" t="s">
        <v>1483</v>
      </c>
      <c r="C49" s="4">
        <v>46377</v>
      </c>
      <c r="D49" s="3" t="s">
        <v>122</v>
      </c>
      <c r="E49" s="5" t="s">
        <v>1434</v>
      </c>
      <c r="F49" s="5" t="s">
        <v>27</v>
      </c>
      <c r="G49" s="3" t="s">
        <v>40</v>
      </c>
      <c r="H49" s="3" t="s">
        <v>93</v>
      </c>
      <c r="I49" s="3" t="s">
        <v>142</v>
      </c>
      <c r="J49" s="3" t="s">
        <v>4</v>
      </c>
      <c r="K49" s="3" t="s">
        <v>45</v>
      </c>
      <c r="L49" s="4">
        <v>46386</v>
      </c>
      <c r="M49" s="3" t="s">
        <v>293</v>
      </c>
    </row>
    <row r="50" spans="1:13">
      <c r="A50" s="3">
        <v>47</v>
      </c>
      <c r="B50" s="3" t="s">
        <v>1484</v>
      </c>
      <c r="C50" s="4">
        <v>46361</v>
      </c>
      <c r="D50" s="3" t="s">
        <v>122</v>
      </c>
      <c r="E50" s="5" t="s">
        <v>1449</v>
      </c>
      <c r="F50" s="5" t="s">
        <v>65</v>
      </c>
      <c r="G50" s="3" t="s">
        <v>14</v>
      </c>
      <c r="H50" s="3" t="s">
        <v>32</v>
      </c>
      <c r="I50" s="3" t="s">
        <v>142</v>
      </c>
      <c r="J50" s="3" t="s">
        <v>30</v>
      </c>
      <c r="K50" s="3" t="s">
        <v>12</v>
      </c>
      <c r="L50" s="4">
        <v>46406</v>
      </c>
      <c r="M50" s="3" t="s">
        <v>293</v>
      </c>
    </row>
    <row r="51" spans="1:13">
      <c r="A51" s="3">
        <v>48</v>
      </c>
      <c r="B51" s="3" t="s">
        <v>1485</v>
      </c>
      <c r="C51" s="4">
        <v>46378</v>
      </c>
      <c r="D51" s="3" t="s">
        <v>122</v>
      </c>
      <c r="E51" s="5" t="s">
        <v>1445</v>
      </c>
      <c r="F51" s="5" t="s">
        <v>39</v>
      </c>
      <c r="G51" s="3" t="s">
        <v>21</v>
      </c>
      <c r="H51" s="3" t="s">
        <v>93</v>
      </c>
      <c r="I51" s="3" t="s">
        <v>142</v>
      </c>
      <c r="J51" s="3" t="s">
        <v>91</v>
      </c>
      <c r="K51" s="3" t="s">
        <v>64</v>
      </c>
      <c r="L51" s="4">
        <v>46384</v>
      </c>
      <c r="M51" s="3" t="s">
        <v>293</v>
      </c>
    </row>
  </sheetData>
  <mergeCells count="2">
    <mergeCell ref="A1:M1"/>
    <mergeCell ref="A2:M2"/>
  </mergeCells>
  <dataValidations count="4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I4:I5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</sheetPr>
  <dimension ref="A1:AF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3.7109375" customWidth="1"/>
    <col min="3" max="6" width="9.7109375" customWidth="1"/>
    <col min="7" max="7" width="16.7109375" customWidth="1"/>
    <col min="8" max="8" width="12.7109375" customWidth="1"/>
    <col min="9" max="9" width="9.7109375" customWidth="1"/>
    <col min="10" max="10" width="17.7109375" customWidth="1"/>
    <col min="11" max="11" width="9.7109375" customWidth="1"/>
    <col min="12" max="12" width="10.7109375" customWidth="1"/>
    <col min="13" max="13" width="15.7109375" customWidth="1"/>
    <col min="14" max="14" width="16.7109375" customWidth="1"/>
    <col min="15" max="15" width="17.7109375" customWidth="1"/>
    <col min="16" max="16" width="13.7109375" customWidth="1"/>
    <col min="17" max="17" width="11.7109375" customWidth="1"/>
    <col min="18" max="18" width="13.7109375" customWidth="1"/>
    <col min="19" max="19" width="17.7109375" customWidth="1"/>
    <col min="20" max="20" width="12.7109375" customWidth="1"/>
    <col min="21" max="21" width="13.7109375" customWidth="1"/>
    <col min="22" max="22" width="11.7109375" customWidth="1"/>
    <col min="23" max="24" width="19.7109375" customWidth="1"/>
    <col min="25" max="26" width="13.7109375" customWidth="1"/>
    <col min="27" max="27" width="14.7109375" customWidth="1"/>
    <col min="28" max="28" width="9.7109375" customWidth="1"/>
    <col min="29" max="30" width="15.7109375" customWidth="1"/>
  </cols>
  <sheetData>
    <row r="1" spans="1:32" ht="22" customHeight="1">
      <c r="A1" s="1" t="s">
        <v>1486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F1" s="2" t="s">
        <v>139</v>
      </c>
    </row>
    <row r="2" spans="1:3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2">
      <c r="A3" t="s">
        <v>124</v>
      </c>
      <c r="B3" t="s">
        <v>1575</v>
      </c>
      <c r="C3" t="s">
        <v>126</v>
      </c>
      <c r="D3" t="s">
        <v>127</v>
      </c>
      <c r="E3" t="s">
        <v>1576</v>
      </c>
      <c r="F3" t="s">
        <v>1577</v>
      </c>
      <c r="G3" t="s">
        <v>1578</v>
      </c>
      <c r="H3" t="s">
        <v>129</v>
      </c>
      <c r="I3" t="s">
        <v>1579</v>
      </c>
      <c r="J3" t="s">
        <v>1580</v>
      </c>
      <c r="K3" t="s">
        <v>1581</v>
      </c>
      <c r="L3" t="s">
        <v>130</v>
      </c>
      <c r="M3" t="s">
        <v>1582</v>
      </c>
      <c r="N3" t="s">
        <v>1583</v>
      </c>
      <c r="O3" t="s">
        <v>1584</v>
      </c>
      <c r="P3" t="s">
        <v>1585</v>
      </c>
      <c r="Q3" t="s">
        <v>1586</v>
      </c>
      <c r="R3" t="s">
        <v>352</v>
      </c>
      <c r="S3" t="s">
        <v>1587</v>
      </c>
      <c r="T3" t="s">
        <v>1588</v>
      </c>
      <c r="U3" t="s">
        <v>1589</v>
      </c>
      <c r="V3" t="s">
        <v>1590</v>
      </c>
      <c r="W3" t="s">
        <v>413</v>
      </c>
      <c r="X3" t="s">
        <v>1591</v>
      </c>
      <c r="Y3" t="s">
        <v>1592</v>
      </c>
      <c r="Z3" t="s">
        <v>1593</v>
      </c>
      <c r="AA3" t="s">
        <v>1594</v>
      </c>
      <c r="AB3" t="s">
        <v>287</v>
      </c>
      <c r="AC3" t="s">
        <v>1595</v>
      </c>
      <c r="AD3" t="s">
        <v>1596</v>
      </c>
    </row>
    <row r="4" spans="1:32">
      <c r="A4" s="3">
        <v>1</v>
      </c>
      <c r="B4" s="3" t="s">
        <v>1487</v>
      </c>
      <c r="C4" s="4">
        <v>46046</v>
      </c>
      <c r="D4" s="3" t="s">
        <v>3</v>
      </c>
      <c r="E4" s="5" t="s">
        <v>1488</v>
      </c>
      <c r="F4" s="5" t="s">
        <v>1489</v>
      </c>
      <c r="G4" s="3" t="s">
        <v>1490</v>
      </c>
      <c r="H4" s="3" t="s">
        <v>92</v>
      </c>
      <c r="I4" s="3" t="s">
        <v>82</v>
      </c>
      <c r="J4" s="3" t="s">
        <v>1491</v>
      </c>
      <c r="K4" s="3" t="s">
        <v>1492</v>
      </c>
      <c r="L4" s="3" t="s">
        <v>51</v>
      </c>
      <c r="M4" s="3" t="s">
        <v>1493</v>
      </c>
      <c r="N4" s="3" t="s">
        <v>1494</v>
      </c>
      <c r="O4" s="3" t="s">
        <v>7</v>
      </c>
      <c r="P4" s="3" t="s">
        <v>1495</v>
      </c>
      <c r="Q4" s="3" t="s">
        <v>1496</v>
      </c>
      <c r="R4" s="3" t="s">
        <v>4</v>
      </c>
      <c r="S4" s="3" t="s">
        <v>296</v>
      </c>
      <c r="T4" s="3" t="s">
        <v>1337</v>
      </c>
      <c r="U4" s="3" t="s">
        <v>142</v>
      </c>
      <c r="V4" s="3">
        <v>4</v>
      </c>
      <c r="W4" s="3" t="s">
        <v>54</v>
      </c>
      <c r="X4" s="3" t="s">
        <v>61</v>
      </c>
      <c r="Y4" s="3" t="s">
        <v>32</v>
      </c>
      <c r="Z4" s="4">
        <v>46069</v>
      </c>
      <c r="AA4" s="4">
        <v>46075</v>
      </c>
      <c r="AB4" s="3" t="s">
        <v>293</v>
      </c>
      <c r="AC4" s="7">
        <f>IF(AB4="Closed",AA4-C4,TODAY()-C4)</f>
        <v>0</v>
      </c>
      <c r="AD4" s="3" t="s">
        <v>26</v>
      </c>
    </row>
    <row r="5" spans="1:32">
      <c r="A5" s="3">
        <v>2</v>
      </c>
      <c r="B5" s="3" t="s">
        <v>1497</v>
      </c>
      <c r="C5" s="4">
        <v>46023</v>
      </c>
      <c r="D5" s="3" t="s">
        <v>3</v>
      </c>
      <c r="E5" s="5" t="s">
        <v>1498</v>
      </c>
      <c r="F5" s="5" t="s">
        <v>1489</v>
      </c>
      <c r="G5" s="3" t="s">
        <v>1490</v>
      </c>
      <c r="H5" s="3" t="s">
        <v>58</v>
      </c>
      <c r="I5" s="3" t="s">
        <v>77</v>
      </c>
      <c r="J5" s="3" t="s">
        <v>1499</v>
      </c>
      <c r="K5" s="3" t="s">
        <v>47</v>
      </c>
      <c r="L5" s="3" t="s">
        <v>87</v>
      </c>
      <c r="M5" s="3" t="s">
        <v>1500</v>
      </c>
      <c r="N5" s="3" t="s">
        <v>1494</v>
      </c>
      <c r="O5" s="3" t="s">
        <v>15</v>
      </c>
      <c r="P5" s="3" t="s">
        <v>1501</v>
      </c>
      <c r="Q5" s="3" t="s">
        <v>1502</v>
      </c>
      <c r="R5" s="3" t="s">
        <v>12</v>
      </c>
      <c r="S5" s="3" t="s">
        <v>1330</v>
      </c>
      <c r="T5" s="3" t="s">
        <v>1330</v>
      </c>
      <c r="U5" s="3" t="s">
        <v>154</v>
      </c>
      <c r="V5" s="3">
        <v>9</v>
      </c>
      <c r="W5" s="3" t="s">
        <v>16</v>
      </c>
      <c r="X5" s="3" t="s">
        <v>61</v>
      </c>
      <c r="Y5" s="3" t="s">
        <v>28</v>
      </c>
      <c r="Z5" s="4">
        <v>46050</v>
      </c>
      <c r="AA5" s="4">
        <v>46062</v>
      </c>
      <c r="AB5" s="3" t="s">
        <v>293</v>
      </c>
      <c r="AC5" s="7">
        <f>IF(AB5="Closed",AA5-C5,TODAY()-C5)</f>
        <v>0</v>
      </c>
      <c r="AD5" s="3" t="s">
        <v>57</v>
      </c>
    </row>
    <row r="6" spans="1:32">
      <c r="A6" s="3">
        <v>3</v>
      </c>
      <c r="B6" s="3" t="s">
        <v>1503</v>
      </c>
      <c r="C6" s="4">
        <v>46041</v>
      </c>
      <c r="D6" s="3" t="s">
        <v>3</v>
      </c>
      <c r="E6" s="5" t="s">
        <v>1504</v>
      </c>
      <c r="F6" s="5" t="s">
        <v>1489</v>
      </c>
      <c r="G6" s="3" t="s">
        <v>1490</v>
      </c>
      <c r="H6" s="3" t="s">
        <v>50</v>
      </c>
      <c r="I6" s="3" t="s">
        <v>87</v>
      </c>
      <c r="J6" s="3" t="s">
        <v>1505</v>
      </c>
      <c r="K6" s="3" t="s">
        <v>47</v>
      </c>
      <c r="L6" s="3" t="s">
        <v>80</v>
      </c>
      <c r="M6" s="3" t="s">
        <v>1506</v>
      </c>
      <c r="N6" s="3" t="s">
        <v>1507</v>
      </c>
      <c r="O6" s="3" t="s">
        <v>78</v>
      </c>
      <c r="P6" s="3" t="s">
        <v>1508</v>
      </c>
      <c r="Q6" s="3" t="s">
        <v>1502</v>
      </c>
      <c r="R6" s="3" t="s">
        <v>38</v>
      </c>
      <c r="S6" s="3" t="s">
        <v>1500</v>
      </c>
      <c r="T6" s="3" t="s">
        <v>1310</v>
      </c>
      <c r="U6" s="3" t="s">
        <v>154</v>
      </c>
      <c r="V6" s="3">
        <v>6</v>
      </c>
      <c r="W6" s="3" t="s">
        <v>12</v>
      </c>
      <c r="X6" s="3" t="s">
        <v>91</v>
      </c>
      <c r="Y6" s="3" t="s">
        <v>93</v>
      </c>
      <c r="Z6" s="4">
        <v>46079</v>
      </c>
      <c r="AA6" s="4">
        <v>46082</v>
      </c>
      <c r="AB6" s="3" t="s">
        <v>293</v>
      </c>
      <c r="AC6" s="7">
        <f>IF(AB6="Closed",AA6-C6,TODAY()-C6)</f>
        <v>0</v>
      </c>
      <c r="AD6" s="3" t="s">
        <v>64</v>
      </c>
    </row>
    <row r="7" spans="1:32">
      <c r="A7" s="3">
        <v>4</v>
      </c>
      <c r="B7" s="3" t="s">
        <v>1509</v>
      </c>
      <c r="C7" s="4">
        <v>46059</v>
      </c>
      <c r="D7" s="3" t="s">
        <v>19</v>
      </c>
      <c r="E7" s="5" t="s">
        <v>1498</v>
      </c>
      <c r="F7" s="5" t="s">
        <v>1489</v>
      </c>
      <c r="G7" s="3" t="s">
        <v>1490</v>
      </c>
      <c r="H7" s="3" t="s">
        <v>58</v>
      </c>
      <c r="I7" s="3" t="s">
        <v>21</v>
      </c>
      <c r="J7" s="3" t="s">
        <v>1499</v>
      </c>
      <c r="K7" s="3" t="s">
        <v>47</v>
      </c>
      <c r="L7" s="3" t="s">
        <v>87</v>
      </c>
      <c r="M7" s="3" t="s">
        <v>1493</v>
      </c>
      <c r="N7" s="3" t="s">
        <v>1507</v>
      </c>
      <c r="O7" s="3" t="s">
        <v>7</v>
      </c>
      <c r="P7" s="3" t="s">
        <v>1495</v>
      </c>
      <c r="Q7" s="3" t="s">
        <v>1496</v>
      </c>
      <c r="R7" s="3" t="s">
        <v>38</v>
      </c>
      <c r="S7" s="3" t="s">
        <v>1500</v>
      </c>
      <c r="T7" s="3" t="s">
        <v>296</v>
      </c>
      <c r="U7" s="3" t="s">
        <v>142</v>
      </c>
      <c r="V7" s="3">
        <v>27</v>
      </c>
      <c r="W7" s="3" t="s">
        <v>49</v>
      </c>
      <c r="X7" s="3" t="s">
        <v>64</v>
      </c>
      <c r="Y7" s="3" t="s">
        <v>41</v>
      </c>
      <c r="Z7" s="4">
        <v>46066</v>
      </c>
      <c r="AA7" s="4">
        <v>46073</v>
      </c>
      <c r="AB7" s="3" t="s">
        <v>297</v>
      </c>
      <c r="AC7" s="7">
        <f>IF(AB7="Closed",AA7-C7,TODAY()-C7)</f>
        <v>0</v>
      </c>
      <c r="AD7" s="3" t="s">
        <v>49</v>
      </c>
    </row>
    <row r="8" spans="1:32">
      <c r="A8" s="3">
        <v>5</v>
      </c>
      <c r="B8" s="3" t="s">
        <v>1510</v>
      </c>
      <c r="C8" s="4">
        <v>46072</v>
      </c>
      <c r="D8" s="3" t="s">
        <v>19</v>
      </c>
      <c r="E8" s="5" t="s">
        <v>1504</v>
      </c>
      <c r="F8" s="5" t="s">
        <v>1489</v>
      </c>
      <c r="G8" s="3" t="s">
        <v>1490</v>
      </c>
      <c r="H8" s="3" t="s">
        <v>89</v>
      </c>
      <c r="I8" s="3" t="s">
        <v>51</v>
      </c>
      <c r="J8" s="3" t="s">
        <v>1511</v>
      </c>
      <c r="K8" s="3" t="s">
        <v>1492</v>
      </c>
      <c r="L8" s="3" t="s">
        <v>95</v>
      </c>
      <c r="M8" s="3" t="s">
        <v>1512</v>
      </c>
      <c r="N8" s="3" t="s">
        <v>1494</v>
      </c>
      <c r="O8" s="3" t="s">
        <v>41</v>
      </c>
      <c r="P8" s="3" t="s">
        <v>58</v>
      </c>
      <c r="Q8" s="3" t="s">
        <v>1513</v>
      </c>
      <c r="R8" s="3" t="s">
        <v>4</v>
      </c>
      <c r="S8" s="3" t="s">
        <v>1330</v>
      </c>
      <c r="T8" s="3" t="s">
        <v>296</v>
      </c>
      <c r="U8" s="3" t="s">
        <v>142</v>
      </c>
      <c r="V8" s="3">
        <v>25</v>
      </c>
      <c r="W8" s="3" t="s">
        <v>54</v>
      </c>
      <c r="X8" s="3" t="s">
        <v>61</v>
      </c>
      <c r="Y8" s="3" t="s">
        <v>93</v>
      </c>
      <c r="Z8" s="4">
        <v>46115</v>
      </c>
      <c r="AA8" s="4">
        <v>46111</v>
      </c>
      <c r="AB8" s="3" t="s">
        <v>254</v>
      </c>
      <c r="AC8" s="7">
        <f>IF(AB8="Closed",AA8-C8,TODAY()-C8)</f>
        <v>0</v>
      </c>
      <c r="AD8" s="3" t="s">
        <v>4</v>
      </c>
    </row>
    <row r="9" spans="1:32">
      <c r="A9" s="3">
        <v>6</v>
      </c>
      <c r="B9" s="3" t="s">
        <v>1514</v>
      </c>
      <c r="C9" s="4">
        <v>46079</v>
      </c>
      <c r="D9" s="3" t="s">
        <v>19</v>
      </c>
      <c r="E9" s="5" t="s">
        <v>1488</v>
      </c>
      <c r="F9" s="5" t="s">
        <v>1489</v>
      </c>
      <c r="G9" s="3" t="s">
        <v>1490</v>
      </c>
      <c r="H9" s="3" t="s">
        <v>13</v>
      </c>
      <c r="I9" s="3" t="s">
        <v>21</v>
      </c>
      <c r="J9" s="3" t="s">
        <v>1511</v>
      </c>
      <c r="K9" s="3" t="s">
        <v>1492</v>
      </c>
      <c r="L9" s="3" t="s">
        <v>95</v>
      </c>
      <c r="M9" s="3" t="s">
        <v>1515</v>
      </c>
      <c r="N9" s="3" t="s">
        <v>1507</v>
      </c>
      <c r="O9" s="3" t="s">
        <v>36</v>
      </c>
      <c r="P9" s="3" t="s">
        <v>1501</v>
      </c>
      <c r="Q9" s="3" t="s">
        <v>1513</v>
      </c>
      <c r="R9" s="3" t="s">
        <v>16</v>
      </c>
      <c r="S9" s="3" t="s">
        <v>1330</v>
      </c>
      <c r="T9" s="3" t="s">
        <v>300</v>
      </c>
      <c r="U9" s="3" t="s">
        <v>142</v>
      </c>
      <c r="V9" s="3">
        <v>5</v>
      </c>
      <c r="W9" s="3" t="s">
        <v>12</v>
      </c>
      <c r="X9" s="3" t="s">
        <v>16</v>
      </c>
      <c r="Y9" s="3" t="s">
        <v>104</v>
      </c>
      <c r="Z9" s="4">
        <v>46105</v>
      </c>
      <c r="AA9" s="4">
        <v>46099</v>
      </c>
      <c r="AB9" s="3" t="s">
        <v>293</v>
      </c>
      <c r="AC9" s="7">
        <f>IF(AB9="Closed",AA9-C9,TODAY()-C9)</f>
        <v>0</v>
      </c>
      <c r="AD9" s="3" t="s">
        <v>45</v>
      </c>
    </row>
    <row r="10" spans="1:32">
      <c r="A10" s="3">
        <v>7</v>
      </c>
      <c r="B10" s="3" t="s">
        <v>1516</v>
      </c>
      <c r="C10" s="4">
        <v>46059</v>
      </c>
      <c r="D10" s="3" t="s">
        <v>19</v>
      </c>
      <c r="E10" s="5" t="s">
        <v>1498</v>
      </c>
      <c r="F10" s="5" t="s">
        <v>1489</v>
      </c>
      <c r="G10" s="3" t="s">
        <v>1490</v>
      </c>
      <c r="H10" s="3" t="s">
        <v>50</v>
      </c>
      <c r="I10" s="3" t="s">
        <v>77</v>
      </c>
      <c r="J10" s="3" t="s">
        <v>1499</v>
      </c>
      <c r="K10" s="3" t="s">
        <v>1492</v>
      </c>
      <c r="L10" s="3" t="s">
        <v>80</v>
      </c>
      <c r="M10" s="3" t="s">
        <v>1515</v>
      </c>
      <c r="N10" s="3" t="s">
        <v>1494</v>
      </c>
      <c r="O10" s="3" t="s">
        <v>70</v>
      </c>
      <c r="P10" s="3" t="s">
        <v>58</v>
      </c>
      <c r="Q10" s="3" t="s">
        <v>1513</v>
      </c>
      <c r="R10" s="3" t="s">
        <v>64</v>
      </c>
      <c r="S10" s="3" t="s">
        <v>300</v>
      </c>
      <c r="T10" s="3" t="s">
        <v>1315</v>
      </c>
      <c r="U10" s="3" t="s">
        <v>159</v>
      </c>
      <c r="V10" s="3">
        <v>3</v>
      </c>
      <c r="W10" s="3" t="s">
        <v>64</v>
      </c>
      <c r="X10" s="3" t="s">
        <v>45</v>
      </c>
      <c r="Y10" s="3" t="s">
        <v>78</v>
      </c>
      <c r="Z10" s="4">
        <v>46083</v>
      </c>
      <c r="AA10" s="4">
        <v>46071</v>
      </c>
      <c r="AB10" s="3" t="s">
        <v>254</v>
      </c>
      <c r="AC10" s="7">
        <f>IF(AB10="Closed",AA10-C10,TODAY()-C10)</f>
        <v>0</v>
      </c>
      <c r="AD10" s="3" t="s">
        <v>61</v>
      </c>
    </row>
    <row r="11" spans="1:32">
      <c r="A11" s="3">
        <v>8</v>
      </c>
      <c r="B11" s="3" t="s">
        <v>1517</v>
      </c>
      <c r="C11" s="4">
        <v>46066</v>
      </c>
      <c r="D11" s="3" t="s">
        <v>19</v>
      </c>
      <c r="E11" s="5" t="s">
        <v>1518</v>
      </c>
      <c r="F11" s="5" t="s">
        <v>1489</v>
      </c>
      <c r="G11" s="3" t="s">
        <v>1490</v>
      </c>
      <c r="H11" s="3" t="s">
        <v>50</v>
      </c>
      <c r="I11" s="3" t="s">
        <v>95</v>
      </c>
      <c r="J11" s="3" t="s">
        <v>1519</v>
      </c>
      <c r="K11" s="3" t="s">
        <v>1520</v>
      </c>
      <c r="L11" s="3" t="s">
        <v>95</v>
      </c>
      <c r="M11" s="3" t="s">
        <v>1512</v>
      </c>
      <c r="N11" s="3" t="s">
        <v>1494</v>
      </c>
      <c r="O11" s="3" t="s">
        <v>22</v>
      </c>
      <c r="P11" s="3" t="s">
        <v>1501</v>
      </c>
      <c r="Q11" s="3" t="s">
        <v>1521</v>
      </c>
      <c r="R11" s="3" t="s">
        <v>64</v>
      </c>
      <c r="S11" s="3" t="s">
        <v>1330</v>
      </c>
      <c r="T11" s="3" t="s">
        <v>1330</v>
      </c>
      <c r="U11" s="3" t="s">
        <v>154</v>
      </c>
      <c r="V11" s="3">
        <v>20</v>
      </c>
      <c r="W11" s="3" t="s">
        <v>91</v>
      </c>
      <c r="X11" s="3" t="s">
        <v>49</v>
      </c>
      <c r="Y11" s="3" t="s">
        <v>93</v>
      </c>
      <c r="Z11" s="4">
        <v>46081</v>
      </c>
      <c r="AA11" s="4">
        <v>46074</v>
      </c>
      <c r="AB11" s="3" t="s">
        <v>293</v>
      </c>
      <c r="AC11" s="7">
        <f>IF(AB11="Closed",AA11-C11,TODAY()-C11)</f>
        <v>0</v>
      </c>
      <c r="AD11" s="3" t="s">
        <v>61</v>
      </c>
    </row>
    <row r="12" spans="1:32">
      <c r="A12" s="3">
        <v>9</v>
      </c>
      <c r="B12" s="3" t="s">
        <v>1522</v>
      </c>
      <c r="C12" s="4">
        <v>46108</v>
      </c>
      <c r="D12" s="3" t="s">
        <v>44</v>
      </c>
      <c r="E12" s="5" t="s">
        <v>1488</v>
      </c>
      <c r="F12" s="5" t="s">
        <v>1489</v>
      </c>
      <c r="G12" s="3" t="s">
        <v>1490</v>
      </c>
      <c r="H12" s="3" t="s">
        <v>13</v>
      </c>
      <c r="I12" s="3" t="s">
        <v>21</v>
      </c>
      <c r="J12" s="3" t="s">
        <v>1511</v>
      </c>
      <c r="K12" s="3" t="s">
        <v>1492</v>
      </c>
      <c r="L12" s="3" t="s">
        <v>95</v>
      </c>
      <c r="M12" s="3" t="s">
        <v>1515</v>
      </c>
      <c r="N12" s="3" t="s">
        <v>1494</v>
      </c>
      <c r="O12" s="3" t="s">
        <v>68</v>
      </c>
      <c r="P12" s="3" t="s">
        <v>1501</v>
      </c>
      <c r="Q12" s="3" t="s">
        <v>1523</v>
      </c>
      <c r="R12" s="3" t="s">
        <v>61</v>
      </c>
      <c r="S12" s="3" t="s">
        <v>296</v>
      </c>
      <c r="T12" s="3" t="s">
        <v>1330</v>
      </c>
      <c r="U12" s="3" t="s">
        <v>154</v>
      </c>
      <c r="V12" s="3">
        <v>29</v>
      </c>
      <c r="W12" s="3" t="s">
        <v>12</v>
      </c>
      <c r="X12" s="3" t="s">
        <v>16</v>
      </c>
      <c r="Y12" s="3" t="s">
        <v>70</v>
      </c>
      <c r="Z12" s="4">
        <v>46121</v>
      </c>
      <c r="AA12" s="4">
        <v>46114</v>
      </c>
      <c r="AB12" s="3" t="s">
        <v>293</v>
      </c>
      <c r="AC12" s="7">
        <f>IF(AB12="Closed",AA12-C12,TODAY()-C12)</f>
        <v>0</v>
      </c>
      <c r="AD12" s="3" t="s">
        <v>49</v>
      </c>
    </row>
    <row r="13" spans="1:32">
      <c r="A13" s="3">
        <v>10</v>
      </c>
      <c r="B13" s="3" t="s">
        <v>1524</v>
      </c>
      <c r="C13" s="4">
        <v>46107</v>
      </c>
      <c r="D13" s="3" t="s">
        <v>44</v>
      </c>
      <c r="E13" s="5" t="s">
        <v>1488</v>
      </c>
      <c r="F13" s="5" t="s">
        <v>1489</v>
      </c>
      <c r="G13" s="3" t="s">
        <v>1490</v>
      </c>
      <c r="H13" s="3" t="s">
        <v>39</v>
      </c>
      <c r="I13" s="3" t="s">
        <v>87</v>
      </c>
      <c r="J13" s="3" t="s">
        <v>1505</v>
      </c>
      <c r="K13" s="3" t="s">
        <v>1520</v>
      </c>
      <c r="L13" s="3" t="s">
        <v>80</v>
      </c>
      <c r="M13" s="3" t="s">
        <v>1500</v>
      </c>
      <c r="N13" s="3" t="s">
        <v>1494</v>
      </c>
      <c r="O13" s="3" t="s">
        <v>36</v>
      </c>
      <c r="P13" s="3" t="s">
        <v>58</v>
      </c>
      <c r="Q13" s="3" t="s">
        <v>1513</v>
      </c>
      <c r="R13" s="3" t="s">
        <v>16</v>
      </c>
      <c r="S13" s="3" t="s">
        <v>300</v>
      </c>
      <c r="T13" s="3" t="s">
        <v>296</v>
      </c>
      <c r="U13" s="3" t="s">
        <v>159</v>
      </c>
      <c r="V13" s="3">
        <v>27</v>
      </c>
      <c r="W13" s="3" t="s">
        <v>4</v>
      </c>
      <c r="X13" s="3" t="s">
        <v>54</v>
      </c>
      <c r="Y13" s="3" t="s">
        <v>70</v>
      </c>
      <c r="Z13" s="4">
        <v>46118</v>
      </c>
      <c r="AA13" s="4">
        <v>46136</v>
      </c>
      <c r="AB13" s="3" t="s">
        <v>293</v>
      </c>
      <c r="AC13" s="7">
        <f>IF(AB13="Closed",AA13-C13,TODAY()-C13)</f>
        <v>0</v>
      </c>
      <c r="AD13" s="3" t="s">
        <v>61</v>
      </c>
    </row>
    <row r="14" spans="1:32">
      <c r="A14" s="3">
        <v>11</v>
      </c>
      <c r="B14" s="3" t="s">
        <v>1525</v>
      </c>
      <c r="C14" s="4">
        <v>46085</v>
      </c>
      <c r="D14" s="3" t="s">
        <v>44</v>
      </c>
      <c r="E14" s="5" t="s">
        <v>1498</v>
      </c>
      <c r="F14" s="5" t="s">
        <v>1489</v>
      </c>
      <c r="G14" s="3" t="s">
        <v>1490</v>
      </c>
      <c r="H14" s="3" t="s">
        <v>13</v>
      </c>
      <c r="I14" s="3" t="s">
        <v>77</v>
      </c>
      <c r="J14" s="3" t="s">
        <v>1499</v>
      </c>
      <c r="K14" s="3" t="s">
        <v>47</v>
      </c>
      <c r="L14" s="3" t="s">
        <v>51</v>
      </c>
      <c r="M14" s="3" t="s">
        <v>1493</v>
      </c>
      <c r="N14" s="3" t="s">
        <v>1507</v>
      </c>
      <c r="O14" s="3" t="s">
        <v>104</v>
      </c>
      <c r="P14" s="3" t="s">
        <v>1495</v>
      </c>
      <c r="Q14" s="3" t="s">
        <v>1523</v>
      </c>
      <c r="R14" s="3" t="s">
        <v>16</v>
      </c>
      <c r="S14" s="3" t="s">
        <v>1330</v>
      </c>
      <c r="T14" s="3" t="s">
        <v>1330</v>
      </c>
      <c r="U14" s="3" t="s">
        <v>159</v>
      </c>
      <c r="V14" s="3">
        <v>1</v>
      </c>
      <c r="W14" s="3" t="s">
        <v>16</v>
      </c>
      <c r="X14" s="3" t="s">
        <v>91</v>
      </c>
      <c r="Y14" s="3" t="s">
        <v>15</v>
      </c>
      <c r="Z14" s="4">
        <v>46119</v>
      </c>
      <c r="AA14" s="4">
        <v>46103</v>
      </c>
      <c r="AB14" s="3" t="s">
        <v>293</v>
      </c>
      <c r="AC14" s="7">
        <f>IF(AB14="Closed",AA14-C14,TODAY()-C14)</f>
        <v>0</v>
      </c>
      <c r="AD14" s="3" t="s">
        <v>54</v>
      </c>
    </row>
    <row r="15" spans="1:32">
      <c r="A15" s="3">
        <v>12</v>
      </c>
      <c r="B15" s="3" t="s">
        <v>1526</v>
      </c>
      <c r="C15" s="4">
        <v>46100</v>
      </c>
      <c r="D15" s="3" t="s">
        <v>44</v>
      </c>
      <c r="E15" s="5" t="s">
        <v>1504</v>
      </c>
      <c r="F15" s="5" t="s">
        <v>1489</v>
      </c>
      <c r="G15" s="3" t="s">
        <v>1490</v>
      </c>
      <c r="H15" s="3" t="s">
        <v>89</v>
      </c>
      <c r="I15" s="3" t="s">
        <v>21</v>
      </c>
      <c r="J15" s="3" t="s">
        <v>1499</v>
      </c>
      <c r="K15" s="3" t="s">
        <v>1492</v>
      </c>
      <c r="L15" s="3" t="s">
        <v>95</v>
      </c>
      <c r="M15" s="3" t="s">
        <v>1515</v>
      </c>
      <c r="N15" s="3" t="s">
        <v>1494</v>
      </c>
      <c r="O15" s="3" t="s">
        <v>32</v>
      </c>
      <c r="P15" s="3" t="s">
        <v>1495</v>
      </c>
      <c r="Q15" s="3" t="s">
        <v>1513</v>
      </c>
      <c r="R15" s="3" t="s">
        <v>64</v>
      </c>
      <c r="S15" s="3" t="s">
        <v>1500</v>
      </c>
      <c r="T15" s="3" t="s">
        <v>1310</v>
      </c>
      <c r="U15" s="3" t="s">
        <v>154</v>
      </c>
      <c r="V15" s="3">
        <v>14</v>
      </c>
      <c r="W15" s="3" t="s">
        <v>64</v>
      </c>
      <c r="X15" s="3" t="s">
        <v>57</v>
      </c>
      <c r="Y15" s="3" t="s">
        <v>68</v>
      </c>
      <c r="Z15" s="4">
        <v>46111</v>
      </c>
      <c r="AA15" s="4">
        <v>46130</v>
      </c>
      <c r="AB15" s="3" t="s">
        <v>293</v>
      </c>
      <c r="AC15" s="7">
        <f>IF(AB15="Closed",AA15-C15,TODAY()-C15)</f>
        <v>0</v>
      </c>
      <c r="AD15" s="3" t="s">
        <v>61</v>
      </c>
    </row>
    <row r="16" spans="1:32">
      <c r="A16" s="3">
        <v>13</v>
      </c>
      <c r="B16" s="3" t="s">
        <v>1527</v>
      </c>
      <c r="C16" s="4">
        <v>46139</v>
      </c>
      <c r="D16" s="3" t="s">
        <v>53</v>
      </c>
      <c r="E16" s="5" t="s">
        <v>1488</v>
      </c>
      <c r="F16" s="5" t="s">
        <v>1528</v>
      </c>
      <c r="G16" s="3" t="s">
        <v>1490</v>
      </c>
      <c r="H16" s="3" t="s">
        <v>13</v>
      </c>
      <c r="I16" s="3" t="s">
        <v>82</v>
      </c>
      <c r="J16" s="3" t="s">
        <v>1499</v>
      </c>
      <c r="K16" s="3" t="s">
        <v>1529</v>
      </c>
      <c r="L16" s="3" t="s">
        <v>95</v>
      </c>
      <c r="M16" s="3" t="s">
        <v>1515</v>
      </c>
      <c r="N16" s="3" t="s">
        <v>1494</v>
      </c>
      <c r="O16" s="3" t="s">
        <v>7</v>
      </c>
      <c r="P16" s="3" t="s">
        <v>58</v>
      </c>
      <c r="Q16" s="3" t="s">
        <v>1513</v>
      </c>
      <c r="R16" s="3" t="s">
        <v>26</v>
      </c>
      <c r="S16" s="3" t="s">
        <v>296</v>
      </c>
      <c r="T16" s="3" t="s">
        <v>300</v>
      </c>
      <c r="U16" s="3" t="s">
        <v>159</v>
      </c>
      <c r="V16" s="3">
        <v>3</v>
      </c>
      <c r="W16" s="3" t="s">
        <v>16</v>
      </c>
      <c r="X16" s="3" t="s">
        <v>12</v>
      </c>
      <c r="Y16" s="3" t="s">
        <v>70</v>
      </c>
      <c r="Z16" s="4">
        <v>46168</v>
      </c>
      <c r="AA16" s="4">
        <v>46153</v>
      </c>
      <c r="AB16" s="3" t="s">
        <v>293</v>
      </c>
      <c r="AC16" s="7">
        <f>IF(AB16="Closed",AA16-C16,TODAY()-C16)</f>
        <v>0</v>
      </c>
      <c r="AD16" s="3" t="s">
        <v>12</v>
      </c>
    </row>
    <row r="17" spans="1:30">
      <c r="A17" s="3">
        <v>14</v>
      </c>
      <c r="B17" s="3" t="s">
        <v>1530</v>
      </c>
      <c r="C17" s="4">
        <v>46137</v>
      </c>
      <c r="D17" s="3" t="s">
        <v>53</v>
      </c>
      <c r="E17" s="5" t="s">
        <v>1488</v>
      </c>
      <c r="F17" s="5" t="s">
        <v>1528</v>
      </c>
      <c r="G17" s="3" t="s">
        <v>1490</v>
      </c>
      <c r="H17" s="3" t="s">
        <v>89</v>
      </c>
      <c r="I17" s="3" t="s">
        <v>35</v>
      </c>
      <c r="J17" s="3" t="s">
        <v>1511</v>
      </c>
      <c r="K17" s="3" t="s">
        <v>1529</v>
      </c>
      <c r="L17" s="3" t="s">
        <v>6</v>
      </c>
      <c r="M17" s="3" t="s">
        <v>1500</v>
      </c>
      <c r="N17" s="3" t="s">
        <v>1531</v>
      </c>
      <c r="O17" s="3" t="s">
        <v>22</v>
      </c>
      <c r="P17" s="3" t="s">
        <v>1495</v>
      </c>
      <c r="Q17" s="3" t="s">
        <v>1496</v>
      </c>
      <c r="R17" s="3" t="s">
        <v>45</v>
      </c>
      <c r="S17" s="3" t="s">
        <v>1330</v>
      </c>
      <c r="T17" s="3" t="s">
        <v>296</v>
      </c>
      <c r="U17" s="3" t="s">
        <v>142</v>
      </c>
      <c r="V17" s="3">
        <v>20</v>
      </c>
      <c r="W17" s="3" t="s">
        <v>26</v>
      </c>
      <c r="X17" s="3" t="s">
        <v>57</v>
      </c>
      <c r="Y17" s="3" t="s">
        <v>93</v>
      </c>
      <c r="Z17" s="4">
        <v>46174</v>
      </c>
      <c r="AA17" s="4">
        <v>46174</v>
      </c>
      <c r="AB17" s="3" t="s">
        <v>297</v>
      </c>
      <c r="AC17" s="7">
        <f>IF(AB17="Closed",AA17-C17,TODAY()-C17)</f>
        <v>0</v>
      </c>
      <c r="AD17" s="3" t="s">
        <v>12</v>
      </c>
    </row>
    <row r="18" spans="1:30">
      <c r="A18" s="3">
        <v>15</v>
      </c>
      <c r="B18" s="3" t="s">
        <v>1532</v>
      </c>
      <c r="C18" s="4">
        <v>46131</v>
      </c>
      <c r="D18" s="3" t="s">
        <v>53</v>
      </c>
      <c r="E18" s="5" t="s">
        <v>1504</v>
      </c>
      <c r="F18" s="5" t="s">
        <v>1528</v>
      </c>
      <c r="G18" s="3" t="s">
        <v>1490</v>
      </c>
      <c r="H18" s="3" t="s">
        <v>65</v>
      </c>
      <c r="I18" s="3" t="s">
        <v>31</v>
      </c>
      <c r="J18" s="3" t="s">
        <v>1491</v>
      </c>
      <c r="K18" s="3" t="s">
        <v>1492</v>
      </c>
      <c r="L18" s="3" t="s">
        <v>51</v>
      </c>
      <c r="M18" s="3" t="s">
        <v>1506</v>
      </c>
      <c r="N18" s="3" t="s">
        <v>1494</v>
      </c>
      <c r="O18" s="3" t="s">
        <v>7</v>
      </c>
      <c r="P18" s="3" t="s">
        <v>1508</v>
      </c>
      <c r="Q18" s="3" t="s">
        <v>1496</v>
      </c>
      <c r="R18" s="3" t="s">
        <v>20</v>
      </c>
      <c r="S18" s="3" t="s">
        <v>300</v>
      </c>
      <c r="T18" s="3" t="s">
        <v>1315</v>
      </c>
      <c r="U18" s="3" t="s">
        <v>154</v>
      </c>
      <c r="V18" s="3">
        <v>18</v>
      </c>
      <c r="W18" s="3" t="s">
        <v>57</v>
      </c>
      <c r="X18" s="3" t="s">
        <v>38</v>
      </c>
      <c r="Y18" s="3" t="s">
        <v>41</v>
      </c>
      <c r="Z18" s="4">
        <v>46140</v>
      </c>
      <c r="AA18" s="4">
        <v>46152</v>
      </c>
      <c r="AB18" s="3" t="s">
        <v>238</v>
      </c>
      <c r="AC18" s="7">
        <f>IF(AB18="Closed",AA18-C18,TODAY()-C18)</f>
        <v>0</v>
      </c>
      <c r="AD18" s="3" t="s">
        <v>49</v>
      </c>
    </row>
    <row r="19" spans="1:30">
      <c r="A19" s="3">
        <v>16</v>
      </c>
      <c r="B19" s="3" t="s">
        <v>1533</v>
      </c>
      <c r="C19" s="4">
        <v>46124</v>
      </c>
      <c r="D19" s="3" t="s">
        <v>53</v>
      </c>
      <c r="E19" s="5" t="s">
        <v>1518</v>
      </c>
      <c r="F19" s="5" t="s">
        <v>1528</v>
      </c>
      <c r="G19" s="3" t="s">
        <v>1490</v>
      </c>
      <c r="H19" s="3" t="s">
        <v>58</v>
      </c>
      <c r="I19" s="3" t="s">
        <v>40</v>
      </c>
      <c r="J19" s="3" t="s">
        <v>1519</v>
      </c>
      <c r="K19" s="3" t="s">
        <v>47</v>
      </c>
      <c r="L19" s="3" t="s">
        <v>82</v>
      </c>
      <c r="M19" s="3" t="s">
        <v>1493</v>
      </c>
      <c r="N19" s="3" t="s">
        <v>1494</v>
      </c>
      <c r="O19" s="3" t="s">
        <v>15</v>
      </c>
      <c r="P19" s="3" t="s">
        <v>1508</v>
      </c>
      <c r="Q19" s="3" t="s">
        <v>1534</v>
      </c>
      <c r="R19" s="3" t="s">
        <v>45</v>
      </c>
      <c r="S19" s="3" t="s">
        <v>1500</v>
      </c>
      <c r="T19" s="3" t="s">
        <v>1312</v>
      </c>
      <c r="U19" s="3" t="s">
        <v>162</v>
      </c>
      <c r="V19" s="3">
        <v>10</v>
      </c>
      <c r="W19" s="3" t="s">
        <v>20</v>
      </c>
      <c r="X19" s="3" t="s">
        <v>64</v>
      </c>
      <c r="Y19" s="3" t="s">
        <v>28</v>
      </c>
      <c r="Z19" s="4">
        <v>46129</v>
      </c>
      <c r="AA19" s="4">
        <v>46139</v>
      </c>
      <c r="AB19" s="3" t="s">
        <v>293</v>
      </c>
      <c r="AC19" s="7">
        <f>IF(AB19="Closed",AA19-C19,TODAY()-C19)</f>
        <v>0</v>
      </c>
      <c r="AD19" s="3" t="s">
        <v>30</v>
      </c>
    </row>
    <row r="20" spans="1:30">
      <c r="A20" s="3">
        <v>17</v>
      </c>
      <c r="B20" s="3" t="s">
        <v>1535</v>
      </c>
      <c r="C20" s="4">
        <v>46152</v>
      </c>
      <c r="D20" s="3" t="s">
        <v>60</v>
      </c>
      <c r="E20" s="5" t="s">
        <v>1518</v>
      </c>
      <c r="F20" s="5" t="s">
        <v>1528</v>
      </c>
      <c r="G20" s="3" t="s">
        <v>1490</v>
      </c>
      <c r="H20" s="3" t="s">
        <v>92</v>
      </c>
      <c r="I20" s="3" t="s">
        <v>51</v>
      </c>
      <c r="J20" s="3" t="s">
        <v>1499</v>
      </c>
      <c r="K20" s="3" t="s">
        <v>1520</v>
      </c>
      <c r="L20" s="3" t="s">
        <v>87</v>
      </c>
      <c r="M20" s="3" t="s">
        <v>1493</v>
      </c>
      <c r="N20" s="3" t="s">
        <v>1536</v>
      </c>
      <c r="O20" s="3" t="s">
        <v>15</v>
      </c>
      <c r="P20" s="3" t="s">
        <v>1495</v>
      </c>
      <c r="Q20" s="3" t="s">
        <v>1513</v>
      </c>
      <c r="R20" s="3" t="s">
        <v>26</v>
      </c>
      <c r="S20" s="3" t="s">
        <v>296</v>
      </c>
      <c r="T20" s="3" t="s">
        <v>1337</v>
      </c>
      <c r="U20" s="3" t="s">
        <v>142</v>
      </c>
      <c r="V20" s="3">
        <v>28</v>
      </c>
      <c r="W20" s="3" t="s">
        <v>57</v>
      </c>
      <c r="X20" s="3" t="s">
        <v>64</v>
      </c>
      <c r="Y20" s="3" t="s">
        <v>62</v>
      </c>
      <c r="Z20" s="4">
        <v>46197</v>
      </c>
      <c r="AA20" s="4">
        <v>46178</v>
      </c>
      <c r="AB20" s="3" t="s">
        <v>293</v>
      </c>
      <c r="AC20" s="7">
        <f>IF(AB20="Closed",AA20-C20,TODAY()-C20)</f>
        <v>0</v>
      </c>
      <c r="AD20" s="3" t="s">
        <v>91</v>
      </c>
    </row>
    <row r="21" spans="1:30">
      <c r="A21" s="3">
        <v>18</v>
      </c>
      <c r="B21" s="3" t="s">
        <v>1537</v>
      </c>
      <c r="C21" s="4">
        <v>46158</v>
      </c>
      <c r="D21" s="3" t="s">
        <v>60</v>
      </c>
      <c r="E21" s="5" t="s">
        <v>1504</v>
      </c>
      <c r="F21" s="5" t="s">
        <v>1528</v>
      </c>
      <c r="G21" s="3" t="s">
        <v>1490</v>
      </c>
      <c r="H21" s="3" t="s">
        <v>27</v>
      </c>
      <c r="I21" s="3" t="s">
        <v>14</v>
      </c>
      <c r="J21" s="3" t="s">
        <v>1499</v>
      </c>
      <c r="K21" s="3" t="s">
        <v>1492</v>
      </c>
      <c r="L21" s="3" t="s">
        <v>21</v>
      </c>
      <c r="M21" s="3" t="s">
        <v>1512</v>
      </c>
      <c r="N21" s="3" t="s">
        <v>1494</v>
      </c>
      <c r="O21" s="3" t="s">
        <v>15</v>
      </c>
      <c r="P21" s="3" t="s">
        <v>1508</v>
      </c>
      <c r="Q21" s="3" t="s">
        <v>1538</v>
      </c>
      <c r="R21" s="3" t="s">
        <v>61</v>
      </c>
      <c r="S21" s="3" t="s">
        <v>1330</v>
      </c>
      <c r="T21" s="3" t="s">
        <v>1330</v>
      </c>
      <c r="U21" s="3" t="s">
        <v>142</v>
      </c>
      <c r="V21" s="3">
        <v>17</v>
      </c>
      <c r="W21" s="3" t="s">
        <v>16</v>
      </c>
      <c r="X21" s="3" t="s">
        <v>64</v>
      </c>
      <c r="Y21" s="3" t="s">
        <v>28</v>
      </c>
      <c r="Z21" s="4">
        <v>46175</v>
      </c>
      <c r="AA21" s="4">
        <v>46176</v>
      </c>
      <c r="AB21" s="3" t="s">
        <v>293</v>
      </c>
      <c r="AC21" s="7">
        <f>IF(AB21="Closed",AA21-C21,TODAY()-C21)</f>
        <v>0</v>
      </c>
      <c r="AD21" s="3" t="s">
        <v>16</v>
      </c>
    </row>
    <row r="22" spans="1:30">
      <c r="A22" s="3">
        <v>19</v>
      </c>
      <c r="B22" s="3" t="s">
        <v>1539</v>
      </c>
      <c r="C22" s="4">
        <v>46155</v>
      </c>
      <c r="D22" s="3" t="s">
        <v>60</v>
      </c>
      <c r="E22" s="5" t="s">
        <v>1518</v>
      </c>
      <c r="F22" s="5" t="s">
        <v>1528</v>
      </c>
      <c r="G22" s="3" t="s">
        <v>1490</v>
      </c>
      <c r="H22" s="3" t="s">
        <v>27</v>
      </c>
      <c r="I22" s="3" t="s">
        <v>82</v>
      </c>
      <c r="J22" s="3" t="s">
        <v>1491</v>
      </c>
      <c r="K22" s="3" t="s">
        <v>47</v>
      </c>
      <c r="L22" s="3" t="s">
        <v>87</v>
      </c>
      <c r="M22" s="3" t="s">
        <v>1500</v>
      </c>
      <c r="N22" s="3" t="s">
        <v>1494</v>
      </c>
      <c r="O22" s="3" t="s">
        <v>104</v>
      </c>
      <c r="P22" s="3" t="s">
        <v>1508</v>
      </c>
      <c r="Q22" s="3" t="s">
        <v>1513</v>
      </c>
      <c r="R22" s="3" t="s">
        <v>16</v>
      </c>
      <c r="S22" s="3" t="s">
        <v>1330</v>
      </c>
      <c r="T22" s="3" t="s">
        <v>1312</v>
      </c>
      <c r="U22" s="3" t="s">
        <v>142</v>
      </c>
      <c r="V22" s="3">
        <v>27</v>
      </c>
      <c r="W22" s="3" t="s">
        <v>12</v>
      </c>
      <c r="X22" s="3" t="s">
        <v>4</v>
      </c>
      <c r="Y22" s="3" t="s">
        <v>66</v>
      </c>
      <c r="Z22" s="4">
        <v>46169</v>
      </c>
      <c r="AA22" s="4">
        <v>46186</v>
      </c>
      <c r="AB22" s="3" t="s">
        <v>293</v>
      </c>
      <c r="AC22" s="7">
        <f>IF(AB22="Closed",AA22-C22,TODAY()-C22)</f>
        <v>0</v>
      </c>
      <c r="AD22" s="3" t="s">
        <v>64</v>
      </c>
    </row>
    <row r="23" spans="1:30">
      <c r="A23" s="3">
        <v>20</v>
      </c>
      <c r="B23" s="3" t="s">
        <v>1540</v>
      </c>
      <c r="C23" s="4">
        <v>46162</v>
      </c>
      <c r="D23" s="3" t="s">
        <v>60</v>
      </c>
      <c r="E23" s="5" t="s">
        <v>1504</v>
      </c>
      <c r="F23" s="5" t="s">
        <v>1528</v>
      </c>
      <c r="G23" s="3" t="s">
        <v>1490</v>
      </c>
      <c r="H23" s="3" t="s">
        <v>13</v>
      </c>
      <c r="I23" s="3" t="s">
        <v>40</v>
      </c>
      <c r="J23" s="3" t="s">
        <v>1541</v>
      </c>
      <c r="K23" s="3" t="s">
        <v>1520</v>
      </c>
      <c r="L23" s="3" t="s">
        <v>14</v>
      </c>
      <c r="M23" s="3" t="s">
        <v>1506</v>
      </c>
      <c r="N23" s="3" t="s">
        <v>1494</v>
      </c>
      <c r="O23" s="3" t="s">
        <v>104</v>
      </c>
      <c r="P23" s="3" t="s">
        <v>1501</v>
      </c>
      <c r="Q23" s="3" t="s">
        <v>1523</v>
      </c>
      <c r="R23" s="3" t="s">
        <v>4</v>
      </c>
      <c r="S23" s="3" t="s">
        <v>296</v>
      </c>
      <c r="T23" s="3" t="s">
        <v>1315</v>
      </c>
      <c r="U23" s="3" t="s">
        <v>159</v>
      </c>
      <c r="V23" s="3">
        <v>10</v>
      </c>
      <c r="W23" s="3" t="s">
        <v>54</v>
      </c>
      <c r="X23" s="3" t="s">
        <v>54</v>
      </c>
      <c r="Y23" s="3" t="s">
        <v>70</v>
      </c>
      <c r="Z23" s="4">
        <v>46177</v>
      </c>
      <c r="AA23" s="4">
        <v>46186</v>
      </c>
      <c r="AB23" s="3" t="s">
        <v>254</v>
      </c>
      <c r="AC23" s="7">
        <f>IF(AB23="Closed",AA23-C23,TODAY()-C23)</f>
        <v>0</v>
      </c>
      <c r="AD23" s="3" t="s">
        <v>20</v>
      </c>
    </row>
    <row r="24" spans="1:30">
      <c r="A24" s="3">
        <v>21</v>
      </c>
      <c r="B24" s="3" t="s">
        <v>1542</v>
      </c>
      <c r="C24" s="4">
        <v>46156</v>
      </c>
      <c r="D24" s="3" t="s">
        <v>60</v>
      </c>
      <c r="E24" s="5" t="s">
        <v>1518</v>
      </c>
      <c r="F24" s="5" t="s">
        <v>1528</v>
      </c>
      <c r="G24" s="3" t="s">
        <v>1490</v>
      </c>
      <c r="H24" s="3" t="s">
        <v>65</v>
      </c>
      <c r="I24" s="3" t="s">
        <v>77</v>
      </c>
      <c r="J24" s="3" t="s">
        <v>1511</v>
      </c>
      <c r="K24" s="3" t="s">
        <v>1529</v>
      </c>
      <c r="L24" s="3" t="s">
        <v>51</v>
      </c>
      <c r="M24" s="3" t="s">
        <v>1512</v>
      </c>
      <c r="N24" s="3" t="s">
        <v>1536</v>
      </c>
      <c r="O24" s="3" t="s">
        <v>68</v>
      </c>
      <c r="P24" s="3" t="s">
        <v>1501</v>
      </c>
      <c r="Q24" s="3" t="s">
        <v>1496</v>
      </c>
      <c r="R24" s="3" t="s">
        <v>54</v>
      </c>
      <c r="S24" s="3" t="s">
        <v>1500</v>
      </c>
      <c r="T24" s="3" t="s">
        <v>1312</v>
      </c>
      <c r="U24" s="3" t="s">
        <v>142</v>
      </c>
      <c r="V24" s="3">
        <v>7</v>
      </c>
      <c r="W24" s="3" t="s">
        <v>49</v>
      </c>
      <c r="X24" s="3" t="s">
        <v>45</v>
      </c>
      <c r="Y24" s="3" t="s">
        <v>70</v>
      </c>
      <c r="Z24" s="4">
        <v>46179</v>
      </c>
      <c r="AA24" s="4">
        <v>46181</v>
      </c>
      <c r="AB24" s="3" t="s">
        <v>293</v>
      </c>
      <c r="AC24" s="7">
        <f>IF(AB24="Closed",AA24-C24,TODAY()-C24)</f>
        <v>0</v>
      </c>
      <c r="AD24" s="3" t="s">
        <v>49</v>
      </c>
    </row>
    <row r="25" spans="1:30">
      <c r="A25" s="3">
        <v>22</v>
      </c>
      <c r="B25" s="3" t="s">
        <v>1543</v>
      </c>
      <c r="C25" s="4">
        <v>46144</v>
      </c>
      <c r="D25" s="3" t="s">
        <v>60</v>
      </c>
      <c r="E25" s="5" t="s">
        <v>1498</v>
      </c>
      <c r="F25" s="5" t="s">
        <v>1528</v>
      </c>
      <c r="G25" s="3" t="s">
        <v>1490</v>
      </c>
      <c r="H25" s="3" t="s">
        <v>5</v>
      </c>
      <c r="I25" s="3" t="s">
        <v>14</v>
      </c>
      <c r="J25" s="3" t="s">
        <v>1511</v>
      </c>
      <c r="K25" s="3" t="s">
        <v>1492</v>
      </c>
      <c r="L25" s="3" t="s">
        <v>77</v>
      </c>
      <c r="M25" s="3" t="s">
        <v>1500</v>
      </c>
      <c r="N25" s="3" t="s">
        <v>1544</v>
      </c>
      <c r="O25" s="3" t="s">
        <v>104</v>
      </c>
      <c r="P25" s="3" t="s">
        <v>1501</v>
      </c>
      <c r="Q25" s="3" t="s">
        <v>1496</v>
      </c>
      <c r="R25" s="3" t="s">
        <v>61</v>
      </c>
      <c r="S25" s="3" t="s">
        <v>1500</v>
      </c>
      <c r="T25" s="3" t="s">
        <v>296</v>
      </c>
      <c r="U25" s="3" t="s">
        <v>142</v>
      </c>
      <c r="V25" s="3">
        <v>27</v>
      </c>
      <c r="W25" s="3" t="s">
        <v>57</v>
      </c>
      <c r="X25" s="3" t="s">
        <v>54</v>
      </c>
      <c r="Y25" s="3" t="s">
        <v>15</v>
      </c>
      <c r="Z25" s="4">
        <v>46160</v>
      </c>
      <c r="AA25" s="4">
        <v>46158</v>
      </c>
      <c r="AB25" s="3" t="s">
        <v>238</v>
      </c>
      <c r="AC25" s="7">
        <f>IF(AB25="Closed",AA25-C25,TODAY()-C25)</f>
        <v>0</v>
      </c>
      <c r="AD25" s="3" t="s">
        <v>61</v>
      </c>
    </row>
    <row r="26" spans="1:30">
      <c r="A26" s="3">
        <v>23</v>
      </c>
      <c r="B26" s="3" t="s">
        <v>1545</v>
      </c>
      <c r="C26" s="4">
        <v>46150</v>
      </c>
      <c r="D26" s="3" t="s">
        <v>60</v>
      </c>
      <c r="E26" s="5" t="s">
        <v>1518</v>
      </c>
      <c r="F26" s="5" t="s">
        <v>1528</v>
      </c>
      <c r="G26" s="3" t="s">
        <v>1490</v>
      </c>
      <c r="H26" s="3" t="s">
        <v>92</v>
      </c>
      <c r="I26" s="3" t="s">
        <v>31</v>
      </c>
      <c r="J26" s="3" t="s">
        <v>1505</v>
      </c>
      <c r="K26" s="3" t="s">
        <v>1520</v>
      </c>
      <c r="L26" s="3" t="s">
        <v>80</v>
      </c>
      <c r="M26" s="3" t="s">
        <v>1506</v>
      </c>
      <c r="N26" s="3" t="s">
        <v>1494</v>
      </c>
      <c r="O26" s="3" t="s">
        <v>7</v>
      </c>
      <c r="P26" s="3" t="s">
        <v>1495</v>
      </c>
      <c r="Q26" s="3" t="s">
        <v>1496</v>
      </c>
      <c r="R26" s="3" t="s">
        <v>20</v>
      </c>
      <c r="S26" s="3" t="s">
        <v>1500</v>
      </c>
      <c r="T26" s="3" t="s">
        <v>1318</v>
      </c>
      <c r="U26" s="3" t="s">
        <v>154</v>
      </c>
      <c r="V26" s="3">
        <v>7</v>
      </c>
      <c r="W26" s="3" t="s">
        <v>20</v>
      </c>
      <c r="X26" s="3" t="s">
        <v>49</v>
      </c>
      <c r="Y26" s="3" t="s">
        <v>36</v>
      </c>
      <c r="Z26" s="4">
        <v>46184</v>
      </c>
      <c r="AA26" s="4">
        <v>46155</v>
      </c>
      <c r="AB26" s="3" t="s">
        <v>293</v>
      </c>
      <c r="AC26" s="7">
        <f>IF(AB26="Closed",AA26-C26,TODAY()-C26)</f>
        <v>0</v>
      </c>
      <c r="AD26" s="3" t="s">
        <v>91</v>
      </c>
    </row>
    <row r="27" spans="1:30">
      <c r="A27" s="3">
        <v>24</v>
      </c>
      <c r="B27" s="3" t="s">
        <v>1546</v>
      </c>
      <c r="C27" s="4">
        <v>46160</v>
      </c>
      <c r="D27" s="3" t="s">
        <v>60</v>
      </c>
      <c r="E27" s="5" t="s">
        <v>1504</v>
      </c>
      <c r="F27" s="5" t="s">
        <v>1528</v>
      </c>
      <c r="G27" s="3" t="s">
        <v>1490</v>
      </c>
      <c r="H27" s="3" t="s">
        <v>65</v>
      </c>
      <c r="I27" s="3" t="s">
        <v>95</v>
      </c>
      <c r="J27" s="3" t="s">
        <v>1491</v>
      </c>
      <c r="K27" s="3" t="s">
        <v>1529</v>
      </c>
      <c r="L27" s="3" t="s">
        <v>40</v>
      </c>
      <c r="M27" s="3" t="s">
        <v>1512</v>
      </c>
      <c r="N27" s="3" t="s">
        <v>1494</v>
      </c>
      <c r="O27" s="3" t="s">
        <v>41</v>
      </c>
      <c r="P27" s="3" t="s">
        <v>1501</v>
      </c>
      <c r="Q27" s="3" t="s">
        <v>1521</v>
      </c>
      <c r="R27" s="3" t="s">
        <v>91</v>
      </c>
      <c r="S27" s="3" t="s">
        <v>1500</v>
      </c>
      <c r="T27" s="3" t="s">
        <v>296</v>
      </c>
      <c r="U27" s="3" t="s">
        <v>154</v>
      </c>
      <c r="V27" s="3">
        <v>11</v>
      </c>
      <c r="W27" s="3" t="s">
        <v>45</v>
      </c>
      <c r="X27" s="3" t="s">
        <v>64</v>
      </c>
      <c r="Y27" s="3" t="s">
        <v>36</v>
      </c>
      <c r="Z27" s="4">
        <v>46199</v>
      </c>
      <c r="AA27" s="4">
        <v>46179</v>
      </c>
      <c r="AB27" s="3" t="s">
        <v>293</v>
      </c>
      <c r="AC27" s="7">
        <f>IF(AB27="Closed",AA27-C27,TODAY()-C27)</f>
        <v>0</v>
      </c>
      <c r="AD27" s="3" t="s">
        <v>54</v>
      </c>
    </row>
    <row r="28" spans="1:30">
      <c r="A28" s="3">
        <v>25</v>
      </c>
      <c r="B28" s="3" t="s">
        <v>1547</v>
      </c>
      <c r="C28" s="4">
        <v>46148</v>
      </c>
      <c r="D28" s="3" t="s">
        <v>60</v>
      </c>
      <c r="E28" s="5" t="s">
        <v>1498</v>
      </c>
      <c r="F28" s="5" t="s">
        <v>1528</v>
      </c>
      <c r="G28" s="3" t="s">
        <v>1490</v>
      </c>
      <c r="H28" s="3" t="s">
        <v>65</v>
      </c>
      <c r="I28" s="3" t="s">
        <v>82</v>
      </c>
      <c r="J28" s="3" t="s">
        <v>1511</v>
      </c>
      <c r="K28" s="3" t="s">
        <v>47</v>
      </c>
      <c r="L28" s="3" t="s">
        <v>51</v>
      </c>
      <c r="M28" s="3" t="s">
        <v>1512</v>
      </c>
      <c r="N28" s="3" t="s">
        <v>1494</v>
      </c>
      <c r="O28" s="3" t="s">
        <v>62</v>
      </c>
      <c r="P28" s="3" t="s">
        <v>1508</v>
      </c>
      <c r="Q28" s="3" t="s">
        <v>1538</v>
      </c>
      <c r="R28" s="3" t="s">
        <v>38</v>
      </c>
      <c r="S28" s="3" t="s">
        <v>1330</v>
      </c>
      <c r="T28" s="3" t="s">
        <v>1330</v>
      </c>
      <c r="U28" s="3" t="s">
        <v>159</v>
      </c>
      <c r="V28" s="3">
        <v>0</v>
      </c>
      <c r="W28" s="3" t="s">
        <v>57</v>
      </c>
      <c r="X28" s="3" t="s">
        <v>61</v>
      </c>
      <c r="Y28" s="3" t="s">
        <v>41</v>
      </c>
      <c r="Z28" s="4">
        <v>46159</v>
      </c>
      <c r="AA28" s="4">
        <v>46161</v>
      </c>
      <c r="AB28" s="3" t="s">
        <v>238</v>
      </c>
      <c r="AC28" s="7">
        <f>IF(AB28="Closed",AA28-C28,TODAY()-C28)</f>
        <v>0</v>
      </c>
      <c r="AD28" s="3" t="s">
        <v>45</v>
      </c>
    </row>
    <row r="29" spans="1:30">
      <c r="A29" s="3">
        <v>26</v>
      </c>
      <c r="B29" s="3" t="s">
        <v>1548</v>
      </c>
      <c r="C29" s="4">
        <v>46164</v>
      </c>
      <c r="D29" s="3" t="s">
        <v>60</v>
      </c>
      <c r="E29" s="5" t="s">
        <v>1488</v>
      </c>
      <c r="F29" s="5" t="s">
        <v>1528</v>
      </c>
      <c r="G29" s="3" t="s">
        <v>1490</v>
      </c>
      <c r="H29" s="3" t="s">
        <v>89</v>
      </c>
      <c r="I29" s="3" t="s">
        <v>35</v>
      </c>
      <c r="J29" s="3" t="s">
        <v>1511</v>
      </c>
      <c r="K29" s="3" t="s">
        <v>47</v>
      </c>
      <c r="L29" s="3" t="s">
        <v>31</v>
      </c>
      <c r="M29" s="3" t="s">
        <v>1506</v>
      </c>
      <c r="N29" s="3" t="s">
        <v>1494</v>
      </c>
      <c r="O29" s="3" t="s">
        <v>66</v>
      </c>
      <c r="P29" s="3" t="s">
        <v>1501</v>
      </c>
      <c r="Q29" s="3" t="s">
        <v>1523</v>
      </c>
      <c r="R29" s="3" t="s">
        <v>45</v>
      </c>
      <c r="S29" s="3" t="s">
        <v>1330</v>
      </c>
      <c r="T29" s="3" t="s">
        <v>1315</v>
      </c>
      <c r="U29" s="3" t="s">
        <v>142</v>
      </c>
      <c r="V29" s="3">
        <v>25</v>
      </c>
      <c r="W29" s="3" t="s">
        <v>49</v>
      </c>
      <c r="X29" s="3" t="s">
        <v>91</v>
      </c>
      <c r="Y29" s="3" t="s">
        <v>78</v>
      </c>
      <c r="Z29" s="4">
        <v>46197</v>
      </c>
      <c r="AA29" s="4">
        <v>46171</v>
      </c>
      <c r="AB29" s="3" t="s">
        <v>238</v>
      </c>
      <c r="AC29" s="7">
        <f>IF(AB29="Closed",AA29-C29,TODAY()-C29)</f>
        <v>0</v>
      </c>
      <c r="AD29" s="3" t="s">
        <v>30</v>
      </c>
    </row>
    <row r="30" spans="1:30">
      <c r="A30" s="3">
        <v>27</v>
      </c>
      <c r="B30" s="3" t="s">
        <v>1549</v>
      </c>
      <c r="C30" s="4">
        <v>46162</v>
      </c>
      <c r="D30" s="3" t="s">
        <v>60</v>
      </c>
      <c r="E30" s="5" t="s">
        <v>1504</v>
      </c>
      <c r="F30" s="5" t="s">
        <v>1528</v>
      </c>
      <c r="G30" s="3" t="s">
        <v>1490</v>
      </c>
      <c r="H30" s="3" t="s">
        <v>5</v>
      </c>
      <c r="I30" s="3" t="s">
        <v>21</v>
      </c>
      <c r="J30" s="3" t="s">
        <v>1511</v>
      </c>
      <c r="K30" s="3" t="s">
        <v>47</v>
      </c>
      <c r="L30" s="3" t="s">
        <v>40</v>
      </c>
      <c r="M30" s="3" t="s">
        <v>1512</v>
      </c>
      <c r="N30" s="3" t="s">
        <v>1531</v>
      </c>
      <c r="O30" s="3" t="s">
        <v>70</v>
      </c>
      <c r="P30" s="3" t="s">
        <v>1495</v>
      </c>
      <c r="Q30" s="3" t="s">
        <v>1538</v>
      </c>
      <c r="R30" s="3" t="s">
        <v>64</v>
      </c>
      <c r="S30" s="3" t="s">
        <v>300</v>
      </c>
      <c r="T30" s="3" t="s">
        <v>1337</v>
      </c>
      <c r="U30" s="3" t="s">
        <v>154</v>
      </c>
      <c r="V30" s="3">
        <v>17</v>
      </c>
      <c r="W30" s="3" t="s">
        <v>64</v>
      </c>
      <c r="X30" s="3" t="s">
        <v>26</v>
      </c>
      <c r="Y30" s="3" t="s">
        <v>15</v>
      </c>
      <c r="Z30" s="4">
        <v>46167</v>
      </c>
      <c r="AA30" s="4">
        <v>46206</v>
      </c>
      <c r="AB30" s="3" t="s">
        <v>254</v>
      </c>
      <c r="AC30" s="7">
        <f>IF(AB30="Closed",AA30-C30,TODAY()-C30)</f>
        <v>0</v>
      </c>
      <c r="AD30" s="3" t="s">
        <v>61</v>
      </c>
    </row>
    <row r="31" spans="1:30">
      <c r="A31" s="3">
        <v>28</v>
      </c>
      <c r="B31" s="3" t="s">
        <v>1550</v>
      </c>
      <c r="C31" s="4">
        <v>46190</v>
      </c>
      <c r="D31" s="3" t="s">
        <v>73</v>
      </c>
      <c r="E31" s="5" t="s">
        <v>1504</v>
      </c>
      <c r="F31" s="5" t="s">
        <v>1528</v>
      </c>
      <c r="G31" s="3" t="s">
        <v>1490</v>
      </c>
      <c r="H31" s="3" t="s">
        <v>46</v>
      </c>
      <c r="I31" s="3" t="s">
        <v>51</v>
      </c>
      <c r="J31" s="3" t="s">
        <v>1511</v>
      </c>
      <c r="K31" s="3" t="s">
        <v>1492</v>
      </c>
      <c r="L31" s="3" t="s">
        <v>35</v>
      </c>
      <c r="M31" s="3" t="s">
        <v>1515</v>
      </c>
      <c r="N31" s="3" t="s">
        <v>1494</v>
      </c>
      <c r="O31" s="3" t="s">
        <v>78</v>
      </c>
      <c r="P31" s="3" t="s">
        <v>58</v>
      </c>
      <c r="Q31" s="3" t="s">
        <v>1521</v>
      </c>
      <c r="R31" s="3" t="s">
        <v>45</v>
      </c>
      <c r="S31" s="3" t="s">
        <v>1330</v>
      </c>
      <c r="T31" s="3" t="s">
        <v>1330</v>
      </c>
      <c r="U31" s="3" t="s">
        <v>142</v>
      </c>
      <c r="V31" s="3">
        <v>0</v>
      </c>
      <c r="W31" s="3" t="s">
        <v>16</v>
      </c>
      <c r="X31" s="3" t="s">
        <v>57</v>
      </c>
      <c r="Y31" s="3" t="s">
        <v>93</v>
      </c>
      <c r="Z31" s="4">
        <v>46217</v>
      </c>
      <c r="AA31" s="4">
        <v>46207</v>
      </c>
      <c r="AB31" s="3" t="s">
        <v>293</v>
      </c>
      <c r="AC31" s="7">
        <f>IF(AB31="Closed",AA31-C31,TODAY()-C31)</f>
        <v>0</v>
      </c>
      <c r="AD31" s="3" t="s">
        <v>61</v>
      </c>
    </row>
    <row r="32" spans="1:30">
      <c r="A32" s="3">
        <v>29</v>
      </c>
      <c r="B32" s="3" t="s">
        <v>1551</v>
      </c>
      <c r="C32" s="4">
        <v>46181</v>
      </c>
      <c r="D32" s="3" t="s">
        <v>73</v>
      </c>
      <c r="E32" s="5" t="s">
        <v>1518</v>
      </c>
      <c r="F32" s="5" t="s">
        <v>1528</v>
      </c>
      <c r="G32" s="3" t="s">
        <v>1490</v>
      </c>
      <c r="H32" s="3" t="s">
        <v>46</v>
      </c>
      <c r="I32" s="3" t="s">
        <v>14</v>
      </c>
      <c r="J32" s="3" t="s">
        <v>1511</v>
      </c>
      <c r="K32" s="3" t="s">
        <v>1492</v>
      </c>
      <c r="L32" s="3" t="s">
        <v>14</v>
      </c>
      <c r="M32" s="3" t="s">
        <v>1500</v>
      </c>
      <c r="N32" s="3" t="s">
        <v>1531</v>
      </c>
      <c r="O32" s="3" t="s">
        <v>15</v>
      </c>
      <c r="P32" s="3" t="s">
        <v>1508</v>
      </c>
      <c r="Q32" s="3" t="s">
        <v>1534</v>
      </c>
      <c r="R32" s="3" t="s">
        <v>12</v>
      </c>
      <c r="S32" s="3" t="s">
        <v>1330</v>
      </c>
      <c r="T32" s="3" t="s">
        <v>1318</v>
      </c>
      <c r="U32" s="3" t="s">
        <v>142</v>
      </c>
      <c r="V32" s="3">
        <v>22</v>
      </c>
      <c r="W32" s="3" t="s">
        <v>61</v>
      </c>
      <c r="X32" s="3" t="s">
        <v>64</v>
      </c>
      <c r="Y32" s="3" t="s">
        <v>32</v>
      </c>
      <c r="Z32" s="4">
        <v>46202</v>
      </c>
      <c r="AA32" s="4">
        <v>46196</v>
      </c>
      <c r="AB32" s="3" t="s">
        <v>293</v>
      </c>
      <c r="AC32" s="7">
        <f>IF(AB32="Closed",AA32-C32,TODAY()-C32)</f>
        <v>0</v>
      </c>
      <c r="AD32" s="3" t="s">
        <v>12</v>
      </c>
    </row>
    <row r="33" spans="1:30">
      <c r="A33" s="3">
        <v>30</v>
      </c>
      <c r="B33" s="3" t="s">
        <v>1552</v>
      </c>
      <c r="C33" s="4">
        <v>46187</v>
      </c>
      <c r="D33" s="3" t="s">
        <v>73</v>
      </c>
      <c r="E33" s="5" t="s">
        <v>1518</v>
      </c>
      <c r="F33" s="5" t="s">
        <v>1528</v>
      </c>
      <c r="G33" s="3" t="s">
        <v>1490</v>
      </c>
      <c r="H33" s="3" t="s">
        <v>5</v>
      </c>
      <c r="I33" s="3" t="s">
        <v>31</v>
      </c>
      <c r="J33" s="3" t="s">
        <v>1499</v>
      </c>
      <c r="K33" s="3" t="s">
        <v>1520</v>
      </c>
      <c r="L33" s="3" t="s">
        <v>40</v>
      </c>
      <c r="M33" s="3" t="s">
        <v>1500</v>
      </c>
      <c r="N33" s="3" t="s">
        <v>1531</v>
      </c>
      <c r="O33" s="3" t="s">
        <v>41</v>
      </c>
      <c r="P33" s="3" t="s">
        <v>1501</v>
      </c>
      <c r="Q33" s="3" t="s">
        <v>1496</v>
      </c>
      <c r="R33" s="3" t="s">
        <v>64</v>
      </c>
      <c r="S33" s="3" t="s">
        <v>1330</v>
      </c>
      <c r="T33" s="3" t="s">
        <v>1330</v>
      </c>
      <c r="U33" s="3" t="s">
        <v>154</v>
      </c>
      <c r="V33" s="3">
        <v>15</v>
      </c>
      <c r="W33" s="3" t="s">
        <v>54</v>
      </c>
      <c r="X33" s="3" t="s">
        <v>30</v>
      </c>
      <c r="Y33" s="3" t="s">
        <v>66</v>
      </c>
      <c r="Z33" s="4">
        <v>46224</v>
      </c>
      <c r="AA33" s="4">
        <v>46204</v>
      </c>
      <c r="AB33" s="3" t="s">
        <v>293</v>
      </c>
      <c r="AC33" s="7">
        <f>IF(AB33="Closed",AA33-C33,TODAY()-C33)</f>
        <v>0</v>
      </c>
      <c r="AD33" s="3" t="s">
        <v>49</v>
      </c>
    </row>
    <row r="34" spans="1:30">
      <c r="A34" s="3">
        <v>31</v>
      </c>
      <c r="B34" s="3" t="s">
        <v>1553</v>
      </c>
      <c r="C34" s="4">
        <v>46221</v>
      </c>
      <c r="D34" s="3" t="s">
        <v>76</v>
      </c>
      <c r="E34" s="5" t="s">
        <v>1504</v>
      </c>
      <c r="F34" s="5" t="s">
        <v>1554</v>
      </c>
      <c r="G34" s="3" t="s">
        <v>1490</v>
      </c>
      <c r="H34" s="3" t="s">
        <v>13</v>
      </c>
      <c r="I34" s="3" t="s">
        <v>6</v>
      </c>
      <c r="J34" s="3" t="s">
        <v>1541</v>
      </c>
      <c r="K34" s="3" t="s">
        <v>1529</v>
      </c>
      <c r="L34" s="3" t="s">
        <v>95</v>
      </c>
      <c r="M34" s="3" t="s">
        <v>1515</v>
      </c>
      <c r="N34" s="3" t="s">
        <v>1507</v>
      </c>
      <c r="O34" s="3" t="s">
        <v>68</v>
      </c>
      <c r="P34" s="3" t="s">
        <v>1501</v>
      </c>
      <c r="Q34" s="3" t="s">
        <v>1538</v>
      </c>
      <c r="R34" s="3" t="s">
        <v>20</v>
      </c>
      <c r="S34" s="3" t="s">
        <v>296</v>
      </c>
      <c r="T34" s="3" t="s">
        <v>296</v>
      </c>
      <c r="U34" s="3" t="s">
        <v>142</v>
      </c>
      <c r="V34" s="3">
        <v>29</v>
      </c>
      <c r="W34" s="3" t="s">
        <v>57</v>
      </c>
      <c r="X34" s="3" t="s">
        <v>20</v>
      </c>
      <c r="Y34" s="3" t="s">
        <v>62</v>
      </c>
      <c r="Z34" s="4">
        <v>46254</v>
      </c>
      <c r="AA34" s="4">
        <v>46232</v>
      </c>
      <c r="AB34" s="3" t="s">
        <v>293</v>
      </c>
      <c r="AC34" s="7">
        <f>IF(AB34="Closed",AA34-C34,TODAY()-C34)</f>
        <v>0</v>
      </c>
      <c r="AD34" s="3" t="s">
        <v>64</v>
      </c>
    </row>
    <row r="35" spans="1:30">
      <c r="A35" s="3">
        <v>32</v>
      </c>
      <c r="B35" s="3" t="s">
        <v>1555</v>
      </c>
      <c r="C35" s="4">
        <v>46215</v>
      </c>
      <c r="D35" s="3" t="s">
        <v>76</v>
      </c>
      <c r="E35" s="5" t="s">
        <v>1518</v>
      </c>
      <c r="F35" s="5" t="s">
        <v>1554</v>
      </c>
      <c r="G35" s="3" t="s">
        <v>1490</v>
      </c>
      <c r="H35" s="3" t="s">
        <v>58</v>
      </c>
      <c r="I35" s="3" t="s">
        <v>40</v>
      </c>
      <c r="J35" s="3" t="s">
        <v>1511</v>
      </c>
      <c r="K35" s="3" t="s">
        <v>1529</v>
      </c>
      <c r="L35" s="3" t="s">
        <v>21</v>
      </c>
      <c r="M35" s="3" t="s">
        <v>1515</v>
      </c>
      <c r="N35" s="3" t="s">
        <v>1494</v>
      </c>
      <c r="O35" s="3" t="s">
        <v>93</v>
      </c>
      <c r="P35" s="3" t="s">
        <v>58</v>
      </c>
      <c r="Q35" s="3" t="s">
        <v>1538</v>
      </c>
      <c r="R35" s="3" t="s">
        <v>38</v>
      </c>
      <c r="S35" s="3" t="s">
        <v>1330</v>
      </c>
      <c r="T35" s="3" t="s">
        <v>296</v>
      </c>
      <c r="U35" s="3" t="s">
        <v>154</v>
      </c>
      <c r="V35" s="3">
        <v>19</v>
      </c>
      <c r="W35" s="3" t="s">
        <v>30</v>
      </c>
      <c r="X35" s="3" t="s">
        <v>20</v>
      </c>
      <c r="Y35" s="3" t="s">
        <v>93</v>
      </c>
      <c r="Z35" s="4">
        <v>46241</v>
      </c>
      <c r="AA35" s="4">
        <v>46231</v>
      </c>
      <c r="AB35" s="3" t="s">
        <v>238</v>
      </c>
      <c r="AC35" s="7">
        <f>IF(AB35="Closed",AA35-C35,TODAY()-C35)</f>
        <v>0</v>
      </c>
      <c r="AD35" s="3" t="s">
        <v>4</v>
      </c>
    </row>
    <row r="36" spans="1:30">
      <c r="A36" s="3">
        <v>33</v>
      </c>
      <c r="B36" s="3" t="s">
        <v>1556</v>
      </c>
      <c r="C36" s="4">
        <v>46257</v>
      </c>
      <c r="D36" s="3" t="s">
        <v>86</v>
      </c>
      <c r="E36" s="5" t="s">
        <v>1488</v>
      </c>
      <c r="F36" s="5" t="s">
        <v>1554</v>
      </c>
      <c r="G36" s="3" t="s">
        <v>1490</v>
      </c>
      <c r="H36" s="3" t="s">
        <v>27</v>
      </c>
      <c r="I36" s="3" t="s">
        <v>14</v>
      </c>
      <c r="J36" s="3" t="s">
        <v>1541</v>
      </c>
      <c r="K36" s="3" t="s">
        <v>47</v>
      </c>
      <c r="L36" s="3" t="s">
        <v>95</v>
      </c>
      <c r="M36" s="3" t="s">
        <v>1512</v>
      </c>
      <c r="N36" s="3" t="s">
        <v>1494</v>
      </c>
      <c r="O36" s="3" t="s">
        <v>32</v>
      </c>
      <c r="P36" s="3" t="s">
        <v>1508</v>
      </c>
      <c r="Q36" s="3" t="s">
        <v>1538</v>
      </c>
      <c r="R36" s="3" t="s">
        <v>26</v>
      </c>
      <c r="S36" s="3" t="s">
        <v>1330</v>
      </c>
      <c r="T36" s="3" t="s">
        <v>1318</v>
      </c>
      <c r="U36" s="3" t="s">
        <v>159</v>
      </c>
      <c r="V36" s="3">
        <v>23</v>
      </c>
      <c r="W36" s="3" t="s">
        <v>49</v>
      </c>
      <c r="X36" s="3" t="s">
        <v>45</v>
      </c>
      <c r="Y36" s="3" t="s">
        <v>70</v>
      </c>
      <c r="Z36" s="4">
        <v>46280</v>
      </c>
      <c r="AA36" s="4">
        <v>46284</v>
      </c>
      <c r="AB36" s="3" t="s">
        <v>254</v>
      </c>
      <c r="AC36" s="7">
        <f>IF(AB36="Closed",AA36-C36,TODAY()-C36)</f>
        <v>0</v>
      </c>
      <c r="AD36" s="3" t="s">
        <v>4</v>
      </c>
    </row>
    <row r="37" spans="1:30">
      <c r="A37" s="3">
        <v>34</v>
      </c>
      <c r="B37" s="3" t="s">
        <v>1557</v>
      </c>
      <c r="C37" s="4">
        <v>46238</v>
      </c>
      <c r="D37" s="3" t="s">
        <v>86</v>
      </c>
      <c r="E37" s="5" t="s">
        <v>1498</v>
      </c>
      <c r="F37" s="5" t="s">
        <v>1554</v>
      </c>
      <c r="G37" s="3" t="s">
        <v>1490</v>
      </c>
      <c r="H37" s="3" t="s">
        <v>89</v>
      </c>
      <c r="I37" s="3" t="s">
        <v>14</v>
      </c>
      <c r="J37" s="3" t="s">
        <v>1505</v>
      </c>
      <c r="K37" s="3" t="s">
        <v>1492</v>
      </c>
      <c r="L37" s="3" t="s">
        <v>35</v>
      </c>
      <c r="M37" s="3" t="s">
        <v>1515</v>
      </c>
      <c r="N37" s="3" t="s">
        <v>1494</v>
      </c>
      <c r="O37" s="3" t="s">
        <v>68</v>
      </c>
      <c r="P37" s="3" t="s">
        <v>1501</v>
      </c>
      <c r="Q37" s="3" t="s">
        <v>1521</v>
      </c>
      <c r="R37" s="3" t="s">
        <v>54</v>
      </c>
      <c r="S37" s="3" t="s">
        <v>296</v>
      </c>
      <c r="T37" s="3" t="s">
        <v>1310</v>
      </c>
      <c r="U37" s="3" t="s">
        <v>142</v>
      </c>
      <c r="V37" s="3">
        <v>7</v>
      </c>
      <c r="W37" s="3" t="s">
        <v>61</v>
      </c>
      <c r="X37" s="3" t="s">
        <v>61</v>
      </c>
      <c r="Y37" s="3" t="s">
        <v>41</v>
      </c>
      <c r="Z37" s="4">
        <v>46243</v>
      </c>
      <c r="AA37" s="4">
        <v>46275</v>
      </c>
      <c r="AB37" s="3" t="s">
        <v>293</v>
      </c>
      <c r="AC37" s="7">
        <f>IF(AB37="Closed",AA37-C37,TODAY()-C37)</f>
        <v>0</v>
      </c>
      <c r="AD37" s="3" t="s">
        <v>91</v>
      </c>
    </row>
    <row r="38" spans="1:30">
      <c r="A38" s="3">
        <v>35</v>
      </c>
      <c r="B38" s="3" t="s">
        <v>1558</v>
      </c>
      <c r="C38" s="4">
        <v>46248</v>
      </c>
      <c r="D38" s="3" t="s">
        <v>86</v>
      </c>
      <c r="E38" s="5" t="s">
        <v>1518</v>
      </c>
      <c r="F38" s="5" t="s">
        <v>1554</v>
      </c>
      <c r="G38" s="3" t="s">
        <v>1490</v>
      </c>
      <c r="H38" s="3" t="s">
        <v>27</v>
      </c>
      <c r="I38" s="3" t="s">
        <v>95</v>
      </c>
      <c r="J38" s="3" t="s">
        <v>1505</v>
      </c>
      <c r="K38" s="3" t="s">
        <v>1529</v>
      </c>
      <c r="L38" s="3" t="s">
        <v>82</v>
      </c>
      <c r="M38" s="3" t="s">
        <v>1493</v>
      </c>
      <c r="N38" s="3" t="s">
        <v>1507</v>
      </c>
      <c r="O38" s="3" t="s">
        <v>93</v>
      </c>
      <c r="P38" s="3" t="s">
        <v>1508</v>
      </c>
      <c r="Q38" s="3" t="s">
        <v>1534</v>
      </c>
      <c r="R38" s="3" t="s">
        <v>91</v>
      </c>
      <c r="S38" s="3" t="s">
        <v>296</v>
      </c>
      <c r="T38" s="3" t="s">
        <v>1312</v>
      </c>
      <c r="U38" s="3" t="s">
        <v>154</v>
      </c>
      <c r="V38" s="3">
        <v>4</v>
      </c>
      <c r="W38" s="3" t="s">
        <v>38</v>
      </c>
      <c r="X38" s="3" t="s">
        <v>45</v>
      </c>
      <c r="Y38" s="3" t="s">
        <v>78</v>
      </c>
      <c r="Z38" s="4">
        <v>46277</v>
      </c>
      <c r="AA38" s="4">
        <v>46269</v>
      </c>
      <c r="AB38" s="3" t="s">
        <v>293</v>
      </c>
      <c r="AC38" s="7">
        <f>IF(AB38="Closed",AA38-C38,TODAY()-C38)</f>
        <v>0</v>
      </c>
      <c r="AD38" s="3" t="s">
        <v>61</v>
      </c>
    </row>
    <row r="39" spans="1:30">
      <c r="A39" s="3">
        <v>36</v>
      </c>
      <c r="B39" s="3" t="s">
        <v>1559</v>
      </c>
      <c r="C39" s="4">
        <v>46253</v>
      </c>
      <c r="D39" s="3" t="s">
        <v>86</v>
      </c>
      <c r="E39" s="5" t="s">
        <v>1504</v>
      </c>
      <c r="F39" s="5" t="s">
        <v>1554</v>
      </c>
      <c r="G39" s="3" t="s">
        <v>1490</v>
      </c>
      <c r="H39" s="3" t="s">
        <v>92</v>
      </c>
      <c r="I39" s="3" t="s">
        <v>6</v>
      </c>
      <c r="J39" s="3" t="s">
        <v>1499</v>
      </c>
      <c r="K39" s="3" t="s">
        <v>1529</v>
      </c>
      <c r="L39" s="3" t="s">
        <v>80</v>
      </c>
      <c r="M39" s="3" t="s">
        <v>1515</v>
      </c>
      <c r="N39" s="3" t="s">
        <v>1494</v>
      </c>
      <c r="O39" s="3" t="s">
        <v>7</v>
      </c>
      <c r="P39" s="3" t="s">
        <v>1501</v>
      </c>
      <c r="Q39" s="3" t="s">
        <v>1502</v>
      </c>
      <c r="R39" s="3" t="s">
        <v>20</v>
      </c>
      <c r="S39" s="3" t="s">
        <v>1330</v>
      </c>
      <c r="T39" s="3" t="s">
        <v>1315</v>
      </c>
      <c r="U39" s="3" t="s">
        <v>142</v>
      </c>
      <c r="V39" s="3">
        <v>5</v>
      </c>
      <c r="W39" s="3" t="s">
        <v>26</v>
      </c>
      <c r="X39" s="3" t="s">
        <v>38</v>
      </c>
      <c r="Y39" s="3" t="s">
        <v>93</v>
      </c>
      <c r="Z39" s="4">
        <v>46265</v>
      </c>
      <c r="AA39" s="4">
        <v>46264</v>
      </c>
      <c r="AB39" s="3" t="s">
        <v>293</v>
      </c>
      <c r="AC39" s="7">
        <f>IF(AB39="Closed",AA39-C39,TODAY()-C39)</f>
        <v>0</v>
      </c>
      <c r="AD39" s="3" t="s">
        <v>20</v>
      </c>
    </row>
    <row r="40" spans="1:30">
      <c r="A40" s="3">
        <v>37</v>
      </c>
      <c r="B40" s="3" t="s">
        <v>1560</v>
      </c>
      <c r="C40" s="4">
        <v>46290</v>
      </c>
      <c r="D40" s="3" t="s">
        <v>102</v>
      </c>
      <c r="E40" s="5" t="s">
        <v>1488</v>
      </c>
      <c r="F40" s="5" t="s">
        <v>1554</v>
      </c>
      <c r="G40" s="3" t="s">
        <v>1490</v>
      </c>
      <c r="H40" s="3" t="s">
        <v>92</v>
      </c>
      <c r="I40" s="3" t="s">
        <v>40</v>
      </c>
      <c r="J40" s="3" t="s">
        <v>1519</v>
      </c>
      <c r="K40" s="3" t="s">
        <v>1492</v>
      </c>
      <c r="L40" s="3" t="s">
        <v>21</v>
      </c>
      <c r="M40" s="3" t="s">
        <v>1506</v>
      </c>
      <c r="N40" s="3" t="s">
        <v>1531</v>
      </c>
      <c r="O40" s="3" t="s">
        <v>93</v>
      </c>
      <c r="P40" s="3" t="s">
        <v>1495</v>
      </c>
      <c r="Q40" s="3" t="s">
        <v>1561</v>
      </c>
      <c r="R40" s="3" t="s">
        <v>4</v>
      </c>
      <c r="S40" s="3" t="s">
        <v>1500</v>
      </c>
      <c r="T40" s="3" t="s">
        <v>1315</v>
      </c>
      <c r="U40" s="3" t="s">
        <v>154</v>
      </c>
      <c r="V40" s="3">
        <v>16</v>
      </c>
      <c r="W40" s="3" t="s">
        <v>12</v>
      </c>
      <c r="X40" s="3" t="s">
        <v>26</v>
      </c>
      <c r="Y40" s="3" t="s">
        <v>70</v>
      </c>
      <c r="Z40" s="4">
        <v>46326</v>
      </c>
      <c r="AA40" s="4">
        <v>46300</v>
      </c>
      <c r="AB40" s="3" t="s">
        <v>254</v>
      </c>
      <c r="AC40" s="7">
        <f>IF(AB40="Closed",AA40-C40,TODAY()-C40)</f>
        <v>0</v>
      </c>
      <c r="AD40" s="3" t="s">
        <v>49</v>
      </c>
    </row>
    <row r="41" spans="1:30">
      <c r="A41" s="3">
        <v>38</v>
      </c>
      <c r="B41" s="3" t="s">
        <v>1562</v>
      </c>
      <c r="C41" s="4">
        <v>46293</v>
      </c>
      <c r="D41" s="3" t="s">
        <v>102</v>
      </c>
      <c r="E41" s="5" t="s">
        <v>1488</v>
      </c>
      <c r="F41" s="5" t="s">
        <v>1554</v>
      </c>
      <c r="G41" s="3" t="s">
        <v>1490</v>
      </c>
      <c r="H41" s="3" t="s">
        <v>58</v>
      </c>
      <c r="I41" s="3" t="s">
        <v>80</v>
      </c>
      <c r="J41" s="3" t="s">
        <v>1511</v>
      </c>
      <c r="K41" s="3" t="s">
        <v>1520</v>
      </c>
      <c r="L41" s="3" t="s">
        <v>95</v>
      </c>
      <c r="M41" s="3" t="s">
        <v>1512</v>
      </c>
      <c r="N41" s="3" t="s">
        <v>1494</v>
      </c>
      <c r="O41" s="3" t="s">
        <v>36</v>
      </c>
      <c r="P41" s="3" t="s">
        <v>1501</v>
      </c>
      <c r="Q41" s="3" t="s">
        <v>1534</v>
      </c>
      <c r="R41" s="3" t="s">
        <v>30</v>
      </c>
      <c r="S41" s="3" t="s">
        <v>300</v>
      </c>
      <c r="T41" s="3" t="s">
        <v>1315</v>
      </c>
      <c r="U41" s="3" t="s">
        <v>159</v>
      </c>
      <c r="V41" s="3">
        <v>18</v>
      </c>
      <c r="W41" s="3" t="s">
        <v>16</v>
      </c>
      <c r="X41" s="3" t="s">
        <v>38</v>
      </c>
      <c r="Y41" s="3" t="s">
        <v>104</v>
      </c>
      <c r="Z41" s="4">
        <v>46335</v>
      </c>
      <c r="AA41" s="4">
        <v>46334</v>
      </c>
      <c r="AB41" s="3" t="s">
        <v>254</v>
      </c>
      <c r="AC41" s="7">
        <f>IF(AB41="Closed",AA41-C41,TODAY()-C41)</f>
        <v>0</v>
      </c>
      <c r="AD41" s="3" t="s">
        <v>49</v>
      </c>
    </row>
    <row r="42" spans="1:30">
      <c r="A42" s="3">
        <v>39</v>
      </c>
      <c r="B42" s="3" t="s">
        <v>1563</v>
      </c>
      <c r="C42" s="4">
        <v>46274</v>
      </c>
      <c r="D42" s="3" t="s">
        <v>102</v>
      </c>
      <c r="E42" s="5" t="s">
        <v>1518</v>
      </c>
      <c r="F42" s="5" t="s">
        <v>1554</v>
      </c>
      <c r="G42" s="3" t="s">
        <v>1490</v>
      </c>
      <c r="H42" s="3" t="s">
        <v>92</v>
      </c>
      <c r="I42" s="3" t="s">
        <v>35</v>
      </c>
      <c r="J42" s="3" t="s">
        <v>1519</v>
      </c>
      <c r="K42" s="3" t="s">
        <v>1520</v>
      </c>
      <c r="L42" s="3" t="s">
        <v>77</v>
      </c>
      <c r="M42" s="3" t="s">
        <v>1506</v>
      </c>
      <c r="N42" s="3" t="s">
        <v>1494</v>
      </c>
      <c r="O42" s="3" t="s">
        <v>68</v>
      </c>
      <c r="P42" s="3" t="s">
        <v>58</v>
      </c>
      <c r="Q42" s="3" t="s">
        <v>1496</v>
      </c>
      <c r="R42" s="3" t="s">
        <v>4</v>
      </c>
      <c r="S42" s="3" t="s">
        <v>1330</v>
      </c>
      <c r="T42" s="3" t="s">
        <v>1330</v>
      </c>
      <c r="U42" s="3" t="s">
        <v>159</v>
      </c>
      <c r="V42" s="3">
        <v>26</v>
      </c>
      <c r="W42" s="3" t="s">
        <v>30</v>
      </c>
      <c r="X42" s="3" t="s">
        <v>49</v>
      </c>
      <c r="Y42" s="3" t="s">
        <v>28</v>
      </c>
      <c r="Z42" s="4">
        <v>46316</v>
      </c>
      <c r="AA42" s="4">
        <v>46296</v>
      </c>
      <c r="AB42" s="3" t="s">
        <v>293</v>
      </c>
      <c r="AC42" s="7">
        <f>IF(AB42="Closed",AA42-C42,TODAY()-C42)</f>
        <v>0</v>
      </c>
      <c r="AD42" s="3" t="s">
        <v>45</v>
      </c>
    </row>
    <row r="43" spans="1:30">
      <c r="A43" s="3">
        <v>40</v>
      </c>
      <c r="B43" s="3" t="s">
        <v>1564</v>
      </c>
      <c r="C43" s="4">
        <v>46311</v>
      </c>
      <c r="D43" s="3" t="s">
        <v>106</v>
      </c>
      <c r="E43" s="5" t="s">
        <v>1504</v>
      </c>
      <c r="F43" s="5" t="s">
        <v>1565</v>
      </c>
      <c r="G43" s="3" t="s">
        <v>1490</v>
      </c>
      <c r="H43" s="3" t="s">
        <v>46</v>
      </c>
      <c r="I43" s="3" t="s">
        <v>21</v>
      </c>
      <c r="J43" s="3" t="s">
        <v>1499</v>
      </c>
      <c r="K43" s="3" t="s">
        <v>1520</v>
      </c>
      <c r="L43" s="3" t="s">
        <v>80</v>
      </c>
      <c r="M43" s="3" t="s">
        <v>1515</v>
      </c>
      <c r="N43" s="3" t="s">
        <v>1494</v>
      </c>
      <c r="O43" s="3" t="s">
        <v>68</v>
      </c>
      <c r="P43" s="3" t="s">
        <v>1501</v>
      </c>
      <c r="Q43" s="3" t="s">
        <v>1502</v>
      </c>
      <c r="R43" s="3" t="s">
        <v>54</v>
      </c>
      <c r="S43" s="3" t="s">
        <v>1500</v>
      </c>
      <c r="T43" s="3" t="s">
        <v>1315</v>
      </c>
      <c r="U43" s="3" t="s">
        <v>159</v>
      </c>
      <c r="V43" s="3">
        <v>1</v>
      </c>
      <c r="W43" s="3" t="s">
        <v>4</v>
      </c>
      <c r="X43" s="3" t="s">
        <v>49</v>
      </c>
      <c r="Y43" s="3" t="s">
        <v>104</v>
      </c>
      <c r="Z43" s="4">
        <v>46335</v>
      </c>
      <c r="AA43" s="4">
        <v>46338</v>
      </c>
      <c r="AB43" s="3" t="s">
        <v>293</v>
      </c>
      <c r="AC43" s="7">
        <f>IF(AB43="Closed",AA43-C43,TODAY()-C43)</f>
        <v>0</v>
      </c>
      <c r="AD43" s="3" t="s">
        <v>30</v>
      </c>
    </row>
    <row r="44" spans="1:30">
      <c r="A44" s="3">
        <v>41</v>
      </c>
      <c r="B44" s="3" t="s">
        <v>1566</v>
      </c>
      <c r="C44" s="4">
        <v>46307</v>
      </c>
      <c r="D44" s="3" t="s">
        <v>106</v>
      </c>
      <c r="E44" s="5" t="s">
        <v>1518</v>
      </c>
      <c r="F44" s="5" t="s">
        <v>1565</v>
      </c>
      <c r="G44" s="3" t="s">
        <v>1490</v>
      </c>
      <c r="H44" s="3" t="s">
        <v>46</v>
      </c>
      <c r="I44" s="3" t="s">
        <v>14</v>
      </c>
      <c r="J44" s="3" t="s">
        <v>1511</v>
      </c>
      <c r="K44" s="3" t="s">
        <v>47</v>
      </c>
      <c r="L44" s="3" t="s">
        <v>77</v>
      </c>
      <c r="M44" s="3" t="s">
        <v>1493</v>
      </c>
      <c r="N44" s="3" t="s">
        <v>1494</v>
      </c>
      <c r="O44" s="3" t="s">
        <v>15</v>
      </c>
      <c r="P44" s="3" t="s">
        <v>1495</v>
      </c>
      <c r="Q44" s="3" t="s">
        <v>1521</v>
      </c>
      <c r="R44" s="3" t="s">
        <v>38</v>
      </c>
      <c r="S44" s="3" t="s">
        <v>1500</v>
      </c>
      <c r="T44" s="3" t="s">
        <v>300</v>
      </c>
      <c r="U44" s="3" t="s">
        <v>159</v>
      </c>
      <c r="V44" s="3">
        <v>24</v>
      </c>
      <c r="W44" s="3" t="s">
        <v>61</v>
      </c>
      <c r="X44" s="3" t="s">
        <v>4</v>
      </c>
      <c r="Y44" s="3" t="s">
        <v>68</v>
      </c>
      <c r="Z44" s="4">
        <v>46333</v>
      </c>
      <c r="AA44" s="4">
        <v>46315</v>
      </c>
      <c r="AB44" s="3" t="s">
        <v>293</v>
      </c>
      <c r="AC44" s="7">
        <f>IF(AB44="Closed",AA44-C44,TODAY()-C44)</f>
        <v>0</v>
      </c>
      <c r="AD44" s="3" t="s">
        <v>38</v>
      </c>
    </row>
    <row r="45" spans="1:30">
      <c r="A45" s="3">
        <v>42</v>
      </c>
      <c r="B45" s="3" t="s">
        <v>1567</v>
      </c>
      <c r="C45" s="4">
        <v>46333</v>
      </c>
      <c r="D45" s="3" t="s">
        <v>111</v>
      </c>
      <c r="E45" s="5" t="s">
        <v>1498</v>
      </c>
      <c r="F45" s="5" t="s">
        <v>1565</v>
      </c>
      <c r="G45" s="3" t="s">
        <v>1490</v>
      </c>
      <c r="H45" s="3" t="s">
        <v>5</v>
      </c>
      <c r="I45" s="3" t="s">
        <v>80</v>
      </c>
      <c r="J45" s="3" t="s">
        <v>1505</v>
      </c>
      <c r="K45" s="3" t="s">
        <v>47</v>
      </c>
      <c r="L45" s="3" t="s">
        <v>82</v>
      </c>
      <c r="M45" s="3" t="s">
        <v>1500</v>
      </c>
      <c r="N45" s="3" t="s">
        <v>1494</v>
      </c>
      <c r="O45" s="3" t="s">
        <v>41</v>
      </c>
      <c r="P45" s="3" t="s">
        <v>1508</v>
      </c>
      <c r="Q45" s="3" t="s">
        <v>1496</v>
      </c>
      <c r="R45" s="3" t="s">
        <v>16</v>
      </c>
      <c r="S45" s="3" t="s">
        <v>1330</v>
      </c>
      <c r="T45" s="3" t="s">
        <v>1330</v>
      </c>
      <c r="U45" s="3" t="s">
        <v>162</v>
      </c>
      <c r="V45" s="3">
        <v>29</v>
      </c>
      <c r="W45" s="3" t="s">
        <v>20</v>
      </c>
      <c r="X45" s="3" t="s">
        <v>49</v>
      </c>
      <c r="Y45" s="3" t="s">
        <v>104</v>
      </c>
      <c r="Z45" s="4">
        <v>46362</v>
      </c>
      <c r="AA45" s="4">
        <v>46365</v>
      </c>
      <c r="AB45" s="3" t="s">
        <v>293</v>
      </c>
      <c r="AC45" s="7">
        <f>IF(AB45="Closed",AA45-C45,TODAY()-C45)</f>
        <v>0</v>
      </c>
      <c r="AD45" s="3" t="s">
        <v>16</v>
      </c>
    </row>
    <row r="46" spans="1:30">
      <c r="A46" s="3">
        <v>43</v>
      </c>
      <c r="B46" s="3" t="s">
        <v>1568</v>
      </c>
      <c r="C46" s="4">
        <v>46345</v>
      </c>
      <c r="D46" s="3" t="s">
        <v>111</v>
      </c>
      <c r="E46" s="5" t="s">
        <v>1504</v>
      </c>
      <c r="F46" s="5" t="s">
        <v>1565</v>
      </c>
      <c r="G46" s="3" t="s">
        <v>1490</v>
      </c>
      <c r="H46" s="3" t="s">
        <v>50</v>
      </c>
      <c r="I46" s="3" t="s">
        <v>82</v>
      </c>
      <c r="J46" s="3" t="s">
        <v>1505</v>
      </c>
      <c r="K46" s="3" t="s">
        <v>1492</v>
      </c>
      <c r="L46" s="3" t="s">
        <v>77</v>
      </c>
      <c r="M46" s="3" t="s">
        <v>1500</v>
      </c>
      <c r="N46" s="3" t="s">
        <v>1507</v>
      </c>
      <c r="O46" s="3" t="s">
        <v>32</v>
      </c>
      <c r="P46" s="3" t="s">
        <v>58</v>
      </c>
      <c r="Q46" s="3" t="s">
        <v>1534</v>
      </c>
      <c r="R46" s="3" t="s">
        <v>26</v>
      </c>
      <c r="S46" s="3" t="s">
        <v>1500</v>
      </c>
      <c r="T46" s="3" t="s">
        <v>1330</v>
      </c>
      <c r="U46" s="3" t="s">
        <v>159</v>
      </c>
      <c r="V46" s="3">
        <v>22</v>
      </c>
      <c r="W46" s="3" t="s">
        <v>26</v>
      </c>
      <c r="X46" s="3" t="s">
        <v>12</v>
      </c>
      <c r="Y46" s="3" t="s">
        <v>32</v>
      </c>
      <c r="Z46" s="4">
        <v>46373</v>
      </c>
      <c r="AA46" s="4">
        <v>46377</v>
      </c>
      <c r="AB46" s="3" t="s">
        <v>238</v>
      </c>
      <c r="AC46" s="7">
        <f>IF(AB46="Closed",AA46-C46,TODAY()-C46)</f>
        <v>0</v>
      </c>
      <c r="AD46" s="3" t="s">
        <v>16</v>
      </c>
    </row>
    <row r="47" spans="1:30">
      <c r="A47" s="3">
        <v>44</v>
      </c>
      <c r="B47" s="3" t="s">
        <v>1569</v>
      </c>
      <c r="C47" s="4">
        <v>46340</v>
      </c>
      <c r="D47" s="3" t="s">
        <v>111</v>
      </c>
      <c r="E47" s="5" t="s">
        <v>1518</v>
      </c>
      <c r="F47" s="5" t="s">
        <v>1565</v>
      </c>
      <c r="G47" s="3" t="s">
        <v>1490</v>
      </c>
      <c r="H47" s="3" t="s">
        <v>58</v>
      </c>
      <c r="I47" s="3" t="s">
        <v>31</v>
      </c>
      <c r="J47" s="3" t="s">
        <v>1541</v>
      </c>
      <c r="K47" s="3" t="s">
        <v>1529</v>
      </c>
      <c r="L47" s="3" t="s">
        <v>6</v>
      </c>
      <c r="M47" s="3" t="s">
        <v>1512</v>
      </c>
      <c r="N47" s="3" t="s">
        <v>1507</v>
      </c>
      <c r="O47" s="3" t="s">
        <v>68</v>
      </c>
      <c r="P47" s="3" t="s">
        <v>58</v>
      </c>
      <c r="Q47" s="3" t="s">
        <v>1523</v>
      </c>
      <c r="R47" s="3" t="s">
        <v>64</v>
      </c>
      <c r="S47" s="3" t="s">
        <v>300</v>
      </c>
      <c r="T47" s="3" t="s">
        <v>1337</v>
      </c>
      <c r="U47" s="3" t="s">
        <v>162</v>
      </c>
      <c r="V47" s="3">
        <v>12</v>
      </c>
      <c r="W47" s="3" t="s">
        <v>57</v>
      </c>
      <c r="X47" s="3" t="s">
        <v>4</v>
      </c>
      <c r="Y47" s="3" t="s">
        <v>7</v>
      </c>
      <c r="Z47" s="4">
        <v>46357</v>
      </c>
      <c r="AA47" s="4">
        <v>46378</v>
      </c>
      <c r="AB47" s="3" t="s">
        <v>293</v>
      </c>
      <c r="AC47" s="7">
        <f>IF(AB47="Closed",AA47-C47,TODAY()-C47)</f>
        <v>0</v>
      </c>
      <c r="AD47" s="3" t="s">
        <v>64</v>
      </c>
    </row>
    <row r="48" spans="1:30">
      <c r="A48" s="3">
        <v>45</v>
      </c>
      <c r="B48" s="3" t="s">
        <v>1570</v>
      </c>
      <c r="C48" s="4">
        <v>46348</v>
      </c>
      <c r="D48" s="3" t="s">
        <v>111</v>
      </c>
      <c r="E48" s="5" t="s">
        <v>1488</v>
      </c>
      <c r="F48" s="5" t="s">
        <v>1565</v>
      </c>
      <c r="G48" s="3" t="s">
        <v>1490</v>
      </c>
      <c r="H48" s="3" t="s">
        <v>39</v>
      </c>
      <c r="I48" s="3" t="s">
        <v>77</v>
      </c>
      <c r="J48" s="3" t="s">
        <v>1491</v>
      </c>
      <c r="K48" s="3" t="s">
        <v>1492</v>
      </c>
      <c r="L48" s="3" t="s">
        <v>31</v>
      </c>
      <c r="M48" s="3" t="s">
        <v>1493</v>
      </c>
      <c r="N48" s="3" t="s">
        <v>1494</v>
      </c>
      <c r="O48" s="3" t="s">
        <v>32</v>
      </c>
      <c r="P48" s="3" t="s">
        <v>1501</v>
      </c>
      <c r="Q48" s="3" t="s">
        <v>1534</v>
      </c>
      <c r="R48" s="3" t="s">
        <v>54</v>
      </c>
      <c r="S48" s="3" t="s">
        <v>296</v>
      </c>
      <c r="T48" s="3" t="s">
        <v>1310</v>
      </c>
      <c r="U48" s="3" t="s">
        <v>154</v>
      </c>
      <c r="V48" s="3">
        <v>22</v>
      </c>
      <c r="W48" s="3" t="s">
        <v>38</v>
      </c>
      <c r="X48" s="3" t="s">
        <v>12</v>
      </c>
      <c r="Y48" s="3" t="s">
        <v>93</v>
      </c>
      <c r="Z48" s="4">
        <v>46364</v>
      </c>
      <c r="AA48" s="4">
        <v>46379</v>
      </c>
      <c r="AB48" s="3" t="s">
        <v>254</v>
      </c>
      <c r="AC48" s="7">
        <f>IF(AB48="Closed",AA48-C48,TODAY()-C48)</f>
        <v>0</v>
      </c>
      <c r="AD48" s="3" t="s">
        <v>20</v>
      </c>
    </row>
    <row r="49" spans="1:30">
      <c r="A49" s="3">
        <v>46</v>
      </c>
      <c r="B49" s="3" t="s">
        <v>1571</v>
      </c>
      <c r="C49" s="4">
        <v>46327</v>
      </c>
      <c r="D49" s="3" t="s">
        <v>111</v>
      </c>
      <c r="E49" s="5" t="s">
        <v>1498</v>
      </c>
      <c r="F49" s="5" t="s">
        <v>1565</v>
      </c>
      <c r="G49" s="3" t="s">
        <v>1490</v>
      </c>
      <c r="H49" s="3" t="s">
        <v>58</v>
      </c>
      <c r="I49" s="3" t="s">
        <v>95</v>
      </c>
      <c r="J49" s="3" t="s">
        <v>1511</v>
      </c>
      <c r="K49" s="3" t="s">
        <v>1520</v>
      </c>
      <c r="L49" s="3" t="s">
        <v>80</v>
      </c>
      <c r="M49" s="3" t="s">
        <v>1493</v>
      </c>
      <c r="N49" s="3" t="s">
        <v>1494</v>
      </c>
      <c r="O49" s="3" t="s">
        <v>41</v>
      </c>
      <c r="P49" s="3" t="s">
        <v>1495</v>
      </c>
      <c r="Q49" s="3" t="s">
        <v>1521</v>
      </c>
      <c r="R49" s="3" t="s">
        <v>38</v>
      </c>
      <c r="S49" s="3" t="s">
        <v>296</v>
      </c>
      <c r="T49" s="3" t="s">
        <v>300</v>
      </c>
      <c r="U49" s="3" t="s">
        <v>159</v>
      </c>
      <c r="V49" s="3">
        <v>12</v>
      </c>
      <c r="W49" s="3" t="s">
        <v>64</v>
      </c>
      <c r="X49" s="3" t="s">
        <v>45</v>
      </c>
      <c r="Y49" s="3" t="s">
        <v>32</v>
      </c>
      <c r="Z49" s="4">
        <v>46341</v>
      </c>
      <c r="AA49" s="4">
        <v>46362</v>
      </c>
      <c r="AB49" s="3" t="s">
        <v>293</v>
      </c>
      <c r="AC49" s="7">
        <f>IF(AB49="Closed",AA49-C49,TODAY()-C49)</f>
        <v>0</v>
      </c>
      <c r="AD49" s="3" t="s">
        <v>54</v>
      </c>
    </row>
    <row r="50" spans="1:30">
      <c r="A50" s="3">
        <v>47</v>
      </c>
      <c r="B50" s="3" t="s">
        <v>1572</v>
      </c>
      <c r="C50" s="4">
        <v>46382</v>
      </c>
      <c r="D50" s="3" t="s">
        <v>122</v>
      </c>
      <c r="E50" s="5" t="s">
        <v>1488</v>
      </c>
      <c r="F50" s="5" t="s">
        <v>1565</v>
      </c>
      <c r="G50" s="3" t="s">
        <v>1490</v>
      </c>
      <c r="H50" s="3" t="s">
        <v>5</v>
      </c>
      <c r="I50" s="3" t="s">
        <v>51</v>
      </c>
      <c r="J50" s="3" t="s">
        <v>1505</v>
      </c>
      <c r="K50" s="3" t="s">
        <v>1520</v>
      </c>
      <c r="L50" s="3" t="s">
        <v>87</v>
      </c>
      <c r="M50" s="3" t="s">
        <v>1500</v>
      </c>
      <c r="N50" s="3" t="s">
        <v>1573</v>
      </c>
      <c r="O50" s="3" t="s">
        <v>70</v>
      </c>
      <c r="P50" s="3" t="s">
        <v>1495</v>
      </c>
      <c r="Q50" s="3" t="s">
        <v>1523</v>
      </c>
      <c r="R50" s="3" t="s">
        <v>64</v>
      </c>
      <c r="S50" s="3" t="s">
        <v>1500</v>
      </c>
      <c r="T50" s="3" t="s">
        <v>1315</v>
      </c>
      <c r="U50" s="3" t="s">
        <v>154</v>
      </c>
      <c r="V50" s="3">
        <v>6</v>
      </c>
      <c r="W50" s="3" t="s">
        <v>49</v>
      </c>
      <c r="X50" s="3" t="s">
        <v>57</v>
      </c>
      <c r="Y50" s="3" t="s">
        <v>78</v>
      </c>
      <c r="Z50" s="4">
        <v>46425</v>
      </c>
      <c r="AA50" s="4">
        <v>46424</v>
      </c>
      <c r="AB50" s="3" t="s">
        <v>293</v>
      </c>
      <c r="AC50" s="7">
        <f>IF(AB50="Closed",AA50-C50,TODAY()-C50)</f>
        <v>0</v>
      </c>
      <c r="AD50" s="3" t="s">
        <v>12</v>
      </c>
    </row>
    <row r="51" spans="1:30">
      <c r="A51" s="3">
        <v>48</v>
      </c>
      <c r="B51" s="3" t="s">
        <v>1574</v>
      </c>
      <c r="C51" s="4">
        <v>46383</v>
      </c>
      <c r="D51" s="3" t="s">
        <v>122</v>
      </c>
      <c r="E51" s="5" t="s">
        <v>1488</v>
      </c>
      <c r="F51" s="5" t="s">
        <v>1565</v>
      </c>
      <c r="G51" s="3" t="s">
        <v>1490</v>
      </c>
      <c r="H51" s="3" t="s">
        <v>89</v>
      </c>
      <c r="I51" s="3" t="s">
        <v>87</v>
      </c>
      <c r="J51" s="3" t="s">
        <v>1511</v>
      </c>
      <c r="K51" s="3" t="s">
        <v>47</v>
      </c>
      <c r="L51" s="3" t="s">
        <v>77</v>
      </c>
      <c r="M51" s="3" t="s">
        <v>1493</v>
      </c>
      <c r="N51" s="3" t="s">
        <v>1536</v>
      </c>
      <c r="O51" s="3" t="s">
        <v>68</v>
      </c>
      <c r="P51" s="3" t="s">
        <v>58</v>
      </c>
      <c r="Q51" s="3" t="s">
        <v>1502</v>
      </c>
      <c r="R51" s="3" t="s">
        <v>91</v>
      </c>
      <c r="S51" s="3" t="s">
        <v>300</v>
      </c>
      <c r="T51" s="3" t="s">
        <v>1315</v>
      </c>
      <c r="U51" s="3" t="s">
        <v>142</v>
      </c>
      <c r="V51" s="3">
        <v>29</v>
      </c>
      <c r="W51" s="3" t="s">
        <v>49</v>
      </c>
      <c r="X51" s="3" t="s">
        <v>12</v>
      </c>
      <c r="Y51" s="3" t="s">
        <v>36</v>
      </c>
      <c r="Z51" s="4">
        <v>46396</v>
      </c>
      <c r="AA51" s="4">
        <v>46424</v>
      </c>
      <c r="AB51" s="3" t="s">
        <v>293</v>
      </c>
      <c r="AC51" s="7">
        <f>IF(AB51="Closed",AA51-C51,TODAY()-C51)</f>
        <v>0</v>
      </c>
      <c r="AD51" s="3" t="s">
        <v>91</v>
      </c>
    </row>
  </sheetData>
  <mergeCells count="2">
    <mergeCell ref="A1:AD1"/>
    <mergeCell ref="A2:AD2"/>
  </mergeCells>
  <dataValidations count="5">
    <dataValidation type="list" allowBlank="1" showInputMessage="1" showErrorMessage="1" sqref="H4:H5003">
      <formula1>L_Dept</formula1>
    </dataValidation>
    <dataValidation type="list" allowBlank="1" showInputMessage="1" showErrorMessage="1" sqref="L4:L5003">
      <formula1>L_Loc</formula1>
    </dataValidation>
    <dataValidation type="list" allowBlank="1" showInputMessage="1" showErrorMessage="1" sqref="I4:I5003">
      <formula1>L_Loc</formula1>
    </dataValidation>
    <dataValidation type="list" allowBlank="1" showInputMessage="1" showErrorMessage="1" sqref="AB4:AB5003">
      <formula1>L_Status</formula1>
    </dataValidation>
    <dataValidation type="list" allowBlank="1" showInputMessage="1" showErrorMessage="1" sqref="U4:U5003">
      <formula1>L_Risk</formula1>
    </dataValidation>
  </dataValidations>
  <hyperlinks>
    <hyperlink ref="AF1" location="'Home'!A1" display="Home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8" t="s">
        <v>139</v>
      </c>
    </row>
    <row r="2" spans="2:11">
      <c r="B2" s="9" t="s">
        <v>1597</v>
      </c>
      <c r="C2" s="9"/>
      <c r="D2" s="9"/>
      <c r="E2" s="9"/>
      <c r="F2" s="9"/>
      <c r="G2" s="9"/>
      <c r="H2" s="9"/>
      <c r="I2" s="9"/>
      <c r="J2" s="9"/>
      <c r="K2" s="9"/>
    </row>
    <row r="4" spans="2:11">
      <c r="B4" s="10" t="s">
        <v>129</v>
      </c>
      <c r="C4" s="10" t="s">
        <v>130</v>
      </c>
      <c r="D4" s="10" t="s">
        <v>287</v>
      </c>
      <c r="E4" s="10" t="s">
        <v>210</v>
      </c>
      <c r="F4" s="10" t="s">
        <v>1598</v>
      </c>
      <c r="G4" s="10" t="s">
        <v>1181</v>
      </c>
      <c r="H4" s="10" t="s">
        <v>127</v>
      </c>
      <c r="I4" s="10" t="s">
        <v>1599</v>
      </c>
      <c r="J4" s="10" t="s">
        <v>1601</v>
      </c>
      <c r="K4" s="10" t="s">
        <v>1602</v>
      </c>
    </row>
    <row r="5" spans="2:11">
      <c r="B5" s="11" t="s">
        <v>27</v>
      </c>
      <c r="C5" s="11" t="s">
        <v>87</v>
      </c>
      <c r="D5" s="11" t="s">
        <v>297</v>
      </c>
      <c r="E5" s="11" t="s">
        <v>162</v>
      </c>
      <c r="F5" s="11" t="s">
        <v>10</v>
      </c>
      <c r="G5" s="11" t="s">
        <v>221</v>
      </c>
      <c r="H5" s="11" t="s">
        <v>3</v>
      </c>
      <c r="I5" s="11" t="s">
        <v>1600</v>
      </c>
      <c r="J5" s="11" t="s">
        <v>1600</v>
      </c>
      <c r="K5" s="11" t="s">
        <v>3</v>
      </c>
    </row>
    <row r="6" spans="2:11">
      <c r="B6" s="11" t="s">
        <v>92</v>
      </c>
      <c r="C6" s="11" t="s">
        <v>77</v>
      </c>
      <c r="D6" s="11" t="s">
        <v>254</v>
      </c>
      <c r="E6" s="11" t="s">
        <v>159</v>
      </c>
      <c r="F6" s="11" t="s">
        <v>42</v>
      </c>
      <c r="G6" s="11" t="s">
        <v>228</v>
      </c>
      <c r="H6" s="11" t="s">
        <v>19</v>
      </c>
      <c r="I6" s="11" t="s">
        <v>3</v>
      </c>
      <c r="J6" s="11" t="s">
        <v>27</v>
      </c>
      <c r="K6" s="11" t="s">
        <v>19</v>
      </c>
    </row>
    <row r="7" spans="2:11">
      <c r="B7" s="11" t="s">
        <v>39</v>
      </c>
      <c r="C7" s="11" t="s">
        <v>95</v>
      </c>
      <c r="D7" s="11" t="s">
        <v>293</v>
      </c>
      <c r="E7" s="11" t="s">
        <v>142</v>
      </c>
      <c r="F7" s="11" t="s">
        <v>17</v>
      </c>
      <c r="G7" s="11" t="s">
        <v>225</v>
      </c>
      <c r="H7" s="11" t="s">
        <v>44</v>
      </c>
      <c r="I7" s="11" t="s">
        <v>19</v>
      </c>
      <c r="J7" s="11" t="s">
        <v>92</v>
      </c>
      <c r="K7" s="11" t="s">
        <v>44</v>
      </c>
    </row>
    <row r="8" spans="2:11">
      <c r="B8" s="11" t="s">
        <v>89</v>
      </c>
      <c r="C8" s="11" t="s">
        <v>82</v>
      </c>
      <c r="D8" s="11" t="s">
        <v>238</v>
      </c>
      <c r="E8" s="11" t="s">
        <v>154</v>
      </c>
      <c r="F8" s="11" t="s">
        <v>96</v>
      </c>
      <c r="H8" s="11" t="s">
        <v>53</v>
      </c>
      <c r="I8" s="11" t="s">
        <v>44</v>
      </c>
      <c r="J8" s="11" t="s">
        <v>39</v>
      </c>
      <c r="K8" s="11" t="s">
        <v>53</v>
      </c>
    </row>
    <row r="9" spans="2:11">
      <c r="B9" s="11" t="s">
        <v>65</v>
      </c>
      <c r="C9" s="11" t="s">
        <v>80</v>
      </c>
      <c r="F9" s="11" t="s">
        <v>24</v>
      </c>
      <c r="H9" s="11" t="s">
        <v>60</v>
      </c>
      <c r="I9" s="11" t="s">
        <v>53</v>
      </c>
      <c r="J9" s="11" t="s">
        <v>89</v>
      </c>
      <c r="K9" s="11" t="s">
        <v>60</v>
      </c>
    </row>
    <row r="10" spans="2:11">
      <c r="B10" s="11" t="s">
        <v>5</v>
      </c>
      <c r="C10" s="11" t="s">
        <v>31</v>
      </c>
      <c r="H10" s="11" t="s">
        <v>73</v>
      </c>
      <c r="I10" s="11" t="s">
        <v>60</v>
      </c>
      <c r="J10" s="11" t="s">
        <v>65</v>
      </c>
      <c r="K10" s="11" t="s">
        <v>73</v>
      </c>
    </row>
    <row r="11" spans="2:11">
      <c r="B11" s="11" t="s">
        <v>50</v>
      </c>
      <c r="C11" s="11" t="s">
        <v>40</v>
      </c>
      <c r="H11" s="11" t="s">
        <v>76</v>
      </c>
      <c r="I11" s="11" t="s">
        <v>73</v>
      </c>
      <c r="J11" s="11" t="s">
        <v>5</v>
      </c>
      <c r="K11" s="11" t="s">
        <v>76</v>
      </c>
    </row>
    <row r="12" spans="2:11">
      <c r="B12" s="11" t="s">
        <v>46</v>
      </c>
      <c r="C12" s="11" t="s">
        <v>51</v>
      </c>
      <c r="H12" s="11" t="s">
        <v>86</v>
      </c>
      <c r="I12" s="11" t="s">
        <v>76</v>
      </c>
      <c r="J12" s="11" t="s">
        <v>50</v>
      </c>
      <c r="K12" s="11" t="s">
        <v>86</v>
      </c>
    </row>
    <row r="13" spans="2:11">
      <c r="B13" s="11" t="s">
        <v>13</v>
      </c>
      <c r="C13" s="11" t="s">
        <v>6</v>
      </c>
      <c r="H13" s="11" t="s">
        <v>102</v>
      </c>
      <c r="I13" s="11" t="s">
        <v>86</v>
      </c>
      <c r="J13" s="11" t="s">
        <v>46</v>
      </c>
      <c r="K13" s="11" t="s">
        <v>102</v>
      </c>
    </row>
    <row r="14" spans="2:11">
      <c r="B14" s="11" t="s">
        <v>58</v>
      </c>
      <c r="C14" s="11" t="s">
        <v>14</v>
      </c>
      <c r="H14" s="11" t="s">
        <v>106</v>
      </c>
      <c r="I14" s="11" t="s">
        <v>102</v>
      </c>
      <c r="J14" s="11" t="s">
        <v>13</v>
      </c>
      <c r="K14" s="11" t="s">
        <v>106</v>
      </c>
    </row>
    <row r="15" spans="2:11">
      <c r="C15" s="11" t="s">
        <v>21</v>
      </c>
      <c r="H15" s="11" t="s">
        <v>111</v>
      </c>
      <c r="I15" s="11" t="s">
        <v>106</v>
      </c>
      <c r="J15" s="11" t="s">
        <v>58</v>
      </c>
      <c r="K15" s="11" t="s">
        <v>111</v>
      </c>
    </row>
    <row r="16" spans="2:11">
      <c r="C16" s="11" t="s">
        <v>35</v>
      </c>
      <c r="H16" s="11" t="s">
        <v>122</v>
      </c>
      <c r="I16" s="11" t="s">
        <v>111</v>
      </c>
      <c r="K16" s="11" t="s">
        <v>122</v>
      </c>
    </row>
    <row r="17" spans="9:11">
      <c r="I17" s="11" t="s">
        <v>122</v>
      </c>
      <c r="K17" s="11" t="s">
        <v>1489</v>
      </c>
    </row>
    <row r="18" spans="9:11">
      <c r="K18" s="11" t="s">
        <v>1528</v>
      </c>
    </row>
    <row r="19" spans="9:11">
      <c r="K19" s="11" t="s">
        <v>1554</v>
      </c>
    </row>
    <row r="20" spans="9:11">
      <c r="K20" s="11" t="s">
        <v>1565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334155"/>
  </sheetPr>
  <dimension ref="B1:D21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8" t="s">
        <v>139</v>
      </c>
    </row>
    <row r="2" spans="2:4">
      <c r="B2" s="9" t="s">
        <v>1603</v>
      </c>
      <c r="C2" s="9"/>
      <c r="D2" s="9"/>
    </row>
    <row r="5" spans="2:4">
      <c r="B5" s="12" t="s">
        <v>1604</v>
      </c>
      <c r="C5" s="12"/>
      <c r="D5" s="12"/>
    </row>
    <row r="6" spans="2:4">
      <c r="B6" s="13" t="s">
        <v>1605</v>
      </c>
      <c r="C6" s="14" t="s">
        <v>1606</v>
      </c>
    </row>
    <row r="7" spans="2:4">
      <c r="B7" s="13" t="s">
        <v>1607</v>
      </c>
      <c r="C7" s="14" t="s">
        <v>1608</v>
      </c>
    </row>
    <row r="8" spans="2:4">
      <c r="B8" s="13" t="s">
        <v>130</v>
      </c>
      <c r="C8" s="14" t="s">
        <v>1609</v>
      </c>
    </row>
    <row r="9" spans="2:4">
      <c r="B9" s="13" t="s">
        <v>1610</v>
      </c>
      <c r="C9" s="14">
        <v>2026</v>
      </c>
    </row>
    <row r="11" spans="2:4">
      <c r="B11" s="12" t="s">
        <v>1611</v>
      </c>
      <c r="C11" s="12"/>
      <c r="D11" s="12"/>
    </row>
    <row r="12" spans="2:4">
      <c r="B12" s="13" t="s">
        <v>1612</v>
      </c>
      <c r="C12" s="14">
        <v>1000000</v>
      </c>
      <c r="D12" s="15" t="s">
        <v>1613</v>
      </c>
    </row>
    <row r="13" spans="2:4">
      <c r="B13" s="13" t="s">
        <v>1614</v>
      </c>
      <c r="C13" s="14">
        <v>200000</v>
      </c>
      <c r="D13" s="15" t="s">
        <v>1615</v>
      </c>
    </row>
    <row r="14" spans="2:4">
      <c r="B14" s="13" t="s">
        <v>1616</v>
      </c>
      <c r="C14" s="14">
        <v>1000000</v>
      </c>
      <c r="D14" s="15" t="s">
        <v>1617</v>
      </c>
    </row>
    <row r="16" spans="2:4">
      <c r="B16" s="12" t="s">
        <v>1618</v>
      </c>
      <c r="C16" s="12"/>
      <c r="D16" s="12"/>
    </row>
    <row r="17" spans="2:4">
      <c r="B17" s="13" t="s">
        <v>1619</v>
      </c>
      <c r="C17" s="14">
        <v>0.9</v>
      </c>
      <c r="D17" s="15" t="s">
        <v>1620</v>
      </c>
    </row>
    <row r="18" spans="2:4">
      <c r="B18" s="13" t="s">
        <v>1621</v>
      </c>
      <c r="C18" s="14">
        <v>0.95</v>
      </c>
      <c r="D18" s="15"/>
    </row>
    <row r="19" spans="2:4">
      <c r="B19" s="13" t="s">
        <v>1622</v>
      </c>
      <c r="C19" s="14">
        <v>0.9</v>
      </c>
      <c r="D19" s="15"/>
    </row>
    <row r="20" spans="2:4">
      <c r="B20" s="13" t="s">
        <v>1623</v>
      </c>
      <c r="C20" s="14">
        <v>1</v>
      </c>
      <c r="D20" s="15" t="s">
        <v>1624</v>
      </c>
    </row>
    <row r="21" spans="2:4">
      <c r="B21" s="13" t="s">
        <v>1625</v>
      </c>
      <c r="C21" s="14">
        <v>0.8</v>
      </c>
      <c r="D21" s="15" t="s">
        <v>1626</v>
      </c>
    </row>
  </sheetData>
  <mergeCells count="4">
    <mergeCell ref="B2:D2"/>
    <mergeCell ref="B5:D5"/>
    <mergeCell ref="B11:D11"/>
    <mergeCell ref="B16:D16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16" t="s">
        <v>1627</v>
      </c>
    </row>
    <row r="3" spans="2:10">
      <c r="B3" s="12" t="s">
        <v>1628</v>
      </c>
    </row>
    <row r="5" spans="2:10" ht="30" customHeight="1">
      <c r="B5" s="17" t="s">
        <v>1629</v>
      </c>
      <c r="C5" s="18" t="s">
        <v>1630</v>
      </c>
      <c r="D5" s="18"/>
      <c r="E5" s="18"/>
      <c r="F5" s="18"/>
      <c r="G5" s="18"/>
      <c r="H5" s="18"/>
      <c r="I5" s="18"/>
      <c r="J5" s="18"/>
    </row>
    <row r="6" spans="2:10" ht="30" customHeight="1">
      <c r="B6" s="17" t="s">
        <v>1631</v>
      </c>
      <c r="C6" s="18" t="s">
        <v>1632</v>
      </c>
      <c r="D6" s="18"/>
      <c r="E6" s="18"/>
      <c r="F6" s="18"/>
      <c r="G6" s="18"/>
      <c r="H6" s="18"/>
      <c r="I6" s="18"/>
      <c r="J6" s="18"/>
    </row>
    <row r="7" spans="2:10" ht="30" customHeight="1">
      <c r="B7" s="17" t="s">
        <v>1633</v>
      </c>
      <c r="C7" s="18" t="s">
        <v>1634</v>
      </c>
      <c r="D7" s="18"/>
      <c r="E7" s="18"/>
      <c r="F7" s="18"/>
      <c r="G7" s="18"/>
      <c r="H7" s="18"/>
      <c r="I7" s="18"/>
      <c r="J7" s="18"/>
    </row>
    <row r="8" spans="2:10" ht="30" customHeight="1">
      <c r="B8" s="17" t="s">
        <v>1635</v>
      </c>
      <c r="C8" s="18" t="s">
        <v>1636</v>
      </c>
      <c r="D8" s="18"/>
      <c r="E8" s="18"/>
      <c r="F8" s="18"/>
      <c r="G8" s="18"/>
      <c r="H8" s="18"/>
      <c r="I8" s="18"/>
      <c r="J8" s="18"/>
    </row>
    <row r="9" spans="2:10" ht="30" customHeight="1">
      <c r="B9" s="17" t="s">
        <v>1637</v>
      </c>
      <c r="C9" s="18" t="s">
        <v>1638</v>
      </c>
      <c r="D9" s="18"/>
      <c r="E9" s="18"/>
      <c r="F9" s="18"/>
      <c r="G9" s="18"/>
      <c r="H9" s="18"/>
      <c r="I9" s="18"/>
      <c r="J9" s="18"/>
    </row>
    <row r="10" spans="2:10" ht="30" customHeight="1">
      <c r="B10" s="17" t="s">
        <v>1639</v>
      </c>
      <c r="C10" s="18" t="s">
        <v>1640</v>
      </c>
      <c r="D10" s="18"/>
      <c r="E10" s="18"/>
      <c r="F10" s="18"/>
      <c r="G10" s="18"/>
      <c r="H10" s="18"/>
      <c r="I10" s="18"/>
      <c r="J10" s="18"/>
    </row>
    <row r="11" spans="2:10" ht="30" customHeight="1">
      <c r="B11" s="17" t="s">
        <v>1641</v>
      </c>
      <c r="C11" s="18" t="s">
        <v>1642</v>
      </c>
      <c r="D11" s="18"/>
      <c r="E11" s="18"/>
      <c r="F11" s="18"/>
      <c r="G11" s="18"/>
      <c r="H11" s="18"/>
      <c r="I11" s="18"/>
      <c r="J11" s="18"/>
    </row>
    <row r="12" spans="2:10" ht="30" customHeight="1">
      <c r="B12" s="17" t="s">
        <v>1643</v>
      </c>
      <c r="C12" s="18" t="s">
        <v>1644</v>
      </c>
      <c r="D12" s="18"/>
      <c r="E12" s="18"/>
      <c r="F12" s="18"/>
      <c r="G12" s="18"/>
      <c r="H12" s="18"/>
      <c r="I12" s="18"/>
      <c r="J12" s="18"/>
    </row>
    <row r="13" spans="2:10" ht="30" customHeight="1">
      <c r="B13" s="17" t="s">
        <v>1645</v>
      </c>
      <c r="C13" s="18" t="s">
        <v>1646</v>
      </c>
      <c r="D13" s="18"/>
      <c r="E13" s="18"/>
      <c r="F13" s="18"/>
      <c r="G13" s="18"/>
      <c r="H13" s="18"/>
      <c r="I13" s="18"/>
      <c r="J13" s="18"/>
    </row>
    <row r="14" spans="2:10" ht="30" customHeight="1">
      <c r="B14" s="17" t="s">
        <v>1647</v>
      </c>
      <c r="C14" s="18" t="s">
        <v>1648</v>
      </c>
      <c r="D14" s="18"/>
      <c r="E14" s="18"/>
      <c r="F14" s="18"/>
      <c r="G14" s="18"/>
      <c r="H14" s="18"/>
      <c r="I14" s="18"/>
      <c r="J14" s="18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1:CG757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85">
      <c r="B1" s="8" t="s">
        <v>139</v>
      </c>
    </row>
    <row r="2" spans="2:85">
      <c r="B2" s="9" t="s">
        <v>1649</v>
      </c>
      <c r="C2" s="9"/>
      <c r="D2" s="9"/>
      <c r="E2" s="9"/>
      <c r="F2" s="9"/>
      <c r="G2" s="9"/>
      <c r="H2" s="9"/>
    </row>
    <row r="5" spans="2:85">
      <c r="B5" s="17" t="s">
        <v>1650</v>
      </c>
    </row>
    <row r="6" spans="2:85">
      <c r="B6" s="13" t="s">
        <v>1651</v>
      </c>
      <c r="C6" s="19">
        <f>IF(SelMonth="All","&lt;&gt;",SelMonth)</f>
        <v>0</v>
      </c>
    </row>
    <row r="7" spans="2:85">
      <c r="B7" s="13" t="s">
        <v>1652</v>
      </c>
      <c r="C7" s="19">
        <f>IF(SelDept="All","&lt;&gt;",SelDept)</f>
        <v>0</v>
      </c>
    </row>
    <row r="9" spans="2:85">
      <c r="B9" s="17" t="s">
        <v>1653</v>
      </c>
    </row>
    <row r="10" spans="2:85">
      <c r="B10" s="13" t="s">
        <v>1654</v>
      </c>
      <c r="C10" s="19">
        <f>IF(LEFT(SelPeriod,1)="Q",1,0)</f>
        <v>0</v>
      </c>
      <c r="E10" s="13" t="s">
        <v>1655</v>
      </c>
      <c r="F10" s="19">
        <f>IF(Calculations!$C$10=1,VALUE(MID(SelPeriod,2,1)),ROUNDUP(MATCH(SelPeriod,L_Month,0)/3,0))</f>
        <v>0</v>
      </c>
      <c r="H10" s="13" t="s">
        <v>1656</v>
      </c>
      <c r="I10" s="19">
        <f>IF(Calculations!$C$10=1,0,MATCH(SelPeriod,L_Month,0))</f>
        <v>0</v>
      </c>
      <c r="BV10" s="17" t="s">
        <v>1725</v>
      </c>
      <c r="CC10" s="10" t="s">
        <v>1781</v>
      </c>
      <c r="CD10" s="10" t="s">
        <v>1782</v>
      </c>
      <c r="CF10" s="10" t="s">
        <v>1794</v>
      </c>
      <c r="CG10" s="10" t="s">
        <v>1795</v>
      </c>
    </row>
    <row r="11" spans="2:85">
      <c r="B11" s="10" t="s">
        <v>127</v>
      </c>
      <c r="C11" s="10" t="s">
        <v>23</v>
      </c>
      <c r="D11" s="10" t="s">
        <v>1657</v>
      </c>
      <c r="E11" s="10" t="s">
        <v>1658</v>
      </c>
      <c r="F11" s="10" t="s">
        <v>1659</v>
      </c>
      <c r="G11" s="10" t="s">
        <v>1660</v>
      </c>
      <c r="H11" s="10" t="s">
        <v>1661</v>
      </c>
      <c r="I11" s="10" t="s">
        <v>1662</v>
      </c>
      <c r="J11" s="10" t="s">
        <v>1663</v>
      </c>
      <c r="K11" s="10" t="s">
        <v>1664</v>
      </c>
      <c r="L11" s="10" t="s">
        <v>1665</v>
      </c>
      <c r="M11" s="10" t="s">
        <v>1666</v>
      </c>
      <c r="N11" s="10" t="s">
        <v>1667</v>
      </c>
      <c r="O11" s="10" t="s">
        <v>1668</v>
      </c>
      <c r="P11" s="10" t="s">
        <v>1669</v>
      </c>
      <c r="Q11" s="10" t="s">
        <v>1670</v>
      </c>
      <c r="R11" s="10" t="s">
        <v>1671</v>
      </c>
      <c r="S11" s="10" t="s">
        <v>1672</v>
      </c>
      <c r="T11" s="10" t="s">
        <v>1673</v>
      </c>
      <c r="U11" s="10" t="s">
        <v>1674</v>
      </c>
      <c r="V11" s="10" t="s">
        <v>1675</v>
      </c>
      <c r="W11" s="10" t="s">
        <v>1676</v>
      </c>
      <c r="X11" s="10" t="s">
        <v>1677</v>
      </c>
      <c r="Y11" s="10" t="s">
        <v>1678</v>
      </c>
      <c r="Z11" s="10" t="s">
        <v>1679</v>
      </c>
      <c r="AA11" s="10" t="s">
        <v>1680</v>
      </c>
      <c r="AB11" s="10" t="s">
        <v>1681</v>
      </c>
      <c r="AC11" s="10" t="s">
        <v>1682</v>
      </c>
      <c r="AD11" s="10" t="s">
        <v>1683</v>
      </c>
      <c r="AE11" s="10" t="s">
        <v>1684</v>
      </c>
      <c r="AF11" s="10" t="s">
        <v>1685</v>
      </c>
      <c r="AG11" s="10" t="s">
        <v>1686</v>
      </c>
      <c r="AH11" s="10" t="s">
        <v>1687</v>
      </c>
      <c r="AI11" s="10" t="s">
        <v>1688</v>
      </c>
      <c r="AJ11" s="10" t="s">
        <v>1689</v>
      </c>
      <c r="AK11" s="10" t="s">
        <v>1690</v>
      </c>
      <c r="AL11" s="10" t="s">
        <v>1691</v>
      </c>
      <c r="AM11" s="10" t="s">
        <v>1692</v>
      </c>
      <c r="AN11" s="10" t="s">
        <v>1693</v>
      </c>
      <c r="AO11" s="10" t="s">
        <v>1694</v>
      </c>
      <c r="AP11" s="10" t="s">
        <v>1695</v>
      </c>
      <c r="AQ11" s="10" t="s">
        <v>1696</v>
      </c>
      <c r="AR11" s="10" t="s">
        <v>1697</v>
      </c>
      <c r="AS11" s="10" t="s">
        <v>1698</v>
      </c>
      <c r="AT11" s="10" t="s">
        <v>1699</v>
      </c>
      <c r="AU11" s="10" t="s">
        <v>1700</v>
      </c>
      <c r="AV11" s="10" t="s">
        <v>1701</v>
      </c>
      <c r="AW11" s="10" t="s">
        <v>1702</v>
      </c>
      <c r="AX11" s="10" t="s">
        <v>1703</v>
      </c>
      <c r="AY11" s="10" t="s">
        <v>1704</v>
      </c>
      <c r="AZ11" s="10" t="s">
        <v>1705</v>
      </c>
      <c r="BA11" s="10" t="s">
        <v>1706</v>
      </c>
      <c r="BB11" s="10" t="s">
        <v>1707</v>
      </c>
      <c r="BC11" s="10" t="s">
        <v>1708</v>
      </c>
      <c r="BD11" s="10" t="s">
        <v>1709</v>
      </c>
      <c r="BE11" s="10" t="s">
        <v>1710</v>
      </c>
      <c r="BF11" s="10" t="s">
        <v>1711</v>
      </c>
      <c r="BG11" s="10" t="s">
        <v>1712</v>
      </c>
      <c r="BH11" s="10" t="s">
        <v>1713</v>
      </c>
      <c r="BI11" s="10" t="s">
        <v>1714</v>
      </c>
      <c r="BJ11" s="10" t="s">
        <v>1715</v>
      </c>
      <c r="BK11" s="10" t="s">
        <v>1716</v>
      </c>
      <c r="BL11" s="10" t="s">
        <v>1717</v>
      </c>
      <c r="BM11" s="10" t="s">
        <v>1718</v>
      </c>
      <c r="BN11" s="10" t="s">
        <v>1719</v>
      </c>
      <c r="BO11" s="10" t="s">
        <v>1720</v>
      </c>
      <c r="BP11" s="10" t="s">
        <v>1721</v>
      </c>
      <c r="BQ11" s="10" t="s">
        <v>1722</v>
      </c>
      <c r="BR11" s="10" t="s">
        <v>1723</v>
      </c>
      <c r="BS11" s="10" t="s">
        <v>1724</v>
      </c>
      <c r="BV11" s="10" t="s">
        <v>1726</v>
      </c>
      <c r="BW11" s="10" t="s">
        <v>1727</v>
      </c>
      <c r="BX11" s="10" t="s">
        <v>1657</v>
      </c>
      <c r="BY11" s="10" t="s">
        <v>1658</v>
      </c>
      <c r="BZ11" s="10" t="s">
        <v>1728</v>
      </c>
      <c r="CA11" s="10" t="s">
        <v>42</v>
      </c>
      <c r="CC11" s="11" t="s">
        <v>1544</v>
      </c>
      <c r="CD11" s="20">
        <f>SUMPRODUCT(Calculations!$M$12:$M$23,Calculations!$D$12:$D$23)</f>
        <v>0</v>
      </c>
      <c r="CF11" s="19" t="s">
        <v>3</v>
      </c>
      <c r="CG11" s="20">
        <f>COUNTIFS('Incident'!$D$4:$D$5003,"Jan",'Incident'!$H$4:$H$5003,dCrit)</f>
        <v>0</v>
      </c>
    </row>
    <row r="12" spans="2:85">
      <c r="B12" s="19" t="s">
        <v>3</v>
      </c>
      <c r="C12" s="19">
        <v>1</v>
      </c>
      <c r="D12" s="19">
        <f>IF(Calculations!$C$10=1,IF(ROUNDUP($C$12/3,0)=Calculations!$F$10,1,0),IF($C$12=Calculations!$I$10,1,0))</f>
        <v>0</v>
      </c>
      <c r="E12" s="19">
        <f>IF(Calculations!$C$10=1,IF(ROUNDUP($C$12/3,0)=Calculations!$F$10-1,1,0),IF($C$12=Calculations!$I$10-1,1,0))</f>
        <v>0</v>
      </c>
      <c r="F12" s="20">
        <f>COUNTIFS('Incident'!$N$4:$N$5003,"Medical Treatment",'Incident'!$D$4:$D$5003,"Jan",'Incident'!$H$4:$H$5003,dCrit)+COUNTIFS('Incident'!$N$4:$N$5003,"Restricted Work",'Incident'!$D$4:$D$5003,"Jan",'Incident'!$H$4:$H$5003,dCrit)+COUNTIFS('Incident'!$N$4:$N$5003,"Lost Time Injury",'Incident'!$D$4:$D$5003,"Jan",'Incident'!$H$4:$H$5003,dCrit)+COUNTIFS('Incident'!$N$4:$N$5003,"Fatality",'Incident'!$D$4:$D$5003,"Jan",'Incident'!$H$4:$H$5003,dCrit)</f>
        <v>0</v>
      </c>
      <c r="G12" s="20">
        <f>COUNTIFS('Incident'!$N$4:$N$5003,"Lost Time Injury",'Incident'!$D$4:$D$5003,"Jan",'Incident'!$H$4:$H$5003,dCrit)+COUNTIFS('Incident'!$N$4:$N$5003,"Fatality",'Incident'!$D$4:$D$5003,"Jan",'Incident'!$H$4:$H$5003,dCrit)</f>
        <v>0</v>
      </c>
      <c r="H12" s="20">
        <f>COUNTIFS('Incident'!$N$4:$N$5003,"Near Miss",'Incident'!$D$4:$D$5003,"Jan",'Incident'!$H$4:$H$5003,dCrit)</f>
        <v>0</v>
      </c>
      <c r="I12" s="20">
        <f>COUNTIFS('Incident'!$N$4:$N$5003,"First Aid",'Incident'!$D$4:$D$5003,"Jan",'Incident'!$H$4:$H$5003,dCrit)</f>
        <v>0</v>
      </c>
      <c r="J12" s="20">
        <f>COUNTIFS('Incident'!$N$4:$N$5003,"Medical Treatment",'Incident'!$D$4:$D$5003,"Jan",'Incident'!$H$4:$H$5003,dCrit)</f>
        <v>0</v>
      </c>
      <c r="K12" s="20">
        <f>COUNTIFS('Incident'!$N$4:$N$5003,"Restricted Work",'Incident'!$D$4:$D$5003,"Jan",'Incident'!$H$4:$H$5003,dCrit)</f>
        <v>0</v>
      </c>
      <c r="L12" s="20">
        <f>COUNTIFS('Incident'!$N$4:$N$5003,"Lost Time Injury",'Incident'!$D$4:$D$5003,"Jan",'Incident'!$H$4:$H$5003,dCrit)</f>
        <v>0</v>
      </c>
      <c r="M12" s="20">
        <f>COUNTIFS('Incident'!$N$4:$N$5003,"Fatality",'Incident'!$D$4:$D$5003,"Jan",'Incident'!$H$4:$H$5003,dCrit)</f>
        <v>0</v>
      </c>
      <c r="N12" s="20">
        <f>SUMIFS('Incident'!$V$4:$V$5003,'Incident'!$D$4:$D$5003,"Jan",'Incident'!$H$4:$H$5003,dCrit)</f>
        <v>0</v>
      </c>
      <c r="O12" s="20">
        <f>COUNTIFS('Incident'!$D$4:$D$5003,"Jan",'Incident'!$H$4:$H$5003,dCrit)</f>
        <v>0</v>
      </c>
      <c r="P12" s="20">
        <f>COUNTIFS('Disciplinary Actions'!$D$4:$D$5003,"Jan",'Disciplinary Actions'!$F$4:$F$5003,dCrit)</f>
        <v>0</v>
      </c>
      <c r="Q12" s="20">
        <f>COUNTIFS('NC Management'!$M$4:$M$5003,"Open",'NC Management'!$D$4:$D$5003,"Jan",'NC Management'!$G$4:$G$5003,dCrit)+COUNTIFS('NC Management'!$M$4:$M$5003,"Overdue",'NC Management'!$D$4:$D$5003,"Jan",'NC Management'!$G$4:$G$5003,dCrit)</f>
        <v>0</v>
      </c>
      <c r="R12" s="20">
        <f>COUNTIFS('Training'!$D$4:$D$5003,"Jan",'Training'!$G$4:$G$5003,dCrit)</f>
        <v>0</v>
      </c>
      <c r="S12" s="20">
        <f>COUNTIFS('Training'!$N$4:$N$5003,"Completed",'Training'!$D$4:$D$5003,"Jan",'Training'!$G$4:$G$5003,dCrit)</f>
        <v>0</v>
      </c>
      <c r="T12" s="20">
        <f>COUNTIFS('HSE Observations'!$D$4:$D$5003,"Jan",'HSE Observations'!$G$4:$G$5003,dCrit)</f>
        <v>0</v>
      </c>
      <c r="U12" s="20">
        <f>COUNTIFS('HSE Observations'!$M$4:$M$5003,"Closed",'HSE Observations'!$D$4:$D$5003,"Jan",'HSE Observations'!$G$4:$G$5003,dCrit)</f>
        <v>0</v>
      </c>
      <c r="V12" s="20">
        <f>COUNTIFS('Toolbox Talks'!$D$4:$D$5003,"Jan",'Toolbox Talks'!$F$4:$F$5003,dCrit)</f>
        <v>0</v>
      </c>
      <c r="W12" s="20">
        <f>COUNTIFS('Workplace Inspections'!$D$4:$D$5003,"Jan",'Workplace Inspections'!$F$4:$F$5003,dCrit)+COUNTIFS('Equipment Inspections'!$D$4:$D$5003,"Jan",'Equipment Inspections'!$F$4:$F$5003,dCrit)+COUNTIFS('Safety Walkthroughs'!$D$4:$D$5003,"Jan",'Safety Walkthroughs'!$F$4:$F$5003,dCrit)</f>
        <v>0</v>
      </c>
      <c r="X12" s="20">
        <f>COUNTIFS('Internal Audits'!$D$4:$D$5003,"Jan",'Internal Audits'!$G$4:$G$5003,dCrit)+COUNTIFS('External Audits'!$D$4:$D$5003,"Jan",'External Audits'!$G$4:$G$5003,dCrit)</f>
        <v>0</v>
      </c>
      <c r="Y12" s="20">
        <f>COUNTIFS('PTW Audits'!$D$4:$D$5003,"Jan",'PTW Audits'!$F$4:$F$5003,dCrit)</f>
        <v>0</v>
      </c>
      <c r="Z12" s="20">
        <f>COUNTIFS('PTW Audits'!$M$4:$M$5003,"Compliant",'PTW Audits'!$D$4:$D$5003,"Jan",'PTW Audits'!$F$4:$F$5003,dCrit)</f>
        <v>0</v>
      </c>
      <c r="AA12" s="20">
        <f>COUNTIFS('Emergency Drills'!$D$4:$D$5003,"Jan")</f>
        <v>0</v>
      </c>
      <c r="AB12" s="20">
        <f>COUNTIFS('Corrective Actions'!$D$4:$D$5003,"Jan",'Corrective Actions'!$F$4:$F$5003,dCrit)</f>
        <v>0</v>
      </c>
      <c r="AC12" s="20">
        <f>COUNTIFS('Corrective Actions'!$N$4:$N$5003,"Closed",'Corrective Actions'!$D$4:$D$5003,"Jan",'Corrective Actions'!$F$4:$F$5003,dCrit)</f>
        <v>0</v>
      </c>
      <c r="AD12" s="20">
        <f>COUNTIFS('JSA Risk Assessment'!$D$4:$D$5003,"Jan",'JSA Risk Assessment'!$F$4:$F$5003,dCrit)</f>
        <v>0</v>
      </c>
      <c r="AE12" s="20">
        <f>COUNTIFS('Safety Meetings'!$D$4:$D$5003,"Jan",'Safety Meetings'!$G$4:$G$5003,dCrit)</f>
        <v>0</v>
      </c>
      <c r="AF12" s="20">
        <f>COUNTIFS('Unsafe Acts'!$D$4:$D$5003,"Jan",'Unsafe Acts'!$F$4:$F$5003,dCrit)+COUNTIFS('Unsafe Conditions'!$D$4:$D$5003,"Jan",'Unsafe Conditions'!$F$4:$F$5003,dCrit)</f>
        <v>0</v>
      </c>
      <c r="AG12" s="20">
        <f>COUNTIFS('Unsafe Acts'!$D$4:$D$5003,"Jan",'Unsafe Acts'!$F$4:$F$5003,dCrit)</f>
        <v>0</v>
      </c>
      <c r="AH12" s="20">
        <f>COUNTIFS('Unsafe Conditions'!$D$4:$D$5003,"Jan",'Unsafe Conditions'!$F$4:$F$5003,dCrit)</f>
        <v>0</v>
      </c>
      <c r="AI12" s="20">
        <f>SUMIFS('Toolbox Talks'!$J$4:$J$5003,'Toolbox Talks'!$D$4:$D$5003,"Jan",'Toolbox Talks'!$F$4:$F$5003,dCrit)</f>
        <v>0</v>
      </c>
      <c r="AJ12" s="20">
        <f>SUMIFS('Toolbox Talks'!$I$4:$I$5003,'Toolbox Talks'!$D$4:$D$5003,"Jan",'Toolbox Talks'!$F$4:$F$5003,dCrit)</f>
        <v>0</v>
      </c>
      <c r="AK12" s="20">
        <f>COUNTIFS('JSA Risk Assessment'!$M$4:$M$5003,"Approved",'JSA Risk Assessment'!$D$4:$D$5003,"Jan",'JSA Risk Assessment'!$F$4:$F$5003,dCrit)</f>
        <v>0</v>
      </c>
      <c r="AL12" s="20">
        <f>COUNTIFS('Workplace Inspections'!$D$4:$D$5003,"Jan",'Workplace Inspections'!$F$4:$F$5003,dCrit)</f>
        <v>0</v>
      </c>
      <c r="AM12" s="20">
        <f>COUNTIFS('Workplace Inspections'!$M$4:$M$5003,"Closed",'Workplace Inspections'!$D$4:$D$5003,"Jan",'Workplace Inspections'!$F$4:$F$5003,dCrit)</f>
        <v>0</v>
      </c>
      <c r="AN12" s="20">
        <f>COUNTIFS('Equipment Inspections'!$D$4:$D$5003,"Jan",'Equipment Inspections'!$F$4:$F$5003,dCrit)</f>
        <v>0</v>
      </c>
      <c r="AO12" s="20">
        <f>SUMIFS('Equipment Inspections'!$K$4:$K$5003,'Equipment Inspections'!$D$4:$D$5003,"Jan",'Equipment Inspections'!$F$4:$F$5003,dCrit)</f>
        <v>0</v>
      </c>
      <c r="AP12" s="20">
        <f>COUNTIFS('Safety Walkthroughs'!$D$4:$D$5003,"Jan",'Safety Walkthroughs'!$F$4:$F$5003,dCrit)</f>
        <v>0</v>
      </c>
      <c r="AQ12" s="20">
        <f>SUMIFS('Safety Meetings'!$M$4:$M$5003,'Safety Meetings'!$D$4:$D$5003,"Jan",'Safety Meetings'!$G$4:$G$5003,dCrit)</f>
        <v>0</v>
      </c>
      <c r="AR12" s="20">
        <f>SUMIFS('Safety Meetings'!$N$4:$N$5003,'Safety Meetings'!$D$4:$D$5003,"Jan",'Safety Meetings'!$G$4:$G$5003,dCrit)</f>
        <v>0</v>
      </c>
      <c r="AS12" s="20">
        <f>COUNTIFS('Safety Bulletins'!$D$4:$D$5003,"Jan")</f>
        <v>0</v>
      </c>
      <c r="AT12" s="20">
        <f>SUMIFS('Safety Bulletins'!$L$4:$L$5003,'Safety Bulletins'!$D$4:$D$5003,"Jan")</f>
        <v>0</v>
      </c>
      <c r="AU12" s="20">
        <f>SUMIFS('Safety Bulletins'!$M$4:$M$5003,'Safety Bulletins'!$D$4:$D$5003,"Jan")</f>
        <v>0</v>
      </c>
      <c r="AV12" s="20">
        <f>SUMIFS('Emergency Drills'!$H$4:$H$5003,'Emergency Drills'!$D$4:$D$5003,"Jan")</f>
        <v>0</v>
      </c>
      <c r="AW12" s="20">
        <f>SUMIFS('Emergency Drills'!$I$4:$I$5003,'Emergency Drills'!$D$4:$D$5003,"Jan")</f>
        <v>0</v>
      </c>
      <c r="AX12" s="20">
        <f>COUNTIFS('Internal Audits'!$D$4:$D$5003,"Jan",'Internal Audits'!$G$4:$G$5003,dCrit)</f>
        <v>0</v>
      </c>
      <c r="AY12" s="20">
        <f>SUMIFS('Internal Audits'!$L$4:$L$5003,'Internal Audits'!$D$4:$D$5003,"Jan",'Internal Audits'!$G$4:$G$5003,dCrit)+SUMIFS('Internal Audits'!$M$4:$M$5003,'Internal Audits'!$D$4:$D$5003,"Jan",'Internal Audits'!$G$4:$G$5003,dCrit)</f>
        <v>0</v>
      </c>
      <c r="AZ12" s="20">
        <f>COUNTIFS('External Audits'!$D$4:$D$5003,"Jan",'External Audits'!$G$4:$G$5003,dCrit)</f>
        <v>0</v>
      </c>
      <c r="BA12" s="20">
        <f>SUMIFS('External Audits'!$L$4:$L$5003,'External Audits'!$D$4:$D$5003,"Jan",'External Audits'!$G$4:$G$5003,dCrit)+SUMIFS('External Audits'!$M$4:$M$5003,'External Audits'!$D$4:$D$5003,"Jan",'External Audits'!$G$4:$G$5003,dCrit)</f>
        <v>0</v>
      </c>
      <c r="BB12" s="20">
        <f>COUNTIFS('Management Visits'!$D$4:$D$5003,"Jan",'Management Visits'!$F$4:$F$5003,dCrit)</f>
        <v>0</v>
      </c>
      <c r="BC12" s="20">
        <f>SUMIFS('Management Visits'!$K$4:$K$5003,'Management Visits'!$D$4:$D$5003,"Jan",'Management Visits'!$F$4:$F$5003,dCrit)</f>
        <v>0</v>
      </c>
      <c r="BD12" s="20">
        <f>SUMIFS('Management Visits'!$L$4:$L$5003,'Management Visits'!$D$4:$D$5003,"Jan",'Management Visits'!$F$4:$F$5003,dCrit)</f>
        <v>0</v>
      </c>
      <c r="BE12" s="20">
        <f>COUNTIFS('Management Reviews'!$D$4:$D$5003,"Jan")</f>
        <v>0</v>
      </c>
      <c r="BF12" s="20">
        <f>SUMIFS('Management Reviews'!$H$4:$H$5003,'Management Reviews'!$D$4:$D$5003,"Jan")</f>
        <v>0</v>
      </c>
      <c r="BG12" s="20">
        <f>SUMIFS('Management Reviews'!$G$4:$G$5003,'Management Reviews'!$D$4:$D$5003,"Jan")</f>
        <v>0</v>
      </c>
      <c r="BH12" s="20">
        <f>COUNTIFS('Safety Awards'!$D$4:$D$5003,"Jan",'Safety Awards'!$F$4:$F$5003,dCrit)</f>
        <v>0</v>
      </c>
      <c r="BI12" s="20">
        <f>COUNTIFS('Stop Work Authority'!$D$4:$D$5003,"Jan",'Stop Work Authority'!$F$4:$F$5003,dCrit)</f>
        <v>0</v>
      </c>
      <c r="BJ12" s="20">
        <f>COUNTIFS('Alcohol Tests'!$D$4:$D$5003,"Jan",'Alcohol Tests'!$E$4:$E$5003,dCrit)</f>
        <v>0</v>
      </c>
      <c r="BK12" s="20">
        <f>COUNTIFS('Alcohol Tests'!$H$4:$H$5003,"Positive",'Alcohol Tests'!$D$4:$D$5003,"Jan",'Alcohol Tests'!$E$4:$E$5003,dCrit)</f>
        <v>0</v>
      </c>
      <c r="BL12" s="20">
        <f>COUNTIFS('Unsafe Acts'!$D$4:$D$5003,"Jan",'Unsafe Acts'!$F$4:$F$5003,dCrit)</f>
        <v>0</v>
      </c>
      <c r="BM12" s="20">
        <f>COUNTIFS('Unsafe Acts'!$M$4:$M$5003,"Closed",'Unsafe Acts'!$D$4:$D$5003,"Jan",'Unsafe Acts'!$F$4:$F$5003,dCrit)</f>
        <v>0</v>
      </c>
      <c r="BN12" s="20">
        <f>COUNTIFS('Unsafe Conditions'!$D$4:$D$5003,"Jan",'Unsafe Conditions'!$F$4:$F$5003,dCrit)</f>
        <v>0</v>
      </c>
      <c r="BO12" s="20">
        <f>COUNTIFS('Unsafe Conditions'!$M$4:$M$5003,"Closed",'Unsafe Conditions'!$D$4:$D$5003,"Jan",'Unsafe Conditions'!$F$4:$F$5003,dCrit)</f>
        <v>0</v>
      </c>
      <c r="BP12" s="20">
        <f>COUNTIFS('NC Management'!$D$4:$D$5003,"Jan",'NC Management'!$G$4:$G$5003,dCrit)</f>
        <v>0</v>
      </c>
      <c r="BQ12" s="20">
        <f>COUNTIFS('NC Management'!$M$4:$M$5003,"Closed",'NC Management'!$D$4:$D$5003,"Jan",'NC Management'!$G$4:$G$5003,dCrit)</f>
        <v>0</v>
      </c>
      <c r="BR12" s="19">
        <f>IFERROR($F$12*TRIRmult/(Manhours/12),0)</f>
        <v>0</v>
      </c>
      <c r="BS12" s="19">
        <f>IFERROR($G$12*LTIFRmult/(Manhours/12),0)</f>
        <v>0</v>
      </c>
      <c r="BV12" s="11" t="s">
        <v>1639</v>
      </c>
      <c r="BW12" s="19" t="s">
        <v>1729</v>
      </c>
      <c r="BX12" s="19">
        <f>IFERROR(SUMPRODUCT(Calculations!$F$12:$F$23,Calculations!$D$12:$D$23)*TRIRmult/(SUM(Calculations!$D$12:$D$23)*Manhours/12),0)</f>
        <v>0</v>
      </c>
      <c r="BY12" s="19">
        <f>IFERROR(SUMPRODUCT(Calculations!$F$12:$F$23,Calculations!$E$12:$E$23)*TRIRmult/(SUM(Calculations!$E$12:$E$23)*Manhours/12),0)</f>
        <v>0</v>
      </c>
      <c r="BZ12" s="21">
        <f>IFERROR(($BX$12-$BY$12)/$BY$12,IF($BX$12&gt;0,1,0))</f>
        <v>0</v>
      </c>
      <c r="CA12" s="19">
        <f>($BX$12-$BY$12)*-1</f>
        <v>0</v>
      </c>
      <c r="CC12" s="11" t="s">
        <v>1573</v>
      </c>
      <c r="CD12" s="20">
        <f>SUMPRODUCT(Calculations!$L$12:$L$23,Calculations!$D$12:$D$23)</f>
        <v>0</v>
      </c>
      <c r="CF12" s="19" t="s">
        <v>19</v>
      </c>
      <c r="CG12" s="20">
        <f>COUNTIFS('Incident'!$D$4:$D$5003,"Feb",'Incident'!$H$4:$H$5003,dCrit)</f>
        <v>0</v>
      </c>
    </row>
    <row r="13" spans="2:85">
      <c r="B13" s="19" t="s">
        <v>19</v>
      </c>
      <c r="C13" s="19">
        <v>2</v>
      </c>
      <c r="D13" s="19">
        <f>IF(Calculations!$C$10=1,IF(ROUNDUP($C$13/3,0)=Calculations!$F$10,1,0),IF($C$13=Calculations!$I$10,1,0))</f>
        <v>0</v>
      </c>
      <c r="E13" s="19">
        <f>IF(Calculations!$C$10=1,IF(ROUNDUP($C$13/3,0)=Calculations!$F$10-1,1,0),IF($C$13=Calculations!$I$10-1,1,0))</f>
        <v>0</v>
      </c>
      <c r="F13" s="20">
        <f>COUNTIFS('Incident'!$N$4:$N$5003,"Medical Treatment",'Incident'!$D$4:$D$5003,"Feb",'Incident'!$H$4:$H$5003,dCrit)+COUNTIFS('Incident'!$N$4:$N$5003,"Restricted Work",'Incident'!$D$4:$D$5003,"Feb",'Incident'!$H$4:$H$5003,dCrit)+COUNTIFS('Incident'!$N$4:$N$5003,"Lost Time Injury",'Incident'!$D$4:$D$5003,"Feb",'Incident'!$H$4:$H$5003,dCrit)+COUNTIFS('Incident'!$N$4:$N$5003,"Fatality",'Incident'!$D$4:$D$5003,"Feb",'Incident'!$H$4:$H$5003,dCrit)</f>
        <v>0</v>
      </c>
      <c r="G13" s="20">
        <f>COUNTIFS('Incident'!$N$4:$N$5003,"Lost Time Injury",'Incident'!$D$4:$D$5003,"Feb",'Incident'!$H$4:$H$5003,dCrit)+COUNTIFS('Incident'!$N$4:$N$5003,"Fatality",'Incident'!$D$4:$D$5003,"Feb",'Incident'!$H$4:$H$5003,dCrit)</f>
        <v>0</v>
      </c>
      <c r="H13" s="20">
        <f>COUNTIFS('Incident'!$N$4:$N$5003,"Near Miss",'Incident'!$D$4:$D$5003,"Feb",'Incident'!$H$4:$H$5003,dCrit)</f>
        <v>0</v>
      </c>
      <c r="I13" s="20">
        <f>COUNTIFS('Incident'!$N$4:$N$5003,"First Aid",'Incident'!$D$4:$D$5003,"Feb",'Incident'!$H$4:$H$5003,dCrit)</f>
        <v>0</v>
      </c>
      <c r="J13" s="20">
        <f>COUNTIFS('Incident'!$N$4:$N$5003,"Medical Treatment",'Incident'!$D$4:$D$5003,"Feb",'Incident'!$H$4:$H$5003,dCrit)</f>
        <v>0</v>
      </c>
      <c r="K13" s="20">
        <f>COUNTIFS('Incident'!$N$4:$N$5003,"Restricted Work",'Incident'!$D$4:$D$5003,"Feb",'Incident'!$H$4:$H$5003,dCrit)</f>
        <v>0</v>
      </c>
      <c r="L13" s="20">
        <f>COUNTIFS('Incident'!$N$4:$N$5003,"Lost Time Injury",'Incident'!$D$4:$D$5003,"Feb",'Incident'!$H$4:$H$5003,dCrit)</f>
        <v>0</v>
      </c>
      <c r="M13" s="20">
        <f>COUNTIFS('Incident'!$N$4:$N$5003,"Fatality",'Incident'!$D$4:$D$5003,"Feb",'Incident'!$H$4:$H$5003,dCrit)</f>
        <v>0</v>
      </c>
      <c r="N13" s="20">
        <f>SUMIFS('Incident'!$V$4:$V$5003,'Incident'!$D$4:$D$5003,"Feb",'Incident'!$H$4:$H$5003,dCrit)</f>
        <v>0</v>
      </c>
      <c r="O13" s="20">
        <f>COUNTIFS('Incident'!$D$4:$D$5003,"Feb",'Incident'!$H$4:$H$5003,dCrit)</f>
        <v>0</v>
      </c>
      <c r="P13" s="20">
        <f>COUNTIFS('Disciplinary Actions'!$D$4:$D$5003,"Feb",'Disciplinary Actions'!$F$4:$F$5003,dCrit)</f>
        <v>0</v>
      </c>
      <c r="Q13" s="20">
        <f>COUNTIFS('NC Management'!$M$4:$M$5003,"Open",'NC Management'!$D$4:$D$5003,"Feb",'NC Management'!$G$4:$G$5003,dCrit)+COUNTIFS('NC Management'!$M$4:$M$5003,"Overdue",'NC Management'!$D$4:$D$5003,"Feb",'NC Management'!$G$4:$G$5003,dCrit)</f>
        <v>0</v>
      </c>
      <c r="R13" s="20">
        <f>COUNTIFS('Training'!$D$4:$D$5003,"Feb",'Training'!$G$4:$G$5003,dCrit)</f>
        <v>0</v>
      </c>
      <c r="S13" s="20">
        <f>COUNTIFS('Training'!$N$4:$N$5003,"Completed",'Training'!$D$4:$D$5003,"Feb",'Training'!$G$4:$G$5003,dCrit)</f>
        <v>0</v>
      </c>
      <c r="T13" s="20">
        <f>COUNTIFS('HSE Observations'!$D$4:$D$5003,"Feb",'HSE Observations'!$G$4:$G$5003,dCrit)</f>
        <v>0</v>
      </c>
      <c r="U13" s="20">
        <f>COUNTIFS('HSE Observations'!$M$4:$M$5003,"Closed",'HSE Observations'!$D$4:$D$5003,"Feb",'HSE Observations'!$G$4:$G$5003,dCrit)</f>
        <v>0</v>
      </c>
      <c r="V13" s="20">
        <f>COUNTIFS('Toolbox Talks'!$D$4:$D$5003,"Feb",'Toolbox Talks'!$F$4:$F$5003,dCrit)</f>
        <v>0</v>
      </c>
      <c r="W13" s="20">
        <f>COUNTIFS('Workplace Inspections'!$D$4:$D$5003,"Feb",'Workplace Inspections'!$F$4:$F$5003,dCrit)+COUNTIFS('Equipment Inspections'!$D$4:$D$5003,"Feb",'Equipment Inspections'!$F$4:$F$5003,dCrit)+COUNTIFS('Safety Walkthroughs'!$D$4:$D$5003,"Feb",'Safety Walkthroughs'!$F$4:$F$5003,dCrit)</f>
        <v>0</v>
      </c>
      <c r="X13" s="20">
        <f>COUNTIFS('Internal Audits'!$D$4:$D$5003,"Feb",'Internal Audits'!$G$4:$G$5003,dCrit)+COUNTIFS('External Audits'!$D$4:$D$5003,"Feb",'External Audits'!$G$4:$G$5003,dCrit)</f>
        <v>0</v>
      </c>
      <c r="Y13" s="20">
        <f>COUNTIFS('PTW Audits'!$D$4:$D$5003,"Feb",'PTW Audits'!$F$4:$F$5003,dCrit)</f>
        <v>0</v>
      </c>
      <c r="Z13" s="20">
        <f>COUNTIFS('PTW Audits'!$M$4:$M$5003,"Compliant",'PTW Audits'!$D$4:$D$5003,"Feb",'PTW Audits'!$F$4:$F$5003,dCrit)</f>
        <v>0</v>
      </c>
      <c r="AA13" s="20">
        <f>COUNTIFS('Emergency Drills'!$D$4:$D$5003,"Feb")</f>
        <v>0</v>
      </c>
      <c r="AB13" s="20">
        <f>COUNTIFS('Corrective Actions'!$D$4:$D$5003,"Feb",'Corrective Actions'!$F$4:$F$5003,dCrit)</f>
        <v>0</v>
      </c>
      <c r="AC13" s="20">
        <f>COUNTIFS('Corrective Actions'!$N$4:$N$5003,"Closed",'Corrective Actions'!$D$4:$D$5003,"Feb",'Corrective Actions'!$F$4:$F$5003,dCrit)</f>
        <v>0</v>
      </c>
      <c r="AD13" s="20">
        <f>COUNTIFS('JSA Risk Assessment'!$D$4:$D$5003,"Feb",'JSA Risk Assessment'!$F$4:$F$5003,dCrit)</f>
        <v>0</v>
      </c>
      <c r="AE13" s="20">
        <f>COUNTIFS('Safety Meetings'!$D$4:$D$5003,"Feb",'Safety Meetings'!$G$4:$G$5003,dCrit)</f>
        <v>0</v>
      </c>
      <c r="AF13" s="20">
        <f>COUNTIFS('Unsafe Acts'!$D$4:$D$5003,"Feb",'Unsafe Acts'!$F$4:$F$5003,dCrit)+COUNTIFS('Unsafe Conditions'!$D$4:$D$5003,"Feb",'Unsafe Conditions'!$F$4:$F$5003,dCrit)</f>
        <v>0</v>
      </c>
      <c r="AG13" s="20">
        <f>COUNTIFS('Unsafe Acts'!$D$4:$D$5003,"Feb",'Unsafe Acts'!$F$4:$F$5003,dCrit)</f>
        <v>0</v>
      </c>
      <c r="AH13" s="20">
        <f>COUNTIFS('Unsafe Conditions'!$D$4:$D$5003,"Feb",'Unsafe Conditions'!$F$4:$F$5003,dCrit)</f>
        <v>0</v>
      </c>
      <c r="AI13" s="20">
        <f>SUMIFS('Toolbox Talks'!$J$4:$J$5003,'Toolbox Talks'!$D$4:$D$5003,"Feb",'Toolbox Talks'!$F$4:$F$5003,dCrit)</f>
        <v>0</v>
      </c>
      <c r="AJ13" s="20">
        <f>SUMIFS('Toolbox Talks'!$I$4:$I$5003,'Toolbox Talks'!$D$4:$D$5003,"Feb",'Toolbox Talks'!$F$4:$F$5003,dCrit)</f>
        <v>0</v>
      </c>
      <c r="AK13" s="20">
        <f>COUNTIFS('JSA Risk Assessment'!$M$4:$M$5003,"Approved",'JSA Risk Assessment'!$D$4:$D$5003,"Feb",'JSA Risk Assessment'!$F$4:$F$5003,dCrit)</f>
        <v>0</v>
      </c>
      <c r="AL13" s="20">
        <f>COUNTIFS('Workplace Inspections'!$D$4:$D$5003,"Feb",'Workplace Inspections'!$F$4:$F$5003,dCrit)</f>
        <v>0</v>
      </c>
      <c r="AM13" s="20">
        <f>COUNTIFS('Workplace Inspections'!$M$4:$M$5003,"Closed",'Workplace Inspections'!$D$4:$D$5003,"Feb",'Workplace Inspections'!$F$4:$F$5003,dCrit)</f>
        <v>0</v>
      </c>
      <c r="AN13" s="20">
        <f>COUNTIFS('Equipment Inspections'!$D$4:$D$5003,"Feb",'Equipment Inspections'!$F$4:$F$5003,dCrit)</f>
        <v>0</v>
      </c>
      <c r="AO13" s="20">
        <f>SUMIFS('Equipment Inspections'!$K$4:$K$5003,'Equipment Inspections'!$D$4:$D$5003,"Feb",'Equipment Inspections'!$F$4:$F$5003,dCrit)</f>
        <v>0</v>
      </c>
      <c r="AP13" s="20">
        <f>COUNTIFS('Safety Walkthroughs'!$D$4:$D$5003,"Feb",'Safety Walkthroughs'!$F$4:$F$5003,dCrit)</f>
        <v>0</v>
      </c>
      <c r="AQ13" s="20">
        <f>SUMIFS('Safety Meetings'!$M$4:$M$5003,'Safety Meetings'!$D$4:$D$5003,"Feb",'Safety Meetings'!$G$4:$G$5003,dCrit)</f>
        <v>0</v>
      </c>
      <c r="AR13" s="20">
        <f>SUMIFS('Safety Meetings'!$N$4:$N$5003,'Safety Meetings'!$D$4:$D$5003,"Feb",'Safety Meetings'!$G$4:$G$5003,dCrit)</f>
        <v>0</v>
      </c>
      <c r="AS13" s="20">
        <f>COUNTIFS('Safety Bulletins'!$D$4:$D$5003,"Feb")</f>
        <v>0</v>
      </c>
      <c r="AT13" s="20">
        <f>SUMIFS('Safety Bulletins'!$L$4:$L$5003,'Safety Bulletins'!$D$4:$D$5003,"Feb")</f>
        <v>0</v>
      </c>
      <c r="AU13" s="20">
        <f>SUMIFS('Safety Bulletins'!$M$4:$M$5003,'Safety Bulletins'!$D$4:$D$5003,"Feb")</f>
        <v>0</v>
      </c>
      <c r="AV13" s="20">
        <f>SUMIFS('Emergency Drills'!$H$4:$H$5003,'Emergency Drills'!$D$4:$D$5003,"Feb")</f>
        <v>0</v>
      </c>
      <c r="AW13" s="20">
        <f>SUMIFS('Emergency Drills'!$I$4:$I$5003,'Emergency Drills'!$D$4:$D$5003,"Feb")</f>
        <v>0</v>
      </c>
      <c r="AX13" s="20">
        <f>COUNTIFS('Internal Audits'!$D$4:$D$5003,"Feb",'Internal Audits'!$G$4:$G$5003,dCrit)</f>
        <v>0</v>
      </c>
      <c r="AY13" s="20">
        <f>SUMIFS('Internal Audits'!$L$4:$L$5003,'Internal Audits'!$D$4:$D$5003,"Feb",'Internal Audits'!$G$4:$G$5003,dCrit)+SUMIFS('Internal Audits'!$M$4:$M$5003,'Internal Audits'!$D$4:$D$5003,"Feb",'Internal Audits'!$G$4:$G$5003,dCrit)</f>
        <v>0</v>
      </c>
      <c r="AZ13" s="20">
        <f>COUNTIFS('External Audits'!$D$4:$D$5003,"Feb",'External Audits'!$G$4:$G$5003,dCrit)</f>
        <v>0</v>
      </c>
      <c r="BA13" s="20">
        <f>SUMIFS('External Audits'!$L$4:$L$5003,'External Audits'!$D$4:$D$5003,"Feb",'External Audits'!$G$4:$G$5003,dCrit)+SUMIFS('External Audits'!$M$4:$M$5003,'External Audits'!$D$4:$D$5003,"Feb",'External Audits'!$G$4:$G$5003,dCrit)</f>
        <v>0</v>
      </c>
      <c r="BB13" s="20">
        <f>COUNTIFS('Management Visits'!$D$4:$D$5003,"Feb",'Management Visits'!$F$4:$F$5003,dCrit)</f>
        <v>0</v>
      </c>
      <c r="BC13" s="20">
        <f>SUMIFS('Management Visits'!$K$4:$K$5003,'Management Visits'!$D$4:$D$5003,"Feb",'Management Visits'!$F$4:$F$5003,dCrit)</f>
        <v>0</v>
      </c>
      <c r="BD13" s="20">
        <f>SUMIFS('Management Visits'!$L$4:$L$5003,'Management Visits'!$D$4:$D$5003,"Feb",'Management Visits'!$F$4:$F$5003,dCrit)</f>
        <v>0</v>
      </c>
      <c r="BE13" s="20">
        <f>COUNTIFS('Management Reviews'!$D$4:$D$5003,"Feb")</f>
        <v>0</v>
      </c>
      <c r="BF13" s="20">
        <f>SUMIFS('Management Reviews'!$H$4:$H$5003,'Management Reviews'!$D$4:$D$5003,"Feb")</f>
        <v>0</v>
      </c>
      <c r="BG13" s="20">
        <f>SUMIFS('Management Reviews'!$G$4:$G$5003,'Management Reviews'!$D$4:$D$5003,"Feb")</f>
        <v>0</v>
      </c>
      <c r="BH13" s="20">
        <f>COUNTIFS('Safety Awards'!$D$4:$D$5003,"Feb",'Safety Awards'!$F$4:$F$5003,dCrit)</f>
        <v>0</v>
      </c>
      <c r="BI13" s="20">
        <f>COUNTIFS('Stop Work Authority'!$D$4:$D$5003,"Feb",'Stop Work Authority'!$F$4:$F$5003,dCrit)</f>
        <v>0</v>
      </c>
      <c r="BJ13" s="20">
        <f>COUNTIFS('Alcohol Tests'!$D$4:$D$5003,"Feb",'Alcohol Tests'!$E$4:$E$5003,dCrit)</f>
        <v>0</v>
      </c>
      <c r="BK13" s="20">
        <f>COUNTIFS('Alcohol Tests'!$H$4:$H$5003,"Positive",'Alcohol Tests'!$D$4:$D$5003,"Feb",'Alcohol Tests'!$E$4:$E$5003,dCrit)</f>
        <v>0</v>
      </c>
      <c r="BL13" s="20">
        <f>COUNTIFS('Unsafe Acts'!$D$4:$D$5003,"Feb",'Unsafe Acts'!$F$4:$F$5003,dCrit)</f>
        <v>0</v>
      </c>
      <c r="BM13" s="20">
        <f>COUNTIFS('Unsafe Acts'!$M$4:$M$5003,"Closed",'Unsafe Acts'!$D$4:$D$5003,"Feb",'Unsafe Acts'!$F$4:$F$5003,dCrit)</f>
        <v>0</v>
      </c>
      <c r="BN13" s="20">
        <f>COUNTIFS('Unsafe Conditions'!$D$4:$D$5003,"Feb",'Unsafe Conditions'!$F$4:$F$5003,dCrit)</f>
        <v>0</v>
      </c>
      <c r="BO13" s="20">
        <f>COUNTIFS('Unsafe Conditions'!$M$4:$M$5003,"Closed",'Unsafe Conditions'!$D$4:$D$5003,"Feb",'Unsafe Conditions'!$F$4:$F$5003,dCrit)</f>
        <v>0</v>
      </c>
      <c r="BP13" s="20">
        <f>COUNTIFS('NC Management'!$D$4:$D$5003,"Feb",'NC Management'!$G$4:$G$5003,dCrit)</f>
        <v>0</v>
      </c>
      <c r="BQ13" s="20">
        <f>COUNTIFS('NC Management'!$M$4:$M$5003,"Closed",'NC Management'!$D$4:$D$5003,"Feb",'NC Management'!$G$4:$G$5003,dCrit)</f>
        <v>0</v>
      </c>
      <c r="BR13" s="19">
        <f>IFERROR($F$13*TRIRmult/(Manhours/12),0)</f>
        <v>0</v>
      </c>
      <c r="BS13" s="19">
        <f>IFERROR($G$13*LTIFRmult/(Manhours/12),0)</f>
        <v>0</v>
      </c>
      <c r="BV13" s="11" t="s">
        <v>1641</v>
      </c>
      <c r="BW13" s="19" t="s">
        <v>1729</v>
      </c>
      <c r="BX13" s="19">
        <f>IFERROR(SUMPRODUCT(Calculations!$G$12:$G$23,Calculations!$D$12:$D$23)*LTIFRmult/(SUM(Calculations!$D$12:$D$23)*Manhours/12),0)</f>
        <v>0</v>
      </c>
      <c r="BY13" s="19">
        <f>IFERROR(SUMPRODUCT(Calculations!$G$12:$G$23,Calculations!$E$12:$E$23)*LTIFRmult/(SUM(Calculations!$E$12:$E$23)*Manhours/12),0)</f>
        <v>0</v>
      </c>
      <c r="BZ13" s="21">
        <f>IFERROR(($BX$13-$BY$13)/$BY$13,IF($BX$13&gt;0,1,0))</f>
        <v>0</v>
      </c>
      <c r="CA13" s="19">
        <f>($BX$13-$BY$13)*-1</f>
        <v>0</v>
      </c>
      <c r="CC13" s="11" t="s">
        <v>1536</v>
      </c>
      <c r="CD13" s="20">
        <f>SUMPRODUCT(Calculations!$K$12:$K$23,Calculations!$D$12:$D$23)</f>
        <v>0</v>
      </c>
      <c r="CF13" s="19" t="s">
        <v>44</v>
      </c>
      <c r="CG13" s="20">
        <f>COUNTIFS('Incident'!$D$4:$D$5003,"Mar",'Incident'!$H$4:$H$5003,dCrit)</f>
        <v>0</v>
      </c>
    </row>
    <row r="14" spans="2:85">
      <c r="B14" s="19" t="s">
        <v>44</v>
      </c>
      <c r="C14" s="19">
        <v>3</v>
      </c>
      <c r="D14" s="19">
        <f>IF(Calculations!$C$10=1,IF(ROUNDUP($C$14/3,0)=Calculations!$F$10,1,0),IF($C$14=Calculations!$I$10,1,0))</f>
        <v>0</v>
      </c>
      <c r="E14" s="19">
        <f>IF(Calculations!$C$10=1,IF(ROUNDUP($C$14/3,0)=Calculations!$F$10-1,1,0),IF($C$14=Calculations!$I$10-1,1,0))</f>
        <v>0</v>
      </c>
      <c r="F14" s="20">
        <f>COUNTIFS('Incident'!$N$4:$N$5003,"Medical Treatment",'Incident'!$D$4:$D$5003,"Mar",'Incident'!$H$4:$H$5003,dCrit)+COUNTIFS('Incident'!$N$4:$N$5003,"Restricted Work",'Incident'!$D$4:$D$5003,"Mar",'Incident'!$H$4:$H$5003,dCrit)+COUNTIFS('Incident'!$N$4:$N$5003,"Lost Time Injury",'Incident'!$D$4:$D$5003,"Mar",'Incident'!$H$4:$H$5003,dCrit)+COUNTIFS('Incident'!$N$4:$N$5003,"Fatality",'Incident'!$D$4:$D$5003,"Mar",'Incident'!$H$4:$H$5003,dCrit)</f>
        <v>0</v>
      </c>
      <c r="G14" s="20">
        <f>COUNTIFS('Incident'!$N$4:$N$5003,"Lost Time Injury",'Incident'!$D$4:$D$5003,"Mar",'Incident'!$H$4:$H$5003,dCrit)+COUNTIFS('Incident'!$N$4:$N$5003,"Fatality",'Incident'!$D$4:$D$5003,"Mar",'Incident'!$H$4:$H$5003,dCrit)</f>
        <v>0</v>
      </c>
      <c r="H14" s="20">
        <f>COUNTIFS('Incident'!$N$4:$N$5003,"Near Miss",'Incident'!$D$4:$D$5003,"Mar",'Incident'!$H$4:$H$5003,dCrit)</f>
        <v>0</v>
      </c>
      <c r="I14" s="20">
        <f>COUNTIFS('Incident'!$N$4:$N$5003,"First Aid",'Incident'!$D$4:$D$5003,"Mar",'Incident'!$H$4:$H$5003,dCrit)</f>
        <v>0</v>
      </c>
      <c r="J14" s="20">
        <f>COUNTIFS('Incident'!$N$4:$N$5003,"Medical Treatment",'Incident'!$D$4:$D$5003,"Mar",'Incident'!$H$4:$H$5003,dCrit)</f>
        <v>0</v>
      </c>
      <c r="K14" s="20">
        <f>COUNTIFS('Incident'!$N$4:$N$5003,"Restricted Work",'Incident'!$D$4:$D$5003,"Mar",'Incident'!$H$4:$H$5003,dCrit)</f>
        <v>0</v>
      </c>
      <c r="L14" s="20">
        <f>COUNTIFS('Incident'!$N$4:$N$5003,"Lost Time Injury",'Incident'!$D$4:$D$5003,"Mar",'Incident'!$H$4:$H$5003,dCrit)</f>
        <v>0</v>
      </c>
      <c r="M14" s="20">
        <f>COUNTIFS('Incident'!$N$4:$N$5003,"Fatality",'Incident'!$D$4:$D$5003,"Mar",'Incident'!$H$4:$H$5003,dCrit)</f>
        <v>0</v>
      </c>
      <c r="N14" s="20">
        <f>SUMIFS('Incident'!$V$4:$V$5003,'Incident'!$D$4:$D$5003,"Mar",'Incident'!$H$4:$H$5003,dCrit)</f>
        <v>0</v>
      </c>
      <c r="O14" s="20">
        <f>COUNTIFS('Incident'!$D$4:$D$5003,"Mar",'Incident'!$H$4:$H$5003,dCrit)</f>
        <v>0</v>
      </c>
      <c r="P14" s="20">
        <f>COUNTIFS('Disciplinary Actions'!$D$4:$D$5003,"Mar",'Disciplinary Actions'!$F$4:$F$5003,dCrit)</f>
        <v>0</v>
      </c>
      <c r="Q14" s="20">
        <f>COUNTIFS('NC Management'!$M$4:$M$5003,"Open",'NC Management'!$D$4:$D$5003,"Mar",'NC Management'!$G$4:$G$5003,dCrit)+COUNTIFS('NC Management'!$M$4:$M$5003,"Overdue",'NC Management'!$D$4:$D$5003,"Mar",'NC Management'!$G$4:$G$5003,dCrit)</f>
        <v>0</v>
      </c>
      <c r="R14" s="20">
        <f>COUNTIFS('Training'!$D$4:$D$5003,"Mar",'Training'!$G$4:$G$5003,dCrit)</f>
        <v>0</v>
      </c>
      <c r="S14" s="20">
        <f>COUNTIFS('Training'!$N$4:$N$5003,"Completed",'Training'!$D$4:$D$5003,"Mar",'Training'!$G$4:$G$5003,dCrit)</f>
        <v>0</v>
      </c>
      <c r="T14" s="20">
        <f>COUNTIFS('HSE Observations'!$D$4:$D$5003,"Mar",'HSE Observations'!$G$4:$G$5003,dCrit)</f>
        <v>0</v>
      </c>
      <c r="U14" s="20">
        <f>COUNTIFS('HSE Observations'!$M$4:$M$5003,"Closed",'HSE Observations'!$D$4:$D$5003,"Mar",'HSE Observations'!$G$4:$G$5003,dCrit)</f>
        <v>0</v>
      </c>
      <c r="V14" s="20">
        <f>COUNTIFS('Toolbox Talks'!$D$4:$D$5003,"Mar",'Toolbox Talks'!$F$4:$F$5003,dCrit)</f>
        <v>0</v>
      </c>
      <c r="W14" s="20">
        <f>COUNTIFS('Workplace Inspections'!$D$4:$D$5003,"Mar",'Workplace Inspections'!$F$4:$F$5003,dCrit)+COUNTIFS('Equipment Inspections'!$D$4:$D$5003,"Mar",'Equipment Inspections'!$F$4:$F$5003,dCrit)+COUNTIFS('Safety Walkthroughs'!$D$4:$D$5003,"Mar",'Safety Walkthroughs'!$F$4:$F$5003,dCrit)</f>
        <v>0</v>
      </c>
      <c r="X14" s="20">
        <f>COUNTIFS('Internal Audits'!$D$4:$D$5003,"Mar",'Internal Audits'!$G$4:$G$5003,dCrit)+COUNTIFS('External Audits'!$D$4:$D$5003,"Mar",'External Audits'!$G$4:$G$5003,dCrit)</f>
        <v>0</v>
      </c>
      <c r="Y14" s="20">
        <f>COUNTIFS('PTW Audits'!$D$4:$D$5003,"Mar",'PTW Audits'!$F$4:$F$5003,dCrit)</f>
        <v>0</v>
      </c>
      <c r="Z14" s="20">
        <f>COUNTIFS('PTW Audits'!$M$4:$M$5003,"Compliant",'PTW Audits'!$D$4:$D$5003,"Mar",'PTW Audits'!$F$4:$F$5003,dCrit)</f>
        <v>0</v>
      </c>
      <c r="AA14" s="20">
        <f>COUNTIFS('Emergency Drills'!$D$4:$D$5003,"Mar")</f>
        <v>0</v>
      </c>
      <c r="AB14" s="20">
        <f>COUNTIFS('Corrective Actions'!$D$4:$D$5003,"Mar",'Corrective Actions'!$F$4:$F$5003,dCrit)</f>
        <v>0</v>
      </c>
      <c r="AC14" s="20">
        <f>COUNTIFS('Corrective Actions'!$N$4:$N$5003,"Closed",'Corrective Actions'!$D$4:$D$5003,"Mar",'Corrective Actions'!$F$4:$F$5003,dCrit)</f>
        <v>0</v>
      </c>
      <c r="AD14" s="20">
        <f>COUNTIFS('JSA Risk Assessment'!$D$4:$D$5003,"Mar",'JSA Risk Assessment'!$F$4:$F$5003,dCrit)</f>
        <v>0</v>
      </c>
      <c r="AE14" s="20">
        <f>COUNTIFS('Safety Meetings'!$D$4:$D$5003,"Mar",'Safety Meetings'!$G$4:$G$5003,dCrit)</f>
        <v>0</v>
      </c>
      <c r="AF14" s="20">
        <f>COUNTIFS('Unsafe Acts'!$D$4:$D$5003,"Mar",'Unsafe Acts'!$F$4:$F$5003,dCrit)+COUNTIFS('Unsafe Conditions'!$D$4:$D$5003,"Mar",'Unsafe Conditions'!$F$4:$F$5003,dCrit)</f>
        <v>0</v>
      </c>
      <c r="AG14" s="20">
        <f>COUNTIFS('Unsafe Acts'!$D$4:$D$5003,"Mar",'Unsafe Acts'!$F$4:$F$5003,dCrit)</f>
        <v>0</v>
      </c>
      <c r="AH14" s="20">
        <f>COUNTIFS('Unsafe Conditions'!$D$4:$D$5003,"Mar",'Unsafe Conditions'!$F$4:$F$5003,dCrit)</f>
        <v>0</v>
      </c>
      <c r="AI14" s="20">
        <f>SUMIFS('Toolbox Talks'!$J$4:$J$5003,'Toolbox Talks'!$D$4:$D$5003,"Mar",'Toolbox Talks'!$F$4:$F$5003,dCrit)</f>
        <v>0</v>
      </c>
      <c r="AJ14" s="20">
        <f>SUMIFS('Toolbox Talks'!$I$4:$I$5003,'Toolbox Talks'!$D$4:$D$5003,"Mar",'Toolbox Talks'!$F$4:$F$5003,dCrit)</f>
        <v>0</v>
      </c>
      <c r="AK14" s="20">
        <f>COUNTIFS('JSA Risk Assessment'!$M$4:$M$5003,"Approved",'JSA Risk Assessment'!$D$4:$D$5003,"Mar",'JSA Risk Assessment'!$F$4:$F$5003,dCrit)</f>
        <v>0</v>
      </c>
      <c r="AL14" s="20">
        <f>COUNTIFS('Workplace Inspections'!$D$4:$D$5003,"Mar",'Workplace Inspections'!$F$4:$F$5003,dCrit)</f>
        <v>0</v>
      </c>
      <c r="AM14" s="20">
        <f>COUNTIFS('Workplace Inspections'!$M$4:$M$5003,"Closed",'Workplace Inspections'!$D$4:$D$5003,"Mar",'Workplace Inspections'!$F$4:$F$5003,dCrit)</f>
        <v>0</v>
      </c>
      <c r="AN14" s="20">
        <f>COUNTIFS('Equipment Inspections'!$D$4:$D$5003,"Mar",'Equipment Inspections'!$F$4:$F$5003,dCrit)</f>
        <v>0</v>
      </c>
      <c r="AO14" s="20">
        <f>SUMIFS('Equipment Inspections'!$K$4:$K$5003,'Equipment Inspections'!$D$4:$D$5003,"Mar",'Equipment Inspections'!$F$4:$F$5003,dCrit)</f>
        <v>0</v>
      </c>
      <c r="AP14" s="20">
        <f>COUNTIFS('Safety Walkthroughs'!$D$4:$D$5003,"Mar",'Safety Walkthroughs'!$F$4:$F$5003,dCrit)</f>
        <v>0</v>
      </c>
      <c r="AQ14" s="20">
        <f>SUMIFS('Safety Meetings'!$M$4:$M$5003,'Safety Meetings'!$D$4:$D$5003,"Mar",'Safety Meetings'!$G$4:$G$5003,dCrit)</f>
        <v>0</v>
      </c>
      <c r="AR14" s="20">
        <f>SUMIFS('Safety Meetings'!$N$4:$N$5003,'Safety Meetings'!$D$4:$D$5003,"Mar",'Safety Meetings'!$G$4:$G$5003,dCrit)</f>
        <v>0</v>
      </c>
      <c r="AS14" s="20">
        <f>COUNTIFS('Safety Bulletins'!$D$4:$D$5003,"Mar")</f>
        <v>0</v>
      </c>
      <c r="AT14" s="20">
        <f>SUMIFS('Safety Bulletins'!$L$4:$L$5003,'Safety Bulletins'!$D$4:$D$5003,"Mar")</f>
        <v>0</v>
      </c>
      <c r="AU14" s="20">
        <f>SUMIFS('Safety Bulletins'!$M$4:$M$5003,'Safety Bulletins'!$D$4:$D$5003,"Mar")</f>
        <v>0</v>
      </c>
      <c r="AV14" s="20">
        <f>SUMIFS('Emergency Drills'!$H$4:$H$5003,'Emergency Drills'!$D$4:$D$5003,"Mar")</f>
        <v>0</v>
      </c>
      <c r="AW14" s="20">
        <f>SUMIFS('Emergency Drills'!$I$4:$I$5003,'Emergency Drills'!$D$4:$D$5003,"Mar")</f>
        <v>0</v>
      </c>
      <c r="AX14" s="20">
        <f>COUNTIFS('Internal Audits'!$D$4:$D$5003,"Mar",'Internal Audits'!$G$4:$G$5003,dCrit)</f>
        <v>0</v>
      </c>
      <c r="AY14" s="20">
        <f>SUMIFS('Internal Audits'!$L$4:$L$5003,'Internal Audits'!$D$4:$D$5003,"Mar",'Internal Audits'!$G$4:$G$5003,dCrit)+SUMIFS('Internal Audits'!$M$4:$M$5003,'Internal Audits'!$D$4:$D$5003,"Mar",'Internal Audits'!$G$4:$G$5003,dCrit)</f>
        <v>0</v>
      </c>
      <c r="AZ14" s="20">
        <f>COUNTIFS('External Audits'!$D$4:$D$5003,"Mar",'External Audits'!$G$4:$G$5003,dCrit)</f>
        <v>0</v>
      </c>
      <c r="BA14" s="20">
        <f>SUMIFS('External Audits'!$L$4:$L$5003,'External Audits'!$D$4:$D$5003,"Mar",'External Audits'!$G$4:$G$5003,dCrit)+SUMIFS('External Audits'!$M$4:$M$5003,'External Audits'!$D$4:$D$5003,"Mar",'External Audits'!$G$4:$G$5003,dCrit)</f>
        <v>0</v>
      </c>
      <c r="BB14" s="20">
        <f>COUNTIFS('Management Visits'!$D$4:$D$5003,"Mar",'Management Visits'!$F$4:$F$5003,dCrit)</f>
        <v>0</v>
      </c>
      <c r="BC14" s="20">
        <f>SUMIFS('Management Visits'!$K$4:$K$5003,'Management Visits'!$D$4:$D$5003,"Mar",'Management Visits'!$F$4:$F$5003,dCrit)</f>
        <v>0</v>
      </c>
      <c r="BD14" s="20">
        <f>SUMIFS('Management Visits'!$L$4:$L$5003,'Management Visits'!$D$4:$D$5003,"Mar",'Management Visits'!$F$4:$F$5003,dCrit)</f>
        <v>0</v>
      </c>
      <c r="BE14" s="20">
        <f>COUNTIFS('Management Reviews'!$D$4:$D$5003,"Mar")</f>
        <v>0</v>
      </c>
      <c r="BF14" s="20">
        <f>SUMIFS('Management Reviews'!$H$4:$H$5003,'Management Reviews'!$D$4:$D$5003,"Mar")</f>
        <v>0</v>
      </c>
      <c r="BG14" s="20">
        <f>SUMIFS('Management Reviews'!$G$4:$G$5003,'Management Reviews'!$D$4:$D$5003,"Mar")</f>
        <v>0</v>
      </c>
      <c r="BH14" s="20">
        <f>COUNTIFS('Safety Awards'!$D$4:$D$5003,"Mar",'Safety Awards'!$F$4:$F$5003,dCrit)</f>
        <v>0</v>
      </c>
      <c r="BI14" s="20">
        <f>COUNTIFS('Stop Work Authority'!$D$4:$D$5003,"Mar",'Stop Work Authority'!$F$4:$F$5003,dCrit)</f>
        <v>0</v>
      </c>
      <c r="BJ14" s="20">
        <f>COUNTIFS('Alcohol Tests'!$D$4:$D$5003,"Mar",'Alcohol Tests'!$E$4:$E$5003,dCrit)</f>
        <v>0</v>
      </c>
      <c r="BK14" s="20">
        <f>COUNTIFS('Alcohol Tests'!$H$4:$H$5003,"Positive",'Alcohol Tests'!$D$4:$D$5003,"Mar",'Alcohol Tests'!$E$4:$E$5003,dCrit)</f>
        <v>0</v>
      </c>
      <c r="BL14" s="20">
        <f>COUNTIFS('Unsafe Acts'!$D$4:$D$5003,"Mar",'Unsafe Acts'!$F$4:$F$5003,dCrit)</f>
        <v>0</v>
      </c>
      <c r="BM14" s="20">
        <f>COUNTIFS('Unsafe Acts'!$M$4:$M$5003,"Closed",'Unsafe Acts'!$D$4:$D$5003,"Mar",'Unsafe Acts'!$F$4:$F$5003,dCrit)</f>
        <v>0</v>
      </c>
      <c r="BN14" s="20">
        <f>COUNTIFS('Unsafe Conditions'!$D$4:$D$5003,"Mar",'Unsafe Conditions'!$F$4:$F$5003,dCrit)</f>
        <v>0</v>
      </c>
      <c r="BO14" s="20">
        <f>COUNTIFS('Unsafe Conditions'!$M$4:$M$5003,"Closed",'Unsafe Conditions'!$D$4:$D$5003,"Mar",'Unsafe Conditions'!$F$4:$F$5003,dCrit)</f>
        <v>0</v>
      </c>
      <c r="BP14" s="20">
        <f>COUNTIFS('NC Management'!$D$4:$D$5003,"Mar",'NC Management'!$G$4:$G$5003,dCrit)</f>
        <v>0</v>
      </c>
      <c r="BQ14" s="20">
        <f>COUNTIFS('NC Management'!$M$4:$M$5003,"Closed",'NC Management'!$D$4:$D$5003,"Mar",'NC Management'!$G$4:$G$5003,dCrit)</f>
        <v>0</v>
      </c>
      <c r="BR14" s="19">
        <f>IFERROR($F$14*TRIRmult/(Manhours/12),0)</f>
        <v>0</v>
      </c>
      <c r="BS14" s="19">
        <f>IFERROR($G$14*LTIFRmult/(Manhours/12),0)</f>
        <v>0</v>
      </c>
      <c r="BV14" s="11" t="s">
        <v>1730</v>
      </c>
      <c r="BW14" s="19" t="s">
        <v>1729</v>
      </c>
      <c r="BX14" s="20">
        <f>SUMPRODUCT(Calculations!$O$12:$O$23,Calculations!$D$12:$D$23)</f>
        <v>0</v>
      </c>
      <c r="BY14" s="20">
        <f>SUMPRODUCT(Calculations!$O$12:$O$23,Calculations!$E$12:$E$23)</f>
        <v>0</v>
      </c>
      <c r="BZ14" s="21">
        <f>IFERROR(($BX$14-$BY$14)/$BY$14,IF($BX$14&gt;0,1,0))</f>
        <v>0</v>
      </c>
      <c r="CA14" s="19">
        <f>($BX$14-$BY$14)*-1</f>
        <v>0</v>
      </c>
      <c r="CC14" s="11" t="s">
        <v>1531</v>
      </c>
      <c r="CD14" s="20">
        <f>SUMPRODUCT(Calculations!$J$12:$J$23,Calculations!$D$12:$D$23)</f>
        <v>0</v>
      </c>
      <c r="CF14" s="19" t="s">
        <v>53</v>
      </c>
      <c r="CG14" s="20">
        <f>COUNTIFS('Incident'!$D$4:$D$5003,"Apr",'Incident'!$H$4:$H$5003,dCrit)</f>
        <v>0</v>
      </c>
    </row>
    <row r="15" spans="2:85">
      <c r="B15" s="19" t="s">
        <v>53</v>
      </c>
      <c r="C15" s="19">
        <v>4</v>
      </c>
      <c r="D15" s="19">
        <f>IF(Calculations!$C$10=1,IF(ROUNDUP($C$15/3,0)=Calculations!$F$10,1,0),IF($C$15=Calculations!$I$10,1,0))</f>
        <v>0</v>
      </c>
      <c r="E15" s="19">
        <f>IF(Calculations!$C$10=1,IF(ROUNDUP($C$15/3,0)=Calculations!$F$10-1,1,0),IF($C$15=Calculations!$I$10-1,1,0))</f>
        <v>0</v>
      </c>
      <c r="F15" s="20">
        <f>COUNTIFS('Incident'!$N$4:$N$5003,"Medical Treatment",'Incident'!$D$4:$D$5003,"Apr",'Incident'!$H$4:$H$5003,dCrit)+COUNTIFS('Incident'!$N$4:$N$5003,"Restricted Work",'Incident'!$D$4:$D$5003,"Apr",'Incident'!$H$4:$H$5003,dCrit)+COUNTIFS('Incident'!$N$4:$N$5003,"Lost Time Injury",'Incident'!$D$4:$D$5003,"Apr",'Incident'!$H$4:$H$5003,dCrit)+COUNTIFS('Incident'!$N$4:$N$5003,"Fatality",'Incident'!$D$4:$D$5003,"Apr",'Incident'!$H$4:$H$5003,dCrit)</f>
        <v>0</v>
      </c>
      <c r="G15" s="20">
        <f>COUNTIFS('Incident'!$N$4:$N$5003,"Lost Time Injury",'Incident'!$D$4:$D$5003,"Apr",'Incident'!$H$4:$H$5003,dCrit)+COUNTIFS('Incident'!$N$4:$N$5003,"Fatality",'Incident'!$D$4:$D$5003,"Apr",'Incident'!$H$4:$H$5003,dCrit)</f>
        <v>0</v>
      </c>
      <c r="H15" s="20">
        <f>COUNTIFS('Incident'!$N$4:$N$5003,"Near Miss",'Incident'!$D$4:$D$5003,"Apr",'Incident'!$H$4:$H$5003,dCrit)</f>
        <v>0</v>
      </c>
      <c r="I15" s="20">
        <f>COUNTIFS('Incident'!$N$4:$N$5003,"First Aid",'Incident'!$D$4:$D$5003,"Apr",'Incident'!$H$4:$H$5003,dCrit)</f>
        <v>0</v>
      </c>
      <c r="J15" s="20">
        <f>COUNTIFS('Incident'!$N$4:$N$5003,"Medical Treatment",'Incident'!$D$4:$D$5003,"Apr",'Incident'!$H$4:$H$5003,dCrit)</f>
        <v>0</v>
      </c>
      <c r="K15" s="20">
        <f>COUNTIFS('Incident'!$N$4:$N$5003,"Restricted Work",'Incident'!$D$4:$D$5003,"Apr",'Incident'!$H$4:$H$5003,dCrit)</f>
        <v>0</v>
      </c>
      <c r="L15" s="20">
        <f>COUNTIFS('Incident'!$N$4:$N$5003,"Lost Time Injury",'Incident'!$D$4:$D$5003,"Apr",'Incident'!$H$4:$H$5003,dCrit)</f>
        <v>0</v>
      </c>
      <c r="M15" s="20">
        <f>COUNTIFS('Incident'!$N$4:$N$5003,"Fatality",'Incident'!$D$4:$D$5003,"Apr",'Incident'!$H$4:$H$5003,dCrit)</f>
        <v>0</v>
      </c>
      <c r="N15" s="20">
        <f>SUMIFS('Incident'!$V$4:$V$5003,'Incident'!$D$4:$D$5003,"Apr",'Incident'!$H$4:$H$5003,dCrit)</f>
        <v>0</v>
      </c>
      <c r="O15" s="20">
        <f>COUNTIFS('Incident'!$D$4:$D$5003,"Apr",'Incident'!$H$4:$H$5003,dCrit)</f>
        <v>0</v>
      </c>
      <c r="P15" s="20">
        <f>COUNTIFS('Disciplinary Actions'!$D$4:$D$5003,"Apr",'Disciplinary Actions'!$F$4:$F$5003,dCrit)</f>
        <v>0</v>
      </c>
      <c r="Q15" s="20">
        <f>COUNTIFS('NC Management'!$M$4:$M$5003,"Open",'NC Management'!$D$4:$D$5003,"Apr",'NC Management'!$G$4:$G$5003,dCrit)+COUNTIFS('NC Management'!$M$4:$M$5003,"Overdue",'NC Management'!$D$4:$D$5003,"Apr",'NC Management'!$G$4:$G$5003,dCrit)</f>
        <v>0</v>
      </c>
      <c r="R15" s="20">
        <f>COUNTIFS('Training'!$D$4:$D$5003,"Apr",'Training'!$G$4:$G$5003,dCrit)</f>
        <v>0</v>
      </c>
      <c r="S15" s="20">
        <f>COUNTIFS('Training'!$N$4:$N$5003,"Completed",'Training'!$D$4:$D$5003,"Apr",'Training'!$G$4:$G$5003,dCrit)</f>
        <v>0</v>
      </c>
      <c r="T15" s="20">
        <f>COUNTIFS('HSE Observations'!$D$4:$D$5003,"Apr",'HSE Observations'!$G$4:$G$5003,dCrit)</f>
        <v>0</v>
      </c>
      <c r="U15" s="20">
        <f>COUNTIFS('HSE Observations'!$M$4:$M$5003,"Closed",'HSE Observations'!$D$4:$D$5003,"Apr",'HSE Observations'!$G$4:$G$5003,dCrit)</f>
        <v>0</v>
      </c>
      <c r="V15" s="20">
        <f>COUNTIFS('Toolbox Talks'!$D$4:$D$5003,"Apr",'Toolbox Talks'!$F$4:$F$5003,dCrit)</f>
        <v>0</v>
      </c>
      <c r="W15" s="20">
        <f>COUNTIFS('Workplace Inspections'!$D$4:$D$5003,"Apr",'Workplace Inspections'!$F$4:$F$5003,dCrit)+COUNTIFS('Equipment Inspections'!$D$4:$D$5003,"Apr",'Equipment Inspections'!$F$4:$F$5003,dCrit)+COUNTIFS('Safety Walkthroughs'!$D$4:$D$5003,"Apr",'Safety Walkthroughs'!$F$4:$F$5003,dCrit)</f>
        <v>0</v>
      </c>
      <c r="X15" s="20">
        <f>COUNTIFS('Internal Audits'!$D$4:$D$5003,"Apr",'Internal Audits'!$G$4:$G$5003,dCrit)+COUNTIFS('External Audits'!$D$4:$D$5003,"Apr",'External Audits'!$G$4:$G$5003,dCrit)</f>
        <v>0</v>
      </c>
      <c r="Y15" s="20">
        <f>COUNTIFS('PTW Audits'!$D$4:$D$5003,"Apr",'PTW Audits'!$F$4:$F$5003,dCrit)</f>
        <v>0</v>
      </c>
      <c r="Z15" s="20">
        <f>COUNTIFS('PTW Audits'!$M$4:$M$5003,"Compliant",'PTW Audits'!$D$4:$D$5003,"Apr",'PTW Audits'!$F$4:$F$5003,dCrit)</f>
        <v>0</v>
      </c>
      <c r="AA15" s="20">
        <f>COUNTIFS('Emergency Drills'!$D$4:$D$5003,"Apr")</f>
        <v>0</v>
      </c>
      <c r="AB15" s="20">
        <f>COUNTIFS('Corrective Actions'!$D$4:$D$5003,"Apr",'Corrective Actions'!$F$4:$F$5003,dCrit)</f>
        <v>0</v>
      </c>
      <c r="AC15" s="20">
        <f>COUNTIFS('Corrective Actions'!$N$4:$N$5003,"Closed",'Corrective Actions'!$D$4:$D$5003,"Apr",'Corrective Actions'!$F$4:$F$5003,dCrit)</f>
        <v>0</v>
      </c>
      <c r="AD15" s="20">
        <f>COUNTIFS('JSA Risk Assessment'!$D$4:$D$5003,"Apr",'JSA Risk Assessment'!$F$4:$F$5003,dCrit)</f>
        <v>0</v>
      </c>
      <c r="AE15" s="20">
        <f>COUNTIFS('Safety Meetings'!$D$4:$D$5003,"Apr",'Safety Meetings'!$G$4:$G$5003,dCrit)</f>
        <v>0</v>
      </c>
      <c r="AF15" s="20">
        <f>COUNTIFS('Unsafe Acts'!$D$4:$D$5003,"Apr",'Unsafe Acts'!$F$4:$F$5003,dCrit)+COUNTIFS('Unsafe Conditions'!$D$4:$D$5003,"Apr",'Unsafe Conditions'!$F$4:$F$5003,dCrit)</f>
        <v>0</v>
      </c>
      <c r="AG15" s="20">
        <f>COUNTIFS('Unsafe Acts'!$D$4:$D$5003,"Apr",'Unsafe Acts'!$F$4:$F$5003,dCrit)</f>
        <v>0</v>
      </c>
      <c r="AH15" s="20">
        <f>COUNTIFS('Unsafe Conditions'!$D$4:$D$5003,"Apr",'Unsafe Conditions'!$F$4:$F$5003,dCrit)</f>
        <v>0</v>
      </c>
      <c r="AI15" s="20">
        <f>SUMIFS('Toolbox Talks'!$J$4:$J$5003,'Toolbox Talks'!$D$4:$D$5003,"Apr",'Toolbox Talks'!$F$4:$F$5003,dCrit)</f>
        <v>0</v>
      </c>
      <c r="AJ15" s="20">
        <f>SUMIFS('Toolbox Talks'!$I$4:$I$5003,'Toolbox Talks'!$D$4:$D$5003,"Apr",'Toolbox Talks'!$F$4:$F$5003,dCrit)</f>
        <v>0</v>
      </c>
      <c r="AK15" s="20">
        <f>COUNTIFS('JSA Risk Assessment'!$M$4:$M$5003,"Approved",'JSA Risk Assessment'!$D$4:$D$5003,"Apr",'JSA Risk Assessment'!$F$4:$F$5003,dCrit)</f>
        <v>0</v>
      </c>
      <c r="AL15" s="20">
        <f>COUNTIFS('Workplace Inspections'!$D$4:$D$5003,"Apr",'Workplace Inspections'!$F$4:$F$5003,dCrit)</f>
        <v>0</v>
      </c>
      <c r="AM15" s="20">
        <f>COUNTIFS('Workplace Inspections'!$M$4:$M$5003,"Closed",'Workplace Inspections'!$D$4:$D$5003,"Apr",'Workplace Inspections'!$F$4:$F$5003,dCrit)</f>
        <v>0</v>
      </c>
      <c r="AN15" s="20">
        <f>COUNTIFS('Equipment Inspections'!$D$4:$D$5003,"Apr",'Equipment Inspections'!$F$4:$F$5003,dCrit)</f>
        <v>0</v>
      </c>
      <c r="AO15" s="20">
        <f>SUMIFS('Equipment Inspections'!$K$4:$K$5003,'Equipment Inspections'!$D$4:$D$5003,"Apr",'Equipment Inspections'!$F$4:$F$5003,dCrit)</f>
        <v>0</v>
      </c>
      <c r="AP15" s="20">
        <f>COUNTIFS('Safety Walkthroughs'!$D$4:$D$5003,"Apr",'Safety Walkthroughs'!$F$4:$F$5003,dCrit)</f>
        <v>0</v>
      </c>
      <c r="AQ15" s="20">
        <f>SUMIFS('Safety Meetings'!$M$4:$M$5003,'Safety Meetings'!$D$4:$D$5003,"Apr",'Safety Meetings'!$G$4:$G$5003,dCrit)</f>
        <v>0</v>
      </c>
      <c r="AR15" s="20">
        <f>SUMIFS('Safety Meetings'!$N$4:$N$5003,'Safety Meetings'!$D$4:$D$5003,"Apr",'Safety Meetings'!$G$4:$G$5003,dCrit)</f>
        <v>0</v>
      </c>
      <c r="AS15" s="20">
        <f>COUNTIFS('Safety Bulletins'!$D$4:$D$5003,"Apr")</f>
        <v>0</v>
      </c>
      <c r="AT15" s="20">
        <f>SUMIFS('Safety Bulletins'!$L$4:$L$5003,'Safety Bulletins'!$D$4:$D$5003,"Apr")</f>
        <v>0</v>
      </c>
      <c r="AU15" s="20">
        <f>SUMIFS('Safety Bulletins'!$M$4:$M$5003,'Safety Bulletins'!$D$4:$D$5003,"Apr")</f>
        <v>0</v>
      </c>
      <c r="AV15" s="20">
        <f>SUMIFS('Emergency Drills'!$H$4:$H$5003,'Emergency Drills'!$D$4:$D$5003,"Apr")</f>
        <v>0</v>
      </c>
      <c r="AW15" s="20">
        <f>SUMIFS('Emergency Drills'!$I$4:$I$5003,'Emergency Drills'!$D$4:$D$5003,"Apr")</f>
        <v>0</v>
      </c>
      <c r="AX15" s="20">
        <f>COUNTIFS('Internal Audits'!$D$4:$D$5003,"Apr",'Internal Audits'!$G$4:$G$5003,dCrit)</f>
        <v>0</v>
      </c>
      <c r="AY15" s="20">
        <f>SUMIFS('Internal Audits'!$L$4:$L$5003,'Internal Audits'!$D$4:$D$5003,"Apr",'Internal Audits'!$G$4:$G$5003,dCrit)+SUMIFS('Internal Audits'!$M$4:$M$5003,'Internal Audits'!$D$4:$D$5003,"Apr",'Internal Audits'!$G$4:$G$5003,dCrit)</f>
        <v>0</v>
      </c>
      <c r="AZ15" s="20">
        <f>COUNTIFS('External Audits'!$D$4:$D$5003,"Apr",'External Audits'!$G$4:$G$5003,dCrit)</f>
        <v>0</v>
      </c>
      <c r="BA15" s="20">
        <f>SUMIFS('External Audits'!$L$4:$L$5003,'External Audits'!$D$4:$D$5003,"Apr",'External Audits'!$G$4:$G$5003,dCrit)+SUMIFS('External Audits'!$M$4:$M$5003,'External Audits'!$D$4:$D$5003,"Apr",'External Audits'!$G$4:$G$5003,dCrit)</f>
        <v>0</v>
      </c>
      <c r="BB15" s="20">
        <f>COUNTIFS('Management Visits'!$D$4:$D$5003,"Apr",'Management Visits'!$F$4:$F$5003,dCrit)</f>
        <v>0</v>
      </c>
      <c r="BC15" s="20">
        <f>SUMIFS('Management Visits'!$K$4:$K$5003,'Management Visits'!$D$4:$D$5003,"Apr",'Management Visits'!$F$4:$F$5003,dCrit)</f>
        <v>0</v>
      </c>
      <c r="BD15" s="20">
        <f>SUMIFS('Management Visits'!$L$4:$L$5003,'Management Visits'!$D$4:$D$5003,"Apr",'Management Visits'!$F$4:$F$5003,dCrit)</f>
        <v>0</v>
      </c>
      <c r="BE15" s="20">
        <f>COUNTIFS('Management Reviews'!$D$4:$D$5003,"Apr")</f>
        <v>0</v>
      </c>
      <c r="BF15" s="20">
        <f>SUMIFS('Management Reviews'!$H$4:$H$5003,'Management Reviews'!$D$4:$D$5003,"Apr")</f>
        <v>0</v>
      </c>
      <c r="BG15" s="20">
        <f>SUMIFS('Management Reviews'!$G$4:$G$5003,'Management Reviews'!$D$4:$D$5003,"Apr")</f>
        <v>0</v>
      </c>
      <c r="BH15" s="20">
        <f>COUNTIFS('Safety Awards'!$D$4:$D$5003,"Apr",'Safety Awards'!$F$4:$F$5003,dCrit)</f>
        <v>0</v>
      </c>
      <c r="BI15" s="20">
        <f>COUNTIFS('Stop Work Authority'!$D$4:$D$5003,"Apr",'Stop Work Authority'!$F$4:$F$5003,dCrit)</f>
        <v>0</v>
      </c>
      <c r="BJ15" s="20">
        <f>COUNTIFS('Alcohol Tests'!$D$4:$D$5003,"Apr",'Alcohol Tests'!$E$4:$E$5003,dCrit)</f>
        <v>0</v>
      </c>
      <c r="BK15" s="20">
        <f>COUNTIFS('Alcohol Tests'!$H$4:$H$5003,"Positive",'Alcohol Tests'!$D$4:$D$5003,"Apr",'Alcohol Tests'!$E$4:$E$5003,dCrit)</f>
        <v>0</v>
      </c>
      <c r="BL15" s="20">
        <f>COUNTIFS('Unsafe Acts'!$D$4:$D$5003,"Apr",'Unsafe Acts'!$F$4:$F$5003,dCrit)</f>
        <v>0</v>
      </c>
      <c r="BM15" s="20">
        <f>COUNTIFS('Unsafe Acts'!$M$4:$M$5003,"Closed",'Unsafe Acts'!$D$4:$D$5003,"Apr",'Unsafe Acts'!$F$4:$F$5003,dCrit)</f>
        <v>0</v>
      </c>
      <c r="BN15" s="20">
        <f>COUNTIFS('Unsafe Conditions'!$D$4:$D$5003,"Apr",'Unsafe Conditions'!$F$4:$F$5003,dCrit)</f>
        <v>0</v>
      </c>
      <c r="BO15" s="20">
        <f>COUNTIFS('Unsafe Conditions'!$M$4:$M$5003,"Closed",'Unsafe Conditions'!$D$4:$D$5003,"Apr",'Unsafe Conditions'!$F$4:$F$5003,dCrit)</f>
        <v>0</v>
      </c>
      <c r="BP15" s="20">
        <f>COUNTIFS('NC Management'!$D$4:$D$5003,"Apr",'NC Management'!$G$4:$G$5003,dCrit)</f>
        <v>0</v>
      </c>
      <c r="BQ15" s="20">
        <f>COUNTIFS('NC Management'!$M$4:$M$5003,"Closed",'NC Management'!$D$4:$D$5003,"Apr",'NC Management'!$G$4:$G$5003,dCrit)</f>
        <v>0</v>
      </c>
      <c r="BR15" s="19">
        <f>IFERROR($F$15*TRIRmult/(Manhours/12),0)</f>
        <v>0</v>
      </c>
      <c r="BS15" s="19">
        <f>IFERROR($G$15*LTIFRmult/(Manhours/12),0)</f>
        <v>0</v>
      </c>
      <c r="BV15" s="11" t="s">
        <v>1731</v>
      </c>
      <c r="BW15" s="19" t="s">
        <v>1729</v>
      </c>
      <c r="BX15" s="20">
        <f>SUMPRODUCT(Calculations!$F$12:$F$23,Calculations!$D$12:$D$23)</f>
        <v>0</v>
      </c>
      <c r="BY15" s="20">
        <f>SUMPRODUCT(Calculations!$F$12:$F$23,Calculations!$E$12:$E$23)</f>
        <v>0</v>
      </c>
      <c r="BZ15" s="21">
        <f>IFERROR(($BX$15-$BY$15)/$BY$15,IF($BX$15&gt;0,1,0))</f>
        <v>0</v>
      </c>
      <c r="CA15" s="19">
        <f>($BX$15-$BY$15)*-1</f>
        <v>0</v>
      </c>
      <c r="CC15" s="11" t="s">
        <v>1507</v>
      </c>
      <c r="CD15" s="20">
        <f>SUMPRODUCT(Calculations!$I$12:$I$23,Calculations!$D$12:$D$23)</f>
        <v>0</v>
      </c>
      <c r="CF15" s="19" t="s">
        <v>60</v>
      </c>
      <c r="CG15" s="20">
        <f>COUNTIFS('Incident'!$D$4:$D$5003,"May",'Incident'!$H$4:$H$5003,dCrit)</f>
        <v>0</v>
      </c>
    </row>
    <row r="16" spans="2:85">
      <c r="B16" s="19" t="s">
        <v>60</v>
      </c>
      <c r="C16" s="19">
        <v>5</v>
      </c>
      <c r="D16" s="19">
        <f>IF(Calculations!$C$10=1,IF(ROUNDUP($C$16/3,0)=Calculations!$F$10,1,0),IF($C$16=Calculations!$I$10,1,0))</f>
        <v>0</v>
      </c>
      <c r="E16" s="19">
        <f>IF(Calculations!$C$10=1,IF(ROUNDUP($C$16/3,0)=Calculations!$F$10-1,1,0),IF($C$16=Calculations!$I$10-1,1,0))</f>
        <v>0</v>
      </c>
      <c r="F16" s="20">
        <f>COUNTIFS('Incident'!$N$4:$N$5003,"Medical Treatment",'Incident'!$D$4:$D$5003,"May",'Incident'!$H$4:$H$5003,dCrit)+COUNTIFS('Incident'!$N$4:$N$5003,"Restricted Work",'Incident'!$D$4:$D$5003,"May",'Incident'!$H$4:$H$5003,dCrit)+COUNTIFS('Incident'!$N$4:$N$5003,"Lost Time Injury",'Incident'!$D$4:$D$5003,"May",'Incident'!$H$4:$H$5003,dCrit)+COUNTIFS('Incident'!$N$4:$N$5003,"Fatality",'Incident'!$D$4:$D$5003,"May",'Incident'!$H$4:$H$5003,dCrit)</f>
        <v>0</v>
      </c>
      <c r="G16" s="20">
        <f>COUNTIFS('Incident'!$N$4:$N$5003,"Lost Time Injury",'Incident'!$D$4:$D$5003,"May",'Incident'!$H$4:$H$5003,dCrit)+COUNTIFS('Incident'!$N$4:$N$5003,"Fatality",'Incident'!$D$4:$D$5003,"May",'Incident'!$H$4:$H$5003,dCrit)</f>
        <v>0</v>
      </c>
      <c r="H16" s="20">
        <f>COUNTIFS('Incident'!$N$4:$N$5003,"Near Miss",'Incident'!$D$4:$D$5003,"May",'Incident'!$H$4:$H$5003,dCrit)</f>
        <v>0</v>
      </c>
      <c r="I16" s="20">
        <f>COUNTIFS('Incident'!$N$4:$N$5003,"First Aid",'Incident'!$D$4:$D$5003,"May",'Incident'!$H$4:$H$5003,dCrit)</f>
        <v>0</v>
      </c>
      <c r="J16" s="20">
        <f>COUNTIFS('Incident'!$N$4:$N$5003,"Medical Treatment",'Incident'!$D$4:$D$5003,"May",'Incident'!$H$4:$H$5003,dCrit)</f>
        <v>0</v>
      </c>
      <c r="K16" s="20">
        <f>COUNTIFS('Incident'!$N$4:$N$5003,"Restricted Work",'Incident'!$D$4:$D$5003,"May",'Incident'!$H$4:$H$5003,dCrit)</f>
        <v>0</v>
      </c>
      <c r="L16" s="20">
        <f>COUNTIFS('Incident'!$N$4:$N$5003,"Lost Time Injury",'Incident'!$D$4:$D$5003,"May",'Incident'!$H$4:$H$5003,dCrit)</f>
        <v>0</v>
      </c>
      <c r="M16" s="20">
        <f>COUNTIFS('Incident'!$N$4:$N$5003,"Fatality",'Incident'!$D$4:$D$5003,"May",'Incident'!$H$4:$H$5003,dCrit)</f>
        <v>0</v>
      </c>
      <c r="N16" s="20">
        <f>SUMIFS('Incident'!$V$4:$V$5003,'Incident'!$D$4:$D$5003,"May",'Incident'!$H$4:$H$5003,dCrit)</f>
        <v>0</v>
      </c>
      <c r="O16" s="20">
        <f>COUNTIFS('Incident'!$D$4:$D$5003,"May",'Incident'!$H$4:$H$5003,dCrit)</f>
        <v>0</v>
      </c>
      <c r="P16" s="20">
        <f>COUNTIFS('Disciplinary Actions'!$D$4:$D$5003,"May",'Disciplinary Actions'!$F$4:$F$5003,dCrit)</f>
        <v>0</v>
      </c>
      <c r="Q16" s="20">
        <f>COUNTIFS('NC Management'!$M$4:$M$5003,"Open",'NC Management'!$D$4:$D$5003,"May",'NC Management'!$G$4:$G$5003,dCrit)+COUNTIFS('NC Management'!$M$4:$M$5003,"Overdue",'NC Management'!$D$4:$D$5003,"May",'NC Management'!$G$4:$G$5003,dCrit)</f>
        <v>0</v>
      </c>
      <c r="R16" s="20">
        <f>COUNTIFS('Training'!$D$4:$D$5003,"May",'Training'!$G$4:$G$5003,dCrit)</f>
        <v>0</v>
      </c>
      <c r="S16" s="20">
        <f>COUNTIFS('Training'!$N$4:$N$5003,"Completed",'Training'!$D$4:$D$5003,"May",'Training'!$G$4:$G$5003,dCrit)</f>
        <v>0</v>
      </c>
      <c r="T16" s="20">
        <f>COUNTIFS('HSE Observations'!$D$4:$D$5003,"May",'HSE Observations'!$G$4:$G$5003,dCrit)</f>
        <v>0</v>
      </c>
      <c r="U16" s="20">
        <f>COUNTIFS('HSE Observations'!$M$4:$M$5003,"Closed",'HSE Observations'!$D$4:$D$5003,"May",'HSE Observations'!$G$4:$G$5003,dCrit)</f>
        <v>0</v>
      </c>
      <c r="V16" s="20">
        <f>COUNTIFS('Toolbox Talks'!$D$4:$D$5003,"May",'Toolbox Talks'!$F$4:$F$5003,dCrit)</f>
        <v>0</v>
      </c>
      <c r="W16" s="20">
        <f>COUNTIFS('Workplace Inspections'!$D$4:$D$5003,"May",'Workplace Inspections'!$F$4:$F$5003,dCrit)+COUNTIFS('Equipment Inspections'!$D$4:$D$5003,"May",'Equipment Inspections'!$F$4:$F$5003,dCrit)+COUNTIFS('Safety Walkthroughs'!$D$4:$D$5003,"May",'Safety Walkthroughs'!$F$4:$F$5003,dCrit)</f>
        <v>0</v>
      </c>
      <c r="X16" s="20">
        <f>COUNTIFS('Internal Audits'!$D$4:$D$5003,"May",'Internal Audits'!$G$4:$G$5003,dCrit)+COUNTIFS('External Audits'!$D$4:$D$5003,"May",'External Audits'!$G$4:$G$5003,dCrit)</f>
        <v>0</v>
      </c>
      <c r="Y16" s="20">
        <f>COUNTIFS('PTW Audits'!$D$4:$D$5003,"May",'PTW Audits'!$F$4:$F$5003,dCrit)</f>
        <v>0</v>
      </c>
      <c r="Z16" s="20">
        <f>COUNTIFS('PTW Audits'!$M$4:$M$5003,"Compliant",'PTW Audits'!$D$4:$D$5003,"May",'PTW Audits'!$F$4:$F$5003,dCrit)</f>
        <v>0</v>
      </c>
      <c r="AA16" s="20">
        <f>COUNTIFS('Emergency Drills'!$D$4:$D$5003,"May")</f>
        <v>0</v>
      </c>
      <c r="AB16" s="20">
        <f>COUNTIFS('Corrective Actions'!$D$4:$D$5003,"May",'Corrective Actions'!$F$4:$F$5003,dCrit)</f>
        <v>0</v>
      </c>
      <c r="AC16" s="20">
        <f>COUNTIFS('Corrective Actions'!$N$4:$N$5003,"Closed",'Corrective Actions'!$D$4:$D$5003,"May",'Corrective Actions'!$F$4:$F$5003,dCrit)</f>
        <v>0</v>
      </c>
      <c r="AD16" s="20">
        <f>COUNTIFS('JSA Risk Assessment'!$D$4:$D$5003,"May",'JSA Risk Assessment'!$F$4:$F$5003,dCrit)</f>
        <v>0</v>
      </c>
      <c r="AE16" s="20">
        <f>COUNTIFS('Safety Meetings'!$D$4:$D$5003,"May",'Safety Meetings'!$G$4:$G$5003,dCrit)</f>
        <v>0</v>
      </c>
      <c r="AF16" s="20">
        <f>COUNTIFS('Unsafe Acts'!$D$4:$D$5003,"May",'Unsafe Acts'!$F$4:$F$5003,dCrit)+COUNTIFS('Unsafe Conditions'!$D$4:$D$5003,"May",'Unsafe Conditions'!$F$4:$F$5003,dCrit)</f>
        <v>0</v>
      </c>
      <c r="AG16" s="20">
        <f>COUNTIFS('Unsafe Acts'!$D$4:$D$5003,"May",'Unsafe Acts'!$F$4:$F$5003,dCrit)</f>
        <v>0</v>
      </c>
      <c r="AH16" s="20">
        <f>COUNTIFS('Unsafe Conditions'!$D$4:$D$5003,"May",'Unsafe Conditions'!$F$4:$F$5003,dCrit)</f>
        <v>0</v>
      </c>
      <c r="AI16" s="20">
        <f>SUMIFS('Toolbox Talks'!$J$4:$J$5003,'Toolbox Talks'!$D$4:$D$5003,"May",'Toolbox Talks'!$F$4:$F$5003,dCrit)</f>
        <v>0</v>
      </c>
      <c r="AJ16" s="20">
        <f>SUMIFS('Toolbox Talks'!$I$4:$I$5003,'Toolbox Talks'!$D$4:$D$5003,"May",'Toolbox Talks'!$F$4:$F$5003,dCrit)</f>
        <v>0</v>
      </c>
      <c r="AK16" s="20">
        <f>COUNTIFS('JSA Risk Assessment'!$M$4:$M$5003,"Approved",'JSA Risk Assessment'!$D$4:$D$5003,"May",'JSA Risk Assessment'!$F$4:$F$5003,dCrit)</f>
        <v>0</v>
      </c>
      <c r="AL16" s="20">
        <f>COUNTIFS('Workplace Inspections'!$D$4:$D$5003,"May",'Workplace Inspections'!$F$4:$F$5003,dCrit)</f>
        <v>0</v>
      </c>
      <c r="AM16" s="20">
        <f>COUNTIFS('Workplace Inspections'!$M$4:$M$5003,"Closed",'Workplace Inspections'!$D$4:$D$5003,"May",'Workplace Inspections'!$F$4:$F$5003,dCrit)</f>
        <v>0</v>
      </c>
      <c r="AN16" s="20">
        <f>COUNTIFS('Equipment Inspections'!$D$4:$D$5003,"May",'Equipment Inspections'!$F$4:$F$5003,dCrit)</f>
        <v>0</v>
      </c>
      <c r="AO16" s="20">
        <f>SUMIFS('Equipment Inspections'!$K$4:$K$5003,'Equipment Inspections'!$D$4:$D$5003,"May",'Equipment Inspections'!$F$4:$F$5003,dCrit)</f>
        <v>0</v>
      </c>
      <c r="AP16" s="20">
        <f>COUNTIFS('Safety Walkthroughs'!$D$4:$D$5003,"May",'Safety Walkthroughs'!$F$4:$F$5003,dCrit)</f>
        <v>0</v>
      </c>
      <c r="AQ16" s="20">
        <f>SUMIFS('Safety Meetings'!$M$4:$M$5003,'Safety Meetings'!$D$4:$D$5003,"May",'Safety Meetings'!$G$4:$G$5003,dCrit)</f>
        <v>0</v>
      </c>
      <c r="AR16" s="20">
        <f>SUMIFS('Safety Meetings'!$N$4:$N$5003,'Safety Meetings'!$D$4:$D$5003,"May",'Safety Meetings'!$G$4:$G$5003,dCrit)</f>
        <v>0</v>
      </c>
      <c r="AS16" s="20">
        <f>COUNTIFS('Safety Bulletins'!$D$4:$D$5003,"May")</f>
        <v>0</v>
      </c>
      <c r="AT16" s="20">
        <f>SUMIFS('Safety Bulletins'!$L$4:$L$5003,'Safety Bulletins'!$D$4:$D$5003,"May")</f>
        <v>0</v>
      </c>
      <c r="AU16" s="20">
        <f>SUMIFS('Safety Bulletins'!$M$4:$M$5003,'Safety Bulletins'!$D$4:$D$5003,"May")</f>
        <v>0</v>
      </c>
      <c r="AV16" s="20">
        <f>SUMIFS('Emergency Drills'!$H$4:$H$5003,'Emergency Drills'!$D$4:$D$5003,"May")</f>
        <v>0</v>
      </c>
      <c r="AW16" s="20">
        <f>SUMIFS('Emergency Drills'!$I$4:$I$5003,'Emergency Drills'!$D$4:$D$5003,"May")</f>
        <v>0</v>
      </c>
      <c r="AX16" s="20">
        <f>COUNTIFS('Internal Audits'!$D$4:$D$5003,"May",'Internal Audits'!$G$4:$G$5003,dCrit)</f>
        <v>0</v>
      </c>
      <c r="AY16" s="20">
        <f>SUMIFS('Internal Audits'!$L$4:$L$5003,'Internal Audits'!$D$4:$D$5003,"May",'Internal Audits'!$G$4:$G$5003,dCrit)+SUMIFS('Internal Audits'!$M$4:$M$5003,'Internal Audits'!$D$4:$D$5003,"May",'Internal Audits'!$G$4:$G$5003,dCrit)</f>
        <v>0</v>
      </c>
      <c r="AZ16" s="20">
        <f>COUNTIFS('External Audits'!$D$4:$D$5003,"May",'External Audits'!$G$4:$G$5003,dCrit)</f>
        <v>0</v>
      </c>
      <c r="BA16" s="20">
        <f>SUMIFS('External Audits'!$L$4:$L$5003,'External Audits'!$D$4:$D$5003,"May",'External Audits'!$G$4:$G$5003,dCrit)+SUMIFS('External Audits'!$M$4:$M$5003,'External Audits'!$D$4:$D$5003,"May",'External Audits'!$G$4:$G$5003,dCrit)</f>
        <v>0</v>
      </c>
      <c r="BB16" s="20">
        <f>COUNTIFS('Management Visits'!$D$4:$D$5003,"May",'Management Visits'!$F$4:$F$5003,dCrit)</f>
        <v>0</v>
      </c>
      <c r="BC16" s="20">
        <f>SUMIFS('Management Visits'!$K$4:$K$5003,'Management Visits'!$D$4:$D$5003,"May",'Management Visits'!$F$4:$F$5003,dCrit)</f>
        <v>0</v>
      </c>
      <c r="BD16" s="20">
        <f>SUMIFS('Management Visits'!$L$4:$L$5003,'Management Visits'!$D$4:$D$5003,"May",'Management Visits'!$F$4:$F$5003,dCrit)</f>
        <v>0</v>
      </c>
      <c r="BE16" s="20">
        <f>COUNTIFS('Management Reviews'!$D$4:$D$5003,"May")</f>
        <v>0</v>
      </c>
      <c r="BF16" s="20">
        <f>SUMIFS('Management Reviews'!$H$4:$H$5003,'Management Reviews'!$D$4:$D$5003,"May")</f>
        <v>0</v>
      </c>
      <c r="BG16" s="20">
        <f>SUMIFS('Management Reviews'!$G$4:$G$5003,'Management Reviews'!$D$4:$D$5003,"May")</f>
        <v>0</v>
      </c>
      <c r="BH16" s="20">
        <f>COUNTIFS('Safety Awards'!$D$4:$D$5003,"May",'Safety Awards'!$F$4:$F$5003,dCrit)</f>
        <v>0</v>
      </c>
      <c r="BI16" s="20">
        <f>COUNTIFS('Stop Work Authority'!$D$4:$D$5003,"May",'Stop Work Authority'!$F$4:$F$5003,dCrit)</f>
        <v>0</v>
      </c>
      <c r="BJ16" s="20">
        <f>COUNTIFS('Alcohol Tests'!$D$4:$D$5003,"May",'Alcohol Tests'!$E$4:$E$5003,dCrit)</f>
        <v>0</v>
      </c>
      <c r="BK16" s="20">
        <f>COUNTIFS('Alcohol Tests'!$H$4:$H$5003,"Positive",'Alcohol Tests'!$D$4:$D$5003,"May",'Alcohol Tests'!$E$4:$E$5003,dCrit)</f>
        <v>0</v>
      </c>
      <c r="BL16" s="20">
        <f>COUNTIFS('Unsafe Acts'!$D$4:$D$5003,"May",'Unsafe Acts'!$F$4:$F$5003,dCrit)</f>
        <v>0</v>
      </c>
      <c r="BM16" s="20">
        <f>COUNTIFS('Unsafe Acts'!$M$4:$M$5003,"Closed",'Unsafe Acts'!$D$4:$D$5003,"May",'Unsafe Acts'!$F$4:$F$5003,dCrit)</f>
        <v>0</v>
      </c>
      <c r="BN16" s="20">
        <f>COUNTIFS('Unsafe Conditions'!$D$4:$D$5003,"May",'Unsafe Conditions'!$F$4:$F$5003,dCrit)</f>
        <v>0</v>
      </c>
      <c r="BO16" s="20">
        <f>COUNTIFS('Unsafe Conditions'!$M$4:$M$5003,"Closed",'Unsafe Conditions'!$D$4:$D$5003,"May",'Unsafe Conditions'!$F$4:$F$5003,dCrit)</f>
        <v>0</v>
      </c>
      <c r="BP16" s="20">
        <f>COUNTIFS('NC Management'!$D$4:$D$5003,"May",'NC Management'!$G$4:$G$5003,dCrit)</f>
        <v>0</v>
      </c>
      <c r="BQ16" s="20">
        <f>COUNTIFS('NC Management'!$M$4:$M$5003,"Closed",'NC Management'!$D$4:$D$5003,"May",'NC Management'!$G$4:$G$5003,dCrit)</f>
        <v>0</v>
      </c>
      <c r="BR16" s="19">
        <f>IFERROR($F$16*TRIRmult/(Manhours/12),0)</f>
        <v>0</v>
      </c>
      <c r="BS16" s="19">
        <f>IFERROR($G$16*LTIFRmult/(Manhours/12),0)</f>
        <v>0</v>
      </c>
      <c r="BV16" s="11" t="s">
        <v>1732</v>
      </c>
      <c r="BW16" s="19" t="s">
        <v>1729</v>
      </c>
      <c r="BX16" s="20">
        <f>SUMPRODUCT(Calculations!$G$12:$G$23,Calculations!$D$12:$D$23)</f>
        <v>0</v>
      </c>
      <c r="BY16" s="20">
        <f>SUMPRODUCT(Calculations!$G$12:$G$23,Calculations!$E$12:$E$23)</f>
        <v>0</v>
      </c>
      <c r="BZ16" s="21">
        <f>IFERROR(($BX$16-$BY$16)/$BY$16,IF($BX$16&gt;0,1,0))</f>
        <v>0</v>
      </c>
      <c r="CA16" s="19">
        <f>($BX$16-$BY$16)*-1</f>
        <v>0</v>
      </c>
      <c r="CC16" s="11" t="s">
        <v>1494</v>
      </c>
      <c r="CD16" s="20">
        <f>SUMPRODUCT(Calculations!$H$12:$H$23,Calculations!$D$12:$D$23)</f>
        <v>0</v>
      </c>
      <c r="CF16" s="19" t="s">
        <v>73</v>
      </c>
      <c r="CG16" s="20">
        <f>COUNTIFS('Incident'!$D$4:$D$5003,"Jun",'Incident'!$H$4:$H$5003,dCrit)</f>
        <v>0</v>
      </c>
    </row>
    <row r="17" spans="2:85">
      <c r="B17" s="19" t="s">
        <v>73</v>
      </c>
      <c r="C17" s="19">
        <v>6</v>
      </c>
      <c r="D17" s="19">
        <f>IF(Calculations!$C$10=1,IF(ROUNDUP($C$17/3,0)=Calculations!$F$10,1,0),IF($C$17=Calculations!$I$10,1,0))</f>
        <v>0</v>
      </c>
      <c r="E17" s="19">
        <f>IF(Calculations!$C$10=1,IF(ROUNDUP($C$17/3,0)=Calculations!$F$10-1,1,0),IF($C$17=Calculations!$I$10-1,1,0))</f>
        <v>0</v>
      </c>
      <c r="F17" s="20">
        <f>COUNTIFS('Incident'!$N$4:$N$5003,"Medical Treatment",'Incident'!$D$4:$D$5003,"Jun",'Incident'!$H$4:$H$5003,dCrit)+COUNTIFS('Incident'!$N$4:$N$5003,"Restricted Work",'Incident'!$D$4:$D$5003,"Jun",'Incident'!$H$4:$H$5003,dCrit)+COUNTIFS('Incident'!$N$4:$N$5003,"Lost Time Injury",'Incident'!$D$4:$D$5003,"Jun",'Incident'!$H$4:$H$5003,dCrit)+COUNTIFS('Incident'!$N$4:$N$5003,"Fatality",'Incident'!$D$4:$D$5003,"Jun",'Incident'!$H$4:$H$5003,dCrit)</f>
        <v>0</v>
      </c>
      <c r="G17" s="20">
        <f>COUNTIFS('Incident'!$N$4:$N$5003,"Lost Time Injury",'Incident'!$D$4:$D$5003,"Jun",'Incident'!$H$4:$H$5003,dCrit)+COUNTIFS('Incident'!$N$4:$N$5003,"Fatality",'Incident'!$D$4:$D$5003,"Jun",'Incident'!$H$4:$H$5003,dCrit)</f>
        <v>0</v>
      </c>
      <c r="H17" s="20">
        <f>COUNTIFS('Incident'!$N$4:$N$5003,"Near Miss",'Incident'!$D$4:$D$5003,"Jun",'Incident'!$H$4:$H$5003,dCrit)</f>
        <v>0</v>
      </c>
      <c r="I17" s="20">
        <f>COUNTIFS('Incident'!$N$4:$N$5003,"First Aid",'Incident'!$D$4:$D$5003,"Jun",'Incident'!$H$4:$H$5003,dCrit)</f>
        <v>0</v>
      </c>
      <c r="J17" s="20">
        <f>COUNTIFS('Incident'!$N$4:$N$5003,"Medical Treatment",'Incident'!$D$4:$D$5003,"Jun",'Incident'!$H$4:$H$5003,dCrit)</f>
        <v>0</v>
      </c>
      <c r="K17" s="20">
        <f>COUNTIFS('Incident'!$N$4:$N$5003,"Restricted Work",'Incident'!$D$4:$D$5003,"Jun",'Incident'!$H$4:$H$5003,dCrit)</f>
        <v>0</v>
      </c>
      <c r="L17" s="20">
        <f>COUNTIFS('Incident'!$N$4:$N$5003,"Lost Time Injury",'Incident'!$D$4:$D$5003,"Jun",'Incident'!$H$4:$H$5003,dCrit)</f>
        <v>0</v>
      </c>
      <c r="M17" s="20">
        <f>COUNTIFS('Incident'!$N$4:$N$5003,"Fatality",'Incident'!$D$4:$D$5003,"Jun",'Incident'!$H$4:$H$5003,dCrit)</f>
        <v>0</v>
      </c>
      <c r="N17" s="20">
        <f>SUMIFS('Incident'!$V$4:$V$5003,'Incident'!$D$4:$D$5003,"Jun",'Incident'!$H$4:$H$5003,dCrit)</f>
        <v>0</v>
      </c>
      <c r="O17" s="20">
        <f>COUNTIFS('Incident'!$D$4:$D$5003,"Jun",'Incident'!$H$4:$H$5003,dCrit)</f>
        <v>0</v>
      </c>
      <c r="P17" s="20">
        <f>COUNTIFS('Disciplinary Actions'!$D$4:$D$5003,"Jun",'Disciplinary Actions'!$F$4:$F$5003,dCrit)</f>
        <v>0</v>
      </c>
      <c r="Q17" s="20">
        <f>COUNTIFS('NC Management'!$M$4:$M$5003,"Open",'NC Management'!$D$4:$D$5003,"Jun",'NC Management'!$G$4:$G$5003,dCrit)+COUNTIFS('NC Management'!$M$4:$M$5003,"Overdue",'NC Management'!$D$4:$D$5003,"Jun",'NC Management'!$G$4:$G$5003,dCrit)</f>
        <v>0</v>
      </c>
      <c r="R17" s="20">
        <f>COUNTIFS('Training'!$D$4:$D$5003,"Jun",'Training'!$G$4:$G$5003,dCrit)</f>
        <v>0</v>
      </c>
      <c r="S17" s="20">
        <f>COUNTIFS('Training'!$N$4:$N$5003,"Completed",'Training'!$D$4:$D$5003,"Jun",'Training'!$G$4:$G$5003,dCrit)</f>
        <v>0</v>
      </c>
      <c r="T17" s="20">
        <f>COUNTIFS('HSE Observations'!$D$4:$D$5003,"Jun",'HSE Observations'!$G$4:$G$5003,dCrit)</f>
        <v>0</v>
      </c>
      <c r="U17" s="20">
        <f>COUNTIFS('HSE Observations'!$M$4:$M$5003,"Closed",'HSE Observations'!$D$4:$D$5003,"Jun",'HSE Observations'!$G$4:$G$5003,dCrit)</f>
        <v>0</v>
      </c>
      <c r="V17" s="20">
        <f>COUNTIFS('Toolbox Talks'!$D$4:$D$5003,"Jun",'Toolbox Talks'!$F$4:$F$5003,dCrit)</f>
        <v>0</v>
      </c>
      <c r="W17" s="20">
        <f>COUNTIFS('Workplace Inspections'!$D$4:$D$5003,"Jun",'Workplace Inspections'!$F$4:$F$5003,dCrit)+COUNTIFS('Equipment Inspections'!$D$4:$D$5003,"Jun",'Equipment Inspections'!$F$4:$F$5003,dCrit)+COUNTIFS('Safety Walkthroughs'!$D$4:$D$5003,"Jun",'Safety Walkthroughs'!$F$4:$F$5003,dCrit)</f>
        <v>0</v>
      </c>
      <c r="X17" s="20">
        <f>COUNTIFS('Internal Audits'!$D$4:$D$5003,"Jun",'Internal Audits'!$G$4:$G$5003,dCrit)+COUNTIFS('External Audits'!$D$4:$D$5003,"Jun",'External Audits'!$G$4:$G$5003,dCrit)</f>
        <v>0</v>
      </c>
      <c r="Y17" s="20">
        <f>COUNTIFS('PTW Audits'!$D$4:$D$5003,"Jun",'PTW Audits'!$F$4:$F$5003,dCrit)</f>
        <v>0</v>
      </c>
      <c r="Z17" s="20">
        <f>COUNTIFS('PTW Audits'!$M$4:$M$5003,"Compliant",'PTW Audits'!$D$4:$D$5003,"Jun",'PTW Audits'!$F$4:$F$5003,dCrit)</f>
        <v>0</v>
      </c>
      <c r="AA17" s="20">
        <f>COUNTIFS('Emergency Drills'!$D$4:$D$5003,"Jun")</f>
        <v>0</v>
      </c>
      <c r="AB17" s="20">
        <f>COUNTIFS('Corrective Actions'!$D$4:$D$5003,"Jun",'Corrective Actions'!$F$4:$F$5003,dCrit)</f>
        <v>0</v>
      </c>
      <c r="AC17" s="20">
        <f>COUNTIFS('Corrective Actions'!$N$4:$N$5003,"Closed",'Corrective Actions'!$D$4:$D$5003,"Jun",'Corrective Actions'!$F$4:$F$5003,dCrit)</f>
        <v>0</v>
      </c>
      <c r="AD17" s="20">
        <f>COUNTIFS('JSA Risk Assessment'!$D$4:$D$5003,"Jun",'JSA Risk Assessment'!$F$4:$F$5003,dCrit)</f>
        <v>0</v>
      </c>
      <c r="AE17" s="20">
        <f>COUNTIFS('Safety Meetings'!$D$4:$D$5003,"Jun",'Safety Meetings'!$G$4:$G$5003,dCrit)</f>
        <v>0</v>
      </c>
      <c r="AF17" s="20">
        <f>COUNTIFS('Unsafe Acts'!$D$4:$D$5003,"Jun",'Unsafe Acts'!$F$4:$F$5003,dCrit)+COUNTIFS('Unsafe Conditions'!$D$4:$D$5003,"Jun",'Unsafe Conditions'!$F$4:$F$5003,dCrit)</f>
        <v>0</v>
      </c>
      <c r="AG17" s="20">
        <f>COUNTIFS('Unsafe Acts'!$D$4:$D$5003,"Jun",'Unsafe Acts'!$F$4:$F$5003,dCrit)</f>
        <v>0</v>
      </c>
      <c r="AH17" s="20">
        <f>COUNTIFS('Unsafe Conditions'!$D$4:$D$5003,"Jun",'Unsafe Conditions'!$F$4:$F$5003,dCrit)</f>
        <v>0</v>
      </c>
      <c r="AI17" s="20">
        <f>SUMIFS('Toolbox Talks'!$J$4:$J$5003,'Toolbox Talks'!$D$4:$D$5003,"Jun",'Toolbox Talks'!$F$4:$F$5003,dCrit)</f>
        <v>0</v>
      </c>
      <c r="AJ17" s="20">
        <f>SUMIFS('Toolbox Talks'!$I$4:$I$5003,'Toolbox Talks'!$D$4:$D$5003,"Jun",'Toolbox Talks'!$F$4:$F$5003,dCrit)</f>
        <v>0</v>
      </c>
      <c r="AK17" s="20">
        <f>COUNTIFS('JSA Risk Assessment'!$M$4:$M$5003,"Approved",'JSA Risk Assessment'!$D$4:$D$5003,"Jun",'JSA Risk Assessment'!$F$4:$F$5003,dCrit)</f>
        <v>0</v>
      </c>
      <c r="AL17" s="20">
        <f>COUNTIFS('Workplace Inspections'!$D$4:$D$5003,"Jun",'Workplace Inspections'!$F$4:$F$5003,dCrit)</f>
        <v>0</v>
      </c>
      <c r="AM17" s="20">
        <f>COUNTIFS('Workplace Inspections'!$M$4:$M$5003,"Closed",'Workplace Inspections'!$D$4:$D$5003,"Jun",'Workplace Inspections'!$F$4:$F$5003,dCrit)</f>
        <v>0</v>
      </c>
      <c r="AN17" s="20">
        <f>COUNTIFS('Equipment Inspections'!$D$4:$D$5003,"Jun",'Equipment Inspections'!$F$4:$F$5003,dCrit)</f>
        <v>0</v>
      </c>
      <c r="AO17" s="20">
        <f>SUMIFS('Equipment Inspections'!$K$4:$K$5003,'Equipment Inspections'!$D$4:$D$5003,"Jun",'Equipment Inspections'!$F$4:$F$5003,dCrit)</f>
        <v>0</v>
      </c>
      <c r="AP17" s="20">
        <f>COUNTIFS('Safety Walkthroughs'!$D$4:$D$5003,"Jun",'Safety Walkthroughs'!$F$4:$F$5003,dCrit)</f>
        <v>0</v>
      </c>
      <c r="AQ17" s="20">
        <f>SUMIFS('Safety Meetings'!$M$4:$M$5003,'Safety Meetings'!$D$4:$D$5003,"Jun",'Safety Meetings'!$G$4:$G$5003,dCrit)</f>
        <v>0</v>
      </c>
      <c r="AR17" s="20">
        <f>SUMIFS('Safety Meetings'!$N$4:$N$5003,'Safety Meetings'!$D$4:$D$5003,"Jun",'Safety Meetings'!$G$4:$G$5003,dCrit)</f>
        <v>0</v>
      </c>
      <c r="AS17" s="20">
        <f>COUNTIFS('Safety Bulletins'!$D$4:$D$5003,"Jun")</f>
        <v>0</v>
      </c>
      <c r="AT17" s="20">
        <f>SUMIFS('Safety Bulletins'!$L$4:$L$5003,'Safety Bulletins'!$D$4:$D$5003,"Jun")</f>
        <v>0</v>
      </c>
      <c r="AU17" s="20">
        <f>SUMIFS('Safety Bulletins'!$M$4:$M$5003,'Safety Bulletins'!$D$4:$D$5003,"Jun")</f>
        <v>0</v>
      </c>
      <c r="AV17" s="20">
        <f>SUMIFS('Emergency Drills'!$H$4:$H$5003,'Emergency Drills'!$D$4:$D$5003,"Jun")</f>
        <v>0</v>
      </c>
      <c r="AW17" s="20">
        <f>SUMIFS('Emergency Drills'!$I$4:$I$5003,'Emergency Drills'!$D$4:$D$5003,"Jun")</f>
        <v>0</v>
      </c>
      <c r="AX17" s="20">
        <f>COUNTIFS('Internal Audits'!$D$4:$D$5003,"Jun",'Internal Audits'!$G$4:$G$5003,dCrit)</f>
        <v>0</v>
      </c>
      <c r="AY17" s="20">
        <f>SUMIFS('Internal Audits'!$L$4:$L$5003,'Internal Audits'!$D$4:$D$5003,"Jun",'Internal Audits'!$G$4:$G$5003,dCrit)+SUMIFS('Internal Audits'!$M$4:$M$5003,'Internal Audits'!$D$4:$D$5003,"Jun",'Internal Audits'!$G$4:$G$5003,dCrit)</f>
        <v>0</v>
      </c>
      <c r="AZ17" s="20">
        <f>COUNTIFS('External Audits'!$D$4:$D$5003,"Jun",'External Audits'!$G$4:$G$5003,dCrit)</f>
        <v>0</v>
      </c>
      <c r="BA17" s="20">
        <f>SUMIFS('External Audits'!$L$4:$L$5003,'External Audits'!$D$4:$D$5003,"Jun",'External Audits'!$G$4:$G$5003,dCrit)+SUMIFS('External Audits'!$M$4:$M$5003,'External Audits'!$D$4:$D$5003,"Jun",'External Audits'!$G$4:$G$5003,dCrit)</f>
        <v>0</v>
      </c>
      <c r="BB17" s="20">
        <f>COUNTIFS('Management Visits'!$D$4:$D$5003,"Jun",'Management Visits'!$F$4:$F$5003,dCrit)</f>
        <v>0</v>
      </c>
      <c r="BC17" s="20">
        <f>SUMIFS('Management Visits'!$K$4:$K$5003,'Management Visits'!$D$4:$D$5003,"Jun",'Management Visits'!$F$4:$F$5003,dCrit)</f>
        <v>0</v>
      </c>
      <c r="BD17" s="20">
        <f>SUMIFS('Management Visits'!$L$4:$L$5003,'Management Visits'!$D$4:$D$5003,"Jun",'Management Visits'!$F$4:$F$5003,dCrit)</f>
        <v>0</v>
      </c>
      <c r="BE17" s="20">
        <f>COUNTIFS('Management Reviews'!$D$4:$D$5003,"Jun")</f>
        <v>0</v>
      </c>
      <c r="BF17" s="20">
        <f>SUMIFS('Management Reviews'!$H$4:$H$5003,'Management Reviews'!$D$4:$D$5003,"Jun")</f>
        <v>0</v>
      </c>
      <c r="BG17" s="20">
        <f>SUMIFS('Management Reviews'!$G$4:$G$5003,'Management Reviews'!$D$4:$D$5003,"Jun")</f>
        <v>0</v>
      </c>
      <c r="BH17" s="20">
        <f>COUNTIFS('Safety Awards'!$D$4:$D$5003,"Jun",'Safety Awards'!$F$4:$F$5003,dCrit)</f>
        <v>0</v>
      </c>
      <c r="BI17" s="20">
        <f>COUNTIFS('Stop Work Authority'!$D$4:$D$5003,"Jun",'Stop Work Authority'!$F$4:$F$5003,dCrit)</f>
        <v>0</v>
      </c>
      <c r="BJ17" s="20">
        <f>COUNTIFS('Alcohol Tests'!$D$4:$D$5003,"Jun",'Alcohol Tests'!$E$4:$E$5003,dCrit)</f>
        <v>0</v>
      </c>
      <c r="BK17" s="20">
        <f>COUNTIFS('Alcohol Tests'!$H$4:$H$5003,"Positive",'Alcohol Tests'!$D$4:$D$5003,"Jun",'Alcohol Tests'!$E$4:$E$5003,dCrit)</f>
        <v>0</v>
      </c>
      <c r="BL17" s="20">
        <f>COUNTIFS('Unsafe Acts'!$D$4:$D$5003,"Jun",'Unsafe Acts'!$F$4:$F$5003,dCrit)</f>
        <v>0</v>
      </c>
      <c r="BM17" s="20">
        <f>COUNTIFS('Unsafe Acts'!$M$4:$M$5003,"Closed",'Unsafe Acts'!$D$4:$D$5003,"Jun",'Unsafe Acts'!$F$4:$F$5003,dCrit)</f>
        <v>0</v>
      </c>
      <c r="BN17" s="20">
        <f>COUNTIFS('Unsafe Conditions'!$D$4:$D$5003,"Jun",'Unsafe Conditions'!$F$4:$F$5003,dCrit)</f>
        <v>0</v>
      </c>
      <c r="BO17" s="20">
        <f>COUNTIFS('Unsafe Conditions'!$M$4:$M$5003,"Closed",'Unsafe Conditions'!$D$4:$D$5003,"Jun",'Unsafe Conditions'!$F$4:$F$5003,dCrit)</f>
        <v>0</v>
      </c>
      <c r="BP17" s="20">
        <f>COUNTIFS('NC Management'!$D$4:$D$5003,"Jun",'NC Management'!$G$4:$G$5003,dCrit)</f>
        <v>0</v>
      </c>
      <c r="BQ17" s="20">
        <f>COUNTIFS('NC Management'!$M$4:$M$5003,"Closed",'NC Management'!$D$4:$D$5003,"Jun",'NC Management'!$G$4:$G$5003,dCrit)</f>
        <v>0</v>
      </c>
      <c r="BR17" s="19">
        <f>IFERROR($F$17*TRIRmult/(Manhours/12),0)</f>
        <v>0</v>
      </c>
      <c r="BS17" s="19">
        <f>IFERROR($G$17*LTIFRmult/(Manhours/12),0)</f>
        <v>0</v>
      </c>
      <c r="BV17" s="11" t="s">
        <v>1494</v>
      </c>
      <c r="BW17" s="19" t="s">
        <v>1729</v>
      </c>
      <c r="BX17" s="20">
        <f>SUMPRODUCT(Calculations!$H$12:$H$23,Calculations!$D$12:$D$23)</f>
        <v>0</v>
      </c>
      <c r="BY17" s="20">
        <f>SUMPRODUCT(Calculations!$H$12:$H$23,Calculations!$E$12:$E$23)</f>
        <v>0</v>
      </c>
      <c r="BZ17" s="21">
        <f>IFERROR(($BX$17-$BY$17)/$BY$17,IF($BX$17&gt;0,1,0))</f>
        <v>0</v>
      </c>
      <c r="CA17" s="19">
        <f>($BX$17-$BY$17)*-1</f>
        <v>0</v>
      </c>
      <c r="CC17" s="11" t="s">
        <v>1783</v>
      </c>
      <c r="CD17" s="20">
        <f>SUMPRODUCT(Calculations!$AF$12:$AF$23,Calculations!$D$12:$D$23)</f>
        <v>0</v>
      </c>
      <c r="CF17" s="19" t="s">
        <v>76</v>
      </c>
      <c r="CG17" s="20">
        <f>COUNTIFS('Incident'!$D$4:$D$5003,"Jul",'Incident'!$H$4:$H$5003,dCrit)</f>
        <v>0</v>
      </c>
    </row>
    <row r="18" spans="2:85">
      <c r="B18" s="19" t="s">
        <v>76</v>
      </c>
      <c r="C18" s="19">
        <v>7</v>
      </c>
      <c r="D18" s="19">
        <f>IF(Calculations!$C$10=1,IF(ROUNDUP($C$18/3,0)=Calculations!$F$10,1,0),IF($C$18=Calculations!$I$10,1,0))</f>
        <v>0</v>
      </c>
      <c r="E18" s="19">
        <f>IF(Calculations!$C$10=1,IF(ROUNDUP($C$18/3,0)=Calculations!$F$10-1,1,0),IF($C$18=Calculations!$I$10-1,1,0))</f>
        <v>0</v>
      </c>
      <c r="F18" s="20">
        <f>COUNTIFS('Incident'!$N$4:$N$5003,"Medical Treatment",'Incident'!$D$4:$D$5003,"Jul",'Incident'!$H$4:$H$5003,dCrit)+COUNTIFS('Incident'!$N$4:$N$5003,"Restricted Work",'Incident'!$D$4:$D$5003,"Jul",'Incident'!$H$4:$H$5003,dCrit)+COUNTIFS('Incident'!$N$4:$N$5003,"Lost Time Injury",'Incident'!$D$4:$D$5003,"Jul",'Incident'!$H$4:$H$5003,dCrit)+COUNTIFS('Incident'!$N$4:$N$5003,"Fatality",'Incident'!$D$4:$D$5003,"Jul",'Incident'!$H$4:$H$5003,dCrit)</f>
        <v>0</v>
      </c>
      <c r="G18" s="20">
        <f>COUNTIFS('Incident'!$N$4:$N$5003,"Lost Time Injury",'Incident'!$D$4:$D$5003,"Jul",'Incident'!$H$4:$H$5003,dCrit)+COUNTIFS('Incident'!$N$4:$N$5003,"Fatality",'Incident'!$D$4:$D$5003,"Jul",'Incident'!$H$4:$H$5003,dCrit)</f>
        <v>0</v>
      </c>
      <c r="H18" s="20">
        <f>COUNTIFS('Incident'!$N$4:$N$5003,"Near Miss",'Incident'!$D$4:$D$5003,"Jul",'Incident'!$H$4:$H$5003,dCrit)</f>
        <v>0</v>
      </c>
      <c r="I18" s="20">
        <f>COUNTIFS('Incident'!$N$4:$N$5003,"First Aid",'Incident'!$D$4:$D$5003,"Jul",'Incident'!$H$4:$H$5003,dCrit)</f>
        <v>0</v>
      </c>
      <c r="J18" s="20">
        <f>COUNTIFS('Incident'!$N$4:$N$5003,"Medical Treatment",'Incident'!$D$4:$D$5003,"Jul",'Incident'!$H$4:$H$5003,dCrit)</f>
        <v>0</v>
      </c>
      <c r="K18" s="20">
        <f>COUNTIFS('Incident'!$N$4:$N$5003,"Restricted Work",'Incident'!$D$4:$D$5003,"Jul",'Incident'!$H$4:$H$5003,dCrit)</f>
        <v>0</v>
      </c>
      <c r="L18" s="20">
        <f>COUNTIFS('Incident'!$N$4:$N$5003,"Lost Time Injury",'Incident'!$D$4:$D$5003,"Jul",'Incident'!$H$4:$H$5003,dCrit)</f>
        <v>0</v>
      </c>
      <c r="M18" s="20">
        <f>COUNTIFS('Incident'!$N$4:$N$5003,"Fatality",'Incident'!$D$4:$D$5003,"Jul",'Incident'!$H$4:$H$5003,dCrit)</f>
        <v>0</v>
      </c>
      <c r="N18" s="20">
        <f>SUMIFS('Incident'!$V$4:$V$5003,'Incident'!$D$4:$D$5003,"Jul",'Incident'!$H$4:$H$5003,dCrit)</f>
        <v>0</v>
      </c>
      <c r="O18" s="20">
        <f>COUNTIFS('Incident'!$D$4:$D$5003,"Jul",'Incident'!$H$4:$H$5003,dCrit)</f>
        <v>0</v>
      </c>
      <c r="P18" s="20">
        <f>COUNTIFS('Disciplinary Actions'!$D$4:$D$5003,"Jul",'Disciplinary Actions'!$F$4:$F$5003,dCrit)</f>
        <v>0</v>
      </c>
      <c r="Q18" s="20">
        <f>COUNTIFS('NC Management'!$M$4:$M$5003,"Open",'NC Management'!$D$4:$D$5003,"Jul",'NC Management'!$G$4:$G$5003,dCrit)+COUNTIFS('NC Management'!$M$4:$M$5003,"Overdue",'NC Management'!$D$4:$D$5003,"Jul",'NC Management'!$G$4:$G$5003,dCrit)</f>
        <v>0</v>
      </c>
      <c r="R18" s="20">
        <f>COUNTIFS('Training'!$D$4:$D$5003,"Jul",'Training'!$G$4:$G$5003,dCrit)</f>
        <v>0</v>
      </c>
      <c r="S18" s="20">
        <f>COUNTIFS('Training'!$N$4:$N$5003,"Completed",'Training'!$D$4:$D$5003,"Jul",'Training'!$G$4:$G$5003,dCrit)</f>
        <v>0</v>
      </c>
      <c r="T18" s="20">
        <f>COUNTIFS('HSE Observations'!$D$4:$D$5003,"Jul",'HSE Observations'!$G$4:$G$5003,dCrit)</f>
        <v>0</v>
      </c>
      <c r="U18" s="20">
        <f>COUNTIFS('HSE Observations'!$M$4:$M$5003,"Closed",'HSE Observations'!$D$4:$D$5003,"Jul",'HSE Observations'!$G$4:$G$5003,dCrit)</f>
        <v>0</v>
      </c>
      <c r="V18" s="20">
        <f>COUNTIFS('Toolbox Talks'!$D$4:$D$5003,"Jul",'Toolbox Talks'!$F$4:$F$5003,dCrit)</f>
        <v>0</v>
      </c>
      <c r="W18" s="20">
        <f>COUNTIFS('Workplace Inspections'!$D$4:$D$5003,"Jul",'Workplace Inspections'!$F$4:$F$5003,dCrit)+COUNTIFS('Equipment Inspections'!$D$4:$D$5003,"Jul",'Equipment Inspections'!$F$4:$F$5003,dCrit)+COUNTIFS('Safety Walkthroughs'!$D$4:$D$5003,"Jul",'Safety Walkthroughs'!$F$4:$F$5003,dCrit)</f>
        <v>0</v>
      </c>
      <c r="X18" s="20">
        <f>COUNTIFS('Internal Audits'!$D$4:$D$5003,"Jul",'Internal Audits'!$G$4:$G$5003,dCrit)+COUNTIFS('External Audits'!$D$4:$D$5003,"Jul",'External Audits'!$G$4:$G$5003,dCrit)</f>
        <v>0</v>
      </c>
      <c r="Y18" s="20">
        <f>COUNTIFS('PTW Audits'!$D$4:$D$5003,"Jul",'PTW Audits'!$F$4:$F$5003,dCrit)</f>
        <v>0</v>
      </c>
      <c r="Z18" s="20">
        <f>COUNTIFS('PTW Audits'!$M$4:$M$5003,"Compliant",'PTW Audits'!$D$4:$D$5003,"Jul",'PTW Audits'!$F$4:$F$5003,dCrit)</f>
        <v>0</v>
      </c>
      <c r="AA18" s="20">
        <f>COUNTIFS('Emergency Drills'!$D$4:$D$5003,"Jul")</f>
        <v>0</v>
      </c>
      <c r="AB18" s="20">
        <f>COUNTIFS('Corrective Actions'!$D$4:$D$5003,"Jul",'Corrective Actions'!$F$4:$F$5003,dCrit)</f>
        <v>0</v>
      </c>
      <c r="AC18" s="20">
        <f>COUNTIFS('Corrective Actions'!$N$4:$N$5003,"Closed",'Corrective Actions'!$D$4:$D$5003,"Jul",'Corrective Actions'!$F$4:$F$5003,dCrit)</f>
        <v>0</v>
      </c>
      <c r="AD18" s="20">
        <f>COUNTIFS('JSA Risk Assessment'!$D$4:$D$5003,"Jul",'JSA Risk Assessment'!$F$4:$F$5003,dCrit)</f>
        <v>0</v>
      </c>
      <c r="AE18" s="20">
        <f>COUNTIFS('Safety Meetings'!$D$4:$D$5003,"Jul",'Safety Meetings'!$G$4:$G$5003,dCrit)</f>
        <v>0</v>
      </c>
      <c r="AF18" s="20">
        <f>COUNTIFS('Unsafe Acts'!$D$4:$D$5003,"Jul",'Unsafe Acts'!$F$4:$F$5003,dCrit)+COUNTIFS('Unsafe Conditions'!$D$4:$D$5003,"Jul",'Unsafe Conditions'!$F$4:$F$5003,dCrit)</f>
        <v>0</v>
      </c>
      <c r="AG18" s="20">
        <f>COUNTIFS('Unsafe Acts'!$D$4:$D$5003,"Jul",'Unsafe Acts'!$F$4:$F$5003,dCrit)</f>
        <v>0</v>
      </c>
      <c r="AH18" s="20">
        <f>COUNTIFS('Unsafe Conditions'!$D$4:$D$5003,"Jul",'Unsafe Conditions'!$F$4:$F$5003,dCrit)</f>
        <v>0</v>
      </c>
      <c r="AI18" s="20">
        <f>SUMIFS('Toolbox Talks'!$J$4:$J$5003,'Toolbox Talks'!$D$4:$D$5003,"Jul",'Toolbox Talks'!$F$4:$F$5003,dCrit)</f>
        <v>0</v>
      </c>
      <c r="AJ18" s="20">
        <f>SUMIFS('Toolbox Talks'!$I$4:$I$5003,'Toolbox Talks'!$D$4:$D$5003,"Jul",'Toolbox Talks'!$F$4:$F$5003,dCrit)</f>
        <v>0</v>
      </c>
      <c r="AK18" s="20">
        <f>COUNTIFS('JSA Risk Assessment'!$M$4:$M$5003,"Approved",'JSA Risk Assessment'!$D$4:$D$5003,"Jul",'JSA Risk Assessment'!$F$4:$F$5003,dCrit)</f>
        <v>0</v>
      </c>
      <c r="AL18" s="20">
        <f>COUNTIFS('Workplace Inspections'!$D$4:$D$5003,"Jul",'Workplace Inspections'!$F$4:$F$5003,dCrit)</f>
        <v>0</v>
      </c>
      <c r="AM18" s="20">
        <f>COUNTIFS('Workplace Inspections'!$M$4:$M$5003,"Closed",'Workplace Inspections'!$D$4:$D$5003,"Jul",'Workplace Inspections'!$F$4:$F$5003,dCrit)</f>
        <v>0</v>
      </c>
      <c r="AN18" s="20">
        <f>COUNTIFS('Equipment Inspections'!$D$4:$D$5003,"Jul",'Equipment Inspections'!$F$4:$F$5003,dCrit)</f>
        <v>0</v>
      </c>
      <c r="AO18" s="20">
        <f>SUMIFS('Equipment Inspections'!$K$4:$K$5003,'Equipment Inspections'!$D$4:$D$5003,"Jul",'Equipment Inspections'!$F$4:$F$5003,dCrit)</f>
        <v>0</v>
      </c>
      <c r="AP18" s="20">
        <f>COUNTIFS('Safety Walkthroughs'!$D$4:$D$5003,"Jul",'Safety Walkthroughs'!$F$4:$F$5003,dCrit)</f>
        <v>0</v>
      </c>
      <c r="AQ18" s="20">
        <f>SUMIFS('Safety Meetings'!$M$4:$M$5003,'Safety Meetings'!$D$4:$D$5003,"Jul",'Safety Meetings'!$G$4:$G$5003,dCrit)</f>
        <v>0</v>
      </c>
      <c r="AR18" s="20">
        <f>SUMIFS('Safety Meetings'!$N$4:$N$5003,'Safety Meetings'!$D$4:$D$5003,"Jul",'Safety Meetings'!$G$4:$G$5003,dCrit)</f>
        <v>0</v>
      </c>
      <c r="AS18" s="20">
        <f>COUNTIFS('Safety Bulletins'!$D$4:$D$5003,"Jul")</f>
        <v>0</v>
      </c>
      <c r="AT18" s="20">
        <f>SUMIFS('Safety Bulletins'!$L$4:$L$5003,'Safety Bulletins'!$D$4:$D$5003,"Jul")</f>
        <v>0</v>
      </c>
      <c r="AU18" s="20">
        <f>SUMIFS('Safety Bulletins'!$M$4:$M$5003,'Safety Bulletins'!$D$4:$D$5003,"Jul")</f>
        <v>0</v>
      </c>
      <c r="AV18" s="20">
        <f>SUMIFS('Emergency Drills'!$H$4:$H$5003,'Emergency Drills'!$D$4:$D$5003,"Jul")</f>
        <v>0</v>
      </c>
      <c r="AW18" s="20">
        <f>SUMIFS('Emergency Drills'!$I$4:$I$5003,'Emergency Drills'!$D$4:$D$5003,"Jul")</f>
        <v>0</v>
      </c>
      <c r="AX18" s="20">
        <f>COUNTIFS('Internal Audits'!$D$4:$D$5003,"Jul",'Internal Audits'!$G$4:$G$5003,dCrit)</f>
        <v>0</v>
      </c>
      <c r="AY18" s="20">
        <f>SUMIFS('Internal Audits'!$L$4:$L$5003,'Internal Audits'!$D$4:$D$5003,"Jul",'Internal Audits'!$G$4:$G$5003,dCrit)+SUMIFS('Internal Audits'!$M$4:$M$5003,'Internal Audits'!$D$4:$D$5003,"Jul",'Internal Audits'!$G$4:$G$5003,dCrit)</f>
        <v>0</v>
      </c>
      <c r="AZ18" s="20">
        <f>COUNTIFS('External Audits'!$D$4:$D$5003,"Jul",'External Audits'!$G$4:$G$5003,dCrit)</f>
        <v>0</v>
      </c>
      <c r="BA18" s="20">
        <f>SUMIFS('External Audits'!$L$4:$L$5003,'External Audits'!$D$4:$D$5003,"Jul",'External Audits'!$G$4:$G$5003,dCrit)+SUMIFS('External Audits'!$M$4:$M$5003,'External Audits'!$D$4:$D$5003,"Jul",'External Audits'!$G$4:$G$5003,dCrit)</f>
        <v>0</v>
      </c>
      <c r="BB18" s="20">
        <f>COUNTIFS('Management Visits'!$D$4:$D$5003,"Jul",'Management Visits'!$F$4:$F$5003,dCrit)</f>
        <v>0</v>
      </c>
      <c r="BC18" s="20">
        <f>SUMIFS('Management Visits'!$K$4:$K$5003,'Management Visits'!$D$4:$D$5003,"Jul",'Management Visits'!$F$4:$F$5003,dCrit)</f>
        <v>0</v>
      </c>
      <c r="BD18" s="20">
        <f>SUMIFS('Management Visits'!$L$4:$L$5003,'Management Visits'!$D$4:$D$5003,"Jul",'Management Visits'!$F$4:$F$5003,dCrit)</f>
        <v>0</v>
      </c>
      <c r="BE18" s="20">
        <f>COUNTIFS('Management Reviews'!$D$4:$D$5003,"Jul")</f>
        <v>0</v>
      </c>
      <c r="BF18" s="20">
        <f>SUMIFS('Management Reviews'!$H$4:$H$5003,'Management Reviews'!$D$4:$D$5003,"Jul")</f>
        <v>0</v>
      </c>
      <c r="BG18" s="20">
        <f>SUMIFS('Management Reviews'!$G$4:$G$5003,'Management Reviews'!$D$4:$D$5003,"Jul")</f>
        <v>0</v>
      </c>
      <c r="BH18" s="20">
        <f>COUNTIFS('Safety Awards'!$D$4:$D$5003,"Jul",'Safety Awards'!$F$4:$F$5003,dCrit)</f>
        <v>0</v>
      </c>
      <c r="BI18" s="20">
        <f>COUNTIFS('Stop Work Authority'!$D$4:$D$5003,"Jul",'Stop Work Authority'!$F$4:$F$5003,dCrit)</f>
        <v>0</v>
      </c>
      <c r="BJ18" s="20">
        <f>COUNTIFS('Alcohol Tests'!$D$4:$D$5003,"Jul",'Alcohol Tests'!$E$4:$E$5003,dCrit)</f>
        <v>0</v>
      </c>
      <c r="BK18" s="20">
        <f>COUNTIFS('Alcohol Tests'!$H$4:$H$5003,"Positive",'Alcohol Tests'!$D$4:$D$5003,"Jul",'Alcohol Tests'!$E$4:$E$5003,dCrit)</f>
        <v>0</v>
      </c>
      <c r="BL18" s="20">
        <f>COUNTIFS('Unsafe Acts'!$D$4:$D$5003,"Jul",'Unsafe Acts'!$F$4:$F$5003,dCrit)</f>
        <v>0</v>
      </c>
      <c r="BM18" s="20">
        <f>COUNTIFS('Unsafe Acts'!$M$4:$M$5003,"Closed",'Unsafe Acts'!$D$4:$D$5003,"Jul",'Unsafe Acts'!$F$4:$F$5003,dCrit)</f>
        <v>0</v>
      </c>
      <c r="BN18" s="20">
        <f>COUNTIFS('Unsafe Conditions'!$D$4:$D$5003,"Jul",'Unsafe Conditions'!$F$4:$F$5003,dCrit)</f>
        <v>0</v>
      </c>
      <c r="BO18" s="20">
        <f>COUNTIFS('Unsafe Conditions'!$M$4:$M$5003,"Closed",'Unsafe Conditions'!$D$4:$D$5003,"Jul",'Unsafe Conditions'!$F$4:$F$5003,dCrit)</f>
        <v>0</v>
      </c>
      <c r="BP18" s="20">
        <f>COUNTIFS('NC Management'!$D$4:$D$5003,"Jul",'NC Management'!$G$4:$G$5003,dCrit)</f>
        <v>0</v>
      </c>
      <c r="BQ18" s="20">
        <f>COUNTIFS('NC Management'!$M$4:$M$5003,"Closed",'NC Management'!$D$4:$D$5003,"Jul",'NC Management'!$G$4:$G$5003,dCrit)</f>
        <v>0</v>
      </c>
      <c r="BR18" s="19">
        <f>IFERROR($F$18*TRIRmult/(Manhours/12),0)</f>
        <v>0</v>
      </c>
      <c r="BS18" s="19">
        <f>IFERROR($G$18*LTIFRmult/(Manhours/12),0)</f>
        <v>0</v>
      </c>
      <c r="BV18" s="11" t="s">
        <v>1507</v>
      </c>
      <c r="BW18" s="19" t="s">
        <v>1729</v>
      </c>
      <c r="BX18" s="20">
        <f>SUMPRODUCT(Calculations!$I$12:$I$23,Calculations!$D$12:$D$23)</f>
        <v>0</v>
      </c>
      <c r="BY18" s="20">
        <f>SUMPRODUCT(Calculations!$I$12:$I$23,Calculations!$E$12:$E$23)</f>
        <v>0</v>
      </c>
      <c r="BZ18" s="21">
        <f>IFERROR(($BX$18-$BY$18)/$BY$18,IF($BX$18&gt;0,1,0))</f>
        <v>0</v>
      </c>
      <c r="CA18" s="19">
        <f>($BX$18-$BY$18)*-1</f>
        <v>0</v>
      </c>
      <c r="CF18" s="19" t="s">
        <v>86</v>
      </c>
      <c r="CG18" s="20">
        <f>COUNTIFS('Incident'!$D$4:$D$5003,"Aug",'Incident'!$H$4:$H$5003,dCrit)</f>
        <v>0</v>
      </c>
    </row>
    <row r="19" spans="2:85">
      <c r="B19" s="19" t="s">
        <v>86</v>
      </c>
      <c r="C19" s="19">
        <v>8</v>
      </c>
      <c r="D19" s="19">
        <f>IF(Calculations!$C$10=1,IF(ROUNDUP($C$19/3,0)=Calculations!$F$10,1,0),IF($C$19=Calculations!$I$10,1,0))</f>
        <v>0</v>
      </c>
      <c r="E19" s="19">
        <f>IF(Calculations!$C$10=1,IF(ROUNDUP($C$19/3,0)=Calculations!$F$10-1,1,0),IF($C$19=Calculations!$I$10-1,1,0))</f>
        <v>0</v>
      </c>
      <c r="F19" s="20">
        <f>COUNTIFS('Incident'!$N$4:$N$5003,"Medical Treatment",'Incident'!$D$4:$D$5003,"Aug",'Incident'!$H$4:$H$5003,dCrit)+COUNTIFS('Incident'!$N$4:$N$5003,"Restricted Work",'Incident'!$D$4:$D$5003,"Aug",'Incident'!$H$4:$H$5003,dCrit)+COUNTIFS('Incident'!$N$4:$N$5003,"Lost Time Injury",'Incident'!$D$4:$D$5003,"Aug",'Incident'!$H$4:$H$5003,dCrit)+COUNTIFS('Incident'!$N$4:$N$5003,"Fatality",'Incident'!$D$4:$D$5003,"Aug",'Incident'!$H$4:$H$5003,dCrit)</f>
        <v>0</v>
      </c>
      <c r="G19" s="20">
        <f>COUNTIFS('Incident'!$N$4:$N$5003,"Lost Time Injury",'Incident'!$D$4:$D$5003,"Aug",'Incident'!$H$4:$H$5003,dCrit)+COUNTIFS('Incident'!$N$4:$N$5003,"Fatality",'Incident'!$D$4:$D$5003,"Aug",'Incident'!$H$4:$H$5003,dCrit)</f>
        <v>0</v>
      </c>
      <c r="H19" s="20">
        <f>COUNTIFS('Incident'!$N$4:$N$5003,"Near Miss",'Incident'!$D$4:$D$5003,"Aug",'Incident'!$H$4:$H$5003,dCrit)</f>
        <v>0</v>
      </c>
      <c r="I19" s="20">
        <f>COUNTIFS('Incident'!$N$4:$N$5003,"First Aid",'Incident'!$D$4:$D$5003,"Aug",'Incident'!$H$4:$H$5003,dCrit)</f>
        <v>0</v>
      </c>
      <c r="J19" s="20">
        <f>COUNTIFS('Incident'!$N$4:$N$5003,"Medical Treatment",'Incident'!$D$4:$D$5003,"Aug",'Incident'!$H$4:$H$5003,dCrit)</f>
        <v>0</v>
      </c>
      <c r="K19" s="20">
        <f>COUNTIFS('Incident'!$N$4:$N$5003,"Restricted Work",'Incident'!$D$4:$D$5003,"Aug",'Incident'!$H$4:$H$5003,dCrit)</f>
        <v>0</v>
      </c>
      <c r="L19" s="20">
        <f>COUNTIFS('Incident'!$N$4:$N$5003,"Lost Time Injury",'Incident'!$D$4:$D$5003,"Aug",'Incident'!$H$4:$H$5003,dCrit)</f>
        <v>0</v>
      </c>
      <c r="M19" s="20">
        <f>COUNTIFS('Incident'!$N$4:$N$5003,"Fatality",'Incident'!$D$4:$D$5003,"Aug",'Incident'!$H$4:$H$5003,dCrit)</f>
        <v>0</v>
      </c>
      <c r="N19" s="20">
        <f>SUMIFS('Incident'!$V$4:$V$5003,'Incident'!$D$4:$D$5003,"Aug",'Incident'!$H$4:$H$5003,dCrit)</f>
        <v>0</v>
      </c>
      <c r="O19" s="20">
        <f>COUNTIFS('Incident'!$D$4:$D$5003,"Aug",'Incident'!$H$4:$H$5003,dCrit)</f>
        <v>0</v>
      </c>
      <c r="P19" s="20">
        <f>COUNTIFS('Disciplinary Actions'!$D$4:$D$5003,"Aug",'Disciplinary Actions'!$F$4:$F$5003,dCrit)</f>
        <v>0</v>
      </c>
      <c r="Q19" s="20">
        <f>COUNTIFS('NC Management'!$M$4:$M$5003,"Open",'NC Management'!$D$4:$D$5003,"Aug",'NC Management'!$G$4:$G$5003,dCrit)+COUNTIFS('NC Management'!$M$4:$M$5003,"Overdue",'NC Management'!$D$4:$D$5003,"Aug",'NC Management'!$G$4:$G$5003,dCrit)</f>
        <v>0</v>
      </c>
      <c r="R19" s="20">
        <f>COUNTIFS('Training'!$D$4:$D$5003,"Aug",'Training'!$G$4:$G$5003,dCrit)</f>
        <v>0</v>
      </c>
      <c r="S19" s="20">
        <f>COUNTIFS('Training'!$N$4:$N$5003,"Completed",'Training'!$D$4:$D$5003,"Aug",'Training'!$G$4:$G$5003,dCrit)</f>
        <v>0</v>
      </c>
      <c r="T19" s="20">
        <f>COUNTIFS('HSE Observations'!$D$4:$D$5003,"Aug",'HSE Observations'!$G$4:$G$5003,dCrit)</f>
        <v>0</v>
      </c>
      <c r="U19" s="20">
        <f>COUNTIFS('HSE Observations'!$M$4:$M$5003,"Closed",'HSE Observations'!$D$4:$D$5003,"Aug",'HSE Observations'!$G$4:$G$5003,dCrit)</f>
        <v>0</v>
      </c>
      <c r="V19" s="20">
        <f>COUNTIFS('Toolbox Talks'!$D$4:$D$5003,"Aug",'Toolbox Talks'!$F$4:$F$5003,dCrit)</f>
        <v>0</v>
      </c>
      <c r="W19" s="20">
        <f>COUNTIFS('Workplace Inspections'!$D$4:$D$5003,"Aug",'Workplace Inspections'!$F$4:$F$5003,dCrit)+COUNTIFS('Equipment Inspections'!$D$4:$D$5003,"Aug",'Equipment Inspections'!$F$4:$F$5003,dCrit)+COUNTIFS('Safety Walkthroughs'!$D$4:$D$5003,"Aug",'Safety Walkthroughs'!$F$4:$F$5003,dCrit)</f>
        <v>0</v>
      </c>
      <c r="X19" s="20">
        <f>COUNTIFS('Internal Audits'!$D$4:$D$5003,"Aug",'Internal Audits'!$G$4:$G$5003,dCrit)+COUNTIFS('External Audits'!$D$4:$D$5003,"Aug",'External Audits'!$G$4:$G$5003,dCrit)</f>
        <v>0</v>
      </c>
      <c r="Y19" s="20">
        <f>COUNTIFS('PTW Audits'!$D$4:$D$5003,"Aug",'PTW Audits'!$F$4:$F$5003,dCrit)</f>
        <v>0</v>
      </c>
      <c r="Z19" s="20">
        <f>COUNTIFS('PTW Audits'!$M$4:$M$5003,"Compliant",'PTW Audits'!$D$4:$D$5003,"Aug",'PTW Audits'!$F$4:$F$5003,dCrit)</f>
        <v>0</v>
      </c>
      <c r="AA19" s="20">
        <f>COUNTIFS('Emergency Drills'!$D$4:$D$5003,"Aug")</f>
        <v>0</v>
      </c>
      <c r="AB19" s="20">
        <f>COUNTIFS('Corrective Actions'!$D$4:$D$5003,"Aug",'Corrective Actions'!$F$4:$F$5003,dCrit)</f>
        <v>0</v>
      </c>
      <c r="AC19" s="20">
        <f>COUNTIFS('Corrective Actions'!$N$4:$N$5003,"Closed",'Corrective Actions'!$D$4:$D$5003,"Aug",'Corrective Actions'!$F$4:$F$5003,dCrit)</f>
        <v>0</v>
      </c>
      <c r="AD19" s="20">
        <f>COUNTIFS('JSA Risk Assessment'!$D$4:$D$5003,"Aug",'JSA Risk Assessment'!$F$4:$F$5003,dCrit)</f>
        <v>0</v>
      </c>
      <c r="AE19" s="20">
        <f>COUNTIFS('Safety Meetings'!$D$4:$D$5003,"Aug",'Safety Meetings'!$G$4:$G$5003,dCrit)</f>
        <v>0</v>
      </c>
      <c r="AF19" s="20">
        <f>COUNTIFS('Unsafe Acts'!$D$4:$D$5003,"Aug",'Unsafe Acts'!$F$4:$F$5003,dCrit)+COUNTIFS('Unsafe Conditions'!$D$4:$D$5003,"Aug",'Unsafe Conditions'!$F$4:$F$5003,dCrit)</f>
        <v>0</v>
      </c>
      <c r="AG19" s="20">
        <f>COUNTIFS('Unsafe Acts'!$D$4:$D$5003,"Aug",'Unsafe Acts'!$F$4:$F$5003,dCrit)</f>
        <v>0</v>
      </c>
      <c r="AH19" s="20">
        <f>COUNTIFS('Unsafe Conditions'!$D$4:$D$5003,"Aug",'Unsafe Conditions'!$F$4:$F$5003,dCrit)</f>
        <v>0</v>
      </c>
      <c r="AI19" s="20">
        <f>SUMIFS('Toolbox Talks'!$J$4:$J$5003,'Toolbox Talks'!$D$4:$D$5003,"Aug",'Toolbox Talks'!$F$4:$F$5003,dCrit)</f>
        <v>0</v>
      </c>
      <c r="AJ19" s="20">
        <f>SUMIFS('Toolbox Talks'!$I$4:$I$5003,'Toolbox Talks'!$D$4:$D$5003,"Aug",'Toolbox Talks'!$F$4:$F$5003,dCrit)</f>
        <v>0</v>
      </c>
      <c r="AK19" s="20">
        <f>COUNTIFS('JSA Risk Assessment'!$M$4:$M$5003,"Approved",'JSA Risk Assessment'!$D$4:$D$5003,"Aug",'JSA Risk Assessment'!$F$4:$F$5003,dCrit)</f>
        <v>0</v>
      </c>
      <c r="AL19" s="20">
        <f>COUNTIFS('Workplace Inspections'!$D$4:$D$5003,"Aug",'Workplace Inspections'!$F$4:$F$5003,dCrit)</f>
        <v>0</v>
      </c>
      <c r="AM19" s="20">
        <f>COUNTIFS('Workplace Inspections'!$M$4:$M$5003,"Closed",'Workplace Inspections'!$D$4:$D$5003,"Aug",'Workplace Inspections'!$F$4:$F$5003,dCrit)</f>
        <v>0</v>
      </c>
      <c r="AN19" s="20">
        <f>COUNTIFS('Equipment Inspections'!$D$4:$D$5003,"Aug",'Equipment Inspections'!$F$4:$F$5003,dCrit)</f>
        <v>0</v>
      </c>
      <c r="AO19" s="20">
        <f>SUMIFS('Equipment Inspections'!$K$4:$K$5003,'Equipment Inspections'!$D$4:$D$5003,"Aug",'Equipment Inspections'!$F$4:$F$5003,dCrit)</f>
        <v>0</v>
      </c>
      <c r="AP19" s="20">
        <f>COUNTIFS('Safety Walkthroughs'!$D$4:$D$5003,"Aug",'Safety Walkthroughs'!$F$4:$F$5003,dCrit)</f>
        <v>0</v>
      </c>
      <c r="AQ19" s="20">
        <f>SUMIFS('Safety Meetings'!$M$4:$M$5003,'Safety Meetings'!$D$4:$D$5003,"Aug",'Safety Meetings'!$G$4:$G$5003,dCrit)</f>
        <v>0</v>
      </c>
      <c r="AR19" s="20">
        <f>SUMIFS('Safety Meetings'!$N$4:$N$5003,'Safety Meetings'!$D$4:$D$5003,"Aug",'Safety Meetings'!$G$4:$G$5003,dCrit)</f>
        <v>0</v>
      </c>
      <c r="AS19" s="20">
        <f>COUNTIFS('Safety Bulletins'!$D$4:$D$5003,"Aug")</f>
        <v>0</v>
      </c>
      <c r="AT19" s="20">
        <f>SUMIFS('Safety Bulletins'!$L$4:$L$5003,'Safety Bulletins'!$D$4:$D$5003,"Aug")</f>
        <v>0</v>
      </c>
      <c r="AU19" s="20">
        <f>SUMIFS('Safety Bulletins'!$M$4:$M$5003,'Safety Bulletins'!$D$4:$D$5003,"Aug")</f>
        <v>0</v>
      </c>
      <c r="AV19" s="20">
        <f>SUMIFS('Emergency Drills'!$H$4:$H$5003,'Emergency Drills'!$D$4:$D$5003,"Aug")</f>
        <v>0</v>
      </c>
      <c r="AW19" s="20">
        <f>SUMIFS('Emergency Drills'!$I$4:$I$5003,'Emergency Drills'!$D$4:$D$5003,"Aug")</f>
        <v>0</v>
      </c>
      <c r="AX19" s="20">
        <f>COUNTIFS('Internal Audits'!$D$4:$D$5003,"Aug",'Internal Audits'!$G$4:$G$5003,dCrit)</f>
        <v>0</v>
      </c>
      <c r="AY19" s="20">
        <f>SUMIFS('Internal Audits'!$L$4:$L$5003,'Internal Audits'!$D$4:$D$5003,"Aug",'Internal Audits'!$G$4:$G$5003,dCrit)+SUMIFS('Internal Audits'!$M$4:$M$5003,'Internal Audits'!$D$4:$D$5003,"Aug",'Internal Audits'!$G$4:$G$5003,dCrit)</f>
        <v>0</v>
      </c>
      <c r="AZ19" s="20">
        <f>COUNTIFS('External Audits'!$D$4:$D$5003,"Aug",'External Audits'!$G$4:$G$5003,dCrit)</f>
        <v>0</v>
      </c>
      <c r="BA19" s="20">
        <f>SUMIFS('External Audits'!$L$4:$L$5003,'External Audits'!$D$4:$D$5003,"Aug",'External Audits'!$G$4:$G$5003,dCrit)+SUMIFS('External Audits'!$M$4:$M$5003,'External Audits'!$D$4:$D$5003,"Aug",'External Audits'!$G$4:$G$5003,dCrit)</f>
        <v>0</v>
      </c>
      <c r="BB19" s="20">
        <f>COUNTIFS('Management Visits'!$D$4:$D$5003,"Aug",'Management Visits'!$F$4:$F$5003,dCrit)</f>
        <v>0</v>
      </c>
      <c r="BC19" s="20">
        <f>SUMIFS('Management Visits'!$K$4:$K$5003,'Management Visits'!$D$4:$D$5003,"Aug",'Management Visits'!$F$4:$F$5003,dCrit)</f>
        <v>0</v>
      </c>
      <c r="BD19" s="20">
        <f>SUMIFS('Management Visits'!$L$4:$L$5003,'Management Visits'!$D$4:$D$5003,"Aug",'Management Visits'!$F$4:$F$5003,dCrit)</f>
        <v>0</v>
      </c>
      <c r="BE19" s="20">
        <f>COUNTIFS('Management Reviews'!$D$4:$D$5003,"Aug")</f>
        <v>0</v>
      </c>
      <c r="BF19" s="20">
        <f>SUMIFS('Management Reviews'!$H$4:$H$5003,'Management Reviews'!$D$4:$D$5003,"Aug")</f>
        <v>0</v>
      </c>
      <c r="BG19" s="20">
        <f>SUMIFS('Management Reviews'!$G$4:$G$5003,'Management Reviews'!$D$4:$D$5003,"Aug")</f>
        <v>0</v>
      </c>
      <c r="BH19" s="20">
        <f>COUNTIFS('Safety Awards'!$D$4:$D$5003,"Aug",'Safety Awards'!$F$4:$F$5003,dCrit)</f>
        <v>0</v>
      </c>
      <c r="BI19" s="20">
        <f>COUNTIFS('Stop Work Authority'!$D$4:$D$5003,"Aug",'Stop Work Authority'!$F$4:$F$5003,dCrit)</f>
        <v>0</v>
      </c>
      <c r="BJ19" s="20">
        <f>COUNTIFS('Alcohol Tests'!$D$4:$D$5003,"Aug",'Alcohol Tests'!$E$4:$E$5003,dCrit)</f>
        <v>0</v>
      </c>
      <c r="BK19" s="20">
        <f>COUNTIFS('Alcohol Tests'!$H$4:$H$5003,"Positive",'Alcohol Tests'!$D$4:$D$5003,"Aug",'Alcohol Tests'!$E$4:$E$5003,dCrit)</f>
        <v>0</v>
      </c>
      <c r="BL19" s="20">
        <f>COUNTIFS('Unsafe Acts'!$D$4:$D$5003,"Aug",'Unsafe Acts'!$F$4:$F$5003,dCrit)</f>
        <v>0</v>
      </c>
      <c r="BM19" s="20">
        <f>COUNTIFS('Unsafe Acts'!$M$4:$M$5003,"Closed",'Unsafe Acts'!$D$4:$D$5003,"Aug",'Unsafe Acts'!$F$4:$F$5003,dCrit)</f>
        <v>0</v>
      </c>
      <c r="BN19" s="20">
        <f>COUNTIFS('Unsafe Conditions'!$D$4:$D$5003,"Aug",'Unsafe Conditions'!$F$4:$F$5003,dCrit)</f>
        <v>0</v>
      </c>
      <c r="BO19" s="20">
        <f>COUNTIFS('Unsafe Conditions'!$M$4:$M$5003,"Closed",'Unsafe Conditions'!$D$4:$D$5003,"Aug",'Unsafe Conditions'!$F$4:$F$5003,dCrit)</f>
        <v>0</v>
      </c>
      <c r="BP19" s="20">
        <f>COUNTIFS('NC Management'!$D$4:$D$5003,"Aug",'NC Management'!$G$4:$G$5003,dCrit)</f>
        <v>0</v>
      </c>
      <c r="BQ19" s="20">
        <f>COUNTIFS('NC Management'!$M$4:$M$5003,"Closed",'NC Management'!$D$4:$D$5003,"Aug",'NC Management'!$G$4:$G$5003,dCrit)</f>
        <v>0</v>
      </c>
      <c r="BR19" s="19">
        <f>IFERROR($F$19*TRIRmult/(Manhours/12),0)</f>
        <v>0</v>
      </c>
      <c r="BS19" s="19">
        <f>IFERROR($G$19*LTIFRmult/(Manhours/12),0)</f>
        <v>0</v>
      </c>
      <c r="BV19" s="11" t="s">
        <v>1590</v>
      </c>
      <c r="BW19" s="19" t="s">
        <v>1729</v>
      </c>
      <c r="BX19" s="20">
        <f>SUMPRODUCT(Calculations!$N$12:$N$23,Calculations!$D$12:$D$23)</f>
        <v>0</v>
      </c>
      <c r="BY19" s="20">
        <f>SUMPRODUCT(Calculations!$N$12:$N$23,Calculations!$E$12:$E$23)</f>
        <v>0</v>
      </c>
      <c r="BZ19" s="21">
        <f>IFERROR(($BX$19-$BY$19)/$BY$19,IF($BX$19&gt;0,1,0))</f>
        <v>0</v>
      </c>
      <c r="CA19" s="19">
        <f>($BX$19-$BY$19)*-1</f>
        <v>0</v>
      </c>
      <c r="CC19" s="10" t="s">
        <v>1784</v>
      </c>
      <c r="CD19" s="10" t="s">
        <v>1782</v>
      </c>
      <c r="CF19" s="19" t="s">
        <v>102</v>
      </c>
      <c r="CG19" s="20">
        <f>COUNTIFS('Incident'!$D$4:$D$5003,"Sep",'Incident'!$H$4:$H$5003,dCrit)</f>
        <v>0</v>
      </c>
    </row>
    <row r="20" spans="2:85">
      <c r="B20" s="19" t="s">
        <v>102</v>
      </c>
      <c r="C20" s="19">
        <v>9</v>
      </c>
      <c r="D20" s="19">
        <f>IF(Calculations!$C$10=1,IF(ROUNDUP($C$20/3,0)=Calculations!$F$10,1,0),IF($C$20=Calculations!$I$10,1,0))</f>
        <v>0</v>
      </c>
      <c r="E20" s="19">
        <f>IF(Calculations!$C$10=1,IF(ROUNDUP($C$20/3,0)=Calculations!$F$10-1,1,0),IF($C$20=Calculations!$I$10-1,1,0))</f>
        <v>0</v>
      </c>
      <c r="F20" s="20">
        <f>COUNTIFS('Incident'!$N$4:$N$5003,"Medical Treatment",'Incident'!$D$4:$D$5003,"Sep",'Incident'!$H$4:$H$5003,dCrit)+COUNTIFS('Incident'!$N$4:$N$5003,"Restricted Work",'Incident'!$D$4:$D$5003,"Sep",'Incident'!$H$4:$H$5003,dCrit)+COUNTIFS('Incident'!$N$4:$N$5003,"Lost Time Injury",'Incident'!$D$4:$D$5003,"Sep",'Incident'!$H$4:$H$5003,dCrit)+COUNTIFS('Incident'!$N$4:$N$5003,"Fatality",'Incident'!$D$4:$D$5003,"Sep",'Incident'!$H$4:$H$5003,dCrit)</f>
        <v>0</v>
      </c>
      <c r="G20" s="20">
        <f>COUNTIFS('Incident'!$N$4:$N$5003,"Lost Time Injury",'Incident'!$D$4:$D$5003,"Sep",'Incident'!$H$4:$H$5003,dCrit)+COUNTIFS('Incident'!$N$4:$N$5003,"Fatality",'Incident'!$D$4:$D$5003,"Sep",'Incident'!$H$4:$H$5003,dCrit)</f>
        <v>0</v>
      </c>
      <c r="H20" s="20">
        <f>COUNTIFS('Incident'!$N$4:$N$5003,"Near Miss",'Incident'!$D$4:$D$5003,"Sep",'Incident'!$H$4:$H$5003,dCrit)</f>
        <v>0</v>
      </c>
      <c r="I20" s="20">
        <f>COUNTIFS('Incident'!$N$4:$N$5003,"First Aid",'Incident'!$D$4:$D$5003,"Sep",'Incident'!$H$4:$H$5003,dCrit)</f>
        <v>0</v>
      </c>
      <c r="J20" s="20">
        <f>COUNTIFS('Incident'!$N$4:$N$5003,"Medical Treatment",'Incident'!$D$4:$D$5003,"Sep",'Incident'!$H$4:$H$5003,dCrit)</f>
        <v>0</v>
      </c>
      <c r="K20" s="20">
        <f>COUNTIFS('Incident'!$N$4:$N$5003,"Restricted Work",'Incident'!$D$4:$D$5003,"Sep",'Incident'!$H$4:$H$5003,dCrit)</f>
        <v>0</v>
      </c>
      <c r="L20" s="20">
        <f>COUNTIFS('Incident'!$N$4:$N$5003,"Lost Time Injury",'Incident'!$D$4:$D$5003,"Sep",'Incident'!$H$4:$H$5003,dCrit)</f>
        <v>0</v>
      </c>
      <c r="M20" s="20">
        <f>COUNTIFS('Incident'!$N$4:$N$5003,"Fatality",'Incident'!$D$4:$D$5003,"Sep",'Incident'!$H$4:$H$5003,dCrit)</f>
        <v>0</v>
      </c>
      <c r="N20" s="20">
        <f>SUMIFS('Incident'!$V$4:$V$5003,'Incident'!$D$4:$D$5003,"Sep",'Incident'!$H$4:$H$5003,dCrit)</f>
        <v>0</v>
      </c>
      <c r="O20" s="20">
        <f>COUNTIFS('Incident'!$D$4:$D$5003,"Sep",'Incident'!$H$4:$H$5003,dCrit)</f>
        <v>0</v>
      </c>
      <c r="P20" s="20">
        <f>COUNTIFS('Disciplinary Actions'!$D$4:$D$5003,"Sep",'Disciplinary Actions'!$F$4:$F$5003,dCrit)</f>
        <v>0</v>
      </c>
      <c r="Q20" s="20">
        <f>COUNTIFS('NC Management'!$M$4:$M$5003,"Open",'NC Management'!$D$4:$D$5003,"Sep",'NC Management'!$G$4:$G$5003,dCrit)+COUNTIFS('NC Management'!$M$4:$M$5003,"Overdue",'NC Management'!$D$4:$D$5003,"Sep",'NC Management'!$G$4:$G$5003,dCrit)</f>
        <v>0</v>
      </c>
      <c r="R20" s="20">
        <f>COUNTIFS('Training'!$D$4:$D$5003,"Sep",'Training'!$G$4:$G$5003,dCrit)</f>
        <v>0</v>
      </c>
      <c r="S20" s="20">
        <f>COUNTIFS('Training'!$N$4:$N$5003,"Completed",'Training'!$D$4:$D$5003,"Sep",'Training'!$G$4:$G$5003,dCrit)</f>
        <v>0</v>
      </c>
      <c r="T20" s="20">
        <f>COUNTIFS('HSE Observations'!$D$4:$D$5003,"Sep",'HSE Observations'!$G$4:$G$5003,dCrit)</f>
        <v>0</v>
      </c>
      <c r="U20" s="20">
        <f>COUNTIFS('HSE Observations'!$M$4:$M$5003,"Closed",'HSE Observations'!$D$4:$D$5003,"Sep",'HSE Observations'!$G$4:$G$5003,dCrit)</f>
        <v>0</v>
      </c>
      <c r="V20" s="20">
        <f>COUNTIFS('Toolbox Talks'!$D$4:$D$5003,"Sep",'Toolbox Talks'!$F$4:$F$5003,dCrit)</f>
        <v>0</v>
      </c>
      <c r="W20" s="20">
        <f>COUNTIFS('Workplace Inspections'!$D$4:$D$5003,"Sep",'Workplace Inspections'!$F$4:$F$5003,dCrit)+COUNTIFS('Equipment Inspections'!$D$4:$D$5003,"Sep",'Equipment Inspections'!$F$4:$F$5003,dCrit)+COUNTIFS('Safety Walkthroughs'!$D$4:$D$5003,"Sep",'Safety Walkthroughs'!$F$4:$F$5003,dCrit)</f>
        <v>0</v>
      </c>
      <c r="X20" s="20">
        <f>COUNTIFS('Internal Audits'!$D$4:$D$5003,"Sep",'Internal Audits'!$G$4:$G$5003,dCrit)+COUNTIFS('External Audits'!$D$4:$D$5003,"Sep",'External Audits'!$G$4:$G$5003,dCrit)</f>
        <v>0</v>
      </c>
      <c r="Y20" s="20">
        <f>COUNTIFS('PTW Audits'!$D$4:$D$5003,"Sep",'PTW Audits'!$F$4:$F$5003,dCrit)</f>
        <v>0</v>
      </c>
      <c r="Z20" s="20">
        <f>COUNTIFS('PTW Audits'!$M$4:$M$5003,"Compliant",'PTW Audits'!$D$4:$D$5003,"Sep",'PTW Audits'!$F$4:$F$5003,dCrit)</f>
        <v>0</v>
      </c>
      <c r="AA20" s="20">
        <f>COUNTIFS('Emergency Drills'!$D$4:$D$5003,"Sep")</f>
        <v>0</v>
      </c>
      <c r="AB20" s="20">
        <f>COUNTIFS('Corrective Actions'!$D$4:$D$5003,"Sep",'Corrective Actions'!$F$4:$F$5003,dCrit)</f>
        <v>0</v>
      </c>
      <c r="AC20" s="20">
        <f>COUNTIFS('Corrective Actions'!$N$4:$N$5003,"Closed",'Corrective Actions'!$D$4:$D$5003,"Sep",'Corrective Actions'!$F$4:$F$5003,dCrit)</f>
        <v>0</v>
      </c>
      <c r="AD20" s="20">
        <f>COUNTIFS('JSA Risk Assessment'!$D$4:$D$5003,"Sep",'JSA Risk Assessment'!$F$4:$F$5003,dCrit)</f>
        <v>0</v>
      </c>
      <c r="AE20" s="20">
        <f>COUNTIFS('Safety Meetings'!$D$4:$D$5003,"Sep",'Safety Meetings'!$G$4:$G$5003,dCrit)</f>
        <v>0</v>
      </c>
      <c r="AF20" s="20">
        <f>COUNTIFS('Unsafe Acts'!$D$4:$D$5003,"Sep",'Unsafe Acts'!$F$4:$F$5003,dCrit)+COUNTIFS('Unsafe Conditions'!$D$4:$D$5003,"Sep",'Unsafe Conditions'!$F$4:$F$5003,dCrit)</f>
        <v>0</v>
      </c>
      <c r="AG20" s="20">
        <f>COUNTIFS('Unsafe Acts'!$D$4:$D$5003,"Sep",'Unsafe Acts'!$F$4:$F$5003,dCrit)</f>
        <v>0</v>
      </c>
      <c r="AH20" s="20">
        <f>COUNTIFS('Unsafe Conditions'!$D$4:$D$5003,"Sep",'Unsafe Conditions'!$F$4:$F$5003,dCrit)</f>
        <v>0</v>
      </c>
      <c r="AI20" s="20">
        <f>SUMIFS('Toolbox Talks'!$J$4:$J$5003,'Toolbox Talks'!$D$4:$D$5003,"Sep",'Toolbox Talks'!$F$4:$F$5003,dCrit)</f>
        <v>0</v>
      </c>
      <c r="AJ20" s="20">
        <f>SUMIFS('Toolbox Talks'!$I$4:$I$5003,'Toolbox Talks'!$D$4:$D$5003,"Sep",'Toolbox Talks'!$F$4:$F$5003,dCrit)</f>
        <v>0</v>
      </c>
      <c r="AK20" s="20">
        <f>COUNTIFS('JSA Risk Assessment'!$M$4:$M$5003,"Approved",'JSA Risk Assessment'!$D$4:$D$5003,"Sep",'JSA Risk Assessment'!$F$4:$F$5003,dCrit)</f>
        <v>0</v>
      </c>
      <c r="AL20" s="20">
        <f>COUNTIFS('Workplace Inspections'!$D$4:$D$5003,"Sep",'Workplace Inspections'!$F$4:$F$5003,dCrit)</f>
        <v>0</v>
      </c>
      <c r="AM20" s="20">
        <f>COUNTIFS('Workplace Inspections'!$M$4:$M$5003,"Closed",'Workplace Inspections'!$D$4:$D$5003,"Sep",'Workplace Inspections'!$F$4:$F$5003,dCrit)</f>
        <v>0</v>
      </c>
      <c r="AN20" s="20">
        <f>COUNTIFS('Equipment Inspections'!$D$4:$D$5003,"Sep",'Equipment Inspections'!$F$4:$F$5003,dCrit)</f>
        <v>0</v>
      </c>
      <c r="AO20" s="20">
        <f>SUMIFS('Equipment Inspections'!$K$4:$K$5003,'Equipment Inspections'!$D$4:$D$5003,"Sep",'Equipment Inspections'!$F$4:$F$5003,dCrit)</f>
        <v>0</v>
      </c>
      <c r="AP20" s="20">
        <f>COUNTIFS('Safety Walkthroughs'!$D$4:$D$5003,"Sep",'Safety Walkthroughs'!$F$4:$F$5003,dCrit)</f>
        <v>0</v>
      </c>
      <c r="AQ20" s="20">
        <f>SUMIFS('Safety Meetings'!$M$4:$M$5003,'Safety Meetings'!$D$4:$D$5003,"Sep",'Safety Meetings'!$G$4:$G$5003,dCrit)</f>
        <v>0</v>
      </c>
      <c r="AR20" s="20">
        <f>SUMIFS('Safety Meetings'!$N$4:$N$5003,'Safety Meetings'!$D$4:$D$5003,"Sep",'Safety Meetings'!$G$4:$G$5003,dCrit)</f>
        <v>0</v>
      </c>
      <c r="AS20" s="20">
        <f>COUNTIFS('Safety Bulletins'!$D$4:$D$5003,"Sep")</f>
        <v>0</v>
      </c>
      <c r="AT20" s="20">
        <f>SUMIFS('Safety Bulletins'!$L$4:$L$5003,'Safety Bulletins'!$D$4:$D$5003,"Sep")</f>
        <v>0</v>
      </c>
      <c r="AU20" s="20">
        <f>SUMIFS('Safety Bulletins'!$M$4:$M$5003,'Safety Bulletins'!$D$4:$D$5003,"Sep")</f>
        <v>0</v>
      </c>
      <c r="AV20" s="20">
        <f>SUMIFS('Emergency Drills'!$H$4:$H$5003,'Emergency Drills'!$D$4:$D$5003,"Sep")</f>
        <v>0</v>
      </c>
      <c r="AW20" s="20">
        <f>SUMIFS('Emergency Drills'!$I$4:$I$5003,'Emergency Drills'!$D$4:$D$5003,"Sep")</f>
        <v>0</v>
      </c>
      <c r="AX20" s="20">
        <f>COUNTIFS('Internal Audits'!$D$4:$D$5003,"Sep",'Internal Audits'!$G$4:$G$5003,dCrit)</f>
        <v>0</v>
      </c>
      <c r="AY20" s="20">
        <f>SUMIFS('Internal Audits'!$L$4:$L$5003,'Internal Audits'!$D$4:$D$5003,"Sep",'Internal Audits'!$G$4:$G$5003,dCrit)+SUMIFS('Internal Audits'!$M$4:$M$5003,'Internal Audits'!$D$4:$D$5003,"Sep",'Internal Audits'!$G$4:$G$5003,dCrit)</f>
        <v>0</v>
      </c>
      <c r="AZ20" s="20">
        <f>COUNTIFS('External Audits'!$D$4:$D$5003,"Sep",'External Audits'!$G$4:$G$5003,dCrit)</f>
        <v>0</v>
      </c>
      <c r="BA20" s="20">
        <f>SUMIFS('External Audits'!$L$4:$L$5003,'External Audits'!$D$4:$D$5003,"Sep",'External Audits'!$G$4:$G$5003,dCrit)+SUMIFS('External Audits'!$M$4:$M$5003,'External Audits'!$D$4:$D$5003,"Sep",'External Audits'!$G$4:$G$5003,dCrit)</f>
        <v>0</v>
      </c>
      <c r="BB20" s="20">
        <f>COUNTIFS('Management Visits'!$D$4:$D$5003,"Sep",'Management Visits'!$F$4:$F$5003,dCrit)</f>
        <v>0</v>
      </c>
      <c r="BC20" s="20">
        <f>SUMIFS('Management Visits'!$K$4:$K$5003,'Management Visits'!$D$4:$D$5003,"Sep",'Management Visits'!$F$4:$F$5003,dCrit)</f>
        <v>0</v>
      </c>
      <c r="BD20" s="20">
        <f>SUMIFS('Management Visits'!$L$4:$L$5003,'Management Visits'!$D$4:$D$5003,"Sep",'Management Visits'!$F$4:$F$5003,dCrit)</f>
        <v>0</v>
      </c>
      <c r="BE20" s="20">
        <f>COUNTIFS('Management Reviews'!$D$4:$D$5003,"Sep")</f>
        <v>0</v>
      </c>
      <c r="BF20" s="20">
        <f>SUMIFS('Management Reviews'!$H$4:$H$5003,'Management Reviews'!$D$4:$D$5003,"Sep")</f>
        <v>0</v>
      </c>
      <c r="BG20" s="20">
        <f>SUMIFS('Management Reviews'!$G$4:$G$5003,'Management Reviews'!$D$4:$D$5003,"Sep")</f>
        <v>0</v>
      </c>
      <c r="BH20" s="20">
        <f>COUNTIFS('Safety Awards'!$D$4:$D$5003,"Sep",'Safety Awards'!$F$4:$F$5003,dCrit)</f>
        <v>0</v>
      </c>
      <c r="BI20" s="20">
        <f>COUNTIFS('Stop Work Authority'!$D$4:$D$5003,"Sep",'Stop Work Authority'!$F$4:$F$5003,dCrit)</f>
        <v>0</v>
      </c>
      <c r="BJ20" s="20">
        <f>COUNTIFS('Alcohol Tests'!$D$4:$D$5003,"Sep",'Alcohol Tests'!$E$4:$E$5003,dCrit)</f>
        <v>0</v>
      </c>
      <c r="BK20" s="20">
        <f>COUNTIFS('Alcohol Tests'!$H$4:$H$5003,"Positive",'Alcohol Tests'!$D$4:$D$5003,"Sep",'Alcohol Tests'!$E$4:$E$5003,dCrit)</f>
        <v>0</v>
      </c>
      <c r="BL20" s="20">
        <f>COUNTIFS('Unsafe Acts'!$D$4:$D$5003,"Sep",'Unsafe Acts'!$F$4:$F$5003,dCrit)</f>
        <v>0</v>
      </c>
      <c r="BM20" s="20">
        <f>COUNTIFS('Unsafe Acts'!$M$4:$M$5003,"Closed",'Unsafe Acts'!$D$4:$D$5003,"Sep",'Unsafe Acts'!$F$4:$F$5003,dCrit)</f>
        <v>0</v>
      </c>
      <c r="BN20" s="20">
        <f>COUNTIFS('Unsafe Conditions'!$D$4:$D$5003,"Sep",'Unsafe Conditions'!$F$4:$F$5003,dCrit)</f>
        <v>0</v>
      </c>
      <c r="BO20" s="20">
        <f>COUNTIFS('Unsafe Conditions'!$M$4:$M$5003,"Closed",'Unsafe Conditions'!$D$4:$D$5003,"Sep",'Unsafe Conditions'!$F$4:$F$5003,dCrit)</f>
        <v>0</v>
      </c>
      <c r="BP20" s="20">
        <f>COUNTIFS('NC Management'!$D$4:$D$5003,"Sep",'NC Management'!$G$4:$G$5003,dCrit)</f>
        <v>0</v>
      </c>
      <c r="BQ20" s="20">
        <f>COUNTIFS('NC Management'!$M$4:$M$5003,"Closed",'NC Management'!$D$4:$D$5003,"Sep",'NC Management'!$G$4:$G$5003,dCrit)</f>
        <v>0</v>
      </c>
      <c r="BR20" s="19">
        <f>IFERROR($F$20*TRIRmult/(Manhours/12),0)</f>
        <v>0</v>
      </c>
      <c r="BS20" s="19">
        <f>IFERROR($G$20*LTIFRmult/(Manhours/12),0)</f>
        <v>0</v>
      </c>
      <c r="BV20" s="11" t="s">
        <v>1733</v>
      </c>
      <c r="BW20" s="19" t="s">
        <v>1729</v>
      </c>
      <c r="BX20" s="20">
        <f>SUMPRODUCT(Calculations!$P$12:$P$23,Calculations!$D$12:$D$23)</f>
        <v>0</v>
      </c>
      <c r="BY20" s="20">
        <f>SUMPRODUCT(Calculations!$P$12:$P$23,Calculations!$E$12:$E$23)</f>
        <v>0</v>
      </c>
      <c r="BZ20" s="21">
        <f>IFERROR(($BX$20-$BY$20)/$BY$20,IF($BX$20&gt;0,1,0))</f>
        <v>0</v>
      </c>
      <c r="CA20" s="19">
        <f>($BX$20-$BY$20)*-1</f>
        <v>0</v>
      </c>
      <c r="CC20" s="11" t="s">
        <v>1785</v>
      </c>
      <c r="CD20" s="20">
        <f>SUMPRODUCT(Calculations!$V$12:$V$23,Calculations!$D$12:$D$23)</f>
        <v>0</v>
      </c>
      <c r="CF20" s="19" t="s">
        <v>106</v>
      </c>
      <c r="CG20" s="20">
        <f>COUNTIFS('Incident'!$D$4:$D$5003,"Oct",'Incident'!$H$4:$H$5003,dCrit)</f>
        <v>0</v>
      </c>
    </row>
    <row r="21" spans="2:85">
      <c r="B21" s="19" t="s">
        <v>106</v>
      </c>
      <c r="C21" s="19">
        <v>10</v>
      </c>
      <c r="D21" s="19">
        <f>IF(Calculations!$C$10=1,IF(ROUNDUP($C$21/3,0)=Calculations!$F$10,1,0),IF($C$21=Calculations!$I$10,1,0))</f>
        <v>0</v>
      </c>
      <c r="E21" s="19">
        <f>IF(Calculations!$C$10=1,IF(ROUNDUP($C$21/3,0)=Calculations!$F$10-1,1,0),IF($C$21=Calculations!$I$10-1,1,0))</f>
        <v>0</v>
      </c>
      <c r="F21" s="20">
        <f>COUNTIFS('Incident'!$N$4:$N$5003,"Medical Treatment",'Incident'!$D$4:$D$5003,"Oct",'Incident'!$H$4:$H$5003,dCrit)+COUNTIFS('Incident'!$N$4:$N$5003,"Restricted Work",'Incident'!$D$4:$D$5003,"Oct",'Incident'!$H$4:$H$5003,dCrit)+COUNTIFS('Incident'!$N$4:$N$5003,"Lost Time Injury",'Incident'!$D$4:$D$5003,"Oct",'Incident'!$H$4:$H$5003,dCrit)+COUNTIFS('Incident'!$N$4:$N$5003,"Fatality",'Incident'!$D$4:$D$5003,"Oct",'Incident'!$H$4:$H$5003,dCrit)</f>
        <v>0</v>
      </c>
      <c r="G21" s="20">
        <f>COUNTIFS('Incident'!$N$4:$N$5003,"Lost Time Injury",'Incident'!$D$4:$D$5003,"Oct",'Incident'!$H$4:$H$5003,dCrit)+COUNTIFS('Incident'!$N$4:$N$5003,"Fatality",'Incident'!$D$4:$D$5003,"Oct",'Incident'!$H$4:$H$5003,dCrit)</f>
        <v>0</v>
      </c>
      <c r="H21" s="20">
        <f>COUNTIFS('Incident'!$N$4:$N$5003,"Near Miss",'Incident'!$D$4:$D$5003,"Oct",'Incident'!$H$4:$H$5003,dCrit)</f>
        <v>0</v>
      </c>
      <c r="I21" s="20">
        <f>COUNTIFS('Incident'!$N$4:$N$5003,"First Aid",'Incident'!$D$4:$D$5003,"Oct",'Incident'!$H$4:$H$5003,dCrit)</f>
        <v>0</v>
      </c>
      <c r="J21" s="20">
        <f>COUNTIFS('Incident'!$N$4:$N$5003,"Medical Treatment",'Incident'!$D$4:$D$5003,"Oct",'Incident'!$H$4:$H$5003,dCrit)</f>
        <v>0</v>
      </c>
      <c r="K21" s="20">
        <f>COUNTIFS('Incident'!$N$4:$N$5003,"Restricted Work",'Incident'!$D$4:$D$5003,"Oct",'Incident'!$H$4:$H$5003,dCrit)</f>
        <v>0</v>
      </c>
      <c r="L21" s="20">
        <f>COUNTIFS('Incident'!$N$4:$N$5003,"Lost Time Injury",'Incident'!$D$4:$D$5003,"Oct",'Incident'!$H$4:$H$5003,dCrit)</f>
        <v>0</v>
      </c>
      <c r="M21" s="20">
        <f>COUNTIFS('Incident'!$N$4:$N$5003,"Fatality",'Incident'!$D$4:$D$5003,"Oct",'Incident'!$H$4:$H$5003,dCrit)</f>
        <v>0</v>
      </c>
      <c r="N21" s="20">
        <f>SUMIFS('Incident'!$V$4:$V$5003,'Incident'!$D$4:$D$5003,"Oct",'Incident'!$H$4:$H$5003,dCrit)</f>
        <v>0</v>
      </c>
      <c r="O21" s="20">
        <f>COUNTIFS('Incident'!$D$4:$D$5003,"Oct",'Incident'!$H$4:$H$5003,dCrit)</f>
        <v>0</v>
      </c>
      <c r="P21" s="20">
        <f>COUNTIFS('Disciplinary Actions'!$D$4:$D$5003,"Oct",'Disciplinary Actions'!$F$4:$F$5003,dCrit)</f>
        <v>0</v>
      </c>
      <c r="Q21" s="20">
        <f>COUNTIFS('NC Management'!$M$4:$M$5003,"Open",'NC Management'!$D$4:$D$5003,"Oct",'NC Management'!$G$4:$G$5003,dCrit)+COUNTIFS('NC Management'!$M$4:$M$5003,"Overdue",'NC Management'!$D$4:$D$5003,"Oct",'NC Management'!$G$4:$G$5003,dCrit)</f>
        <v>0</v>
      </c>
      <c r="R21" s="20">
        <f>COUNTIFS('Training'!$D$4:$D$5003,"Oct",'Training'!$G$4:$G$5003,dCrit)</f>
        <v>0</v>
      </c>
      <c r="S21" s="20">
        <f>COUNTIFS('Training'!$N$4:$N$5003,"Completed",'Training'!$D$4:$D$5003,"Oct",'Training'!$G$4:$G$5003,dCrit)</f>
        <v>0</v>
      </c>
      <c r="T21" s="20">
        <f>COUNTIFS('HSE Observations'!$D$4:$D$5003,"Oct",'HSE Observations'!$G$4:$G$5003,dCrit)</f>
        <v>0</v>
      </c>
      <c r="U21" s="20">
        <f>COUNTIFS('HSE Observations'!$M$4:$M$5003,"Closed",'HSE Observations'!$D$4:$D$5003,"Oct",'HSE Observations'!$G$4:$G$5003,dCrit)</f>
        <v>0</v>
      </c>
      <c r="V21" s="20">
        <f>COUNTIFS('Toolbox Talks'!$D$4:$D$5003,"Oct",'Toolbox Talks'!$F$4:$F$5003,dCrit)</f>
        <v>0</v>
      </c>
      <c r="W21" s="20">
        <f>COUNTIFS('Workplace Inspections'!$D$4:$D$5003,"Oct",'Workplace Inspections'!$F$4:$F$5003,dCrit)+COUNTIFS('Equipment Inspections'!$D$4:$D$5003,"Oct",'Equipment Inspections'!$F$4:$F$5003,dCrit)+COUNTIFS('Safety Walkthroughs'!$D$4:$D$5003,"Oct",'Safety Walkthroughs'!$F$4:$F$5003,dCrit)</f>
        <v>0</v>
      </c>
      <c r="X21" s="20">
        <f>COUNTIFS('Internal Audits'!$D$4:$D$5003,"Oct",'Internal Audits'!$G$4:$G$5003,dCrit)+COUNTIFS('External Audits'!$D$4:$D$5003,"Oct",'External Audits'!$G$4:$G$5003,dCrit)</f>
        <v>0</v>
      </c>
      <c r="Y21" s="20">
        <f>COUNTIFS('PTW Audits'!$D$4:$D$5003,"Oct",'PTW Audits'!$F$4:$F$5003,dCrit)</f>
        <v>0</v>
      </c>
      <c r="Z21" s="20">
        <f>COUNTIFS('PTW Audits'!$M$4:$M$5003,"Compliant",'PTW Audits'!$D$4:$D$5003,"Oct",'PTW Audits'!$F$4:$F$5003,dCrit)</f>
        <v>0</v>
      </c>
      <c r="AA21" s="20">
        <f>COUNTIFS('Emergency Drills'!$D$4:$D$5003,"Oct")</f>
        <v>0</v>
      </c>
      <c r="AB21" s="20">
        <f>COUNTIFS('Corrective Actions'!$D$4:$D$5003,"Oct",'Corrective Actions'!$F$4:$F$5003,dCrit)</f>
        <v>0</v>
      </c>
      <c r="AC21" s="20">
        <f>COUNTIFS('Corrective Actions'!$N$4:$N$5003,"Closed",'Corrective Actions'!$D$4:$D$5003,"Oct",'Corrective Actions'!$F$4:$F$5003,dCrit)</f>
        <v>0</v>
      </c>
      <c r="AD21" s="20">
        <f>COUNTIFS('JSA Risk Assessment'!$D$4:$D$5003,"Oct",'JSA Risk Assessment'!$F$4:$F$5003,dCrit)</f>
        <v>0</v>
      </c>
      <c r="AE21" s="20">
        <f>COUNTIFS('Safety Meetings'!$D$4:$D$5003,"Oct",'Safety Meetings'!$G$4:$G$5003,dCrit)</f>
        <v>0</v>
      </c>
      <c r="AF21" s="20">
        <f>COUNTIFS('Unsafe Acts'!$D$4:$D$5003,"Oct",'Unsafe Acts'!$F$4:$F$5003,dCrit)+COUNTIFS('Unsafe Conditions'!$D$4:$D$5003,"Oct",'Unsafe Conditions'!$F$4:$F$5003,dCrit)</f>
        <v>0</v>
      </c>
      <c r="AG21" s="20">
        <f>COUNTIFS('Unsafe Acts'!$D$4:$D$5003,"Oct",'Unsafe Acts'!$F$4:$F$5003,dCrit)</f>
        <v>0</v>
      </c>
      <c r="AH21" s="20">
        <f>COUNTIFS('Unsafe Conditions'!$D$4:$D$5003,"Oct",'Unsafe Conditions'!$F$4:$F$5003,dCrit)</f>
        <v>0</v>
      </c>
      <c r="AI21" s="20">
        <f>SUMIFS('Toolbox Talks'!$J$4:$J$5003,'Toolbox Talks'!$D$4:$D$5003,"Oct",'Toolbox Talks'!$F$4:$F$5003,dCrit)</f>
        <v>0</v>
      </c>
      <c r="AJ21" s="20">
        <f>SUMIFS('Toolbox Talks'!$I$4:$I$5003,'Toolbox Talks'!$D$4:$D$5003,"Oct",'Toolbox Talks'!$F$4:$F$5003,dCrit)</f>
        <v>0</v>
      </c>
      <c r="AK21" s="20">
        <f>COUNTIFS('JSA Risk Assessment'!$M$4:$M$5003,"Approved",'JSA Risk Assessment'!$D$4:$D$5003,"Oct",'JSA Risk Assessment'!$F$4:$F$5003,dCrit)</f>
        <v>0</v>
      </c>
      <c r="AL21" s="20">
        <f>COUNTIFS('Workplace Inspections'!$D$4:$D$5003,"Oct",'Workplace Inspections'!$F$4:$F$5003,dCrit)</f>
        <v>0</v>
      </c>
      <c r="AM21" s="20">
        <f>COUNTIFS('Workplace Inspections'!$M$4:$M$5003,"Closed",'Workplace Inspections'!$D$4:$D$5003,"Oct",'Workplace Inspections'!$F$4:$F$5003,dCrit)</f>
        <v>0</v>
      </c>
      <c r="AN21" s="20">
        <f>COUNTIFS('Equipment Inspections'!$D$4:$D$5003,"Oct",'Equipment Inspections'!$F$4:$F$5003,dCrit)</f>
        <v>0</v>
      </c>
      <c r="AO21" s="20">
        <f>SUMIFS('Equipment Inspections'!$K$4:$K$5003,'Equipment Inspections'!$D$4:$D$5003,"Oct",'Equipment Inspections'!$F$4:$F$5003,dCrit)</f>
        <v>0</v>
      </c>
      <c r="AP21" s="20">
        <f>COUNTIFS('Safety Walkthroughs'!$D$4:$D$5003,"Oct",'Safety Walkthroughs'!$F$4:$F$5003,dCrit)</f>
        <v>0</v>
      </c>
      <c r="AQ21" s="20">
        <f>SUMIFS('Safety Meetings'!$M$4:$M$5003,'Safety Meetings'!$D$4:$D$5003,"Oct",'Safety Meetings'!$G$4:$G$5003,dCrit)</f>
        <v>0</v>
      </c>
      <c r="AR21" s="20">
        <f>SUMIFS('Safety Meetings'!$N$4:$N$5003,'Safety Meetings'!$D$4:$D$5003,"Oct",'Safety Meetings'!$G$4:$G$5003,dCrit)</f>
        <v>0</v>
      </c>
      <c r="AS21" s="20">
        <f>COUNTIFS('Safety Bulletins'!$D$4:$D$5003,"Oct")</f>
        <v>0</v>
      </c>
      <c r="AT21" s="20">
        <f>SUMIFS('Safety Bulletins'!$L$4:$L$5003,'Safety Bulletins'!$D$4:$D$5003,"Oct")</f>
        <v>0</v>
      </c>
      <c r="AU21" s="20">
        <f>SUMIFS('Safety Bulletins'!$M$4:$M$5003,'Safety Bulletins'!$D$4:$D$5003,"Oct")</f>
        <v>0</v>
      </c>
      <c r="AV21" s="20">
        <f>SUMIFS('Emergency Drills'!$H$4:$H$5003,'Emergency Drills'!$D$4:$D$5003,"Oct")</f>
        <v>0</v>
      </c>
      <c r="AW21" s="20">
        <f>SUMIFS('Emergency Drills'!$I$4:$I$5003,'Emergency Drills'!$D$4:$D$5003,"Oct")</f>
        <v>0</v>
      </c>
      <c r="AX21" s="20">
        <f>COUNTIFS('Internal Audits'!$D$4:$D$5003,"Oct",'Internal Audits'!$G$4:$G$5003,dCrit)</f>
        <v>0</v>
      </c>
      <c r="AY21" s="20">
        <f>SUMIFS('Internal Audits'!$L$4:$L$5003,'Internal Audits'!$D$4:$D$5003,"Oct",'Internal Audits'!$G$4:$G$5003,dCrit)+SUMIFS('Internal Audits'!$M$4:$M$5003,'Internal Audits'!$D$4:$D$5003,"Oct",'Internal Audits'!$G$4:$G$5003,dCrit)</f>
        <v>0</v>
      </c>
      <c r="AZ21" s="20">
        <f>COUNTIFS('External Audits'!$D$4:$D$5003,"Oct",'External Audits'!$G$4:$G$5003,dCrit)</f>
        <v>0</v>
      </c>
      <c r="BA21" s="20">
        <f>SUMIFS('External Audits'!$L$4:$L$5003,'External Audits'!$D$4:$D$5003,"Oct",'External Audits'!$G$4:$G$5003,dCrit)+SUMIFS('External Audits'!$M$4:$M$5003,'External Audits'!$D$4:$D$5003,"Oct",'External Audits'!$G$4:$G$5003,dCrit)</f>
        <v>0</v>
      </c>
      <c r="BB21" s="20">
        <f>COUNTIFS('Management Visits'!$D$4:$D$5003,"Oct",'Management Visits'!$F$4:$F$5003,dCrit)</f>
        <v>0</v>
      </c>
      <c r="BC21" s="20">
        <f>SUMIFS('Management Visits'!$K$4:$K$5003,'Management Visits'!$D$4:$D$5003,"Oct",'Management Visits'!$F$4:$F$5003,dCrit)</f>
        <v>0</v>
      </c>
      <c r="BD21" s="20">
        <f>SUMIFS('Management Visits'!$L$4:$L$5003,'Management Visits'!$D$4:$D$5003,"Oct",'Management Visits'!$F$4:$F$5003,dCrit)</f>
        <v>0</v>
      </c>
      <c r="BE21" s="20">
        <f>COUNTIFS('Management Reviews'!$D$4:$D$5003,"Oct")</f>
        <v>0</v>
      </c>
      <c r="BF21" s="20">
        <f>SUMIFS('Management Reviews'!$H$4:$H$5003,'Management Reviews'!$D$4:$D$5003,"Oct")</f>
        <v>0</v>
      </c>
      <c r="BG21" s="20">
        <f>SUMIFS('Management Reviews'!$G$4:$G$5003,'Management Reviews'!$D$4:$D$5003,"Oct")</f>
        <v>0</v>
      </c>
      <c r="BH21" s="20">
        <f>COUNTIFS('Safety Awards'!$D$4:$D$5003,"Oct",'Safety Awards'!$F$4:$F$5003,dCrit)</f>
        <v>0</v>
      </c>
      <c r="BI21" s="20">
        <f>COUNTIFS('Stop Work Authority'!$D$4:$D$5003,"Oct",'Stop Work Authority'!$F$4:$F$5003,dCrit)</f>
        <v>0</v>
      </c>
      <c r="BJ21" s="20">
        <f>COUNTIFS('Alcohol Tests'!$D$4:$D$5003,"Oct",'Alcohol Tests'!$E$4:$E$5003,dCrit)</f>
        <v>0</v>
      </c>
      <c r="BK21" s="20">
        <f>COUNTIFS('Alcohol Tests'!$H$4:$H$5003,"Positive",'Alcohol Tests'!$D$4:$D$5003,"Oct",'Alcohol Tests'!$E$4:$E$5003,dCrit)</f>
        <v>0</v>
      </c>
      <c r="BL21" s="20">
        <f>COUNTIFS('Unsafe Acts'!$D$4:$D$5003,"Oct",'Unsafe Acts'!$F$4:$F$5003,dCrit)</f>
        <v>0</v>
      </c>
      <c r="BM21" s="20">
        <f>COUNTIFS('Unsafe Acts'!$M$4:$M$5003,"Closed",'Unsafe Acts'!$D$4:$D$5003,"Oct",'Unsafe Acts'!$F$4:$F$5003,dCrit)</f>
        <v>0</v>
      </c>
      <c r="BN21" s="20">
        <f>COUNTIFS('Unsafe Conditions'!$D$4:$D$5003,"Oct",'Unsafe Conditions'!$F$4:$F$5003,dCrit)</f>
        <v>0</v>
      </c>
      <c r="BO21" s="20">
        <f>COUNTIFS('Unsafe Conditions'!$M$4:$M$5003,"Closed",'Unsafe Conditions'!$D$4:$D$5003,"Oct",'Unsafe Conditions'!$F$4:$F$5003,dCrit)</f>
        <v>0</v>
      </c>
      <c r="BP21" s="20">
        <f>COUNTIFS('NC Management'!$D$4:$D$5003,"Oct",'NC Management'!$G$4:$G$5003,dCrit)</f>
        <v>0</v>
      </c>
      <c r="BQ21" s="20">
        <f>COUNTIFS('NC Management'!$M$4:$M$5003,"Closed",'NC Management'!$D$4:$D$5003,"Oct",'NC Management'!$G$4:$G$5003,dCrit)</f>
        <v>0</v>
      </c>
      <c r="BR21" s="19">
        <f>IFERROR($F$21*TRIRmult/(Manhours/12),0)</f>
        <v>0</v>
      </c>
      <c r="BS21" s="19">
        <f>IFERROR($G$21*LTIFRmult/(Manhours/12),0)</f>
        <v>0</v>
      </c>
      <c r="BV21" s="11" t="s">
        <v>1734</v>
      </c>
      <c r="BW21" s="19" t="s">
        <v>1729</v>
      </c>
      <c r="BX21" s="20">
        <f>SUMPRODUCT(Calculations!$Q$12:$Q$23,Calculations!$D$12:$D$23)</f>
        <v>0</v>
      </c>
      <c r="BY21" s="20">
        <f>SUMPRODUCT(Calculations!$Q$12:$Q$23,Calculations!$E$12:$E$23)</f>
        <v>0</v>
      </c>
      <c r="BZ21" s="21">
        <f>IFERROR(($BX$21-$BY$21)/$BY$21,IF($BX$21&gt;0,1,0))</f>
        <v>0</v>
      </c>
      <c r="CA21" s="19">
        <f>($BX$21-$BY$21)*-1</f>
        <v>0</v>
      </c>
      <c r="CC21" s="11" t="s">
        <v>1742</v>
      </c>
      <c r="CD21" s="20">
        <f>SUMPRODUCT(Calculations!$R$12:$R$23,Calculations!$D$12:$D$23)</f>
        <v>0</v>
      </c>
      <c r="CF21" s="19" t="s">
        <v>111</v>
      </c>
      <c r="CG21" s="20">
        <f>COUNTIFS('Incident'!$D$4:$D$5003,"Nov",'Incident'!$H$4:$H$5003,dCrit)</f>
        <v>0</v>
      </c>
    </row>
    <row r="22" spans="2:85">
      <c r="B22" s="19" t="s">
        <v>111</v>
      </c>
      <c r="C22" s="19">
        <v>11</v>
      </c>
      <c r="D22" s="19">
        <f>IF(Calculations!$C$10=1,IF(ROUNDUP($C$22/3,0)=Calculations!$F$10,1,0),IF($C$22=Calculations!$I$10,1,0))</f>
        <v>0</v>
      </c>
      <c r="E22" s="19">
        <f>IF(Calculations!$C$10=1,IF(ROUNDUP($C$22/3,0)=Calculations!$F$10-1,1,0),IF($C$22=Calculations!$I$10-1,1,0))</f>
        <v>0</v>
      </c>
      <c r="F22" s="20">
        <f>COUNTIFS('Incident'!$N$4:$N$5003,"Medical Treatment",'Incident'!$D$4:$D$5003,"Nov",'Incident'!$H$4:$H$5003,dCrit)+COUNTIFS('Incident'!$N$4:$N$5003,"Restricted Work",'Incident'!$D$4:$D$5003,"Nov",'Incident'!$H$4:$H$5003,dCrit)+COUNTIFS('Incident'!$N$4:$N$5003,"Lost Time Injury",'Incident'!$D$4:$D$5003,"Nov",'Incident'!$H$4:$H$5003,dCrit)+COUNTIFS('Incident'!$N$4:$N$5003,"Fatality",'Incident'!$D$4:$D$5003,"Nov",'Incident'!$H$4:$H$5003,dCrit)</f>
        <v>0</v>
      </c>
      <c r="G22" s="20">
        <f>COUNTIFS('Incident'!$N$4:$N$5003,"Lost Time Injury",'Incident'!$D$4:$D$5003,"Nov",'Incident'!$H$4:$H$5003,dCrit)+COUNTIFS('Incident'!$N$4:$N$5003,"Fatality",'Incident'!$D$4:$D$5003,"Nov",'Incident'!$H$4:$H$5003,dCrit)</f>
        <v>0</v>
      </c>
      <c r="H22" s="20">
        <f>COUNTIFS('Incident'!$N$4:$N$5003,"Near Miss",'Incident'!$D$4:$D$5003,"Nov",'Incident'!$H$4:$H$5003,dCrit)</f>
        <v>0</v>
      </c>
      <c r="I22" s="20">
        <f>COUNTIFS('Incident'!$N$4:$N$5003,"First Aid",'Incident'!$D$4:$D$5003,"Nov",'Incident'!$H$4:$H$5003,dCrit)</f>
        <v>0</v>
      </c>
      <c r="J22" s="20">
        <f>COUNTIFS('Incident'!$N$4:$N$5003,"Medical Treatment",'Incident'!$D$4:$D$5003,"Nov",'Incident'!$H$4:$H$5003,dCrit)</f>
        <v>0</v>
      </c>
      <c r="K22" s="20">
        <f>COUNTIFS('Incident'!$N$4:$N$5003,"Restricted Work",'Incident'!$D$4:$D$5003,"Nov",'Incident'!$H$4:$H$5003,dCrit)</f>
        <v>0</v>
      </c>
      <c r="L22" s="20">
        <f>COUNTIFS('Incident'!$N$4:$N$5003,"Lost Time Injury",'Incident'!$D$4:$D$5003,"Nov",'Incident'!$H$4:$H$5003,dCrit)</f>
        <v>0</v>
      </c>
      <c r="M22" s="20">
        <f>COUNTIFS('Incident'!$N$4:$N$5003,"Fatality",'Incident'!$D$4:$D$5003,"Nov",'Incident'!$H$4:$H$5003,dCrit)</f>
        <v>0</v>
      </c>
      <c r="N22" s="20">
        <f>SUMIFS('Incident'!$V$4:$V$5003,'Incident'!$D$4:$D$5003,"Nov",'Incident'!$H$4:$H$5003,dCrit)</f>
        <v>0</v>
      </c>
      <c r="O22" s="20">
        <f>COUNTIFS('Incident'!$D$4:$D$5003,"Nov",'Incident'!$H$4:$H$5003,dCrit)</f>
        <v>0</v>
      </c>
      <c r="P22" s="20">
        <f>COUNTIFS('Disciplinary Actions'!$D$4:$D$5003,"Nov",'Disciplinary Actions'!$F$4:$F$5003,dCrit)</f>
        <v>0</v>
      </c>
      <c r="Q22" s="20">
        <f>COUNTIFS('NC Management'!$M$4:$M$5003,"Open",'NC Management'!$D$4:$D$5003,"Nov",'NC Management'!$G$4:$G$5003,dCrit)+COUNTIFS('NC Management'!$M$4:$M$5003,"Overdue",'NC Management'!$D$4:$D$5003,"Nov",'NC Management'!$G$4:$G$5003,dCrit)</f>
        <v>0</v>
      </c>
      <c r="R22" s="20">
        <f>COUNTIFS('Training'!$D$4:$D$5003,"Nov",'Training'!$G$4:$G$5003,dCrit)</f>
        <v>0</v>
      </c>
      <c r="S22" s="20">
        <f>COUNTIFS('Training'!$N$4:$N$5003,"Completed",'Training'!$D$4:$D$5003,"Nov",'Training'!$G$4:$G$5003,dCrit)</f>
        <v>0</v>
      </c>
      <c r="T22" s="20">
        <f>COUNTIFS('HSE Observations'!$D$4:$D$5003,"Nov",'HSE Observations'!$G$4:$G$5003,dCrit)</f>
        <v>0</v>
      </c>
      <c r="U22" s="20">
        <f>COUNTIFS('HSE Observations'!$M$4:$M$5003,"Closed",'HSE Observations'!$D$4:$D$5003,"Nov",'HSE Observations'!$G$4:$G$5003,dCrit)</f>
        <v>0</v>
      </c>
      <c r="V22" s="20">
        <f>COUNTIFS('Toolbox Talks'!$D$4:$D$5003,"Nov",'Toolbox Talks'!$F$4:$F$5003,dCrit)</f>
        <v>0</v>
      </c>
      <c r="W22" s="20">
        <f>COUNTIFS('Workplace Inspections'!$D$4:$D$5003,"Nov",'Workplace Inspections'!$F$4:$F$5003,dCrit)+COUNTIFS('Equipment Inspections'!$D$4:$D$5003,"Nov",'Equipment Inspections'!$F$4:$F$5003,dCrit)+COUNTIFS('Safety Walkthroughs'!$D$4:$D$5003,"Nov",'Safety Walkthroughs'!$F$4:$F$5003,dCrit)</f>
        <v>0</v>
      </c>
      <c r="X22" s="20">
        <f>COUNTIFS('Internal Audits'!$D$4:$D$5003,"Nov",'Internal Audits'!$G$4:$G$5003,dCrit)+COUNTIFS('External Audits'!$D$4:$D$5003,"Nov",'External Audits'!$G$4:$G$5003,dCrit)</f>
        <v>0</v>
      </c>
      <c r="Y22" s="20">
        <f>COUNTIFS('PTW Audits'!$D$4:$D$5003,"Nov",'PTW Audits'!$F$4:$F$5003,dCrit)</f>
        <v>0</v>
      </c>
      <c r="Z22" s="20">
        <f>COUNTIFS('PTW Audits'!$M$4:$M$5003,"Compliant",'PTW Audits'!$D$4:$D$5003,"Nov",'PTW Audits'!$F$4:$F$5003,dCrit)</f>
        <v>0</v>
      </c>
      <c r="AA22" s="20">
        <f>COUNTIFS('Emergency Drills'!$D$4:$D$5003,"Nov")</f>
        <v>0</v>
      </c>
      <c r="AB22" s="20">
        <f>COUNTIFS('Corrective Actions'!$D$4:$D$5003,"Nov",'Corrective Actions'!$F$4:$F$5003,dCrit)</f>
        <v>0</v>
      </c>
      <c r="AC22" s="20">
        <f>COUNTIFS('Corrective Actions'!$N$4:$N$5003,"Closed",'Corrective Actions'!$D$4:$D$5003,"Nov",'Corrective Actions'!$F$4:$F$5003,dCrit)</f>
        <v>0</v>
      </c>
      <c r="AD22" s="20">
        <f>COUNTIFS('JSA Risk Assessment'!$D$4:$D$5003,"Nov",'JSA Risk Assessment'!$F$4:$F$5003,dCrit)</f>
        <v>0</v>
      </c>
      <c r="AE22" s="20">
        <f>COUNTIFS('Safety Meetings'!$D$4:$D$5003,"Nov",'Safety Meetings'!$G$4:$G$5003,dCrit)</f>
        <v>0</v>
      </c>
      <c r="AF22" s="20">
        <f>COUNTIFS('Unsafe Acts'!$D$4:$D$5003,"Nov",'Unsafe Acts'!$F$4:$F$5003,dCrit)+COUNTIFS('Unsafe Conditions'!$D$4:$D$5003,"Nov",'Unsafe Conditions'!$F$4:$F$5003,dCrit)</f>
        <v>0</v>
      </c>
      <c r="AG22" s="20">
        <f>COUNTIFS('Unsafe Acts'!$D$4:$D$5003,"Nov",'Unsafe Acts'!$F$4:$F$5003,dCrit)</f>
        <v>0</v>
      </c>
      <c r="AH22" s="20">
        <f>COUNTIFS('Unsafe Conditions'!$D$4:$D$5003,"Nov",'Unsafe Conditions'!$F$4:$F$5003,dCrit)</f>
        <v>0</v>
      </c>
      <c r="AI22" s="20">
        <f>SUMIFS('Toolbox Talks'!$J$4:$J$5003,'Toolbox Talks'!$D$4:$D$5003,"Nov",'Toolbox Talks'!$F$4:$F$5003,dCrit)</f>
        <v>0</v>
      </c>
      <c r="AJ22" s="20">
        <f>SUMIFS('Toolbox Talks'!$I$4:$I$5003,'Toolbox Talks'!$D$4:$D$5003,"Nov",'Toolbox Talks'!$F$4:$F$5003,dCrit)</f>
        <v>0</v>
      </c>
      <c r="AK22" s="20">
        <f>COUNTIFS('JSA Risk Assessment'!$M$4:$M$5003,"Approved",'JSA Risk Assessment'!$D$4:$D$5003,"Nov",'JSA Risk Assessment'!$F$4:$F$5003,dCrit)</f>
        <v>0</v>
      </c>
      <c r="AL22" s="20">
        <f>COUNTIFS('Workplace Inspections'!$D$4:$D$5003,"Nov",'Workplace Inspections'!$F$4:$F$5003,dCrit)</f>
        <v>0</v>
      </c>
      <c r="AM22" s="20">
        <f>COUNTIFS('Workplace Inspections'!$M$4:$M$5003,"Closed",'Workplace Inspections'!$D$4:$D$5003,"Nov",'Workplace Inspections'!$F$4:$F$5003,dCrit)</f>
        <v>0</v>
      </c>
      <c r="AN22" s="20">
        <f>COUNTIFS('Equipment Inspections'!$D$4:$D$5003,"Nov",'Equipment Inspections'!$F$4:$F$5003,dCrit)</f>
        <v>0</v>
      </c>
      <c r="AO22" s="20">
        <f>SUMIFS('Equipment Inspections'!$K$4:$K$5003,'Equipment Inspections'!$D$4:$D$5003,"Nov",'Equipment Inspections'!$F$4:$F$5003,dCrit)</f>
        <v>0</v>
      </c>
      <c r="AP22" s="20">
        <f>COUNTIFS('Safety Walkthroughs'!$D$4:$D$5003,"Nov",'Safety Walkthroughs'!$F$4:$F$5003,dCrit)</f>
        <v>0</v>
      </c>
      <c r="AQ22" s="20">
        <f>SUMIFS('Safety Meetings'!$M$4:$M$5003,'Safety Meetings'!$D$4:$D$5003,"Nov",'Safety Meetings'!$G$4:$G$5003,dCrit)</f>
        <v>0</v>
      </c>
      <c r="AR22" s="20">
        <f>SUMIFS('Safety Meetings'!$N$4:$N$5003,'Safety Meetings'!$D$4:$D$5003,"Nov",'Safety Meetings'!$G$4:$G$5003,dCrit)</f>
        <v>0</v>
      </c>
      <c r="AS22" s="20">
        <f>COUNTIFS('Safety Bulletins'!$D$4:$D$5003,"Nov")</f>
        <v>0</v>
      </c>
      <c r="AT22" s="20">
        <f>SUMIFS('Safety Bulletins'!$L$4:$L$5003,'Safety Bulletins'!$D$4:$D$5003,"Nov")</f>
        <v>0</v>
      </c>
      <c r="AU22" s="20">
        <f>SUMIFS('Safety Bulletins'!$M$4:$M$5003,'Safety Bulletins'!$D$4:$D$5003,"Nov")</f>
        <v>0</v>
      </c>
      <c r="AV22" s="20">
        <f>SUMIFS('Emergency Drills'!$H$4:$H$5003,'Emergency Drills'!$D$4:$D$5003,"Nov")</f>
        <v>0</v>
      </c>
      <c r="AW22" s="20">
        <f>SUMIFS('Emergency Drills'!$I$4:$I$5003,'Emergency Drills'!$D$4:$D$5003,"Nov")</f>
        <v>0</v>
      </c>
      <c r="AX22" s="20">
        <f>COUNTIFS('Internal Audits'!$D$4:$D$5003,"Nov",'Internal Audits'!$G$4:$G$5003,dCrit)</f>
        <v>0</v>
      </c>
      <c r="AY22" s="20">
        <f>SUMIFS('Internal Audits'!$L$4:$L$5003,'Internal Audits'!$D$4:$D$5003,"Nov",'Internal Audits'!$G$4:$G$5003,dCrit)+SUMIFS('Internal Audits'!$M$4:$M$5003,'Internal Audits'!$D$4:$D$5003,"Nov",'Internal Audits'!$G$4:$G$5003,dCrit)</f>
        <v>0</v>
      </c>
      <c r="AZ22" s="20">
        <f>COUNTIFS('External Audits'!$D$4:$D$5003,"Nov",'External Audits'!$G$4:$G$5003,dCrit)</f>
        <v>0</v>
      </c>
      <c r="BA22" s="20">
        <f>SUMIFS('External Audits'!$L$4:$L$5003,'External Audits'!$D$4:$D$5003,"Nov",'External Audits'!$G$4:$G$5003,dCrit)+SUMIFS('External Audits'!$M$4:$M$5003,'External Audits'!$D$4:$D$5003,"Nov",'External Audits'!$G$4:$G$5003,dCrit)</f>
        <v>0</v>
      </c>
      <c r="BB22" s="20">
        <f>COUNTIFS('Management Visits'!$D$4:$D$5003,"Nov",'Management Visits'!$F$4:$F$5003,dCrit)</f>
        <v>0</v>
      </c>
      <c r="BC22" s="20">
        <f>SUMIFS('Management Visits'!$K$4:$K$5003,'Management Visits'!$D$4:$D$5003,"Nov",'Management Visits'!$F$4:$F$5003,dCrit)</f>
        <v>0</v>
      </c>
      <c r="BD22" s="20">
        <f>SUMIFS('Management Visits'!$L$4:$L$5003,'Management Visits'!$D$4:$D$5003,"Nov",'Management Visits'!$F$4:$F$5003,dCrit)</f>
        <v>0</v>
      </c>
      <c r="BE22" s="20">
        <f>COUNTIFS('Management Reviews'!$D$4:$D$5003,"Nov")</f>
        <v>0</v>
      </c>
      <c r="BF22" s="20">
        <f>SUMIFS('Management Reviews'!$H$4:$H$5003,'Management Reviews'!$D$4:$D$5003,"Nov")</f>
        <v>0</v>
      </c>
      <c r="BG22" s="20">
        <f>SUMIFS('Management Reviews'!$G$4:$G$5003,'Management Reviews'!$D$4:$D$5003,"Nov")</f>
        <v>0</v>
      </c>
      <c r="BH22" s="20">
        <f>COUNTIFS('Safety Awards'!$D$4:$D$5003,"Nov",'Safety Awards'!$F$4:$F$5003,dCrit)</f>
        <v>0</v>
      </c>
      <c r="BI22" s="20">
        <f>COUNTIFS('Stop Work Authority'!$D$4:$D$5003,"Nov",'Stop Work Authority'!$F$4:$F$5003,dCrit)</f>
        <v>0</v>
      </c>
      <c r="BJ22" s="20">
        <f>COUNTIFS('Alcohol Tests'!$D$4:$D$5003,"Nov",'Alcohol Tests'!$E$4:$E$5003,dCrit)</f>
        <v>0</v>
      </c>
      <c r="BK22" s="20">
        <f>COUNTIFS('Alcohol Tests'!$H$4:$H$5003,"Positive",'Alcohol Tests'!$D$4:$D$5003,"Nov",'Alcohol Tests'!$E$4:$E$5003,dCrit)</f>
        <v>0</v>
      </c>
      <c r="BL22" s="20">
        <f>COUNTIFS('Unsafe Acts'!$D$4:$D$5003,"Nov",'Unsafe Acts'!$F$4:$F$5003,dCrit)</f>
        <v>0</v>
      </c>
      <c r="BM22" s="20">
        <f>COUNTIFS('Unsafe Acts'!$M$4:$M$5003,"Closed",'Unsafe Acts'!$D$4:$D$5003,"Nov",'Unsafe Acts'!$F$4:$F$5003,dCrit)</f>
        <v>0</v>
      </c>
      <c r="BN22" s="20">
        <f>COUNTIFS('Unsafe Conditions'!$D$4:$D$5003,"Nov",'Unsafe Conditions'!$F$4:$F$5003,dCrit)</f>
        <v>0</v>
      </c>
      <c r="BO22" s="20">
        <f>COUNTIFS('Unsafe Conditions'!$M$4:$M$5003,"Closed",'Unsafe Conditions'!$D$4:$D$5003,"Nov",'Unsafe Conditions'!$F$4:$F$5003,dCrit)</f>
        <v>0</v>
      </c>
      <c r="BP22" s="20">
        <f>COUNTIFS('NC Management'!$D$4:$D$5003,"Nov",'NC Management'!$G$4:$G$5003,dCrit)</f>
        <v>0</v>
      </c>
      <c r="BQ22" s="20">
        <f>COUNTIFS('NC Management'!$M$4:$M$5003,"Closed",'NC Management'!$D$4:$D$5003,"Nov",'NC Management'!$G$4:$G$5003,dCrit)</f>
        <v>0</v>
      </c>
      <c r="BR22" s="19">
        <f>IFERROR($F$22*TRIRmult/(Manhours/12),0)</f>
        <v>0</v>
      </c>
      <c r="BS22" s="19">
        <f>IFERROR($G$22*LTIFRmult/(Manhours/12),0)</f>
        <v>0</v>
      </c>
      <c r="BV22" s="11" t="s">
        <v>1735</v>
      </c>
      <c r="BW22" s="19" t="s">
        <v>1729</v>
      </c>
      <c r="BX22" s="21">
        <f>IFERROR(SUMPRODUCT(Calculations!$BQ$12:$BQ$23,Calculations!$D$12:$D$23)/SUMPRODUCT(Calculations!$BP$12:$BP$23,Calculations!$D$12:$D$23),0)*100</f>
        <v>0</v>
      </c>
      <c r="BY22" s="21">
        <f>IFERROR(SUMPRODUCT(Calculations!$BQ$12:$BQ$23,Calculations!$E$12:$E$23)/SUMPRODUCT(Calculations!$BP$12:$BP$23,Calculations!$E$12:$E$23),0)*100</f>
        <v>0</v>
      </c>
      <c r="BZ22" s="21">
        <f>IFERROR(($BX$22-$BY$22)/$BY$22,IF($BX$22&gt;0,1,0))</f>
        <v>0</v>
      </c>
      <c r="CA22" s="19">
        <f>($BX$22-$BY$22)*1</f>
        <v>0</v>
      </c>
      <c r="CC22" s="11" t="s">
        <v>771</v>
      </c>
      <c r="CD22" s="20">
        <f>SUMPRODUCT(Calculations!$T$12:$T$23,Calculations!$D$12:$D$23)</f>
        <v>0</v>
      </c>
      <c r="CF22" s="19" t="s">
        <v>122</v>
      </c>
      <c r="CG22" s="20">
        <f>COUNTIFS('Incident'!$D$4:$D$5003,"Dec",'Incident'!$H$4:$H$5003,dCrit)</f>
        <v>0</v>
      </c>
    </row>
    <row r="23" spans="2:85">
      <c r="B23" s="19" t="s">
        <v>122</v>
      </c>
      <c r="C23" s="19">
        <v>12</v>
      </c>
      <c r="D23" s="19">
        <f>IF(Calculations!$C$10=1,IF(ROUNDUP($C$23/3,0)=Calculations!$F$10,1,0),IF($C$23=Calculations!$I$10,1,0))</f>
        <v>0</v>
      </c>
      <c r="E23" s="19">
        <f>IF(Calculations!$C$10=1,IF(ROUNDUP($C$23/3,0)=Calculations!$F$10-1,1,0),IF($C$23=Calculations!$I$10-1,1,0))</f>
        <v>0</v>
      </c>
      <c r="F23" s="20">
        <f>COUNTIFS('Incident'!$N$4:$N$5003,"Medical Treatment",'Incident'!$D$4:$D$5003,"Dec",'Incident'!$H$4:$H$5003,dCrit)+COUNTIFS('Incident'!$N$4:$N$5003,"Restricted Work",'Incident'!$D$4:$D$5003,"Dec",'Incident'!$H$4:$H$5003,dCrit)+COUNTIFS('Incident'!$N$4:$N$5003,"Lost Time Injury",'Incident'!$D$4:$D$5003,"Dec",'Incident'!$H$4:$H$5003,dCrit)+COUNTIFS('Incident'!$N$4:$N$5003,"Fatality",'Incident'!$D$4:$D$5003,"Dec",'Incident'!$H$4:$H$5003,dCrit)</f>
        <v>0</v>
      </c>
      <c r="G23" s="20">
        <f>COUNTIFS('Incident'!$N$4:$N$5003,"Lost Time Injury",'Incident'!$D$4:$D$5003,"Dec",'Incident'!$H$4:$H$5003,dCrit)+COUNTIFS('Incident'!$N$4:$N$5003,"Fatality",'Incident'!$D$4:$D$5003,"Dec",'Incident'!$H$4:$H$5003,dCrit)</f>
        <v>0</v>
      </c>
      <c r="H23" s="20">
        <f>COUNTIFS('Incident'!$N$4:$N$5003,"Near Miss",'Incident'!$D$4:$D$5003,"Dec",'Incident'!$H$4:$H$5003,dCrit)</f>
        <v>0</v>
      </c>
      <c r="I23" s="20">
        <f>COUNTIFS('Incident'!$N$4:$N$5003,"First Aid",'Incident'!$D$4:$D$5003,"Dec",'Incident'!$H$4:$H$5003,dCrit)</f>
        <v>0</v>
      </c>
      <c r="J23" s="20">
        <f>COUNTIFS('Incident'!$N$4:$N$5003,"Medical Treatment",'Incident'!$D$4:$D$5003,"Dec",'Incident'!$H$4:$H$5003,dCrit)</f>
        <v>0</v>
      </c>
      <c r="K23" s="20">
        <f>COUNTIFS('Incident'!$N$4:$N$5003,"Restricted Work",'Incident'!$D$4:$D$5003,"Dec",'Incident'!$H$4:$H$5003,dCrit)</f>
        <v>0</v>
      </c>
      <c r="L23" s="20">
        <f>COUNTIFS('Incident'!$N$4:$N$5003,"Lost Time Injury",'Incident'!$D$4:$D$5003,"Dec",'Incident'!$H$4:$H$5003,dCrit)</f>
        <v>0</v>
      </c>
      <c r="M23" s="20">
        <f>COUNTIFS('Incident'!$N$4:$N$5003,"Fatality",'Incident'!$D$4:$D$5003,"Dec",'Incident'!$H$4:$H$5003,dCrit)</f>
        <v>0</v>
      </c>
      <c r="N23" s="20">
        <f>SUMIFS('Incident'!$V$4:$V$5003,'Incident'!$D$4:$D$5003,"Dec",'Incident'!$H$4:$H$5003,dCrit)</f>
        <v>0</v>
      </c>
      <c r="O23" s="20">
        <f>COUNTIFS('Incident'!$D$4:$D$5003,"Dec",'Incident'!$H$4:$H$5003,dCrit)</f>
        <v>0</v>
      </c>
      <c r="P23" s="20">
        <f>COUNTIFS('Disciplinary Actions'!$D$4:$D$5003,"Dec",'Disciplinary Actions'!$F$4:$F$5003,dCrit)</f>
        <v>0</v>
      </c>
      <c r="Q23" s="20">
        <f>COUNTIFS('NC Management'!$M$4:$M$5003,"Open",'NC Management'!$D$4:$D$5003,"Dec",'NC Management'!$G$4:$G$5003,dCrit)+COUNTIFS('NC Management'!$M$4:$M$5003,"Overdue",'NC Management'!$D$4:$D$5003,"Dec",'NC Management'!$G$4:$G$5003,dCrit)</f>
        <v>0</v>
      </c>
      <c r="R23" s="20">
        <f>COUNTIFS('Training'!$D$4:$D$5003,"Dec",'Training'!$G$4:$G$5003,dCrit)</f>
        <v>0</v>
      </c>
      <c r="S23" s="20">
        <f>COUNTIFS('Training'!$N$4:$N$5003,"Completed",'Training'!$D$4:$D$5003,"Dec",'Training'!$G$4:$G$5003,dCrit)</f>
        <v>0</v>
      </c>
      <c r="T23" s="20">
        <f>COUNTIFS('HSE Observations'!$D$4:$D$5003,"Dec",'HSE Observations'!$G$4:$G$5003,dCrit)</f>
        <v>0</v>
      </c>
      <c r="U23" s="20">
        <f>COUNTIFS('HSE Observations'!$M$4:$M$5003,"Closed",'HSE Observations'!$D$4:$D$5003,"Dec",'HSE Observations'!$G$4:$G$5003,dCrit)</f>
        <v>0</v>
      </c>
      <c r="V23" s="20">
        <f>COUNTIFS('Toolbox Talks'!$D$4:$D$5003,"Dec",'Toolbox Talks'!$F$4:$F$5003,dCrit)</f>
        <v>0</v>
      </c>
      <c r="W23" s="20">
        <f>COUNTIFS('Workplace Inspections'!$D$4:$D$5003,"Dec",'Workplace Inspections'!$F$4:$F$5003,dCrit)+COUNTIFS('Equipment Inspections'!$D$4:$D$5003,"Dec",'Equipment Inspections'!$F$4:$F$5003,dCrit)+COUNTIFS('Safety Walkthroughs'!$D$4:$D$5003,"Dec",'Safety Walkthroughs'!$F$4:$F$5003,dCrit)</f>
        <v>0</v>
      </c>
      <c r="X23" s="20">
        <f>COUNTIFS('Internal Audits'!$D$4:$D$5003,"Dec",'Internal Audits'!$G$4:$G$5003,dCrit)+COUNTIFS('External Audits'!$D$4:$D$5003,"Dec",'External Audits'!$G$4:$G$5003,dCrit)</f>
        <v>0</v>
      </c>
      <c r="Y23" s="20">
        <f>COUNTIFS('PTW Audits'!$D$4:$D$5003,"Dec",'PTW Audits'!$F$4:$F$5003,dCrit)</f>
        <v>0</v>
      </c>
      <c r="Z23" s="20">
        <f>COUNTIFS('PTW Audits'!$M$4:$M$5003,"Compliant",'PTW Audits'!$D$4:$D$5003,"Dec",'PTW Audits'!$F$4:$F$5003,dCrit)</f>
        <v>0</v>
      </c>
      <c r="AA23" s="20">
        <f>COUNTIFS('Emergency Drills'!$D$4:$D$5003,"Dec")</f>
        <v>0</v>
      </c>
      <c r="AB23" s="20">
        <f>COUNTIFS('Corrective Actions'!$D$4:$D$5003,"Dec",'Corrective Actions'!$F$4:$F$5003,dCrit)</f>
        <v>0</v>
      </c>
      <c r="AC23" s="20">
        <f>COUNTIFS('Corrective Actions'!$N$4:$N$5003,"Closed",'Corrective Actions'!$D$4:$D$5003,"Dec",'Corrective Actions'!$F$4:$F$5003,dCrit)</f>
        <v>0</v>
      </c>
      <c r="AD23" s="20">
        <f>COUNTIFS('JSA Risk Assessment'!$D$4:$D$5003,"Dec",'JSA Risk Assessment'!$F$4:$F$5003,dCrit)</f>
        <v>0</v>
      </c>
      <c r="AE23" s="20">
        <f>COUNTIFS('Safety Meetings'!$D$4:$D$5003,"Dec",'Safety Meetings'!$G$4:$G$5003,dCrit)</f>
        <v>0</v>
      </c>
      <c r="AF23" s="20">
        <f>COUNTIFS('Unsafe Acts'!$D$4:$D$5003,"Dec",'Unsafe Acts'!$F$4:$F$5003,dCrit)+COUNTIFS('Unsafe Conditions'!$D$4:$D$5003,"Dec",'Unsafe Conditions'!$F$4:$F$5003,dCrit)</f>
        <v>0</v>
      </c>
      <c r="AG23" s="20">
        <f>COUNTIFS('Unsafe Acts'!$D$4:$D$5003,"Dec",'Unsafe Acts'!$F$4:$F$5003,dCrit)</f>
        <v>0</v>
      </c>
      <c r="AH23" s="20">
        <f>COUNTIFS('Unsafe Conditions'!$D$4:$D$5003,"Dec",'Unsafe Conditions'!$F$4:$F$5003,dCrit)</f>
        <v>0</v>
      </c>
      <c r="AI23" s="20">
        <f>SUMIFS('Toolbox Talks'!$J$4:$J$5003,'Toolbox Talks'!$D$4:$D$5003,"Dec",'Toolbox Talks'!$F$4:$F$5003,dCrit)</f>
        <v>0</v>
      </c>
      <c r="AJ23" s="20">
        <f>SUMIFS('Toolbox Talks'!$I$4:$I$5003,'Toolbox Talks'!$D$4:$D$5003,"Dec",'Toolbox Talks'!$F$4:$F$5003,dCrit)</f>
        <v>0</v>
      </c>
      <c r="AK23" s="20">
        <f>COUNTIFS('JSA Risk Assessment'!$M$4:$M$5003,"Approved",'JSA Risk Assessment'!$D$4:$D$5003,"Dec",'JSA Risk Assessment'!$F$4:$F$5003,dCrit)</f>
        <v>0</v>
      </c>
      <c r="AL23" s="20">
        <f>COUNTIFS('Workplace Inspections'!$D$4:$D$5003,"Dec",'Workplace Inspections'!$F$4:$F$5003,dCrit)</f>
        <v>0</v>
      </c>
      <c r="AM23" s="20">
        <f>COUNTIFS('Workplace Inspections'!$M$4:$M$5003,"Closed",'Workplace Inspections'!$D$4:$D$5003,"Dec",'Workplace Inspections'!$F$4:$F$5003,dCrit)</f>
        <v>0</v>
      </c>
      <c r="AN23" s="20">
        <f>COUNTIFS('Equipment Inspections'!$D$4:$D$5003,"Dec",'Equipment Inspections'!$F$4:$F$5003,dCrit)</f>
        <v>0</v>
      </c>
      <c r="AO23" s="20">
        <f>SUMIFS('Equipment Inspections'!$K$4:$K$5003,'Equipment Inspections'!$D$4:$D$5003,"Dec",'Equipment Inspections'!$F$4:$F$5003,dCrit)</f>
        <v>0</v>
      </c>
      <c r="AP23" s="20">
        <f>COUNTIFS('Safety Walkthroughs'!$D$4:$D$5003,"Dec",'Safety Walkthroughs'!$F$4:$F$5003,dCrit)</f>
        <v>0</v>
      </c>
      <c r="AQ23" s="20">
        <f>SUMIFS('Safety Meetings'!$M$4:$M$5003,'Safety Meetings'!$D$4:$D$5003,"Dec",'Safety Meetings'!$G$4:$G$5003,dCrit)</f>
        <v>0</v>
      </c>
      <c r="AR23" s="20">
        <f>SUMIFS('Safety Meetings'!$N$4:$N$5003,'Safety Meetings'!$D$4:$D$5003,"Dec",'Safety Meetings'!$G$4:$G$5003,dCrit)</f>
        <v>0</v>
      </c>
      <c r="AS23" s="20">
        <f>COUNTIFS('Safety Bulletins'!$D$4:$D$5003,"Dec")</f>
        <v>0</v>
      </c>
      <c r="AT23" s="20">
        <f>SUMIFS('Safety Bulletins'!$L$4:$L$5003,'Safety Bulletins'!$D$4:$D$5003,"Dec")</f>
        <v>0</v>
      </c>
      <c r="AU23" s="20">
        <f>SUMIFS('Safety Bulletins'!$M$4:$M$5003,'Safety Bulletins'!$D$4:$D$5003,"Dec")</f>
        <v>0</v>
      </c>
      <c r="AV23" s="20">
        <f>SUMIFS('Emergency Drills'!$H$4:$H$5003,'Emergency Drills'!$D$4:$D$5003,"Dec")</f>
        <v>0</v>
      </c>
      <c r="AW23" s="20">
        <f>SUMIFS('Emergency Drills'!$I$4:$I$5003,'Emergency Drills'!$D$4:$D$5003,"Dec")</f>
        <v>0</v>
      </c>
      <c r="AX23" s="20">
        <f>COUNTIFS('Internal Audits'!$D$4:$D$5003,"Dec",'Internal Audits'!$G$4:$G$5003,dCrit)</f>
        <v>0</v>
      </c>
      <c r="AY23" s="20">
        <f>SUMIFS('Internal Audits'!$L$4:$L$5003,'Internal Audits'!$D$4:$D$5003,"Dec",'Internal Audits'!$G$4:$G$5003,dCrit)+SUMIFS('Internal Audits'!$M$4:$M$5003,'Internal Audits'!$D$4:$D$5003,"Dec",'Internal Audits'!$G$4:$G$5003,dCrit)</f>
        <v>0</v>
      </c>
      <c r="AZ23" s="20">
        <f>COUNTIFS('External Audits'!$D$4:$D$5003,"Dec",'External Audits'!$G$4:$G$5003,dCrit)</f>
        <v>0</v>
      </c>
      <c r="BA23" s="20">
        <f>SUMIFS('External Audits'!$L$4:$L$5003,'External Audits'!$D$4:$D$5003,"Dec",'External Audits'!$G$4:$G$5003,dCrit)+SUMIFS('External Audits'!$M$4:$M$5003,'External Audits'!$D$4:$D$5003,"Dec",'External Audits'!$G$4:$G$5003,dCrit)</f>
        <v>0</v>
      </c>
      <c r="BB23" s="20">
        <f>COUNTIFS('Management Visits'!$D$4:$D$5003,"Dec",'Management Visits'!$F$4:$F$5003,dCrit)</f>
        <v>0</v>
      </c>
      <c r="BC23" s="20">
        <f>SUMIFS('Management Visits'!$K$4:$K$5003,'Management Visits'!$D$4:$D$5003,"Dec",'Management Visits'!$F$4:$F$5003,dCrit)</f>
        <v>0</v>
      </c>
      <c r="BD23" s="20">
        <f>SUMIFS('Management Visits'!$L$4:$L$5003,'Management Visits'!$D$4:$D$5003,"Dec",'Management Visits'!$F$4:$F$5003,dCrit)</f>
        <v>0</v>
      </c>
      <c r="BE23" s="20">
        <f>COUNTIFS('Management Reviews'!$D$4:$D$5003,"Dec")</f>
        <v>0</v>
      </c>
      <c r="BF23" s="20">
        <f>SUMIFS('Management Reviews'!$H$4:$H$5003,'Management Reviews'!$D$4:$D$5003,"Dec")</f>
        <v>0</v>
      </c>
      <c r="BG23" s="20">
        <f>SUMIFS('Management Reviews'!$G$4:$G$5003,'Management Reviews'!$D$4:$D$5003,"Dec")</f>
        <v>0</v>
      </c>
      <c r="BH23" s="20">
        <f>COUNTIFS('Safety Awards'!$D$4:$D$5003,"Dec",'Safety Awards'!$F$4:$F$5003,dCrit)</f>
        <v>0</v>
      </c>
      <c r="BI23" s="20">
        <f>COUNTIFS('Stop Work Authority'!$D$4:$D$5003,"Dec",'Stop Work Authority'!$F$4:$F$5003,dCrit)</f>
        <v>0</v>
      </c>
      <c r="BJ23" s="20">
        <f>COUNTIFS('Alcohol Tests'!$D$4:$D$5003,"Dec",'Alcohol Tests'!$E$4:$E$5003,dCrit)</f>
        <v>0</v>
      </c>
      <c r="BK23" s="20">
        <f>COUNTIFS('Alcohol Tests'!$H$4:$H$5003,"Positive",'Alcohol Tests'!$D$4:$D$5003,"Dec",'Alcohol Tests'!$E$4:$E$5003,dCrit)</f>
        <v>0</v>
      </c>
      <c r="BL23" s="20">
        <f>COUNTIFS('Unsafe Acts'!$D$4:$D$5003,"Dec",'Unsafe Acts'!$F$4:$F$5003,dCrit)</f>
        <v>0</v>
      </c>
      <c r="BM23" s="20">
        <f>COUNTIFS('Unsafe Acts'!$M$4:$M$5003,"Closed",'Unsafe Acts'!$D$4:$D$5003,"Dec",'Unsafe Acts'!$F$4:$F$5003,dCrit)</f>
        <v>0</v>
      </c>
      <c r="BN23" s="20">
        <f>COUNTIFS('Unsafe Conditions'!$D$4:$D$5003,"Dec",'Unsafe Conditions'!$F$4:$F$5003,dCrit)</f>
        <v>0</v>
      </c>
      <c r="BO23" s="20">
        <f>COUNTIFS('Unsafe Conditions'!$M$4:$M$5003,"Closed",'Unsafe Conditions'!$D$4:$D$5003,"Dec",'Unsafe Conditions'!$F$4:$F$5003,dCrit)</f>
        <v>0</v>
      </c>
      <c r="BP23" s="20">
        <f>COUNTIFS('NC Management'!$D$4:$D$5003,"Dec",'NC Management'!$G$4:$G$5003,dCrit)</f>
        <v>0</v>
      </c>
      <c r="BQ23" s="20">
        <f>COUNTIFS('NC Management'!$M$4:$M$5003,"Closed",'NC Management'!$D$4:$D$5003,"Dec",'NC Management'!$G$4:$G$5003,dCrit)</f>
        <v>0</v>
      </c>
      <c r="BR23" s="19">
        <f>IFERROR($F$23*TRIRmult/(Manhours/12),0)</f>
        <v>0</v>
      </c>
      <c r="BS23" s="19">
        <f>IFERROR($G$23*LTIFRmult/(Manhours/12),0)</f>
        <v>0</v>
      </c>
      <c r="BV23" s="11" t="s">
        <v>1736</v>
      </c>
      <c r="BW23" s="19" t="s">
        <v>1729</v>
      </c>
      <c r="BX23" s="21">
        <f>IFERROR(SUMPRODUCT(Calculations!$BK$12:$BK$23,Calculations!$D$12:$D$23)/SUMPRODUCT(Calculations!$BJ$12:$BJ$23,Calculations!$D$12:$D$23),0)*100</f>
        <v>0</v>
      </c>
      <c r="BY23" s="21">
        <f>IFERROR(SUMPRODUCT(Calculations!$BK$12:$BK$23,Calculations!$E$12:$E$23)/SUMPRODUCT(Calculations!$BJ$12:$BJ$23,Calculations!$E$12:$E$23),0)*100</f>
        <v>0</v>
      </c>
      <c r="BZ23" s="21">
        <f>IFERROR(($BX$23-$BY$23)/$BY$23,IF($BX$23&gt;0,1,0))</f>
        <v>0</v>
      </c>
      <c r="CA23" s="19">
        <f>($BX$23-$BY$23)*-1</f>
        <v>0</v>
      </c>
      <c r="CC23" s="11" t="s">
        <v>1786</v>
      </c>
      <c r="CD23" s="20">
        <f>SUMPRODUCT(Calculations!$W$12:$W$23,Calculations!$D$12:$D$23)</f>
        <v>0</v>
      </c>
    </row>
    <row r="24" spans="2:85">
      <c r="BV24" s="11" t="s">
        <v>1737</v>
      </c>
      <c r="BW24" s="19" t="s">
        <v>1738</v>
      </c>
      <c r="BX24" s="20">
        <f>SUMPRODUCT(Calculations!$V$12:$V$23,Calculations!$D$12:$D$23)</f>
        <v>0</v>
      </c>
      <c r="BY24" s="20">
        <f>SUMPRODUCT(Calculations!$V$12:$V$23,Calculations!$E$12:$E$23)</f>
        <v>0</v>
      </c>
      <c r="BZ24" s="21">
        <f>IFERROR(($BX$24-$BY$24)/$BY$24,IF($BX$24&gt;0,1,0))</f>
        <v>0</v>
      </c>
      <c r="CA24" s="19">
        <f>($BX$24-$BY$24)*1</f>
        <v>0</v>
      </c>
      <c r="CC24" s="11" t="s">
        <v>1787</v>
      </c>
      <c r="CD24" s="20">
        <f>SUMPRODUCT(Calculations!$X$12:$X$23,Calculations!$D$12:$D$23)</f>
        <v>0</v>
      </c>
    </row>
    <row r="25" spans="2:85">
      <c r="BV25" s="11" t="s">
        <v>1739</v>
      </c>
      <c r="BW25" s="19" t="s">
        <v>1738</v>
      </c>
      <c r="BX25" s="21">
        <f>IFERROR(SUMPRODUCT(Calculations!$AI$12:$AI$23,Calculations!$D$12:$D$23)/SUMPRODUCT(Calculations!$AJ$12:$AJ$23,Calculations!$D$12:$D$23),0)*100</f>
        <v>0</v>
      </c>
      <c r="BY25" s="21">
        <f>IFERROR(SUMPRODUCT(Calculations!$AI$12:$AI$23,Calculations!$E$12:$E$23)/SUMPRODUCT(Calculations!$AJ$12:$AJ$23,Calculations!$E$12:$E$23),0)*100</f>
        <v>0</v>
      </c>
      <c r="BZ25" s="21">
        <f>IFERROR(($BX$25-$BY$25)/$BY$25,IF($BX$25&gt;0,1,0))</f>
        <v>0</v>
      </c>
      <c r="CA25" s="19">
        <f>($BX$25-$BY$25)*1</f>
        <v>0</v>
      </c>
      <c r="CC25" s="11" t="s">
        <v>1788</v>
      </c>
      <c r="CD25" s="20">
        <f>SUMPRODUCT(Calculations!$AA$12:$AA$23,Calculations!$D$12:$D$23)</f>
        <v>0</v>
      </c>
    </row>
    <row r="26" spans="2:85">
      <c r="BV26" s="11" t="s">
        <v>1740</v>
      </c>
      <c r="BW26" s="19" t="s">
        <v>1738</v>
      </c>
      <c r="BX26" s="20">
        <f>SUMPRODUCT(Calculations!$AD$12:$AD$23,Calculations!$D$12:$D$23)</f>
        <v>0</v>
      </c>
      <c r="BY26" s="20">
        <f>SUMPRODUCT(Calculations!$AD$12:$AD$23,Calculations!$E$12:$E$23)</f>
        <v>0</v>
      </c>
      <c r="BZ26" s="21">
        <f>IFERROR(($BX$26-$BY$26)/$BY$26,IF($BX$26&gt;0,1,0))</f>
        <v>0</v>
      </c>
      <c r="CA26" s="19">
        <f>($BX$26-$BY$26)*1</f>
        <v>0</v>
      </c>
      <c r="CC26" s="11" t="s">
        <v>1768</v>
      </c>
      <c r="CD26" s="20">
        <f>SUMPRODUCT(Calculations!$Y$12:$Y$23,Calculations!$D$12:$D$23)</f>
        <v>0</v>
      </c>
    </row>
    <row r="27" spans="2:85">
      <c r="BV27" s="11" t="s">
        <v>1741</v>
      </c>
      <c r="BW27" s="19" t="s">
        <v>1738</v>
      </c>
      <c r="BX27" s="21">
        <f>IFERROR(SUMPRODUCT(Calculations!$AK$12:$AK$23,Calculations!$D$12:$D$23)/SUMPRODUCT(Calculations!$AD$12:$AD$23,Calculations!$D$12:$D$23),0)*100</f>
        <v>0</v>
      </c>
      <c r="BY27" s="21">
        <f>IFERROR(SUMPRODUCT(Calculations!$AK$12:$AK$23,Calculations!$E$12:$E$23)/SUMPRODUCT(Calculations!$AD$12:$AD$23,Calculations!$E$12:$E$23),0)*100</f>
        <v>0</v>
      </c>
      <c r="BZ27" s="21">
        <f>IFERROR(($BX$27-$BY$27)/$BY$27,IF($BX$27&gt;0,1,0))</f>
        <v>0</v>
      </c>
      <c r="CA27" s="19">
        <f>($BX$27-$BY$27)*1</f>
        <v>0</v>
      </c>
      <c r="CC27" s="11" t="s">
        <v>1789</v>
      </c>
      <c r="CD27" s="20">
        <f>SUMPRODUCT(Calculations!$AE$12:$AE$23,Calculations!$D$12:$D$23)</f>
        <v>0</v>
      </c>
    </row>
    <row r="28" spans="2:85">
      <c r="BV28" s="11" t="s">
        <v>1742</v>
      </c>
      <c r="BW28" s="19" t="s">
        <v>1738</v>
      </c>
      <c r="BX28" s="20">
        <f>SUMPRODUCT(Calculations!$R$12:$R$23,Calculations!$D$12:$D$23)</f>
        <v>0</v>
      </c>
      <c r="BY28" s="20">
        <f>SUMPRODUCT(Calculations!$R$12:$R$23,Calculations!$E$12:$E$23)</f>
        <v>0</v>
      </c>
      <c r="BZ28" s="21">
        <f>IFERROR(($BX$28-$BY$28)/$BY$28,IF($BX$28&gt;0,1,0))</f>
        <v>0</v>
      </c>
      <c r="CA28" s="19">
        <f>($BX$28-$BY$28)*1</f>
        <v>0</v>
      </c>
      <c r="CC28" s="11" t="s">
        <v>169</v>
      </c>
      <c r="CD28" s="20">
        <f>SUMPRODUCT(Calculations!$AD$12:$AD$23,Calculations!$D$12:$D$23)</f>
        <v>0</v>
      </c>
    </row>
    <row r="29" spans="2:85">
      <c r="BV29" s="11" t="s">
        <v>1743</v>
      </c>
      <c r="BW29" s="19" t="s">
        <v>1738</v>
      </c>
      <c r="BX29" s="21">
        <f>IFERROR(SUMPRODUCT(Calculations!$S$12:$S$23,Calculations!$D$12:$D$23)/SUMPRODUCT(Calculations!$R$12:$R$23,Calculations!$D$12:$D$23),0)*100</f>
        <v>0</v>
      </c>
      <c r="BY29" s="21">
        <f>IFERROR(SUMPRODUCT(Calculations!$S$12:$S$23,Calculations!$E$12:$E$23)/SUMPRODUCT(Calculations!$R$12:$R$23,Calculations!$E$12:$E$23),0)*100</f>
        <v>0</v>
      </c>
      <c r="BZ29" s="21">
        <f>IFERROR(($BX$29-$BY$29)/$BY$29,IF($BX$29&gt;0,1,0))</f>
        <v>0</v>
      </c>
      <c r="CA29" s="19">
        <f>($BX$29-$BY$29)*1</f>
        <v>0</v>
      </c>
    </row>
    <row r="30" spans="2:85">
      <c r="BV30" s="11" t="s">
        <v>1744</v>
      </c>
      <c r="BW30" s="19" t="s">
        <v>1738</v>
      </c>
      <c r="BX30" s="20">
        <f>SUMPRODUCT(Calculations!$T$12:$T$23,Calculations!$D$12:$D$23)</f>
        <v>0</v>
      </c>
      <c r="BY30" s="20">
        <f>SUMPRODUCT(Calculations!$T$12:$T$23,Calculations!$E$12:$E$23)</f>
        <v>0</v>
      </c>
      <c r="BZ30" s="21">
        <f>IFERROR(($BX$30-$BY$30)/$BY$30,IF($BX$30&gt;0,1,0))</f>
        <v>0</v>
      </c>
      <c r="CA30" s="19">
        <f>($BX$30-$BY$30)*1</f>
        <v>0</v>
      </c>
      <c r="CC30" s="10" t="s">
        <v>1790</v>
      </c>
      <c r="CD30" s="10" t="s">
        <v>1782</v>
      </c>
    </row>
    <row r="31" spans="2:85">
      <c r="BV31" s="11" t="s">
        <v>1745</v>
      </c>
      <c r="BW31" s="19" t="s">
        <v>1738</v>
      </c>
      <c r="BX31" s="21">
        <f>IFERROR(SUMPRODUCT(Calculations!$U$12:$U$23,Calculations!$D$12:$D$23)/SUMPRODUCT(Calculations!$T$12:$T$23,Calculations!$D$12:$D$23),0)*100</f>
        <v>0</v>
      </c>
      <c r="BY31" s="21">
        <f>IFERROR(SUMPRODUCT(Calculations!$U$12:$U$23,Calculations!$E$12:$E$23)/SUMPRODUCT(Calculations!$T$12:$T$23,Calculations!$E$12:$E$23),0)*100</f>
        <v>0</v>
      </c>
      <c r="BZ31" s="21">
        <f>IFERROR(($BX$31-$BY$31)/$BY$31,IF($BX$31&gt;0,1,0))</f>
        <v>0</v>
      </c>
      <c r="CA31" s="19">
        <f>($BX$31-$BY$31)*1</f>
        <v>0</v>
      </c>
      <c r="CC31" s="11" t="s">
        <v>1791</v>
      </c>
      <c r="CD31" s="20">
        <f>SUMPRODUCT(Calculations!$O$12:$O$23,Calculations!$D$12:$D$23)</f>
        <v>0</v>
      </c>
    </row>
    <row r="32" spans="2:85">
      <c r="BV32" s="11" t="s">
        <v>1746</v>
      </c>
      <c r="BW32" s="19" t="s">
        <v>1738</v>
      </c>
      <c r="BX32" s="20">
        <f>SUMPRODUCT(Calculations!$AL$12:$AL$23,Calculations!$D$12:$D$23)</f>
        <v>0</v>
      </c>
      <c r="BY32" s="20">
        <f>SUMPRODUCT(Calculations!$AL$12:$AL$23,Calculations!$E$12:$E$23)</f>
        <v>0</v>
      </c>
      <c r="BZ32" s="21">
        <f>IFERROR(($BX$32-$BY$32)/$BY$32,IF($BX$32&gt;0,1,0))</f>
        <v>0</v>
      </c>
      <c r="CA32" s="19">
        <f>($BX$32-$BY$32)*1</f>
        <v>0</v>
      </c>
      <c r="CC32" s="11" t="s">
        <v>1731</v>
      </c>
      <c r="CD32" s="20">
        <f>SUMPRODUCT(Calculations!$F$12:$F$23,Calculations!$D$12:$D$23)</f>
        <v>0</v>
      </c>
    </row>
    <row r="33" spans="74:84">
      <c r="BV33" s="11" t="s">
        <v>1747</v>
      </c>
      <c r="BW33" s="19" t="s">
        <v>1738</v>
      </c>
      <c r="BX33" s="21">
        <f>IFERROR(SUMPRODUCT(Calculations!$AM$12:$AM$23,Calculations!$D$12:$D$23)/SUMPRODUCT(Calculations!$AL$12:$AL$23,Calculations!$D$12:$D$23),0)*100</f>
        <v>0</v>
      </c>
      <c r="BY33" s="21">
        <f>IFERROR(SUMPRODUCT(Calculations!$AM$12:$AM$23,Calculations!$E$12:$E$23)/SUMPRODUCT(Calculations!$AL$12:$AL$23,Calculations!$E$12:$E$23),0)*100</f>
        <v>0</v>
      </c>
      <c r="BZ33" s="21">
        <f>IFERROR(($BX$33-$BY$33)/$BY$33,IF($BX$33&gt;0,1,0))</f>
        <v>0</v>
      </c>
      <c r="CA33" s="19">
        <f>($BX$33-$BY$33)*1</f>
        <v>0</v>
      </c>
      <c r="CC33" s="11" t="s">
        <v>1494</v>
      </c>
      <c r="CD33" s="20">
        <f>SUMPRODUCT(Calculations!$H$12:$H$23,Calculations!$D$12:$D$23)</f>
        <v>0</v>
      </c>
    </row>
    <row r="34" spans="74:84">
      <c r="BV34" s="11" t="s">
        <v>1748</v>
      </c>
      <c r="BW34" s="19" t="s">
        <v>1738</v>
      </c>
      <c r="BX34" s="20">
        <f>SUMPRODUCT(Calculations!$AN$12:$AN$23,Calculations!$D$12:$D$23)</f>
        <v>0</v>
      </c>
      <c r="BY34" s="20">
        <f>SUMPRODUCT(Calculations!$AN$12:$AN$23,Calculations!$E$12:$E$23)</f>
        <v>0</v>
      </c>
      <c r="BZ34" s="21">
        <f>IFERROR(($BX$34-$BY$34)/$BY$34,IF($BX$34&gt;0,1,0))</f>
        <v>0</v>
      </c>
      <c r="CA34" s="19">
        <f>($BX$34-$BY$34)*1</f>
        <v>0</v>
      </c>
      <c r="CC34" s="11" t="s">
        <v>1507</v>
      </c>
      <c r="CD34" s="20">
        <f>SUMPRODUCT(Calculations!$I$12:$I$23,Calculations!$D$12:$D$23)</f>
        <v>0</v>
      </c>
    </row>
    <row r="35" spans="74:84">
      <c r="BV35" s="11" t="s">
        <v>1749</v>
      </c>
      <c r="BW35" s="19" t="s">
        <v>1738</v>
      </c>
      <c r="BX35" s="20">
        <f>SUMPRODUCT(Calculations!$AO$12:$AO$23,Calculations!$D$12:$D$23)</f>
        <v>0</v>
      </c>
      <c r="BY35" s="20">
        <f>SUMPRODUCT(Calculations!$AO$12:$AO$23,Calculations!$E$12:$E$23)</f>
        <v>0</v>
      </c>
      <c r="BZ35" s="21">
        <f>IFERROR(($BX$35-$BY$35)/$BY$35,IF($BX$35&gt;0,1,0))</f>
        <v>0</v>
      </c>
      <c r="CA35" s="19">
        <f>($BX$35-$BY$35)*-1</f>
        <v>0</v>
      </c>
      <c r="CC35" s="11" t="s">
        <v>1792</v>
      </c>
      <c r="CD35" s="20">
        <f>SUMPRODUCT(Calculations!$G$12:$G$23,Calculations!$D$12:$D$23)</f>
        <v>0</v>
      </c>
    </row>
    <row r="36" spans="74:84">
      <c r="BV36" s="11" t="s">
        <v>1750</v>
      </c>
      <c r="BW36" s="19" t="s">
        <v>1738</v>
      </c>
      <c r="BX36" s="20">
        <f>SUMPRODUCT(Calculations!$AP$12:$AP$23,Calculations!$D$12:$D$23)</f>
        <v>0</v>
      </c>
      <c r="BY36" s="20">
        <f>SUMPRODUCT(Calculations!$AP$12:$AP$23,Calculations!$E$12:$E$23)</f>
        <v>0</v>
      </c>
      <c r="BZ36" s="21">
        <f>IFERROR(($BX$36-$BY$36)/$BY$36,IF($BX$36&gt;0,1,0))</f>
        <v>0</v>
      </c>
      <c r="CA36" s="19">
        <f>($BX$36-$BY$36)*1</f>
        <v>0</v>
      </c>
      <c r="CC36" s="11" t="s">
        <v>1590</v>
      </c>
      <c r="CD36" s="20">
        <f>SUMPRODUCT(Calculations!$N$12:$N$23,Calculations!$D$12:$D$23)</f>
        <v>0</v>
      </c>
    </row>
    <row r="37" spans="74:84">
      <c r="BV37" s="11" t="s">
        <v>1751</v>
      </c>
      <c r="BW37" s="19" t="s">
        <v>1738</v>
      </c>
      <c r="BX37" s="20">
        <f>SUMPRODUCT(Calculations!$AE$12:$AE$23,Calculations!$D$12:$D$23)</f>
        <v>0</v>
      </c>
      <c r="BY37" s="20">
        <f>SUMPRODUCT(Calculations!$AE$12:$AE$23,Calculations!$E$12:$E$23)</f>
        <v>0</v>
      </c>
      <c r="BZ37" s="21">
        <f>IFERROR(($BX$37-$BY$37)/$BY$37,IF($BX$37&gt;0,1,0))</f>
        <v>0</v>
      </c>
      <c r="CA37" s="19">
        <f>($BX$37-$BY$37)*1</f>
        <v>0</v>
      </c>
      <c r="CC37" s="11" t="s">
        <v>1733</v>
      </c>
      <c r="CD37" s="20">
        <f>SUMPRODUCT(Calculations!$P$12:$P$23,Calculations!$D$12:$D$23)</f>
        <v>0</v>
      </c>
    </row>
    <row r="38" spans="74:84">
      <c r="BV38" s="11" t="s">
        <v>1752</v>
      </c>
      <c r="BW38" s="19" t="s">
        <v>1738</v>
      </c>
      <c r="BX38" s="21">
        <f>IFERROR(SUMPRODUCT(Calculations!$AR$12:$AR$23,Calculations!$D$12:$D$23)/SUMPRODUCT(Calculations!$AQ$12:$AQ$23,Calculations!$D$12:$D$23),0)*100</f>
        <v>0</v>
      </c>
      <c r="BY38" s="21">
        <f>IFERROR(SUMPRODUCT(Calculations!$AR$12:$AR$23,Calculations!$E$12:$E$23)/SUMPRODUCT(Calculations!$AQ$12:$AQ$23,Calculations!$E$12:$E$23),0)*100</f>
        <v>0</v>
      </c>
      <c r="BZ38" s="21">
        <f>IFERROR(($BX$38-$BY$38)/$BY$38,IF($BX$38&gt;0,1,0))</f>
        <v>0</v>
      </c>
      <c r="CA38" s="19">
        <f>($BX$38-$BY$38)*1</f>
        <v>0</v>
      </c>
      <c r="CC38" s="11" t="s">
        <v>1793</v>
      </c>
      <c r="CD38" s="20">
        <f>SUMPRODUCT(Calculations!$Q$12:$Q$23,Calculations!$D$12:$D$23)</f>
        <v>0</v>
      </c>
    </row>
    <row r="39" spans="74:84">
      <c r="BV39" s="11" t="s">
        <v>1753</v>
      </c>
      <c r="BW39" s="19" t="s">
        <v>1738</v>
      </c>
      <c r="BX39" s="20">
        <f>SUMPRODUCT(Calculations!$AS$12:$AS$23,Calculations!$D$12:$D$23)</f>
        <v>0</v>
      </c>
      <c r="BY39" s="20">
        <f>SUMPRODUCT(Calculations!$AS$12:$AS$23,Calculations!$E$12:$E$23)</f>
        <v>0</v>
      </c>
      <c r="BZ39" s="21">
        <f>IFERROR(($BX$39-$BY$39)/$BY$39,IF($BX$39&gt;0,1,0))</f>
        <v>0</v>
      </c>
      <c r="CA39" s="19">
        <f>($BX$39-$BY$39)*1</f>
        <v>0</v>
      </c>
    </row>
    <row r="40" spans="74:84">
      <c r="BV40" s="11" t="s">
        <v>1754</v>
      </c>
      <c r="BW40" s="19" t="s">
        <v>1738</v>
      </c>
      <c r="BX40" s="21">
        <f>IFERROR(SUMPRODUCT(Calculations!$AU$12:$AU$23,Calculations!$D$12:$D$23)/SUMPRODUCT(Calculations!$AT$12:$AT$23,Calculations!$D$12:$D$23),0)*100</f>
        <v>0</v>
      </c>
      <c r="BY40" s="21">
        <f>IFERROR(SUMPRODUCT(Calculations!$AU$12:$AU$23,Calculations!$E$12:$E$23)/SUMPRODUCT(Calculations!$AT$12:$AT$23,Calculations!$E$12:$E$23),0)*100</f>
        <v>0</v>
      </c>
      <c r="BZ40" s="21">
        <f>IFERROR(($BX$40-$BY$40)/$BY$40,IF($BX$40&gt;0,1,0))</f>
        <v>0</v>
      </c>
      <c r="CA40" s="19">
        <f>($BX$40-$BY$40)*1</f>
        <v>0</v>
      </c>
      <c r="CC40" s="10" t="s">
        <v>1796</v>
      </c>
      <c r="CD40" s="10" t="s">
        <v>1797</v>
      </c>
      <c r="CE40" s="10" t="s">
        <v>1798</v>
      </c>
      <c r="CF40" s="10" t="s">
        <v>287</v>
      </c>
    </row>
    <row r="41" spans="74:84">
      <c r="BV41" s="11" t="s">
        <v>1755</v>
      </c>
      <c r="BW41" s="19" t="s">
        <v>1738</v>
      </c>
      <c r="BX41" s="20">
        <f>SUMPRODUCT(Calculations!$AA$12:$AA$23,Calculations!$D$12:$D$23)</f>
        <v>0</v>
      </c>
      <c r="BY41" s="20">
        <f>SUMPRODUCT(Calculations!$AA$12:$AA$23,Calculations!$E$12:$E$23)</f>
        <v>0</v>
      </c>
      <c r="BZ41" s="21">
        <f>IFERROR(($BX$41-$BY$41)/$BY$41,IF($BX$41&gt;0,1,0))</f>
        <v>0</v>
      </c>
      <c r="CA41" s="19">
        <f>($BX$41-$BY$41)*1</f>
        <v>0</v>
      </c>
      <c r="CC41" s="11" t="s">
        <v>1639</v>
      </c>
      <c r="CD41" s="19">
        <f>TRIR</f>
        <v>0</v>
      </c>
      <c r="CE41" s="19">
        <f>TgtTRIR</f>
        <v>0</v>
      </c>
      <c r="CF41" s="11">
        <f>IF(TRIR&lt;=TgtTRIR,"🟢 GREEN",IF(TRIR&lt;=TgtTRIR/AmberBand,"🟡 AMBER","🔴 RED"))</f>
        <v>0</v>
      </c>
    </row>
    <row r="42" spans="74:84">
      <c r="BV42" s="11" t="s">
        <v>1756</v>
      </c>
      <c r="BW42" s="19" t="s">
        <v>1738</v>
      </c>
      <c r="BX42" s="21">
        <f>IFERROR(SUMPRODUCT(Calculations!$AW$12:$AW$23,Calculations!$D$12:$D$23)/SUMPRODUCT(Calculations!$AV$12:$AV$23,Calculations!$D$12:$D$23),0)*100</f>
        <v>0</v>
      </c>
      <c r="BY42" s="21">
        <f>IFERROR(SUMPRODUCT(Calculations!$AW$12:$AW$23,Calculations!$E$12:$E$23)/SUMPRODUCT(Calculations!$AV$12:$AV$23,Calculations!$E$12:$E$23),0)*100</f>
        <v>0</v>
      </c>
      <c r="BZ42" s="21">
        <f>IFERROR(($BX$42-$BY$42)/$BY$42,IF($BX$42&gt;0,1,0))</f>
        <v>0</v>
      </c>
      <c r="CA42" s="19">
        <f>($BX$42-$BY$42)*1</f>
        <v>0</v>
      </c>
      <c r="CC42" s="11" t="s">
        <v>1745</v>
      </c>
      <c r="CD42" s="19">
        <f>ObsClosure/100</f>
        <v>0</v>
      </c>
      <c r="CE42" s="19">
        <f>TgtObs</f>
        <v>0</v>
      </c>
      <c r="CF42" s="11">
        <f>IF(ObsClosure/100&gt;=TgtObs,"🟢 GREEN",IF(ObsClosure/100&gt;=TgtObs*AmberBand,"🟡 AMBER","🔴 RED"))</f>
        <v>0</v>
      </c>
    </row>
    <row r="43" spans="74:84">
      <c r="BV43" s="11" t="s">
        <v>1757</v>
      </c>
      <c r="BW43" s="19" t="s">
        <v>1738</v>
      </c>
      <c r="BX43" s="20">
        <f>SUMPRODUCT(Calculations!$AX$12:$AX$23,Calculations!$D$12:$D$23)</f>
        <v>0</v>
      </c>
      <c r="BY43" s="20">
        <f>SUMPRODUCT(Calculations!$AX$12:$AX$23,Calculations!$E$12:$E$23)</f>
        <v>0</v>
      </c>
      <c r="BZ43" s="21">
        <f>IFERROR(($BX$43-$BY$43)/$BY$43,IF($BX$43&gt;0,1,0))</f>
        <v>0</v>
      </c>
      <c r="CA43" s="19">
        <f>($BX$43-$BY$43)*1</f>
        <v>0</v>
      </c>
      <c r="CC43" s="11" t="s">
        <v>1777</v>
      </c>
      <c r="CD43" s="19">
        <f>TrainCompliance/100</f>
        <v>0</v>
      </c>
      <c r="CE43" s="19">
        <f>TgtTrain</f>
        <v>0</v>
      </c>
      <c r="CF43" s="11">
        <f>IF(TrainCompliance/100&gt;=TgtTrain,"🟢 GREEN",IF(TrainCompliance/100&gt;=TgtTrain*AmberBand,"🟡 AMBER","🔴 RED"))</f>
        <v>0</v>
      </c>
    </row>
    <row r="44" spans="74:84">
      <c r="BV44" s="11" t="s">
        <v>1758</v>
      </c>
      <c r="BW44" s="19" t="s">
        <v>1738</v>
      </c>
      <c r="BX44" s="20">
        <f>SUMPRODUCT(Calculations!$AY$12:$AY$23,Calculations!$D$12:$D$23)</f>
        <v>0</v>
      </c>
      <c r="BY44" s="20">
        <f>SUMPRODUCT(Calculations!$AY$12:$AY$23,Calculations!$E$12:$E$23)</f>
        <v>0</v>
      </c>
      <c r="BZ44" s="21">
        <f>IFERROR(($BX$44-$BY$44)/$BY$44,IF($BX$44&gt;0,1,0))</f>
        <v>0</v>
      </c>
      <c r="CA44" s="19">
        <f>($BX$44-$BY$44)*-1</f>
        <v>0</v>
      </c>
      <c r="CC44" s="11" t="s">
        <v>1771</v>
      </c>
      <c r="CD44" s="19">
        <f>CAClosure/100</f>
        <v>0</v>
      </c>
      <c r="CE44" s="19">
        <f>TgtCA</f>
        <v>0</v>
      </c>
      <c r="CF44" s="11">
        <f>IF(CAClosure/100&gt;=TgtCA,"🟢 GREEN",IF(CAClosure/100&gt;=TgtCA*AmberBand,"🟡 AMBER","🔴 RED"))</f>
        <v>0</v>
      </c>
    </row>
    <row r="45" spans="74:84">
      <c r="BV45" s="11" t="s">
        <v>1759</v>
      </c>
      <c r="BW45" s="19" t="s">
        <v>1738</v>
      </c>
      <c r="BX45" s="20">
        <f>SUMPRODUCT(Calculations!$AZ$12:$AZ$23,Calculations!$D$12:$D$23)</f>
        <v>0</v>
      </c>
      <c r="BY45" s="20">
        <f>SUMPRODUCT(Calculations!$AZ$12:$AZ$23,Calculations!$E$12:$E$23)</f>
        <v>0</v>
      </c>
      <c r="BZ45" s="21">
        <f>IFERROR(($BX$45-$BY$45)/$BY$45,IF($BX$45&gt;0,1,0))</f>
        <v>0</v>
      </c>
      <c r="CA45" s="19">
        <f>($BX$45-$BY$45)*1</f>
        <v>0</v>
      </c>
      <c r="CC45" s="11" t="s">
        <v>1747</v>
      </c>
      <c r="CD45" s="19">
        <f>Calculations!$BX$33/100</f>
        <v>0</v>
      </c>
      <c r="CE45" s="19">
        <f>TgtObs</f>
        <v>0</v>
      </c>
      <c r="CF45" s="11">
        <f>IF(Calculations!$BX$33/100&gt;=TgtObs,"🟢 GREEN",IF(Calculations!$BX$33/100&gt;=TgtObs*AmberBand,"🟡 AMBER","🔴 RED"))</f>
        <v>0</v>
      </c>
    </row>
    <row r="46" spans="74:84">
      <c r="BV46" s="11" t="s">
        <v>1760</v>
      </c>
      <c r="BW46" s="19" t="s">
        <v>1738</v>
      </c>
      <c r="BX46" s="20">
        <f>SUMPRODUCT(Calculations!$BA$12:$BA$23,Calculations!$D$12:$D$23)</f>
        <v>0</v>
      </c>
      <c r="BY46" s="20">
        <f>SUMPRODUCT(Calculations!$BA$12:$BA$23,Calculations!$E$12:$E$23)</f>
        <v>0</v>
      </c>
      <c r="BZ46" s="21">
        <f>IFERROR(($BX$46-$BY$46)/$BY$46,IF($BX$46&gt;0,1,0))</f>
        <v>0</v>
      </c>
      <c r="CA46" s="19">
        <f>($BX$46-$BY$46)*-1</f>
        <v>0</v>
      </c>
      <c r="CC46" s="11" t="s">
        <v>1769</v>
      </c>
      <c r="CD46" s="19">
        <f>PTWauditComp/100</f>
        <v>0</v>
      </c>
      <c r="CE46" s="19">
        <f>TgtObs</f>
        <v>0</v>
      </c>
      <c r="CF46" s="11">
        <f>IF(PTWauditComp/100&gt;=TgtObs,"🟢 GREEN",IF(PTWauditComp/100&gt;=TgtObs*AmberBand,"🟡 AMBER","🔴 RED"))</f>
        <v>0</v>
      </c>
    </row>
    <row r="47" spans="74:84">
      <c r="BV47" s="11" t="s">
        <v>1761</v>
      </c>
      <c r="BW47" s="19" t="s">
        <v>1738</v>
      </c>
      <c r="BX47" s="20">
        <f>SUMPRODUCT(Calculations!$BB$12:$BB$23,Calculations!$D$12:$D$23)</f>
        <v>0</v>
      </c>
      <c r="BY47" s="20">
        <f>SUMPRODUCT(Calculations!$BB$12:$BB$23,Calculations!$E$12:$E$23)</f>
        <v>0</v>
      </c>
      <c r="BZ47" s="21">
        <f>IFERROR(($BX$47-$BY$47)/$BY$47,IF($BX$47&gt;0,1,0))</f>
        <v>0</v>
      </c>
      <c r="CA47" s="19">
        <f>($BX$47-$BY$47)*1</f>
        <v>0</v>
      </c>
    </row>
    <row r="48" spans="74:84">
      <c r="BV48" s="11" t="s">
        <v>1762</v>
      </c>
      <c r="BW48" s="19" t="s">
        <v>1738</v>
      </c>
      <c r="BX48" s="21">
        <f>IFERROR(SUMPRODUCT(Calculations!$BD$12:$BD$23,Calculations!$D$12:$D$23)/SUMPRODUCT(Calculations!$BC$12:$BC$23,Calculations!$D$12:$D$23),0)*100</f>
        <v>0</v>
      </c>
      <c r="BY48" s="21">
        <f>IFERROR(SUMPRODUCT(Calculations!$BD$12:$BD$23,Calculations!$E$12:$E$23)/SUMPRODUCT(Calculations!$BC$12:$BC$23,Calculations!$E$12:$E$23),0)*100</f>
        <v>0</v>
      </c>
      <c r="BZ48" s="21">
        <f>IFERROR(($BX$48-$BY$48)/$BY$48,IF($BX$48&gt;0,1,0))</f>
        <v>0</v>
      </c>
      <c r="CA48" s="19">
        <f>($BX$48-$BY$48)*1</f>
        <v>0</v>
      </c>
    </row>
    <row r="49" spans="74:79">
      <c r="BV49" s="11" t="s">
        <v>1763</v>
      </c>
      <c r="BW49" s="19" t="s">
        <v>1738</v>
      </c>
      <c r="BX49" s="20">
        <f>SUMPRODUCT(Calculations!$BE$12:$BE$23,Calculations!$D$12:$D$23)</f>
        <v>0</v>
      </c>
      <c r="BY49" s="20">
        <f>SUMPRODUCT(Calculations!$BE$12:$BE$23,Calculations!$E$12:$E$23)</f>
        <v>0</v>
      </c>
      <c r="BZ49" s="21">
        <f>IFERROR(($BX$49-$BY$49)/$BY$49,IF($BX$49&gt;0,1,0))</f>
        <v>0</v>
      </c>
      <c r="CA49" s="19">
        <f>($BX$49-$BY$49)*1</f>
        <v>0</v>
      </c>
    </row>
    <row r="50" spans="74:79">
      <c r="BV50" s="11" t="s">
        <v>1764</v>
      </c>
      <c r="BW50" s="19" t="s">
        <v>1738</v>
      </c>
      <c r="BX50" s="21">
        <f>IFERROR(SUMPRODUCT(Calculations!$BF$12:$BF$23,Calculations!$D$12:$D$23)/SUMPRODUCT(Calculations!$BG$12:$BG$23,Calculations!$D$12:$D$23),0)*100</f>
        <v>0</v>
      </c>
      <c r="BY50" s="21">
        <f>IFERROR(SUMPRODUCT(Calculations!$BF$12:$BF$23,Calculations!$E$12:$E$23)/SUMPRODUCT(Calculations!$BG$12:$BG$23,Calculations!$E$12:$E$23),0)*100</f>
        <v>0</v>
      </c>
      <c r="BZ50" s="21">
        <f>IFERROR(($BX$50-$BY$50)/$BY$50,IF($BX$50&gt;0,1,0))</f>
        <v>0</v>
      </c>
      <c r="CA50" s="19">
        <f>($BX$50-$BY$50)*1</f>
        <v>0</v>
      </c>
    </row>
    <row r="51" spans="74:79">
      <c r="BV51" s="11" t="s">
        <v>1765</v>
      </c>
      <c r="BW51" s="19" t="s">
        <v>1738</v>
      </c>
      <c r="BX51" s="20">
        <f>SUMPRODUCT(Calculations!$BH$12:$BH$23,Calculations!$D$12:$D$23)</f>
        <v>0</v>
      </c>
      <c r="BY51" s="20">
        <f>SUMPRODUCT(Calculations!$BH$12:$BH$23,Calculations!$E$12:$E$23)</f>
        <v>0</v>
      </c>
      <c r="BZ51" s="21">
        <f>IFERROR(($BX$51-$BY$51)/$BY$51,IF($BX$51&gt;0,1,0))</f>
        <v>0</v>
      </c>
      <c r="CA51" s="19">
        <f>($BX$51-$BY$51)*1</f>
        <v>0</v>
      </c>
    </row>
    <row r="52" spans="74:79">
      <c r="BV52" s="11" t="s">
        <v>1766</v>
      </c>
      <c r="BW52" s="19" t="s">
        <v>1738</v>
      </c>
      <c r="BX52" s="20">
        <f>SUMPRODUCT(Calculations!$BI$12:$BI$23,Calculations!$D$12:$D$23)</f>
        <v>0</v>
      </c>
      <c r="BY52" s="20">
        <f>SUMPRODUCT(Calculations!$BI$12:$BI$23,Calculations!$E$12:$E$23)</f>
        <v>0</v>
      </c>
      <c r="BZ52" s="21">
        <f>IFERROR(($BX$52-$BY$52)/$BY$52,IF($BX$52&gt;0,1,0))</f>
        <v>0</v>
      </c>
      <c r="CA52" s="19">
        <f>($BX$52-$BY$52)*1</f>
        <v>0</v>
      </c>
    </row>
    <row r="53" spans="74:79">
      <c r="BV53" s="11" t="s">
        <v>1767</v>
      </c>
      <c r="BW53" s="19" t="s">
        <v>1738</v>
      </c>
      <c r="BX53" s="20">
        <f>SUMPRODUCT(Calculations!$BJ$12:$BJ$23,Calculations!$D$12:$D$23)</f>
        <v>0</v>
      </c>
      <c r="BY53" s="20">
        <f>SUMPRODUCT(Calculations!$BJ$12:$BJ$23,Calculations!$E$12:$E$23)</f>
        <v>0</v>
      </c>
      <c r="BZ53" s="21">
        <f>IFERROR(($BX$53-$BY$53)/$BY$53,IF($BX$53&gt;0,1,0))</f>
        <v>0</v>
      </c>
      <c r="CA53" s="19">
        <f>($BX$53-$BY$53)*1</f>
        <v>0</v>
      </c>
    </row>
    <row r="54" spans="74:79">
      <c r="BV54" s="11" t="s">
        <v>1768</v>
      </c>
      <c r="BW54" s="19" t="s">
        <v>1738</v>
      </c>
      <c r="BX54" s="20">
        <f>SUMPRODUCT(Calculations!$Y$12:$Y$23,Calculations!$D$12:$D$23)</f>
        <v>0</v>
      </c>
      <c r="BY54" s="20">
        <f>SUMPRODUCT(Calculations!$Y$12:$Y$23,Calculations!$E$12:$E$23)</f>
        <v>0</v>
      </c>
      <c r="BZ54" s="21">
        <f>IFERROR(($BX$54-$BY$54)/$BY$54,IF($BX$54&gt;0,1,0))</f>
        <v>0</v>
      </c>
      <c r="CA54" s="19">
        <f>($BX$54-$BY$54)*1</f>
        <v>0</v>
      </c>
    </row>
    <row r="55" spans="74:79">
      <c r="BV55" s="11" t="s">
        <v>1769</v>
      </c>
      <c r="BW55" s="19" t="s">
        <v>1738</v>
      </c>
      <c r="BX55" s="21">
        <f>IFERROR(SUMPRODUCT(Calculations!$Z$12:$Z$23,Calculations!$D$12:$D$23)/SUMPRODUCT(Calculations!$Y$12:$Y$23,Calculations!$D$12:$D$23),0)*100</f>
        <v>0</v>
      </c>
      <c r="BY55" s="21">
        <f>IFERROR(SUMPRODUCT(Calculations!$Z$12:$Z$23,Calculations!$E$12:$E$23)/SUMPRODUCT(Calculations!$Y$12:$Y$23,Calculations!$E$12:$E$23),0)*100</f>
        <v>0</v>
      </c>
      <c r="BZ55" s="21">
        <f>IFERROR(($BX$55-$BY$55)/$BY$55,IF($BX$55&gt;0,1,0))</f>
        <v>0</v>
      </c>
      <c r="CA55" s="19">
        <f>($BX$55-$BY$55)*1</f>
        <v>0</v>
      </c>
    </row>
    <row r="56" spans="74:79">
      <c r="BV56" s="11" t="s">
        <v>1770</v>
      </c>
      <c r="BW56" s="19" t="s">
        <v>1738</v>
      </c>
      <c r="BX56" s="20">
        <f>SUMPRODUCT(Calculations!$AB$12:$AB$23,Calculations!$D$12:$D$23)</f>
        <v>0</v>
      </c>
      <c r="BY56" s="20">
        <f>SUMPRODUCT(Calculations!$AB$12:$AB$23,Calculations!$E$12:$E$23)</f>
        <v>0</v>
      </c>
      <c r="BZ56" s="21">
        <f>IFERROR(($BX$56-$BY$56)/$BY$56,IF($BX$56&gt;0,1,0))</f>
        <v>0</v>
      </c>
      <c r="CA56" s="19">
        <f>($BX$56-$BY$56)*1</f>
        <v>0</v>
      </c>
    </row>
    <row r="57" spans="74:79">
      <c r="BV57" s="11" t="s">
        <v>1771</v>
      </c>
      <c r="BW57" s="19" t="s">
        <v>1738</v>
      </c>
      <c r="BX57" s="21">
        <f>IFERROR(SUMPRODUCT(Calculations!$AC$12:$AC$23,Calculations!$D$12:$D$23)/SUMPRODUCT(Calculations!$AB$12:$AB$23,Calculations!$D$12:$D$23),0)*100</f>
        <v>0</v>
      </c>
      <c r="BY57" s="21">
        <f>IFERROR(SUMPRODUCT(Calculations!$AC$12:$AC$23,Calculations!$E$12:$E$23)/SUMPRODUCT(Calculations!$AB$12:$AB$23,Calculations!$E$12:$E$23),0)*100</f>
        <v>0</v>
      </c>
      <c r="BZ57" s="21">
        <f>IFERROR(($BX$57-$BY$57)/$BY$57,IF($BX$57&gt;0,1,0))</f>
        <v>0</v>
      </c>
      <c r="CA57" s="19">
        <f>($BX$57-$BY$57)*1</f>
        <v>0</v>
      </c>
    </row>
    <row r="58" spans="74:79">
      <c r="BV58" s="11" t="s">
        <v>1772</v>
      </c>
      <c r="BW58" s="19" t="s">
        <v>1738</v>
      </c>
      <c r="BX58" s="20">
        <f>SUMPRODUCT(Calculations!$BL$12:$BL$23,Calculations!$D$12:$D$23)</f>
        <v>0</v>
      </c>
      <c r="BY58" s="20">
        <f>SUMPRODUCT(Calculations!$BL$12:$BL$23,Calculations!$E$12:$E$23)</f>
        <v>0</v>
      </c>
      <c r="BZ58" s="21">
        <f>IFERROR(($BX$58-$BY$58)/$BY$58,IF($BX$58&gt;0,1,0))</f>
        <v>0</v>
      </c>
      <c r="CA58" s="19">
        <f>($BX$58-$BY$58)*1</f>
        <v>0</v>
      </c>
    </row>
    <row r="59" spans="74:79">
      <c r="BV59" s="11" t="s">
        <v>1773</v>
      </c>
      <c r="BW59" s="19" t="s">
        <v>1738</v>
      </c>
      <c r="BX59" s="21">
        <f>IFERROR(SUMPRODUCT(Calculations!$BM$12:$BM$23,Calculations!$D$12:$D$23)/SUMPRODUCT(Calculations!$BL$12:$BL$23,Calculations!$D$12:$D$23),0)*100</f>
        <v>0</v>
      </c>
      <c r="BY59" s="21">
        <f>IFERROR(SUMPRODUCT(Calculations!$BM$12:$BM$23,Calculations!$E$12:$E$23)/SUMPRODUCT(Calculations!$BL$12:$BL$23,Calculations!$E$12:$E$23),0)*100</f>
        <v>0</v>
      </c>
      <c r="BZ59" s="21">
        <f>IFERROR(($BX$59-$BY$59)/$BY$59,IF($BX$59&gt;0,1,0))</f>
        <v>0</v>
      </c>
      <c r="CA59" s="19">
        <f>($BX$59-$BY$59)*1</f>
        <v>0</v>
      </c>
    </row>
    <row r="60" spans="74:79">
      <c r="BV60" s="11" t="s">
        <v>1774</v>
      </c>
      <c r="BW60" s="19" t="s">
        <v>1738</v>
      </c>
      <c r="BX60" s="20">
        <f>SUMPRODUCT(Calculations!$BN$12:$BN$23,Calculations!$D$12:$D$23)</f>
        <v>0</v>
      </c>
      <c r="BY60" s="20">
        <f>SUMPRODUCT(Calculations!$BN$12:$BN$23,Calculations!$E$12:$E$23)</f>
        <v>0</v>
      </c>
      <c r="BZ60" s="21">
        <f>IFERROR(($BX$60-$BY$60)/$BY$60,IF($BX$60&gt;0,1,0))</f>
        <v>0</v>
      </c>
      <c r="CA60" s="19">
        <f>($BX$60-$BY$60)*1</f>
        <v>0</v>
      </c>
    </row>
    <row r="61" spans="74:79">
      <c r="BV61" s="11" t="s">
        <v>1775</v>
      </c>
      <c r="BW61" s="19" t="s">
        <v>1738</v>
      </c>
      <c r="BX61" s="21">
        <f>IFERROR(SUMPRODUCT(Calculations!$BO$12:$BO$23,Calculations!$D$12:$D$23)/SUMPRODUCT(Calculations!$BN$12:$BN$23,Calculations!$D$12:$D$23),0)*100</f>
        <v>0</v>
      </c>
      <c r="BY61" s="21">
        <f>IFERROR(SUMPRODUCT(Calculations!$BO$12:$BO$23,Calculations!$E$12:$E$23)/SUMPRODUCT(Calculations!$BN$12:$BN$23,Calculations!$E$12:$E$23),0)*100</f>
        <v>0</v>
      </c>
      <c r="BZ61" s="21">
        <f>IFERROR(($BX$61-$BY$61)/$BY$61,IF($BX$61&gt;0,1,0))</f>
        <v>0</v>
      </c>
      <c r="CA61" s="19">
        <f>($BX$61-$BY$61)*1</f>
        <v>0</v>
      </c>
    </row>
    <row r="64" spans="74:79">
      <c r="BV64" s="17" t="s">
        <v>1776</v>
      </c>
    </row>
    <row r="65" spans="2:77">
      <c r="BV65" s="11" t="s">
        <v>1777</v>
      </c>
      <c r="BW65" s="19">
        <f>MIN(100,Calculations!$BX$29)/2</f>
        <v>0</v>
      </c>
      <c r="BX65" s="19">
        <f>50-$BW$65</f>
        <v>0</v>
      </c>
      <c r="BY65" s="19">
        <v>50</v>
      </c>
    </row>
    <row r="66" spans="2:77">
      <c r="BV66" s="11" t="s">
        <v>1778</v>
      </c>
      <c r="BW66" s="19">
        <f>MIN(100,Calculations!$BX$55)/2</f>
        <v>0</v>
      </c>
      <c r="BX66" s="19">
        <f>50-$BW$66</f>
        <v>0</v>
      </c>
      <c r="BY66" s="19">
        <v>50</v>
      </c>
    </row>
    <row r="67" spans="2:77">
      <c r="BV67" s="11" t="s">
        <v>1745</v>
      </c>
      <c r="BW67" s="19">
        <f>MIN(100,Calculations!$BX$31)/2</f>
        <v>0</v>
      </c>
      <c r="BX67" s="19">
        <f>50-$BW$67</f>
        <v>0</v>
      </c>
      <c r="BY67" s="19">
        <v>50</v>
      </c>
    </row>
    <row r="68" spans="2:77">
      <c r="BV68" s="11" t="s">
        <v>1771</v>
      </c>
      <c r="BW68" s="19">
        <f>MIN(100,Calculations!$BX$57)/2</f>
        <v>0</v>
      </c>
      <c r="BX68" s="19">
        <f>50-$BW$68</f>
        <v>0</v>
      </c>
      <c r="BY68" s="19">
        <v>50</v>
      </c>
    </row>
    <row r="69" spans="2:77">
      <c r="BV69" s="11" t="s">
        <v>1779</v>
      </c>
      <c r="BW69" s="19">
        <f>MIN(100,Calculations!$BX$33)/2</f>
        <v>0</v>
      </c>
      <c r="BX69" s="19">
        <f>50-$BW$69</f>
        <v>0</v>
      </c>
      <c r="BY69" s="19">
        <v>50</v>
      </c>
    </row>
    <row r="70" spans="2:77">
      <c r="BV70" s="11" t="s">
        <v>1780</v>
      </c>
      <c r="BW70" s="19">
        <f>MIN(100,Calculations!$BX$22)/2</f>
        <v>0</v>
      </c>
      <c r="BX70" s="19">
        <f>50-$BW$70</f>
        <v>0</v>
      </c>
      <c r="BY70" s="19">
        <v>50</v>
      </c>
    </row>
    <row r="74" spans="2:77">
      <c r="B74" s="17" t="s">
        <v>1799</v>
      </c>
      <c r="C74" s="17"/>
      <c r="D74" s="17"/>
      <c r="E74" s="17"/>
      <c r="F74" s="17"/>
      <c r="G74" s="17"/>
      <c r="H74" s="17"/>
      <c r="I74" s="17"/>
      <c r="J74" s="17"/>
      <c r="K74" s="17"/>
    </row>
    <row r="75" spans="2:77">
      <c r="B75" s="10" t="s">
        <v>1588</v>
      </c>
      <c r="C75" s="10" t="s">
        <v>1782</v>
      </c>
      <c r="D75" s="10" t="s">
        <v>1800</v>
      </c>
      <c r="E75" s="10" t="s">
        <v>1801</v>
      </c>
      <c r="F75" s="10" t="s">
        <v>1802</v>
      </c>
      <c r="G75" s="10" t="s">
        <v>1803</v>
      </c>
    </row>
    <row r="76" spans="2:77">
      <c r="B76" s="11" t="s">
        <v>1318</v>
      </c>
      <c r="C76" s="20">
        <f>COUNTIFS('Incident'!$T$4:$T$5003,"Human Error",'Incident'!$D$4:$D$5003,mCrit,'Incident'!$H$4:$H$5003,dCrit)</f>
        <v>0</v>
      </c>
      <c r="D76" s="22">
        <f>C76+ROW()/100000</f>
        <v>0</v>
      </c>
      <c r="E76" s="11">
        <f>INDEX($B$76:$B$83,MATCH(LARGE($D$76:$D$83,1),$D$76:$D$83,0))</f>
        <v>0</v>
      </c>
      <c r="F76" s="20">
        <f>INT(LARGE($D$76:$D$83,1))</f>
        <v>0</v>
      </c>
      <c r="G76" s="21">
        <f>IFERROR(SUM($F$76:F$76)/SUM($C$76:$C$83)*100,0)</f>
        <v>0</v>
      </c>
    </row>
    <row r="77" spans="2:77">
      <c r="B77" s="11" t="s">
        <v>300</v>
      </c>
      <c r="C77" s="20">
        <f>COUNTIFS('Incident'!$T$4:$T$5003,"Unsafe Act",'Incident'!$D$4:$D$5003,mCrit,'Incident'!$H$4:$H$5003,dCrit)</f>
        <v>0</v>
      </c>
      <c r="D77" s="22">
        <f>C77+ROW()/100000</f>
        <v>0</v>
      </c>
      <c r="E77" s="11">
        <f>INDEX($B$76:$B$83,MATCH(LARGE($D$76:$D$83,2),$D$76:$D$83,0))</f>
        <v>0</v>
      </c>
      <c r="F77" s="20">
        <f>INT(LARGE($D$76:$D$83,2))</f>
        <v>0</v>
      </c>
      <c r="G77" s="21">
        <f>IFERROR(SUM($F$76:F$77)/SUM($C$76:$C$83)*100,0)</f>
        <v>0</v>
      </c>
    </row>
    <row r="78" spans="2:77">
      <c r="B78" s="11" t="s">
        <v>296</v>
      </c>
      <c r="C78" s="20">
        <f>COUNTIFS('Incident'!$T$4:$T$5003,"Unsafe Condition",'Incident'!$D$4:$D$5003,mCrit,'Incident'!$H$4:$H$5003,dCrit)</f>
        <v>0</v>
      </c>
      <c r="D78" s="22">
        <f>C78+ROW()/100000</f>
        <v>0</v>
      </c>
      <c r="E78" s="11">
        <f>INDEX($B$76:$B$83,MATCH(LARGE($D$76:$D$83,3),$D$76:$D$83,0))</f>
        <v>0</v>
      </c>
      <c r="F78" s="20">
        <f>INT(LARGE($D$76:$D$83,3))</f>
        <v>0</v>
      </c>
      <c r="G78" s="21">
        <f>IFERROR(SUM($F$76:F$78)/SUM($C$76:$C$83)*100,0)</f>
        <v>0</v>
      </c>
    </row>
    <row r="79" spans="2:77">
      <c r="B79" s="11" t="s">
        <v>1315</v>
      </c>
      <c r="C79" s="20">
        <f>COUNTIFS('Incident'!$T$4:$T$5003,"Inadequate Procedure",'Incident'!$D$4:$D$5003,mCrit,'Incident'!$H$4:$H$5003,dCrit)</f>
        <v>0</v>
      </c>
      <c r="D79" s="22">
        <f>C79+ROW()/100000</f>
        <v>0</v>
      </c>
      <c r="E79" s="11">
        <f>INDEX($B$76:$B$83,MATCH(LARGE($D$76:$D$83,4),$D$76:$D$83,0))</f>
        <v>0</v>
      </c>
      <c r="F79" s="20">
        <f>INT(LARGE($D$76:$D$83,4))</f>
        <v>0</v>
      </c>
      <c r="G79" s="21">
        <f>IFERROR(SUM($F$76:F$79)/SUM($C$76:$C$83)*100,0)</f>
        <v>0</v>
      </c>
    </row>
    <row r="80" spans="2:77">
      <c r="B80" s="11" t="s">
        <v>1337</v>
      </c>
      <c r="C80" s="20">
        <f>COUNTIFS('Incident'!$T$4:$T$5003,"Lack of Training",'Incident'!$D$4:$D$5003,mCrit,'Incident'!$H$4:$H$5003,dCrit)</f>
        <v>0</v>
      </c>
      <c r="D80" s="22">
        <f>C80+ROW()/100000</f>
        <v>0</v>
      </c>
      <c r="E80" s="11">
        <f>INDEX($B$76:$B$83,MATCH(LARGE($D$76:$D$83,5),$D$76:$D$83,0))</f>
        <v>0</v>
      </c>
      <c r="F80" s="20">
        <f>INT(LARGE($D$76:$D$83,5))</f>
        <v>0</v>
      </c>
      <c r="G80" s="21">
        <f>IFERROR(SUM($F$76:F$80)/SUM($C$76:$C$83)*100,0)</f>
        <v>0</v>
      </c>
    </row>
    <row r="81" spans="2:7">
      <c r="B81" s="11" t="s">
        <v>1330</v>
      </c>
      <c r="C81" s="20">
        <f>COUNTIFS('Incident'!$T$4:$T$5003,"Equipment Failure",'Incident'!$D$4:$D$5003,mCrit,'Incident'!$H$4:$H$5003,dCrit)</f>
        <v>0</v>
      </c>
      <c r="D81" s="22">
        <f>C81+ROW()/100000</f>
        <v>0</v>
      </c>
      <c r="E81" s="11">
        <f>INDEX($B$76:$B$83,MATCH(LARGE($D$76:$D$83,6),$D$76:$D$83,0))</f>
        <v>0</v>
      </c>
      <c r="F81" s="20">
        <f>INT(LARGE($D$76:$D$83,6))</f>
        <v>0</v>
      </c>
      <c r="G81" s="21">
        <f>IFERROR(SUM($F$76:F$81)/SUM($C$76:$C$83)*100,0)</f>
        <v>0</v>
      </c>
    </row>
    <row r="82" spans="2:7">
      <c r="B82" s="11" t="s">
        <v>1310</v>
      </c>
      <c r="C82" s="20">
        <f>COUNTIFS('Incident'!$T$4:$T$5003,"PPE Not Used",'Incident'!$D$4:$D$5003,mCrit,'Incident'!$H$4:$H$5003,dCrit)</f>
        <v>0</v>
      </c>
      <c r="D82" s="22">
        <f>C82+ROW()/100000</f>
        <v>0</v>
      </c>
      <c r="E82" s="11">
        <f>INDEX($B$76:$B$83,MATCH(LARGE($D$76:$D$83,7),$D$76:$D$83,0))</f>
        <v>0</v>
      </c>
      <c r="F82" s="20">
        <f>INT(LARGE($D$76:$D$83,7))</f>
        <v>0</v>
      </c>
      <c r="G82" s="21">
        <f>IFERROR(SUM($F$76:F$82)/SUM($C$76:$C$83)*100,0)</f>
        <v>0</v>
      </c>
    </row>
    <row r="83" spans="2:7">
      <c r="B83" s="11" t="s">
        <v>1312</v>
      </c>
      <c r="C83" s="20">
        <f>COUNTIFS('Incident'!$T$4:$T$5003,"Poor Housekeeping",'Incident'!$D$4:$D$5003,mCrit,'Incident'!$H$4:$H$5003,dCrit)</f>
        <v>0</v>
      </c>
      <c r="D83" s="22">
        <f>C83+ROW()/100000</f>
        <v>0</v>
      </c>
      <c r="E83" s="11">
        <f>INDEX($B$76:$B$83,MATCH(LARGE($D$76:$D$83,8),$D$76:$D$83,0))</f>
        <v>0</v>
      </c>
      <c r="F83" s="20">
        <f>INT(LARGE($D$76:$D$83,8))</f>
        <v>0</v>
      </c>
      <c r="G83" s="21">
        <f>IFERROR(SUM($F$76:F$83)/SUM($C$76:$C$83)*100,0)</f>
        <v>0</v>
      </c>
    </row>
    <row r="85" spans="2:7">
      <c r="B85" s="10" t="s">
        <v>129</v>
      </c>
      <c r="C85" s="10" t="s">
        <v>1804</v>
      </c>
      <c r="D85" s="10" t="s">
        <v>1731</v>
      </c>
      <c r="E85" s="10" t="s">
        <v>1494</v>
      </c>
    </row>
    <row r="86" spans="2:7">
      <c r="B86" s="11" t="s">
        <v>27</v>
      </c>
      <c r="C86" s="20">
        <f>MAX(45,MIN(100,ROUND(100-D86*8-E86*1.5,0)))</f>
        <v>0</v>
      </c>
      <c r="D86" s="20">
        <f>COUNTIFS('Incident'!$N$4:$N$5003,"Lost Time Injury",'Incident'!$D$4:$D$5003,mCrit,'Incident'!$H$4:$H$5003,"Operations")+COUNTIFS('Incident'!$N$4:$N$5003,"Medical Treatment",'Incident'!$D$4:$D$5003,mCrit,'Incident'!$H$4:$H$5003,"Operations")+COUNTIFS('Incident'!$N$4:$N$5003,"Restricted Work",'Incident'!$D$4:$D$5003,mCrit,'Incident'!$H$4:$H$5003,"Operations")+COUNTIFS('Incident'!$N$4:$N$5003,"Fatality",'Incident'!$D$4:$D$5003,mCrit,'Incident'!$H$4:$H$5003,"Operations")</f>
        <v>0</v>
      </c>
      <c r="E86" s="20">
        <f>COUNTIFS('Unsafe Acts'!$D$4:$D$5003,mCrit,'Unsafe Acts'!$F$4:$F$5003,"Operations")+COUNTIFS('Unsafe Conditions'!$D$4:$D$5003,mCrit,'Unsafe Conditions'!$F$4:$F$5003,"Operations")</f>
        <v>0</v>
      </c>
    </row>
    <row r="87" spans="2:7">
      <c r="B87" s="11" t="s">
        <v>92</v>
      </c>
      <c r="C87" s="20">
        <f>MAX(45,MIN(100,ROUND(100-D87*8-E87*1.5,0)))</f>
        <v>0</v>
      </c>
      <c r="D87" s="20">
        <f>COUNTIFS('Incident'!$N$4:$N$5003,"Lost Time Injury",'Incident'!$D$4:$D$5003,mCrit,'Incident'!$H$4:$H$5003,"Maintenance")+COUNTIFS('Incident'!$N$4:$N$5003,"Medical Treatment",'Incident'!$D$4:$D$5003,mCrit,'Incident'!$H$4:$H$5003,"Maintenance")+COUNTIFS('Incident'!$N$4:$N$5003,"Restricted Work",'Incident'!$D$4:$D$5003,mCrit,'Incident'!$H$4:$H$5003,"Maintenance")+COUNTIFS('Incident'!$N$4:$N$5003,"Fatality",'Incident'!$D$4:$D$5003,mCrit,'Incident'!$H$4:$H$5003,"Maintenance")</f>
        <v>0</v>
      </c>
      <c r="E87" s="20">
        <f>COUNTIFS('Unsafe Acts'!$D$4:$D$5003,mCrit,'Unsafe Acts'!$F$4:$F$5003,"Maintenance")+COUNTIFS('Unsafe Conditions'!$D$4:$D$5003,mCrit,'Unsafe Conditions'!$F$4:$F$5003,"Maintenance")</f>
        <v>0</v>
      </c>
    </row>
    <row r="88" spans="2:7">
      <c r="B88" s="11" t="s">
        <v>39</v>
      </c>
      <c r="C88" s="20">
        <f>MAX(45,MIN(100,ROUND(100-D88*8-E88*1.5,0)))</f>
        <v>0</v>
      </c>
      <c r="D88" s="20">
        <f>COUNTIFS('Incident'!$N$4:$N$5003,"Lost Time Injury",'Incident'!$D$4:$D$5003,mCrit,'Incident'!$H$4:$H$5003,"Engineering")+COUNTIFS('Incident'!$N$4:$N$5003,"Medical Treatment",'Incident'!$D$4:$D$5003,mCrit,'Incident'!$H$4:$H$5003,"Engineering")+COUNTIFS('Incident'!$N$4:$N$5003,"Restricted Work",'Incident'!$D$4:$D$5003,mCrit,'Incident'!$H$4:$H$5003,"Engineering")+COUNTIFS('Incident'!$N$4:$N$5003,"Fatality",'Incident'!$D$4:$D$5003,mCrit,'Incident'!$H$4:$H$5003,"Engineering")</f>
        <v>0</v>
      </c>
      <c r="E88" s="20">
        <f>COUNTIFS('Unsafe Acts'!$D$4:$D$5003,mCrit,'Unsafe Acts'!$F$4:$F$5003,"Engineering")+COUNTIFS('Unsafe Conditions'!$D$4:$D$5003,mCrit,'Unsafe Conditions'!$F$4:$F$5003,"Engineering")</f>
        <v>0</v>
      </c>
    </row>
    <row r="89" spans="2:7">
      <c r="B89" s="11" t="s">
        <v>89</v>
      </c>
      <c r="C89" s="20">
        <f>MAX(45,MIN(100,ROUND(100-D89*8-E89*1.5,0)))</f>
        <v>0</v>
      </c>
      <c r="D89" s="20">
        <f>COUNTIFS('Incident'!$N$4:$N$5003,"Lost Time Injury",'Incident'!$D$4:$D$5003,mCrit,'Incident'!$H$4:$H$5003,"Construction")+COUNTIFS('Incident'!$N$4:$N$5003,"Medical Treatment",'Incident'!$D$4:$D$5003,mCrit,'Incident'!$H$4:$H$5003,"Construction")+COUNTIFS('Incident'!$N$4:$N$5003,"Restricted Work",'Incident'!$D$4:$D$5003,mCrit,'Incident'!$H$4:$H$5003,"Construction")+COUNTIFS('Incident'!$N$4:$N$5003,"Fatality",'Incident'!$D$4:$D$5003,mCrit,'Incident'!$H$4:$H$5003,"Construction")</f>
        <v>0</v>
      </c>
      <c r="E89" s="20">
        <f>COUNTIFS('Unsafe Acts'!$D$4:$D$5003,mCrit,'Unsafe Acts'!$F$4:$F$5003,"Construction")+COUNTIFS('Unsafe Conditions'!$D$4:$D$5003,mCrit,'Unsafe Conditions'!$F$4:$F$5003,"Construction")</f>
        <v>0</v>
      </c>
    </row>
    <row r="90" spans="2:7">
      <c r="B90" s="11" t="s">
        <v>65</v>
      </c>
      <c r="C90" s="20">
        <f>MAX(45,MIN(100,ROUND(100-D90*8-E90*1.5,0)))</f>
        <v>0</v>
      </c>
      <c r="D90" s="20">
        <f>COUNTIFS('Incident'!$N$4:$N$5003,"Lost Time Injury",'Incident'!$D$4:$D$5003,mCrit,'Incident'!$H$4:$H$5003,"Safety")+COUNTIFS('Incident'!$N$4:$N$5003,"Medical Treatment",'Incident'!$D$4:$D$5003,mCrit,'Incident'!$H$4:$H$5003,"Safety")+COUNTIFS('Incident'!$N$4:$N$5003,"Restricted Work",'Incident'!$D$4:$D$5003,mCrit,'Incident'!$H$4:$H$5003,"Safety")+COUNTIFS('Incident'!$N$4:$N$5003,"Fatality",'Incident'!$D$4:$D$5003,mCrit,'Incident'!$H$4:$H$5003,"Safety")</f>
        <v>0</v>
      </c>
      <c r="E90" s="20">
        <f>COUNTIFS('Unsafe Acts'!$D$4:$D$5003,mCrit,'Unsafe Acts'!$F$4:$F$5003,"Safety")+COUNTIFS('Unsafe Conditions'!$D$4:$D$5003,mCrit,'Unsafe Conditions'!$F$4:$F$5003,"Safety")</f>
        <v>0</v>
      </c>
    </row>
    <row r="91" spans="2:7">
      <c r="B91" s="11" t="s">
        <v>5</v>
      </c>
      <c r="C91" s="20">
        <f>MAX(45,MIN(100,ROUND(100-D91*8-E91*1.5,0)))</f>
        <v>0</v>
      </c>
      <c r="D91" s="20">
        <f>COUNTIFS('Incident'!$N$4:$N$5003,"Lost Time Injury",'Incident'!$D$4:$D$5003,mCrit,'Incident'!$H$4:$H$5003,"Logistics")+COUNTIFS('Incident'!$N$4:$N$5003,"Medical Treatment",'Incident'!$D$4:$D$5003,mCrit,'Incident'!$H$4:$H$5003,"Logistics")+COUNTIFS('Incident'!$N$4:$N$5003,"Restricted Work",'Incident'!$D$4:$D$5003,mCrit,'Incident'!$H$4:$H$5003,"Logistics")+COUNTIFS('Incident'!$N$4:$N$5003,"Fatality",'Incident'!$D$4:$D$5003,mCrit,'Incident'!$H$4:$H$5003,"Logistics")</f>
        <v>0</v>
      </c>
      <c r="E91" s="20">
        <f>COUNTIFS('Unsafe Acts'!$D$4:$D$5003,mCrit,'Unsafe Acts'!$F$4:$F$5003,"Logistics")+COUNTIFS('Unsafe Conditions'!$D$4:$D$5003,mCrit,'Unsafe Conditions'!$F$4:$F$5003,"Logistics")</f>
        <v>0</v>
      </c>
    </row>
    <row r="92" spans="2:7">
      <c r="B92" s="11" t="s">
        <v>50</v>
      </c>
      <c r="C92" s="20">
        <f>MAX(45,MIN(100,ROUND(100-D92*8-E92*1.5,0)))</f>
        <v>0</v>
      </c>
      <c r="D92" s="20">
        <f>COUNTIFS('Incident'!$N$4:$N$5003,"Lost Time Injury",'Incident'!$D$4:$D$5003,mCrit,'Incident'!$H$4:$H$5003,"Quality")+COUNTIFS('Incident'!$N$4:$N$5003,"Medical Treatment",'Incident'!$D$4:$D$5003,mCrit,'Incident'!$H$4:$H$5003,"Quality")+COUNTIFS('Incident'!$N$4:$N$5003,"Restricted Work",'Incident'!$D$4:$D$5003,mCrit,'Incident'!$H$4:$H$5003,"Quality")+COUNTIFS('Incident'!$N$4:$N$5003,"Fatality",'Incident'!$D$4:$D$5003,mCrit,'Incident'!$H$4:$H$5003,"Quality")</f>
        <v>0</v>
      </c>
      <c r="E92" s="20">
        <f>COUNTIFS('Unsafe Acts'!$D$4:$D$5003,mCrit,'Unsafe Acts'!$F$4:$F$5003,"Quality")+COUNTIFS('Unsafe Conditions'!$D$4:$D$5003,mCrit,'Unsafe Conditions'!$F$4:$F$5003,"Quality")</f>
        <v>0</v>
      </c>
    </row>
    <row r="93" spans="2:7">
      <c r="B93" s="11" t="s">
        <v>46</v>
      </c>
      <c r="C93" s="20">
        <f>MAX(45,MIN(100,ROUND(100-D93*8-E93*1.5,0)))</f>
        <v>0</v>
      </c>
      <c r="D93" s="20">
        <f>COUNTIFS('Incident'!$N$4:$N$5003,"Lost Time Injury",'Incident'!$D$4:$D$5003,mCrit,'Incident'!$H$4:$H$5003,"Admin")+COUNTIFS('Incident'!$N$4:$N$5003,"Medical Treatment",'Incident'!$D$4:$D$5003,mCrit,'Incident'!$H$4:$H$5003,"Admin")+COUNTIFS('Incident'!$N$4:$N$5003,"Restricted Work",'Incident'!$D$4:$D$5003,mCrit,'Incident'!$H$4:$H$5003,"Admin")+COUNTIFS('Incident'!$N$4:$N$5003,"Fatality",'Incident'!$D$4:$D$5003,mCrit,'Incident'!$H$4:$H$5003,"Admin")</f>
        <v>0</v>
      </c>
      <c r="E93" s="20">
        <f>COUNTIFS('Unsafe Acts'!$D$4:$D$5003,mCrit,'Unsafe Acts'!$F$4:$F$5003,"Admin")+COUNTIFS('Unsafe Conditions'!$D$4:$D$5003,mCrit,'Unsafe Conditions'!$F$4:$F$5003,"Admin")</f>
        <v>0</v>
      </c>
    </row>
    <row r="94" spans="2:7">
      <c r="B94" s="11" t="s">
        <v>13</v>
      </c>
      <c r="C94" s="20">
        <f>MAX(45,MIN(100,ROUND(100-D94*8-E94*1.5,0)))</f>
        <v>0</v>
      </c>
      <c r="D94" s="20">
        <f>COUNTIFS('Incident'!$N$4:$N$5003,"Lost Time Injury",'Incident'!$D$4:$D$5003,mCrit,'Incident'!$H$4:$H$5003,"Projects")+COUNTIFS('Incident'!$N$4:$N$5003,"Medical Treatment",'Incident'!$D$4:$D$5003,mCrit,'Incident'!$H$4:$H$5003,"Projects")+COUNTIFS('Incident'!$N$4:$N$5003,"Restricted Work",'Incident'!$D$4:$D$5003,mCrit,'Incident'!$H$4:$H$5003,"Projects")+COUNTIFS('Incident'!$N$4:$N$5003,"Fatality",'Incident'!$D$4:$D$5003,mCrit,'Incident'!$H$4:$H$5003,"Projects")</f>
        <v>0</v>
      </c>
      <c r="E94" s="20">
        <f>COUNTIFS('Unsafe Acts'!$D$4:$D$5003,mCrit,'Unsafe Acts'!$F$4:$F$5003,"Projects")+COUNTIFS('Unsafe Conditions'!$D$4:$D$5003,mCrit,'Unsafe Conditions'!$F$4:$F$5003,"Projects")</f>
        <v>0</v>
      </c>
    </row>
    <row r="95" spans="2:7">
      <c r="B95" s="11" t="s">
        <v>58</v>
      </c>
      <c r="C95" s="20">
        <f>MAX(45,MIN(100,ROUND(100-D95*8-E95*1.5,0)))</f>
        <v>0</v>
      </c>
      <c r="D95" s="20">
        <f>COUNTIFS('Incident'!$N$4:$N$5003,"Lost Time Injury",'Incident'!$D$4:$D$5003,mCrit,'Incident'!$H$4:$H$5003,"Contractor")+COUNTIFS('Incident'!$N$4:$N$5003,"Medical Treatment",'Incident'!$D$4:$D$5003,mCrit,'Incident'!$H$4:$H$5003,"Contractor")+COUNTIFS('Incident'!$N$4:$N$5003,"Restricted Work",'Incident'!$D$4:$D$5003,mCrit,'Incident'!$H$4:$H$5003,"Contractor")+COUNTIFS('Incident'!$N$4:$N$5003,"Fatality",'Incident'!$D$4:$D$5003,mCrit,'Incident'!$H$4:$H$5003,"Contractor")</f>
        <v>0</v>
      </c>
      <c r="E95" s="20">
        <f>COUNTIFS('Unsafe Acts'!$D$4:$D$5003,mCrit,'Unsafe Acts'!$F$4:$F$5003,"Contractor")+COUNTIFS('Unsafe Conditions'!$D$4:$D$5003,mCrit,'Unsafe Conditions'!$F$4:$F$5003,"Contractor")</f>
        <v>0</v>
      </c>
    </row>
    <row r="97" spans="2:8">
      <c r="B97" s="10" t="s">
        <v>1805</v>
      </c>
      <c r="C97" s="10" t="s">
        <v>1806</v>
      </c>
      <c r="D97" s="10" t="s">
        <v>1807</v>
      </c>
      <c r="E97" s="10" t="s">
        <v>1808</v>
      </c>
      <c r="F97" s="10" t="s">
        <v>1809</v>
      </c>
      <c r="G97" s="10" t="s">
        <v>65</v>
      </c>
      <c r="H97" s="10" t="s">
        <v>1810</v>
      </c>
    </row>
    <row r="98" spans="2:8">
      <c r="B98" s="10" t="s">
        <v>162</v>
      </c>
      <c r="C98" s="23">
        <f>COUNTIFS('Incident'!$U$4:$U$5003,"Critical",'Incident'!$D$4:$D$5003,mCrit,'Incident'!$H$4:$H$5003,"Operations")</f>
        <v>0</v>
      </c>
      <c r="D98" s="23">
        <f>COUNTIFS('Incident'!$U$4:$U$5003,"Critical",'Incident'!$D$4:$D$5003,mCrit,'Incident'!$H$4:$H$5003,"Maintenance")</f>
        <v>0</v>
      </c>
      <c r="E98" s="23">
        <f>COUNTIFS('Incident'!$U$4:$U$5003,"Critical",'Incident'!$D$4:$D$5003,mCrit,'Incident'!$H$4:$H$5003,"Engineering")</f>
        <v>0</v>
      </c>
      <c r="F98" s="23">
        <f>COUNTIFS('Incident'!$U$4:$U$5003,"Critical",'Incident'!$D$4:$D$5003,mCrit,'Incident'!$H$4:$H$5003,"Construction")</f>
        <v>0</v>
      </c>
      <c r="G98" s="23">
        <f>COUNTIFS('Incident'!$U$4:$U$5003,"Critical",'Incident'!$D$4:$D$5003,mCrit,'Incident'!$H$4:$H$5003,"Safety")</f>
        <v>0</v>
      </c>
      <c r="H98" s="23">
        <f>COUNTIFS('Incident'!$U$4:$U$5003,"Critical",'Incident'!$D$4:$D$5003,mCrit,'Incident'!$H$4:$H$5003,"Logistics")</f>
        <v>0</v>
      </c>
    </row>
    <row r="99" spans="2:8">
      <c r="B99" s="10" t="s">
        <v>159</v>
      </c>
      <c r="C99" s="23">
        <f>COUNTIFS('Incident'!$U$4:$U$5003,"High",'Incident'!$D$4:$D$5003,mCrit,'Incident'!$H$4:$H$5003,"Operations")</f>
        <v>0</v>
      </c>
      <c r="D99" s="23">
        <f>COUNTIFS('Incident'!$U$4:$U$5003,"High",'Incident'!$D$4:$D$5003,mCrit,'Incident'!$H$4:$H$5003,"Maintenance")</f>
        <v>0</v>
      </c>
      <c r="E99" s="23">
        <f>COUNTIFS('Incident'!$U$4:$U$5003,"High",'Incident'!$D$4:$D$5003,mCrit,'Incident'!$H$4:$H$5003,"Engineering")</f>
        <v>0</v>
      </c>
      <c r="F99" s="23">
        <f>COUNTIFS('Incident'!$U$4:$U$5003,"High",'Incident'!$D$4:$D$5003,mCrit,'Incident'!$H$4:$H$5003,"Construction")</f>
        <v>0</v>
      </c>
      <c r="G99" s="23">
        <f>COUNTIFS('Incident'!$U$4:$U$5003,"High",'Incident'!$D$4:$D$5003,mCrit,'Incident'!$H$4:$H$5003,"Safety")</f>
        <v>0</v>
      </c>
      <c r="H99" s="23">
        <f>COUNTIFS('Incident'!$U$4:$U$5003,"High",'Incident'!$D$4:$D$5003,mCrit,'Incident'!$H$4:$H$5003,"Logistics")</f>
        <v>0</v>
      </c>
    </row>
    <row r="100" spans="2:8">
      <c r="B100" s="10" t="s">
        <v>142</v>
      </c>
      <c r="C100" s="23">
        <f>COUNTIFS('Incident'!$U$4:$U$5003,"Medium",'Incident'!$D$4:$D$5003,mCrit,'Incident'!$H$4:$H$5003,"Operations")</f>
        <v>0</v>
      </c>
      <c r="D100" s="23">
        <f>COUNTIFS('Incident'!$U$4:$U$5003,"Medium",'Incident'!$D$4:$D$5003,mCrit,'Incident'!$H$4:$H$5003,"Maintenance")</f>
        <v>0</v>
      </c>
      <c r="E100" s="23">
        <f>COUNTIFS('Incident'!$U$4:$U$5003,"Medium",'Incident'!$D$4:$D$5003,mCrit,'Incident'!$H$4:$H$5003,"Engineering")</f>
        <v>0</v>
      </c>
      <c r="F100" s="23">
        <f>COUNTIFS('Incident'!$U$4:$U$5003,"Medium",'Incident'!$D$4:$D$5003,mCrit,'Incident'!$H$4:$H$5003,"Construction")</f>
        <v>0</v>
      </c>
      <c r="G100" s="23">
        <f>COUNTIFS('Incident'!$U$4:$U$5003,"Medium",'Incident'!$D$4:$D$5003,mCrit,'Incident'!$H$4:$H$5003,"Safety")</f>
        <v>0</v>
      </c>
      <c r="H100" s="23">
        <f>COUNTIFS('Incident'!$U$4:$U$5003,"Medium",'Incident'!$D$4:$D$5003,mCrit,'Incident'!$H$4:$H$5003,"Logistics")</f>
        <v>0</v>
      </c>
    </row>
    <row r="101" spans="2:8">
      <c r="B101" s="10" t="s">
        <v>154</v>
      </c>
      <c r="C101" s="23">
        <f>COUNTIFS('Incident'!$U$4:$U$5003,"Low",'Incident'!$D$4:$D$5003,mCrit,'Incident'!$H$4:$H$5003,"Operations")</f>
        <v>0</v>
      </c>
      <c r="D101" s="23">
        <f>COUNTIFS('Incident'!$U$4:$U$5003,"Low",'Incident'!$D$4:$D$5003,mCrit,'Incident'!$H$4:$H$5003,"Maintenance")</f>
        <v>0</v>
      </c>
      <c r="E101" s="23">
        <f>COUNTIFS('Incident'!$U$4:$U$5003,"Low",'Incident'!$D$4:$D$5003,mCrit,'Incident'!$H$4:$H$5003,"Engineering")</f>
        <v>0</v>
      </c>
      <c r="F101" s="23">
        <f>COUNTIFS('Incident'!$U$4:$U$5003,"Low",'Incident'!$D$4:$D$5003,mCrit,'Incident'!$H$4:$H$5003,"Construction")</f>
        <v>0</v>
      </c>
      <c r="G101" s="23">
        <f>COUNTIFS('Incident'!$U$4:$U$5003,"Low",'Incident'!$D$4:$D$5003,mCrit,'Incident'!$H$4:$H$5003,"Safety")</f>
        <v>0</v>
      </c>
      <c r="H101" s="23">
        <f>COUNTIFS('Incident'!$U$4:$U$5003,"Low",'Incident'!$D$4:$D$5003,mCrit,'Incident'!$H$4:$H$5003,"Logistics")</f>
        <v>0</v>
      </c>
    </row>
    <row r="102" spans="2:8">
      <c r="B102" s="10" t="s">
        <v>1811</v>
      </c>
      <c r="C102" s="10" t="s">
        <v>1782</v>
      </c>
      <c r="D102" s="10" t="s">
        <v>1800</v>
      </c>
      <c r="E102" s="10" t="s">
        <v>1812</v>
      </c>
      <c r="F102" s="10" t="s">
        <v>1813</v>
      </c>
    </row>
    <row r="103" spans="2:8">
      <c r="B103" s="11" t="s">
        <v>1379</v>
      </c>
      <c r="C103" s="20">
        <f>COUNTIFS('Unsafe Acts'!$E$4:$E$5003,"Bypassing Safety Device",'Unsafe Acts'!$D$4:$D$5003,mCrit,'Unsafe Acts'!$F$4:$F$5003,dCrit)</f>
        <v>0</v>
      </c>
      <c r="D103" s="22">
        <f>C103+ROW()/100000</f>
        <v>0</v>
      </c>
      <c r="E103" s="11">
        <f>INDEX($B$103:$B$112,MATCH(LARGE($D$103:$D$112,1),$D$103:$D$112,0))</f>
        <v>0</v>
      </c>
      <c r="F103" s="20">
        <f>INT(LARGE($D$103:$D$112,1))</f>
        <v>0</v>
      </c>
    </row>
    <row r="104" spans="2:8">
      <c r="B104" s="11" t="s">
        <v>1377</v>
      </c>
      <c r="C104" s="20">
        <f>COUNTIFS('Unsafe Acts'!$E$4:$E$5003,"Not Using PPE",'Unsafe Acts'!$D$4:$D$5003,mCrit,'Unsafe Acts'!$F$4:$F$5003,dCrit)</f>
        <v>0</v>
      </c>
      <c r="D104" s="22">
        <f>C104+ROW()/100000</f>
        <v>0</v>
      </c>
      <c r="E104" s="11">
        <f>INDEX($B$103:$B$112,MATCH(LARGE($D$103:$D$112,2),$D$103:$D$112,0))</f>
        <v>0</v>
      </c>
      <c r="F104" s="20">
        <f>INT(LARGE($D$103:$D$112,2))</f>
        <v>0</v>
      </c>
    </row>
    <row r="105" spans="2:8">
      <c r="B105" s="11" t="s">
        <v>1370</v>
      </c>
      <c r="C105" s="20">
        <f>COUNTIFS('Unsafe Acts'!$E$4:$E$5003,"Improper Lifting Technique",'Unsafe Acts'!$D$4:$D$5003,mCrit,'Unsafe Acts'!$F$4:$F$5003,dCrit)</f>
        <v>0</v>
      </c>
      <c r="D105" s="22">
        <f>C105+ROW()/100000</f>
        <v>0</v>
      </c>
      <c r="E105" s="11">
        <f>INDEX($B$103:$B$112,MATCH(LARGE($D$103:$D$112,3),$D$103:$D$112,0))</f>
        <v>0</v>
      </c>
      <c r="F105" s="20">
        <f>INT(LARGE($D$103:$D$112,3))</f>
        <v>0</v>
      </c>
    </row>
    <row r="106" spans="2:8">
      <c r="B106" s="11" t="s">
        <v>1384</v>
      </c>
      <c r="C106" s="20">
        <f>COUNTIFS('Unsafe Acts'!$E$4:$E$5003,"Working Without Permit",'Unsafe Acts'!$D$4:$D$5003,mCrit,'Unsafe Acts'!$F$4:$F$5003,dCrit)</f>
        <v>0</v>
      </c>
      <c r="D106" s="22">
        <f>C106+ROW()/100000</f>
        <v>0</v>
      </c>
      <c r="E106" s="11">
        <f>INDEX($B$103:$B$112,MATCH(LARGE($D$103:$D$112,4),$D$103:$D$112,0))</f>
        <v>0</v>
      </c>
      <c r="F106" s="20">
        <f>INT(LARGE($D$103:$D$112,4))</f>
        <v>0</v>
      </c>
    </row>
    <row r="107" spans="2:8">
      <c r="B107" s="11" t="s">
        <v>1368</v>
      </c>
      <c r="C107" s="20">
        <f>COUNTIFS('Unsafe Acts'!$E$4:$E$5003,"Operating Without Authorization",'Unsafe Acts'!$D$4:$D$5003,mCrit,'Unsafe Acts'!$F$4:$F$5003,dCrit)</f>
        <v>0</v>
      </c>
      <c r="D107" s="22">
        <f>C107+ROW()/100000</f>
        <v>0</v>
      </c>
      <c r="E107" s="11">
        <f>INDEX($B$103:$B$112,MATCH(LARGE($D$103:$D$112,5),$D$103:$D$112,0))</f>
        <v>0</v>
      </c>
      <c r="F107" s="20">
        <f>INT(LARGE($D$103:$D$112,5))</f>
        <v>0</v>
      </c>
    </row>
    <row r="108" spans="2:8">
      <c r="B108" s="11" t="s">
        <v>1381</v>
      </c>
      <c r="C108" s="20">
        <f>COUNTIFS('Unsafe Acts'!$E$4:$E$5003,"Using Defective Equipment",'Unsafe Acts'!$D$4:$D$5003,mCrit,'Unsafe Acts'!$F$4:$F$5003,dCrit)</f>
        <v>0</v>
      </c>
      <c r="D108" s="22">
        <f>C108+ROW()/100000</f>
        <v>0</v>
      </c>
      <c r="E108" s="11">
        <f>INDEX($B$103:$B$112,MATCH(LARGE($D$103:$D$112,6),$D$103:$D$112,0))</f>
        <v>0</v>
      </c>
      <c r="F108" s="20">
        <f>INT(LARGE($D$103:$D$112,6))</f>
        <v>0</v>
      </c>
    </row>
    <row r="109" spans="2:8">
      <c r="B109" s="11" t="s">
        <v>1375</v>
      </c>
      <c r="C109" s="20">
        <f>COUNTIFS('Unsafe Acts'!$E$4:$E$5003,"Horseplay",'Unsafe Acts'!$D$4:$D$5003,mCrit,'Unsafe Acts'!$F$4:$F$5003,dCrit)</f>
        <v>0</v>
      </c>
      <c r="D109" s="22">
        <f>C109+ROW()/100000</f>
        <v>0</v>
      </c>
      <c r="E109" s="11">
        <f>INDEX($B$103:$B$112,MATCH(LARGE($D$103:$D$112,7),$D$103:$D$112,0))</f>
        <v>0</v>
      </c>
      <c r="F109" s="20">
        <f>INT(LARGE($D$103:$D$112,7))</f>
        <v>0</v>
      </c>
    </row>
    <row r="110" spans="2:8">
      <c r="B110" s="11" t="s">
        <v>1372</v>
      </c>
      <c r="C110" s="20">
        <f>COUNTIFS('Unsafe Acts'!$E$4:$E$5003,"Wrong Tool for the Job",'Unsafe Acts'!$D$4:$D$5003,mCrit,'Unsafe Acts'!$F$4:$F$5003,dCrit)</f>
        <v>0</v>
      </c>
      <c r="D110" s="22">
        <f>C110+ROW()/100000</f>
        <v>0</v>
      </c>
      <c r="E110" s="11">
        <f>INDEX($B$103:$B$112,MATCH(LARGE($D$103:$D$112,8),$D$103:$D$112,0))</f>
        <v>0</v>
      </c>
      <c r="F110" s="20">
        <f>INT(LARGE($D$103:$D$112,8))</f>
        <v>0</v>
      </c>
    </row>
    <row r="111" spans="2:8">
      <c r="B111" s="11" t="s">
        <v>1395</v>
      </c>
      <c r="C111" s="20">
        <f>COUNTIFS('Unsafe Acts'!$E$4:$E$5003,"LOTO Not Followed",'Unsafe Acts'!$D$4:$D$5003,mCrit,'Unsafe Acts'!$F$4:$F$5003,dCrit)</f>
        <v>0</v>
      </c>
      <c r="D111" s="22">
        <f>C111+ROW()/100000</f>
        <v>0</v>
      </c>
      <c r="E111" s="11">
        <f>INDEX($B$103:$B$112,MATCH(LARGE($D$103:$D$112,9),$D$103:$D$112,0))</f>
        <v>0</v>
      </c>
      <c r="F111" s="20">
        <f>INT(LARGE($D$103:$D$112,9))</f>
        <v>0</v>
      </c>
    </row>
    <row r="112" spans="2:8">
      <c r="B112" s="11" t="s">
        <v>1411</v>
      </c>
      <c r="C112" s="20">
        <f>COUNTIFS('Unsafe Acts'!$E$4:$E$5003,"Vehicle/Forklift Overspeeding",'Unsafe Acts'!$D$4:$D$5003,mCrit,'Unsafe Acts'!$F$4:$F$5003,dCrit)</f>
        <v>0</v>
      </c>
      <c r="D112" s="22">
        <f>C112+ROW()/100000</f>
        <v>0</v>
      </c>
      <c r="E112" s="11">
        <f>INDEX($B$103:$B$112,MATCH(LARGE($D$103:$D$112,10),$D$103:$D$112,0))</f>
        <v>0</v>
      </c>
      <c r="F112" s="20">
        <f>INT(LARGE($D$103:$D$112,10))</f>
        <v>0</v>
      </c>
    </row>
    <row r="114" spans="2:6">
      <c r="B114" s="10" t="s">
        <v>1814</v>
      </c>
      <c r="C114" s="10" t="s">
        <v>1782</v>
      </c>
      <c r="D114" s="10" t="s">
        <v>1800</v>
      </c>
      <c r="E114" s="10" t="s">
        <v>1812</v>
      </c>
      <c r="F114" s="10" t="s">
        <v>1813</v>
      </c>
    </row>
    <row r="115" spans="2:6">
      <c r="B115" s="11" t="s">
        <v>1439</v>
      </c>
      <c r="C115" s="20">
        <f>COUNTIFS('Unsafe Conditions'!$E$4:$E$5003,"Slippery Floor",'Unsafe Conditions'!$D$4:$D$5003,mCrit,'Unsafe Conditions'!$F$4:$F$5003,dCrit)</f>
        <v>0</v>
      </c>
      <c r="D115" s="22">
        <f>C115+ROW()/100000</f>
        <v>0</v>
      </c>
      <c r="E115" s="11">
        <f>INDEX($B$115:$B$124,MATCH(LARGE($D$115:$D$124,1),$D$115:$D$124,0))</f>
        <v>0</v>
      </c>
      <c r="F115" s="20">
        <f>INT(LARGE($D$115:$D$124,1))</f>
        <v>0</v>
      </c>
    </row>
    <row r="116" spans="2:6">
      <c r="B116" s="11" t="s">
        <v>1312</v>
      </c>
      <c r="C116" s="20">
        <f>COUNTIFS('Unsafe Conditions'!$E$4:$E$5003,"Poor Housekeeping",'Unsafe Conditions'!$D$4:$D$5003,mCrit,'Unsafe Conditions'!$F$4:$F$5003,dCrit)</f>
        <v>0</v>
      </c>
      <c r="D116" s="22">
        <f>C116+ROW()/100000</f>
        <v>0</v>
      </c>
      <c r="E116" s="11">
        <f>INDEX($B$115:$B$124,MATCH(LARGE($D$115:$D$124,2),$D$115:$D$124,0))</f>
        <v>0</v>
      </c>
      <c r="F116" s="20">
        <f>INT(LARGE($D$115:$D$124,2))</f>
        <v>0</v>
      </c>
    </row>
    <row r="117" spans="2:6">
      <c r="B117" s="11" t="s">
        <v>1432</v>
      </c>
      <c r="C117" s="20">
        <f>COUNTIFS('Unsafe Conditions'!$E$4:$E$5003,"Inadequate Lighting",'Unsafe Conditions'!$D$4:$D$5003,mCrit,'Unsafe Conditions'!$F$4:$F$5003,dCrit)</f>
        <v>0</v>
      </c>
      <c r="D117" s="22">
        <f>C117+ROW()/100000</f>
        <v>0</v>
      </c>
      <c r="E117" s="11">
        <f>INDEX($B$115:$B$124,MATCH(LARGE($D$115:$D$124,3),$D$115:$D$124,0))</f>
        <v>0</v>
      </c>
      <c r="F117" s="20">
        <f>INT(LARGE($D$115:$D$124,3))</f>
        <v>0</v>
      </c>
    </row>
    <row r="118" spans="2:6">
      <c r="B118" s="11" t="s">
        <v>1449</v>
      </c>
      <c r="C118" s="20">
        <f>COUNTIFS('Unsafe Conditions'!$E$4:$E$5003,"Damaged Machine Guard",'Unsafe Conditions'!$D$4:$D$5003,mCrit,'Unsafe Conditions'!$F$4:$F$5003,dCrit)</f>
        <v>0</v>
      </c>
      <c r="D118" s="22">
        <f>C118+ROW()/100000</f>
        <v>0</v>
      </c>
      <c r="E118" s="11">
        <f>INDEX($B$115:$B$124,MATCH(LARGE($D$115:$D$124,4),$D$115:$D$124,0))</f>
        <v>0</v>
      </c>
      <c r="F118" s="20">
        <f>INT(LARGE($D$115:$D$124,4))</f>
        <v>0</v>
      </c>
    </row>
    <row r="119" spans="2:6">
      <c r="B119" s="11" t="s">
        <v>1434</v>
      </c>
      <c r="C119" s="20">
        <f>COUNTIFS('Unsafe Conditions'!$E$4:$E$5003,"Exposed Wiring",'Unsafe Conditions'!$D$4:$D$5003,mCrit,'Unsafe Conditions'!$F$4:$F$5003,dCrit)</f>
        <v>0</v>
      </c>
      <c r="D119" s="22">
        <f>C119+ROW()/100000</f>
        <v>0</v>
      </c>
      <c r="E119" s="11">
        <f>INDEX($B$115:$B$124,MATCH(LARGE($D$115:$D$124,5),$D$115:$D$124,0))</f>
        <v>0</v>
      </c>
      <c r="F119" s="20">
        <f>INT(LARGE($D$115:$D$124,5))</f>
        <v>0</v>
      </c>
    </row>
    <row r="120" spans="2:6">
      <c r="B120" s="11" t="s">
        <v>1445</v>
      </c>
      <c r="C120" s="20">
        <f>COUNTIFS('Unsafe Conditions'!$E$4:$E$5003,"Blocked Walkway/Aisle",'Unsafe Conditions'!$D$4:$D$5003,mCrit,'Unsafe Conditions'!$F$4:$F$5003,dCrit)</f>
        <v>0</v>
      </c>
      <c r="D120" s="22">
        <f>C120+ROW()/100000</f>
        <v>0</v>
      </c>
      <c r="E120" s="11">
        <f>INDEX($B$115:$B$124,MATCH(LARGE($D$115:$D$124,6),$D$115:$D$124,0))</f>
        <v>0</v>
      </c>
      <c r="F120" s="20">
        <f>INT(LARGE($D$115:$D$124,6))</f>
        <v>0</v>
      </c>
    </row>
    <row r="121" spans="2:6">
      <c r="B121" s="11" t="s">
        <v>1437</v>
      </c>
      <c r="C121" s="20">
        <f>COUNTIFS('Unsafe Conditions'!$E$4:$E$5003,"Missing Signage",'Unsafe Conditions'!$D$4:$D$5003,mCrit,'Unsafe Conditions'!$F$4:$F$5003,dCrit)</f>
        <v>0</v>
      </c>
      <c r="D121" s="22">
        <f>C121+ROW()/100000</f>
        <v>0</v>
      </c>
      <c r="E121" s="11">
        <f>INDEX($B$115:$B$124,MATCH(LARGE($D$115:$D$124,7),$D$115:$D$124,0))</f>
        <v>0</v>
      </c>
      <c r="F121" s="20">
        <f>INT(LARGE($D$115:$D$124,7))</f>
        <v>0</v>
      </c>
    </row>
    <row r="122" spans="2:6">
      <c r="B122" s="11" t="s">
        <v>1430</v>
      </c>
      <c r="C122" s="20">
        <f>COUNTIFS('Unsafe Conditions'!$E$4:$E$5003,"Chemical Leak",'Unsafe Conditions'!$D$4:$D$5003,mCrit,'Unsafe Conditions'!$F$4:$F$5003,dCrit)</f>
        <v>0</v>
      </c>
      <c r="D122" s="22">
        <f>C122+ROW()/100000</f>
        <v>0</v>
      </c>
      <c r="E122" s="11">
        <f>INDEX($B$115:$B$124,MATCH(LARGE($D$115:$D$124,8),$D$115:$D$124,0))</f>
        <v>0</v>
      </c>
      <c r="F122" s="20">
        <f>INT(LARGE($D$115:$D$124,8))</f>
        <v>0</v>
      </c>
    </row>
    <row r="123" spans="2:6">
      <c r="B123" s="11" t="s">
        <v>1447</v>
      </c>
      <c r="C123" s="20">
        <f>COUNTIFS('Unsafe Conditions'!$E$4:$E$5003,"Faulty Ladder/Scaffold",'Unsafe Conditions'!$D$4:$D$5003,mCrit,'Unsafe Conditions'!$F$4:$F$5003,dCrit)</f>
        <v>0</v>
      </c>
      <c r="D123" s="22">
        <f>C123+ROW()/100000</f>
        <v>0</v>
      </c>
      <c r="E123" s="11">
        <f>INDEX($B$115:$B$124,MATCH(LARGE($D$115:$D$124,9),$D$115:$D$124,0))</f>
        <v>0</v>
      </c>
      <c r="F123" s="20">
        <f>INT(LARGE($D$115:$D$124,9))</f>
        <v>0</v>
      </c>
    </row>
    <row r="124" spans="2:6">
      <c r="B124" s="11" t="s">
        <v>1452</v>
      </c>
      <c r="C124" s="20">
        <f>COUNTIFS('Unsafe Conditions'!$E$4:$E$5003,"Blocked Fire Exit",'Unsafe Conditions'!$D$4:$D$5003,mCrit,'Unsafe Conditions'!$F$4:$F$5003,dCrit)</f>
        <v>0</v>
      </c>
      <c r="D124" s="22">
        <f>C124+ROW()/100000</f>
        <v>0</v>
      </c>
      <c r="E124" s="11">
        <f>INDEX($B$115:$B$124,MATCH(LARGE($D$115:$D$124,10),$D$115:$D$124,0))</f>
        <v>0</v>
      </c>
      <c r="F124" s="20">
        <f>INT(LARGE($D$115:$D$124,10))</f>
        <v>0</v>
      </c>
    </row>
    <row r="126" spans="2:6">
      <c r="B126" s="10" t="s">
        <v>1815</v>
      </c>
      <c r="C126" s="10" t="s">
        <v>1782</v>
      </c>
      <c r="D126" s="10" t="s">
        <v>1800</v>
      </c>
      <c r="E126" s="10" t="s">
        <v>1812</v>
      </c>
      <c r="F126" s="10" t="s">
        <v>1813</v>
      </c>
    </row>
    <row r="127" spans="2:6">
      <c r="B127" s="11" t="s">
        <v>87</v>
      </c>
      <c r="C127" s="20">
        <f>COUNTIFS('Incident'!$I$4:$I$5003,"Plant A",'Incident'!$D$4:$D$5003,mCrit,'Incident'!$H$4:$H$5003,dCrit)</f>
        <v>0</v>
      </c>
      <c r="D127" s="22">
        <f>C127+ROW()/100000</f>
        <v>0</v>
      </c>
      <c r="E127" s="11">
        <f>INDEX($B$127:$B$136,MATCH(LARGE($D$127:$D$136,1),$D$127:$D$136,0))</f>
        <v>0</v>
      </c>
      <c r="F127" s="20">
        <f>INT(LARGE($D$127:$D$136,1))</f>
        <v>0</v>
      </c>
    </row>
    <row r="128" spans="2:6">
      <c r="B128" s="11" t="s">
        <v>77</v>
      </c>
      <c r="C128" s="20">
        <f>COUNTIFS('Incident'!$I$4:$I$5003,"Plant B",'Incident'!$D$4:$D$5003,mCrit,'Incident'!$H$4:$H$5003,dCrit)</f>
        <v>0</v>
      </c>
      <c r="D128" s="22">
        <f>C128+ROW()/100000</f>
        <v>0</v>
      </c>
      <c r="E128" s="11">
        <f>INDEX($B$127:$B$136,MATCH(LARGE($D$127:$D$136,2),$D$127:$D$136,0))</f>
        <v>0</v>
      </c>
      <c r="F128" s="20">
        <f>INT(LARGE($D$127:$D$136,2))</f>
        <v>0</v>
      </c>
    </row>
    <row r="129" spans="2:6">
      <c r="B129" s="11" t="s">
        <v>95</v>
      </c>
      <c r="C129" s="20">
        <f>COUNTIFS('Incident'!$I$4:$I$5003,"Warehouse",'Incident'!$D$4:$D$5003,mCrit,'Incident'!$H$4:$H$5003,dCrit)</f>
        <v>0</v>
      </c>
      <c r="D129" s="22">
        <f>C129+ROW()/100000</f>
        <v>0</v>
      </c>
      <c r="E129" s="11">
        <f>INDEX($B$127:$B$136,MATCH(LARGE($D$127:$D$136,3),$D$127:$D$136,0))</f>
        <v>0</v>
      </c>
      <c r="F129" s="20">
        <f>INT(LARGE($D$127:$D$136,3))</f>
        <v>0</v>
      </c>
    </row>
    <row r="130" spans="2:6">
      <c r="B130" s="11" t="s">
        <v>82</v>
      </c>
      <c r="C130" s="20">
        <f>COUNTIFS('Incident'!$I$4:$I$5003,"Workshop",'Incident'!$D$4:$D$5003,mCrit,'Incident'!$H$4:$H$5003,dCrit)</f>
        <v>0</v>
      </c>
      <c r="D130" s="22">
        <f>C130+ROW()/100000</f>
        <v>0</v>
      </c>
      <c r="E130" s="11">
        <f>INDEX($B$127:$B$136,MATCH(LARGE($D$127:$D$136,4),$D$127:$D$136,0))</f>
        <v>0</v>
      </c>
      <c r="F130" s="20">
        <f>INT(LARGE($D$127:$D$136,4))</f>
        <v>0</v>
      </c>
    </row>
    <row r="131" spans="2:6">
      <c r="B131" s="11" t="s">
        <v>80</v>
      </c>
      <c r="C131" s="20">
        <f>COUNTIFS('Incident'!$I$4:$I$5003,"Field Site",'Incident'!$D$4:$D$5003,mCrit,'Incident'!$H$4:$H$5003,dCrit)</f>
        <v>0</v>
      </c>
      <c r="D131" s="22">
        <f>C131+ROW()/100000</f>
        <v>0</v>
      </c>
      <c r="E131" s="11">
        <f>INDEX($B$127:$B$136,MATCH(LARGE($D$127:$D$136,5),$D$127:$D$136,0))</f>
        <v>0</v>
      </c>
      <c r="F131" s="20">
        <f>INT(LARGE($D$127:$D$136,5))</f>
        <v>0</v>
      </c>
    </row>
    <row r="132" spans="2:6">
      <c r="B132" s="11" t="s">
        <v>31</v>
      </c>
      <c r="C132" s="20">
        <f>COUNTIFS('Incident'!$I$4:$I$5003,"Control Room",'Incident'!$D$4:$D$5003,mCrit,'Incident'!$H$4:$H$5003,dCrit)</f>
        <v>0</v>
      </c>
      <c r="D132" s="22">
        <f>C132+ROW()/100000</f>
        <v>0</v>
      </c>
      <c r="E132" s="11">
        <f>INDEX($B$127:$B$136,MATCH(LARGE($D$127:$D$136,6),$D$127:$D$136,0))</f>
        <v>0</v>
      </c>
      <c r="F132" s="20">
        <f>INT(LARGE($D$127:$D$136,6))</f>
        <v>0</v>
      </c>
    </row>
    <row r="133" spans="2:6">
      <c r="B133" s="11" t="s">
        <v>40</v>
      </c>
      <c r="C133" s="20">
        <f>COUNTIFS('Incident'!$I$4:$I$5003,"Office",'Incident'!$D$4:$D$5003,mCrit,'Incident'!$H$4:$H$5003,dCrit)</f>
        <v>0</v>
      </c>
      <c r="D133" s="22">
        <f>C133+ROW()/100000</f>
        <v>0</v>
      </c>
      <c r="E133" s="11">
        <f>INDEX($B$127:$B$136,MATCH(LARGE($D$127:$D$136,7),$D$127:$D$136,0))</f>
        <v>0</v>
      </c>
      <c r="F133" s="20">
        <f>INT(LARGE($D$127:$D$136,7))</f>
        <v>0</v>
      </c>
    </row>
    <row r="134" spans="2:6">
      <c r="B134" s="11" t="s">
        <v>51</v>
      </c>
      <c r="C134" s="20">
        <f>COUNTIFS('Incident'!$I$4:$I$5003,"Tank Farm",'Incident'!$D$4:$D$5003,mCrit,'Incident'!$H$4:$H$5003,dCrit)</f>
        <v>0</v>
      </c>
      <c r="D134" s="22">
        <f>C134+ROW()/100000</f>
        <v>0</v>
      </c>
      <c r="E134" s="11">
        <f>INDEX($B$127:$B$136,MATCH(LARGE($D$127:$D$136,8),$D$127:$D$136,0))</f>
        <v>0</v>
      </c>
      <c r="F134" s="20">
        <f>INT(LARGE($D$127:$D$136,8))</f>
        <v>0</v>
      </c>
    </row>
    <row r="135" spans="2:6">
      <c r="B135" s="11" t="s">
        <v>6</v>
      </c>
      <c r="C135" s="20">
        <f>COUNTIFS('Incident'!$I$4:$I$5003,"Boiler House",'Incident'!$D$4:$D$5003,mCrit,'Incident'!$H$4:$H$5003,dCrit)</f>
        <v>0</v>
      </c>
      <c r="D135" s="22">
        <f>C135+ROW()/100000</f>
        <v>0</v>
      </c>
      <c r="E135" s="11">
        <f>INDEX($B$127:$B$136,MATCH(LARGE($D$127:$D$136,9),$D$127:$D$136,0))</f>
        <v>0</v>
      </c>
      <c r="F135" s="20">
        <f>INT(LARGE($D$127:$D$136,9))</f>
        <v>0</v>
      </c>
    </row>
    <row r="136" spans="2:6">
      <c r="B136" s="11" t="s">
        <v>14</v>
      </c>
      <c r="C136" s="20">
        <f>COUNTIFS('Incident'!$I$4:$I$5003,"ETP Plant",'Incident'!$D$4:$D$5003,mCrit,'Incident'!$H$4:$H$5003,dCrit)</f>
        <v>0</v>
      </c>
      <c r="D136" s="22">
        <f>C136+ROW()/100000</f>
        <v>0</v>
      </c>
      <c r="E136" s="11">
        <f>INDEX($B$127:$B$136,MATCH(LARGE($D$127:$D$136,10),$D$127:$D$136,0))</f>
        <v>0</v>
      </c>
      <c r="F136" s="20">
        <f>INT(LARGE($D$127:$D$136,10))</f>
        <v>0</v>
      </c>
    </row>
    <row r="138" spans="2:6">
      <c r="B138" s="10" t="s">
        <v>1816</v>
      </c>
      <c r="C138" s="10" t="s">
        <v>1817</v>
      </c>
    </row>
    <row r="139" spans="2:6">
      <c r="B139" s="11" t="s">
        <v>1777</v>
      </c>
      <c r="C139" s="21">
        <f>Calculations!$BX$29</f>
        <v>0</v>
      </c>
    </row>
    <row r="140" spans="2:6">
      <c r="B140" s="11" t="s">
        <v>1778</v>
      </c>
      <c r="C140" s="21">
        <f>Calculations!$BX$55</f>
        <v>0</v>
      </c>
    </row>
    <row r="141" spans="2:6">
      <c r="B141" s="11" t="s">
        <v>1744</v>
      </c>
      <c r="C141" s="21">
        <f>Calculations!$BX$31</f>
        <v>0</v>
      </c>
    </row>
    <row r="142" spans="2:6">
      <c r="B142" s="11" t="s">
        <v>1818</v>
      </c>
      <c r="C142" s="21">
        <f>Calculations!$BX$33</f>
        <v>0</v>
      </c>
    </row>
    <row r="143" spans="2:6">
      <c r="B143" s="11" t="s">
        <v>1770</v>
      </c>
      <c r="C143" s="21">
        <f>Calculations!$BX$57</f>
        <v>0</v>
      </c>
    </row>
    <row r="144" spans="2:6">
      <c r="B144" s="11" t="s">
        <v>1819</v>
      </c>
      <c r="C144" s="21">
        <f>Calculations!$BX$22</f>
        <v>0</v>
      </c>
    </row>
    <row r="146" spans="2:34">
      <c r="B146" s="17" t="s">
        <v>1820</v>
      </c>
    </row>
    <row r="147" spans="2:34">
      <c r="B147" s="10" t="s">
        <v>127</v>
      </c>
      <c r="C147" s="10" t="s">
        <v>1782</v>
      </c>
      <c r="E147" s="10" t="s">
        <v>136</v>
      </c>
      <c r="F147" s="10" t="s">
        <v>1782</v>
      </c>
      <c r="G147" s="10" t="s">
        <v>138</v>
      </c>
      <c r="H147" s="10" t="s">
        <v>1782</v>
      </c>
      <c r="M147" s="10" t="s">
        <v>1726</v>
      </c>
      <c r="N147" s="10" t="s">
        <v>1817</v>
      </c>
      <c r="P147" s="10" t="s">
        <v>129</v>
      </c>
      <c r="Q147" s="10" t="s">
        <v>1782</v>
      </c>
      <c r="R147" s="10" t="s">
        <v>1825</v>
      </c>
      <c r="S147" s="10" t="s">
        <v>1822</v>
      </c>
      <c r="U147" s="10" t="s">
        <v>1826</v>
      </c>
      <c r="V147" s="10" t="s">
        <v>3</v>
      </c>
      <c r="W147" s="10" t="s">
        <v>19</v>
      </c>
      <c r="X147" s="10" t="s">
        <v>44</v>
      </c>
      <c r="Y147" s="10" t="s">
        <v>53</v>
      </c>
      <c r="Z147" s="10" t="s">
        <v>60</v>
      </c>
      <c r="AA147" s="10" t="s">
        <v>73</v>
      </c>
      <c r="AB147" s="10" t="s">
        <v>76</v>
      </c>
      <c r="AC147" s="10" t="s">
        <v>86</v>
      </c>
      <c r="AD147" s="10" t="s">
        <v>102</v>
      </c>
      <c r="AE147" s="10" t="s">
        <v>106</v>
      </c>
      <c r="AF147" s="10" t="s">
        <v>111</v>
      </c>
      <c r="AG147" s="10" t="s">
        <v>122</v>
      </c>
      <c r="AH147" s="10" t="s">
        <v>1827</v>
      </c>
    </row>
    <row r="148" spans="2:34">
      <c r="B148" s="19" t="s">
        <v>3</v>
      </c>
      <c r="C148" s="20">
        <f>COUNTIFS('Toolbox Talks'!$D$4:$D$5003,"Jan",'Toolbox Talks'!$F$4:$F$5003,dCrit)</f>
        <v>0</v>
      </c>
      <c r="E148" s="11" t="s">
        <v>8</v>
      </c>
      <c r="F148" s="20">
        <f>COUNTIFS('Toolbox Talks'!$M$4:$M$5003,"Ergonomics",'Toolbox Talks'!$D$4:$D$5003,mCrit,'Toolbox Talks'!$F$4:$F$5003,dCrit)</f>
        <v>0</v>
      </c>
      <c r="G148" s="11" t="s">
        <v>10</v>
      </c>
      <c r="H148" s="20">
        <f>COUNTIFS('Toolbox Talks'!$O$4:$O$5003,"Excellent",'Toolbox Talks'!$D$4:$D$5003,mCrit,'Toolbox Talks'!$F$4:$F$5003,dCrit)</f>
        <v>0</v>
      </c>
      <c r="M148" s="11" t="s">
        <v>1821</v>
      </c>
      <c r="N148" s="20">
        <f>COUNTIFS('Toolbox Talks'!$D$4:$D$5003,mCrit,'Toolbox Talks'!$F$4:$F$5003,dCrit)</f>
        <v>0</v>
      </c>
      <c r="P148" s="11" t="s">
        <v>27</v>
      </c>
      <c r="Q148" s="20">
        <f>COUNTIFS('Toolbox Talks'!$D$4:$D$5003,mCrit,'Toolbox Talks'!$F$4:$F$5003,"Operations")</f>
        <v>0</v>
      </c>
      <c r="R148" s="20">
        <f>COUNTIFS('Toolbox Talks'!$D$4:$D$5003,mCrit,'Toolbox Talks'!$F$4:$F$5003,"Operations")</f>
        <v>0</v>
      </c>
      <c r="S148" s="21">
        <f>IFERROR(AVERAGEIFS('Toolbox Talks'!$K$4:$K$5003,'Toolbox Talks'!$D$4:$D$5003,mCrit,'Toolbox Talks'!$F$4:$F$5003,"Operations"),0)</f>
        <v>0</v>
      </c>
      <c r="U148" s="11" t="s">
        <v>1825</v>
      </c>
      <c r="V148" s="20">
        <f>COUNTIFS('Toolbox Talks'!$D$4:$D$5003,"Jan",'Toolbox Talks'!$F$4:$F$5003,dCrit)</f>
        <v>0</v>
      </c>
      <c r="W148" s="20">
        <f>COUNTIFS('Toolbox Talks'!$D$4:$D$5003,"Feb",'Toolbox Talks'!$F$4:$F$5003,dCrit)</f>
        <v>0</v>
      </c>
      <c r="X148" s="20">
        <f>COUNTIFS('Toolbox Talks'!$D$4:$D$5003,"Mar",'Toolbox Talks'!$F$4:$F$5003,dCrit)</f>
        <v>0</v>
      </c>
      <c r="Y148" s="20">
        <f>COUNTIFS('Toolbox Talks'!$D$4:$D$5003,"Apr",'Toolbox Talks'!$F$4:$F$5003,dCrit)</f>
        <v>0</v>
      </c>
      <c r="Z148" s="20">
        <f>COUNTIFS('Toolbox Talks'!$D$4:$D$5003,"May",'Toolbox Talks'!$F$4:$F$5003,dCrit)</f>
        <v>0</v>
      </c>
      <c r="AA148" s="20">
        <f>COUNTIFS('Toolbox Talks'!$D$4:$D$5003,"Jun",'Toolbox Talks'!$F$4:$F$5003,dCrit)</f>
        <v>0</v>
      </c>
      <c r="AB148" s="20">
        <f>COUNTIFS('Toolbox Talks'!$D$4:$D$5003,"Jul",'Toolbox Talks'!$F$4:$F$5003,dCrit)</f>
        <v>0</v>
      </c>
      <c r="AC148" s="20">
        <f>COUNTIFS('Toolbox Talks'!$D$4:$D$5003,"Aug",'Toolbox Talks'!$F$4:$F$5003,dCrit)</f>
        <v>0</v>
      </c>
      <c r="AD148" s="20">
        <f>COUNTIFS('Toolbox Talks'!$D$4:$D$5003,"Sep",'Toolbox Talks'!$F$4:$F$5003,dCrit)</f>
        <v>0</v>
      </c>
      <c r="AE148" s="20">
        <f>COUNTIFS('Toolbox Talks'!$D$4:$D$5003,"Oct",'Toolbox Talks'!$F$4:$F$5003,dCrit)</f>
        <v>0</v>
      </c>
      <c r="AF148" s="20">
        <f>COUNTIFS('Toolbox Talks'!$D$4:$D$5003,"Nov",'Toolbox Talks'!$F$4:$F$5003,dCrit)</f>
        <v>0</v>
      </c>
      <c r="AG148" s="20">
        <f>COUNTIFS('Toolbox Talks'!$D$4:$D$5003,"Dec",'Toolbox Talks'!$F$4:$F$5003,dCrit)</f>
        <v>0</v>
      </c>
      <c r="AH148" s="20">
        <f>SUM(V148:AG148)</f>
        <v>0</v>
      </c>
    </row>
    <row r="149" spans="2:34">
      <c r="B149" s="19" t="s">
        <v>19</v>
      </c>
      <c r="C149" s="20">
        <f>COUNTIFS('Toolbox Talks'!$D$4:$D$5003,"Feb",'Toolbox Talks'!$F$4:$F$5003,dCrit)</f>
        <v>0</v>
      </c>
      <c r="E149" s="11" t="s">
        <v>16</v>
      </c>
      <c r="F149" s="20">
        <f>COUNTIFS('Toolbox Talks'!$M$4:$M$5003,"Housekeeping",'Toolbox Talks'!$D$4:$D$5003,mCrit,'Toolbox Talks'!$F$4:$F$5003,dCrit)</f>
        <v>0</v>
      </c>
      <c r="G149" s="11" t="s">
        <v>42</v>
      </c>
      <c r="H149" s="20">
        <f>COUNTIFS('Toolbox Talks'!$O$4:$O$5003,"Good",'Toolbox Talks'!$D$4:$D$5003,mCrit,'Toolbox Talks'!$F$4:$F$5003,dCrit)</f>
        <v>0</v>
      </c>
      <c r="M149" s="11" t="s">
        <v>1822</v>
      </c>
      <c r="N149" s="21">
        <f>IFERROR(AVERAGEIFS('Toolbox Talks'!$K$4:$K$5003,'Toolbox Talks'!$D$4:$D$5003,mCrit,'Toolbox Talks'!$F$4:$F$5003,dCrit),0)</f>
        <v>0</v>
      </c>
      <c r="P149" s="11" t="s">
        <v>92</v>
      </c>
      <c r="Q149" s="20">
        <f>COUNTIFS('Toolbox Talks'!$D$4:$D$5003,mCrit,'Toolbox Talks'!$F$4:$F$5003,"Maintenance")</f>
        <v>0</v>
      </c>
      <c r="R149" s="20">
        <f>COUNTIFS('Toolbox Talks'!$D$4:$D$5003,mCrit,'Toolbox Talks'!$F$4:$F$5003,"Maintenance")</f>
        <v>0</v>
      </c>
      <c r="S149" s="21">
        <f>IFERROR(AVERAGEIFS('Toolbox Talks'!$K$4:$K$5003,'Toolbox Talks'!$D$4:$D$5003,mCrit,'Toolbox Talks'!$F$4:$F$5003,"Maintenance"),0)</f>
        <v>0</v>
      </c>
      <c r="U149" s="11" t="s">
        <v>1822</v>
      </c>
      <c r="V149" s="21">
        <f>IFERROR(AVERAGEIFS('Toolbox Talks'!$K$4:$K$5003,'Toolbox Talks'!$D$4:$D$5003,"Jan",'Toolbox Talks'!$F$4:$F$5003,dCrit),0)</f>
        <v>0</v>
      </c>
      <c r="W149" s="21">
        <f>IFERROR(AVERAGEIFS('Toolbox Talks'!$K$4:$K$5003,'Toolbox Talks'!$D$4:$D$5003,"Feb",'Toolbox Talks'!$F$4:$F$5003,dCrit),0)</f>
        <v>0</v>
      </c>
      <c r="X149" s="21">
        <f>IFERROR(AVERAGEIFS('Toolbox Talks'!$K$4:$K$5003,'Toolbox Talks'!$D$4:$D$5003,"Mar",'Toolbox Talks'!$F$4:$F$5003,dCrit),0)</f>
        <v>0</v>
      </c>
      <c r="Y149" s="21">
        <f>IFERROR(AVERAGEIFS('Toolbox Talks'!$K$4:$K$5003,'Toolbox Talks'!$D$4:$D$5003,"Apr",'Toolbox Talks'!$F$4:$F$5003,dCrit),0)</f>
        <v>0</v>
      </c>
      <c r="Z149" s="21">
        <f>IFERROR(AVERAGEIFS('Toolbox Talks'!$K$4:$K$5003,'Toolbox Talks'!$D$4:$D$5003,"May",'Toolbox Talks'!$F$4:$F$5003,dCrit),0)</f>
        <v>0</v>
      </c>
      <c r="AA149" s="21">
        <f>IFERROR(AVERAGEIFS('Toolbox Talks'!$K$4:$K$5003,'Toolbox Talks'!$D$4:$D$5003,"Jun",'Toolbox Talks'!$F$4:$F$5003,dCrit),0)</f>
        <v>0</v>
      </c>
      <c r="AB149" s="21">
        <f>IFERROR(AVERAGEIFS('Toolbox Talks'!$K$4:$K$5003,'Toolbox Talks'!$D$4:$D$5003,"Jul",'Toolbox Talks'!$F$4:$F$5003,dCrit),0)</f>
        <v>0</v>
      </c>
      <c r="AC149" s="21">
        <f>IFERROR(AVERAGEIFS('Toolbox Talks'!$K$4:$K$5003,'Toolbox Talks'!$D$4:$D$5003,"Aug",'Toolbox Talks'!$F$4:$F$5003,dCrit),0)</f>
        <v>0</v>
      </c>
      <c r="AD149" s="21">
        <f>IFERROR(AVERAGEIFS('Toolbox Talks'!$K$4:$K$5003,'Toolbox Talks'!$D$4:$D$5003,"Sep",'Toolbox Talks'!$F$4:$F$5003,dCrit),0)</f>
        <v>0</v>
      </c>
      <c r="AE149" s="21">
        <f>IFERROR(AVERAGEIFS('Toolbox Talks'!$K$4:$K$5003,'Toolbox Talks'!$D$4:$D$5003,"Oct",'Toolbox Talks'!$F$4:$F$5003,dCrit),0)</f>
        <v>0</v>
      </c>
      <c r="AF149" s="21">
        <f>IFERROR(AVERAGEIFS('Toolbox Talks'!$K$4:$K$5003,'Toolbox Talks'!$D$4:$D$5003,"Nov",'Toolbox Talks'!$F$4:$F$5003,dCrit),0)</f>
        <v>0</v>
      </c>
      <c r="AG149" s="21">
        <f>IFERROR(AVERAGEIFS('Toolbox Talks'!$K$4:$K$5003,'Toolbox Talks'!$D$4:$D$5003,"Dec",'Toolbox Talks'!$F$4:$F$5003,dCrit),0)</f>
        <v>0</v>
      </c>
      <c r="AH149" s="21">
        <f>IFERROR(AVERAGE(V149:AG149),0)</f>
        <v>0</v>
      </c>
    </row>
    <row r="150" spans="2:34">
      <c r="B150" s="19" t="s">
        <v>44</v>
      </c>
      <c r="C150" s="20">
        <f>COUNTIFS('Toolbox Talks'!$D$4:$D$5003,"Mar",'Toolbox Talks'!$F$4:$F$5003,dCrit)</f>
        <v>0</v>
      </c>
      <c r="E150" s="11" t="s">
        <v>33</v>
      </c>
      <c r="F150" s="20">
        <f>COUNTIFS('Toolbox Talks'!$M$4:$M$5003,"BBS",'Toolbox Talks'!$D$4:$D$5003,mCrit,'Toolbox Talks'!$F$4:$F$5003,dCrit)</f>
        <v>0</v>
      </c>
      <c r="G150" s="11" t="s">
        <v>17</v>
      </c>
      <c r="H150" s="20">
        <f>COUNTIFS('Toolbox Talks'!$O$4:$O$5003,"Satisfactory",'Toolbox Talks'!$D$4:$D$5003,mCrit,'Toolbox Talks'!$F$4:$F$5003,dCrit)</f>
        <v>0</v>
      </c>
      <c r="M150" s="11" t="s">
        <v>1823</v>
      </c>
      <c r="N150" s="20">
        <f>SUMIFS('Toolbox Talks'!$L$4:$L$5003,'Toolbox Talks'!$D$4:$D$5003,mCrit,'Toolbox Talks'!$F$4:$F$5003,dCrit)</f>
        <v>0</v>
      </c>
      <c r="P150" s="11" t="s">
        <v>39</v>
      </c>
      <c r="Q150" s="20">
        <f>COUNTIFS('Toolbox Talks'!$D$4:$D$5003,mCrit,'Toolbox Talks'!$F$4:$F$5003,"Engineering")</f>
        <v>0</v>
      </c>
      <c r="R150" s="20">
        <f>COUNTIFS('Toolbox Talks'!$D$4:$D$5003,mCrit,'Toolbox Talks'!$F$4:$F$5003,"Engineering")</f>
        <v>0</v>
      </c>
      <c r="S150" s="21">
        <f>IFERROR(AVERAGEIFS('Toolbox Talks'!$K$4:$K$5003,'Toolbox Talks'!$D$4:$D$5003,mCrit,'Toolbox Talks'!$F$4:$F$5003,"Engineering"),0)</f>
        <v>0</v>
      </c>
    </row>
    <row r="151" spans="2:34">
      <c r="B151" s="19" t="s">
        <v>53</v>
      </c>
      <c r="C151" s="20">
        <f>COUNTIFS('Toolbox Talks'!$D$4:$D$5003,"Apr",'Toolbox Talks'!$F$4:$F$5003,dCrit)</f>
        <v>0</v>
      </c>
      <c r="E151" s="11" t="s">
        <v>47</v>
      </c>
      <c r="F151" s="20">
        <f>COUNTIFS('Toolbox Talks'!$M$4:$M$5003,"General",'Toolbox Talks'!$D$4:$D$5003,mCrit,'Toolbox Talks'!$F$4:$F$5003,dCrit)</f>
        <v>0</v>
      </c>
      <c r="G151" s="11" t="s">
        <v>96</v>
      </c>
      <c r="H151" s="20">
        <f>COUNTIFS('Toolbox Talks'!$O$4:$O$5003,"Needs Improvement",'Toolbox Talks'!$D$4:$D$5003,mCrit,'Toolbox Talks'!$F$4:$F$5003,dCrit)</f>
        <v>0</v>
      </c>
      <c r="M151" s="11" t="s">
        <v>1824</v>
      </c>
      <c r="N151" s="20">
        <f>COUNTIFS('Toolbox Talks'!$N$4:$N$5003,"Yes",'Toolbox Talks'!$D$4:$D$5003,mCrit,'Toolbox Talks'!$F$4:$F$5003,dCrit)</f>
        <v>0</v>
      </c>
      <c r="P151" s="11" t="s">
        <v>89</v>
      </c>
      <c r="Q151" s="20">
        <f>COUNTIFS('Toolbox Talks'!$D$4:$D$5003,mCrit,'Toolbox Talks'!$F$4:$F$5003,"Construction")</f>
        <v>0</v>
      </c>
      <c r="R151" s="20">
        <f>COUNTIFS('Toolbox Talks'!$D$4:$D$5003,mCrit,'Toolbox Talks'!$F$4:$F$5003,"Construction")</f>
        <v>0</v>
      </c>
      <c r="S151" s="21">
        <f>IFERROR(AVERAGEIFS('Toolbox Talks'!$K$4:$K$5003,'Toolbox Talks'!$D$4:$D$5003,mCrit,'Toolbox Talks'!$F$4:$F$5003,"Construction"),0)</f>
        <v>0</v>
      </c>
    </row>
    <row r="152" spans="2:34">
      <c r="B152" s="19" t="s">
        <v>60</v>
      </c>
      <c r="C152" s="20">
        <f>COUNTIFS('Toolbox Talks'!$D$4:$D$5003,"May",'Toolbox Talks'!$F$4:$F$5003,dCrit)</f>
        <v>0</v>
      </c>
      <c r="E152" s="11" t="s">
        <v>55</v>
      </c>
      <c r="F152" s="20">
        <f>COUNTIFS('Toolbox Talks'!$M$4:$M$5003,"Process Safety",'Toolbox Talks'!$D$4:$D$5003,mCrit,'Toolbox Talks'!$F$4:$F$5003,dCrit)</f>
        <v>0</v>
      </c>
      <c r="G152" s="11" t="s">
        <v>24</v>
      </c>
      <c r="H152" s="20">
        <f>COUNTIFS('Toolbox Talks'!$O$4:$O$5003,"Unsatisfactory",'Toolbox Talks'!$D$4:$D$5003,mCrit,'Toolbox Talks'!$F$4:$F$5003,dCrit)</f>
        <v>0</v>
      </c>
      <c r="P152" s="11" t="s">
        <v>65</v>
      </c>
      <c r="Q152" s="20">
        <f>COUNTIFS('Toolbox Talks'!$D$4:$D$5003,mCrit,'Toolbox Talks'!$F$4:$F$5003,"Safety")</f>
        <v>0</v>
      </c>
      <c r="R152" s="20">
        <f>COUNTIFS('Toolbox Talks'!$D$4:$D$5003,mCrit,'Toolbox Talks'!$F$4:$F$5003,"Safety")</f>
        <v>0</v>
      </c>
      <c r="S152" s="21">
        <f>IFERROR(AVERAGEIFS('Toolbox Talks'!$K$4:$K$5003,'Toolbox Talks'!$D$4:$D$5003,mCrit,'Toolbox Talks'!$F$4:$F$5003,"Safety"),0)</f>
        <v>0</v>
      </c>
    </row>
    <row r="153" spans="2:34">
      <c r="B153" s="19" t="s">
        <v>73</v>
      </c>
      <c r="C153" s="20">
        <f>COUNTIFS('Toolbox Talks'!$D$4:$D$5003,"Jun",'Toolbox Talks'!$F$4:$F$5003,dCrit)</f>
        <v>0</v>
      </c>
      <c r="E153" s="11" t="s">
        <v>99</v>
      </c>
      <c r="F153" s="20">
        <f>COUNTIFS('Toolbox Talks'!$M$4:$M$5003,"PPE",'Toolbox Talks'!$D$4:$D$5003,mCrit,'Toolbox Talks'!$F$4:$F$5003,dCrit)</f>
        <v>0</v>
      </c>
      <c r="P153" s="11" t="s">
        <v>5</v>
      </c>
      <c r="Q153" s="20">
        <f>COUNTIFS('Toolbox Talks'!$D$4:$D$5003,mCrit,'Toolbox Talks'!$F$4:$F$5003,"Logistics")</f>
        <v>0</v>
      </c>
      <c r="R153" s="20">
        <f>COUNTIFS('Toolbox Talks'!$D$4:$D$5003,mCrit,'Toolbox Talks'!$F$4:$F$5003,"Logistics")</f>
        <v>0</v>
      </c>
      <c r="S153" s="21">
        <f>IFERROR(AVERAGEIFS('Toolbox Talks'!$K$4:$K$5003,'Toolbox Talks'!$D$4:$D$5003,mCrit,'Toolbox Talks'!$F$4:$F$5003,"Logistics"),0)</f>
        <v>0</v>
      </c>
    </row>
    <row r="154" spans="2:34">
      <c r="B154" s="19" t="s">
        <v>76</v>
      </c>
      <c r="C154" s="20">
        <f>COUNTIFS('Toolbox Talks'!$D$4:$D$5003,"Jul",'Toolbox Talks'!$F$4:$F$5003,dCrit)</f>
        <v>0</v>
      </c>
      <c r="P154" s="11" t="s">
        <v>50</v>
      </c>
      <c r="Q154" s="20">
        <f>COUNTIFS('Toolbox Talks'!$D$4:$D$5003,mCrit,'Toolbox Talks'!$F$4:$F$5003,"Quality")</f>
        <v>0</v>
      </c>
      <c r="R154" s="20">
        <f>COUNTIFS('Toolbox Talks'!$D$4:$D$5003,mCrit,'Toolbox Talks'!$F$4:$F$5003,"Quality")</f>
        <v>0</v>
      </c>
      <c r="S154" s="21">
        <f>IFERROR(AVERAGEIFS('Toolbox Talks'!$K$4:$K$5003,'Toolbox Talks'!$D$4:$D$5003,mCrit,'Toolbox Talks'!$F$4:$F$5003,"Quality"),0)</f>
        <v>0</v>
      </c>
    </row>
    <row r="155" spans="2:34">
      <c r="B155" s="19" t="s">
        <v>86</v>
      </c>
      <c r="C155" s="20">
        <f>COUNTIFS('Toolbox Talks'!$D$4:$D$5003,"Aug",'Toolbox Talks'!$F$4:$F$5003,dCrit)</f>
        <v>0</v>
      </c>
      <c r="P155" s="11" t="s">
        <v>46</v>
      </c>
      <c r="Q155" s="20">
        <f>COUNTIFS('Toolbox Talks'!$D$4:$D$5003,mCrit,'Toolbox Talks'!$F$4:$F$5003,"Admin")</f>
        <v>0</v>
      </c>
      <c r="R155" s="20">
        <f>COUNTIFS('Toolbox Talks'!$D$4:$D$5003,mCrit,'Toolbox Talks'!$F$4:$F$5003,"Admin")</f>
        <v>0</v>
      </c>
      <c r="S155" s="21">
        <f>IFERROR(AVERAGEIFS('Toolbox Talks'!$K$4:$K$5003,'Toolbox Talks'!$D$4:$D$5003,mCrit,'Toolbox Talks'!$F$4:$F$5003,"Admin"),0)</f>
        <v>0</v>
      </c>
    </row>
    <row r="156" spans="2:34">
      <c r="B156" s="19" t="s">
        <v>102</v>
      </c>
      <c r="C156" s="20">
        <f>COUNTIFS('Toolbox Talks'!$D$4:$D$5003,"Sep",'Toolbox Talks'!$F$4:$F$5003,dCrit)</f>
        <v>0</v>
      </c>
      <c r="P156" s="11" t="s">
        <v>13</v>
      </c>
      <c r="Q156" s="20">
        <f>COUNTIFS('Toolbox Talks'!$D$4:$D$5003,mCrit,'Toolbox Talks'!$F$4:$F$5003,"Projects")</f>
        <v>0</v>
      </c>
      <c r="R156" s="20">
        <f>COUNTIFS('Toolbox Talks'!$D$4:$D$5003,mCrit,'Toolbox Talks'!$F$4:$F$5003,"Projects")</f>
        <v>0</v>
      </c>
      <c r="S156" s="21">
        <f>IFERROR(AVERAGEIFS('Toolbox Talks'!$K$4:$K$5003,'Toolbox Talks'!$D$4:$D$5003,mCrit,'Toolbox Talks'!$F$4:$F$5003,"Projects"),0)</f>
        <v>0</v>
      </c>
    </row>
    <row r="157" spans="2:34">
      <c r="B157" s="19" t="s">
        <v>106</v>
      </c>
      <c r="C157" s="20">
        <f>COUNTIFS('Toolbox Talks'!$D$4:$D$5003,"Oct",'Toolbox Talks'!$F$4:$F$5003,dCrit)</f>
        <v>0</v>
      </c>
      <c r="P157" s="11" t="s">
        <v>58</v>
      </c>
      <c r="Q157" s="20">
        <f>COUNTIFS('Toolbox Talks'!$D$4:$D$5003,mCrit,'Toolbox Talks'!$F$4:$F$5003,"Contractor")</f>
        <v>0</v>
      </c>
      <c r="R157" s="20">
        <f>COUNTIFS('Toolbox Talks'!$D$4:$D$5003,mCrit,'Toolbox Talks'!$F$4:$F$5003,"Contractor")</f>
        <v>0</v>
      </c>
      <c r="S157" s="21">
        <f>IFERROR(AVERAGEIFS('Toolbox Talks'!$K$4:$K$5003,'Toolbox Talks'!$D$4:$D$5003,mCrit,'Toolbox Talks'!$F$4:$F$5003,"Contractor"),0)</f>
        <v>0</v>
      </c>
    </row>
    <row r="158" spans="2:34">
      <c r="B158" s="19" t="s">
        <v>111</v>
      </c>
      <c r="C158" s="20">
        <f>COUNTIFS('Toolbox Talks'!$D$4:$D$5003,"Nov",'Toolbox Talks'!$F$4:$F$5003,dCrit)</f>
        <v>0</v>
      </c>
    </row>
    <row r="159" spans="2:34">
      <c r="B159" s="19" t="s">
        <v>122</v>
      </c>
      <c r="C159" s="20">
        <f>COUNTIFS('Toolbox Talks'!$D$4:$D$5003,"Dec",'Toolbox Talks'!$F$4:$F$5003,dCrit)</f>
        <v>0</v>
      </c>
    </row>
    <row r="172" spans="2:34">
      <c r="B172" s="17" t="s">
        <v>1828</v>
      </c>
    </row>
    <row r="173" spans="2:34">
      <c r="B173" s="10" t="s">
        <v>127</v>
      </c>
      <c r="C173" s="10" t="s">
        <v>1782</v>
      </c>
      <c r="E173" s="10" t="s">
        <v>210</v>
      </c>
      <c r="F173" s="10" t="s">
        <v>1782</v>
      </c>
      <c r="G173" s="10" t="s">
        <v>212</v>
      </c>
      <c r="H173" s="10" t="s">
        <v>1782</v>
      </c>
      <c r="J173" s="10" t="s">
        <v>213</v>
      </c>
      <c r="K173" s="10" t="s">
        <v>1782</v>
      </c>
      <c r="M173" s="10" t="s">
        <v>1726</v>
      </c>
      <c r="N173" s="10" t="s">
        <v>1817</v>
      </c>
      <c r="P173" s="10" t="s">
        <v>129</v>
      </c>
      <c r="Q173" s="10" t="s">
        <v>1782</v>
      </c>
      <c r="R173" s="10" t="s">
        <v>1832</v>
      </c>
      <c r="S173" s="10" t="s">
        <v>1825</v>
      </c>
      <c r="U173" s="10" t="s">
        <v>1826</v>
      </c>
      <c r="V173" s="10" t="s">
        <v>3</v>
      </c>
      <c r="W173" s="10" t="s">
        <v>19</v>
      </c>
      <c r="X173" s="10" t="s">
        <v>44</v>
      </c>
      <c r="Y173" s="10" t="s">
        <v>53</v>
      </c>
      <c r="Z173" s="10" t="s">
        <v>60</v>
      </c>
      <c r="AA173" s="10" t="s">
        <v>73</v>
      </c>
      <c r="AB173" s="10" t="s">
        <v>76</v>
      </c>
      <c r="AC173" s="10" t="s">
        <v>86</v>
      </c>
      <c r="AD173" s="10" t="s">
        <v>102</v>
      </c>
      <c r="AE173" s="10" t="s">
        <v>106</v>
      </c>
      <c r="AF173" s="10" t="s">
        <v>111</v>
      </c>
      <c r="AG173" s="10" t="s">
        <v>122</v>
      </c>
      <c r="AH173" s="10" t="s">
        <v>1827</v>
      </c>
    </row>
    <row r="174" spans="2:34">
      <c r="B174" s="19" t="s">
        <v>3</v>
      </c>
      <c r="C174" s="20">
        <f>COUNTIFS('JSA Risk Assessment'!$D$4:$D$5003,"Jan",'JSA Risk Assessment'!$F$4:$F$5003,dCrit)</f>
        <v>0</v>
      </c>
      <c r="E174" s="11" t="s">
        <v>162</v>
      </c>
      <c r="F174" s="20">
        <f>COUNTIFS('JSA Risk Assessment'!$J$4:$J$5003,"Critical",'JSA Risk Assessment'!$D$4:$D$5003,mCrit,'JSA Risk Assessment'!$F$4:$F$5003,dCrit)</f>
        <v>0</v>
      </c>
      <c r="G174" s="11" t="s">
        <v>143</v>
      </c>
      <c r="H174" s="20">
        <f>COUNTIFS('JSA Risk Assessment'!$L$4:$L$5003,"HIRA",'JSA Risk Assessment'!$D$4:$D$5003,mCrit,'JSA Risk Assessment'!$F$4:$F$5003,dCrit)</f>
        <v>0</v>
      </c>
      <c r="J174" s="11" t="s">
        <v>152</v>
      </c>
      <c r="K174" s="20">
        <f>COUNTIFS('JSA Risk Assessment'!$M$4:$M$5003,"Approved",'JSA Risk Assessment'!$D$4:$D$5003,mCrit,'JSA Risk Assessment'!$F$4:$F$5003,dCrit)</f>
        <v>0</v>
      </c>
      <c r="M174" s="11" t="s">
        <v>1821</v>
      </c>
      <c r="N174" s="20">
        <f>COUNTIFS('JSA Risk Assessment'!$D$4:$D$5003,mCrit,'JSA Risk Assessment'!$F$4:$F$5003,dCrit)</f>
        <v>0</v>
      </c>
      <c r="P174" s="11" t="s">
        <v>27</v>
      </c>
      <c r="Q174" s="20">
        <f>COUNTIFS('JSA Risk Assessment'!$D$4:$D$5003,mCrit,'JSA Risk Assessment'!$F$4:$F$5003,"Operations")</f>
        <v>0</v>
      </c>
      <c r="R174" s="21">
        <f>IFERROR((COUNTIFS('JSA Risk Assessment'!$M$4:$M$5003,"Approved",'JSA Risk Assessment'!$D$4:$D$5003,mCrit,'JSA Risk Assessment'!$F$4:$F$5003,"Operations"))/COUNTIFS('JSA Risk Assessment'!$D$4:$D$5003,mCrit,'JSA Risk Assessment'!$F$4:$F$5003,"Operations")*100,0)</f>
        <v>0</v>
      </c>
      <c r="S174" s="20">
        <f>COUNTIFS('JSA Risk Assessment'!$D$4:$D$5003,mCrit,'JSA Risk Assessment'!$F$4:$F$5003,"Operations")</f>
        <v>0</v>
      </c>
      <c r="U174" s="11" t="s">
        <v>1825</v>
      </c>
      <c r="V174" s="20">
        <f>COUNTIFS('JSA Risk Assessment'!$D$4:$D$5003,"Jan",'JSA Risk Assessment'!$F$4:$F$5003,dCrit)</f>
        <v>0</v>
      </c>
      <c r="W174" s="20">
        <f>COUNTIFS('JSA Risk Assessment'!$D$4:$D$5003,"Feb",'JSA Risk Assessment'!$F$4:$F$5003,dCrit)</f>
        <v>0</v>
      </c>
      <c r="X174" s="20">
        <f>COUNTIFS('JSA Risk Assessment'!$D$4:$D$5003,"Mar",'JSA Risk Assessment'!$F$4:$F$5003,dCrit)</f>
        <v>0</v>
      </c>
      <c r="Y174" s="20">
        <f>COUNTIFS('JSA Risk Assessment'!$D$4:$D$5003,"Apr",'JSA Risk Assessment'!$F$4:$F$5003,dCrit)</f>
        <v>0</v>
      </c>
      <c r="Z174" s="20">
        <f>COUNTIFS('JSA Risk Assessment'!$D$4:$D$5003,"May",'JSA Risk Assessment'!$F$4:$F$5003,dCrit)</f>
        <v>0</v>
      </c>
      <c r="AA174" s="20">
        <f>COUNTIFS('JSA Risk Assessment'!$D$4:$D$5003,"Jun",'JSA Risk Assessment'!$F$4:$F$5003,dCrit)</f>
        <v>0</v>
      </c>
      <c r="AB174" s="20">
        <f>COUNTIFS('JSA Risk Assessment'!$D$4:$D$5003,"Jul",'JSA Risk Assessment'!$F$4:$F$5003,dCrit)</f>
        <v>0</v>
      </c>
      <c r="AC174" s="20">
        <f>COUNTIFS('JSA Risk Assessment'!$D$4:$D$5003,"Aug",'JSA Risk Assessment'!$F$4:$F$5003,dCrit)</f>
        <v>0</v>
      </c>
      <c r="AD174" s="20">
        <f>COUNTIFS('JSA Risk Assessment'!$D$4:$D$5003,"Sep",'JSA Risk Assessment'!$F$4:$F$5003,dCrit)</f>
        <v>0</v>
      </c>
      <c r="AE174" s="20">
        <f>COUNTIFS('JSA Risk Assessment'!$D$4:$D$5003,"Oct",'JSA Risk Assessment'!$F$4:$F$5003,dCrit)</f>
        <v>0</v>
      </c>
      <c r="AF174" s="20">
        <f>COUNTIFS('JSA Risk Assessment'!$D$4:$D$5003,"Nov",'JSA Risk Assessment'!$F$4:$F$5003,dCrit)</f>
        <v>0</v>
      </c>
      <c r="AG174" s="20">
        <f>COUNTIFS('JSA Risk Assessment'!$D$4:$D$5003,"Dec",'JSA Risk Assessment'!$F$4:$F$5003,dCrit)</f>
        <v>0</v>
      </c>
      <c r="AH174" s="20">
        <f>SUM(V174:AG174)</f>
        <v>0</v>
      </c>
    </row>
    <row r="175" spans="2:34">
      <c r="B175" s="19" t="s">
        <v>19</v>
      </c>
      <c r="C175" s="20">
        <f>COUNTIFS('JSA Risk Assessment'!$D$4:$D$5003,"Feb",'JSA Risk Assessment'!$F$4:$F$5003,dCrit)</f>
        <v>0</v>
      </c>
      <c r="E175" s="11" t="s">
        <v>159</v>
      </c>
      <c r="F175" s="20">
        <f>COUNTIFS('JSA Risk Assessment'!$J$4:$J$5003,"High",'JSA Risk Assessment'!$D$4:$D$5003,mCrit,'JSA Risk Assessment'!$F$4:$F$5003,dCrit)</f>
        <v>0</v>
      </c>
      <c r="G175" s="11" t="s">
        <v>160</v>
      </c>
      <c r="H175" s="20">
        <f>COUNTIFS('JSA Risk Assessment'!$L$4:$L$5003,"Task RA",'JSA Risk Assessment'!$D$4:$D$5003,mCrit,'JSA Risk Assessment'!$F$4:$F$5003,dCrit)</f>
        <v>0</v>
      </c>
      <c r="J175" s="11" t="s">
        <v>144</v>
      </c>
      <c r="K175" s="20">
        <f>COUNTIFS('JSA Risk Assessment'!$M$4:$M$5003,"Pending Review",'JSA Risk Assessment'!$D$4:$D$5003,mCrit,'JSA Risk Assessment'!$F$4:$F$5003,dCrit)</f>
        <v>0</v>
      </c>
      <c r="M175" s="11" t="s">
        <v>1829</v>
      </c>
      <c r="N175" s="21">
        <f>IFERROR((COUNTIFS('JSA Risk Assessment'!$M$4:$M$5003,"Approved",'JSA Risk Assessment'!$D$4:$D$5003,mCrit,'JSA Risk Assessment'!$F$4:$F$5003,dCrit))/COUNTIFS('JSA Risk Assessment'!$D$4:$D$5003,mCrit,'JSA Risk Assessment'!$F$4:$F$5003,dCrit)*100,0)</f>
        <v>0</v>
      </c>
      <c r="P175" s="11" t="s">
        <v>92</v>
      </c>
      <c r="Q175" s="20">
        <f>COUNTIFS('JSA Risk Assessment'!$D$4:$D$5003,mCrit,'JSA Risk Assessment'!$F$4:$F$5003,"Maintenance")</f>
        <v>0</v>
      </c>
      <c r="R175" s="21">
        <f>IFERROR((COUNTIFS('JSA Risk Assessment'!$M$4:$M$5003,"Approved",'JSA Risk Assessment'!$D$4:$D$5003,mCrit,'JSA Risk Assessment'!$F$4:$F$5003,"Maintenance"))/COUNTIFS('JSA Risk Assessment'!$D$4:$D$5003,mCrit,'JSA Risk Assessment'!$F$4:$F$5003,"Maintenance")*100,0)</f>
        <v>0</v>
      </c>
      <c r="S175" s="20">
        <f>COUNTIFS('JSA Risk Assessment'!$D$4:$D$5003,mCrit,'JSA Risk Assessment'!$F$4:$F$5003,"Maintenance")</f>
        <v>0</v>
      </c>
      <c r="U175" s="11" t="s">
        <v>1833</v>
      </c>
      <c r="V175" s="21">
        <f>IFERROR((COUNTIFS('JSA Risk Assessment'!$M$4:$M$5003,"Approved",'JSA Risk Assessment'!$D$4:$D$5003,"Jan",'JSA Risk Assessment'!$F$4:$F$5003,dCrit))/COUNTIFS('JSA Risk Assessment'!$D$4:$D$5003,"Jan",'JSA Risk Assessment'!$F$4:$F$5003,dCrit)*100,0)</f>
        <v>0</v>
      </c>
      <c r="W175" s="21">
        <f>IFERROR((COUNTIFS('JSA Risk Assessment'!$M$4:$M$5003,"Approved",'JSA Risk Assessment'!$D$4:$D$5003,"Feb",'JSA Risk Assessment'!$F$4:$F$5003,dCrit))/COUNTIFS('JSA Risk Assessment'!$D$4:$D$5003,"Feb",'JSA Risk Assessment'!$F$4:$F$5003,dCrit)*100,0)</f>
        <v>0</v>
      </c>
      <c r="X175" s="21">
        <f>IFERROR((COUNTIFS('JSA Risk Assessment'!$M$4:$M$5003,"Approved",'JSA Risk Assessment'!$D$4:$D$5003,"Mar",'JSA Risk Assessment'!$F$4:$F$5003,dCrit))/COUNTIFS('JSA Risk Assessment'!$D$4:$D$5003,"Mar",'JSA Risk Assessment'!$F$4:$F$5003,dCrit)*100,0)</f>
        <v>0</v>
      </c>
      <c r="Y175" s="21">
        <f>IFERROR((COUNTIFS('JSA Risk Assessment'!$M$4:$M$5003,"Approved",'JSA Risk Assessment'!$D$4:$D$5003,"Apr",'JSA Risk Assessment'!$F$4:$F$5003,dCrit))/COUNTIFS('JSA Risk Assessment'!$D$4:$D$5003,"Apr",'JSA Risk Assessment'!$F$4:$F$5003,dCrit)*100,0)</f>
        <v>0</v>
      </c>
      <c r="Z175" s="21">
        <f>IFERROR((COUNTIFS('JSA Risk Assessment'!$M$4:$M$5003,"Approved",'JSA Risk Assessment'!$D$4:$D$5003,"May",'JSA Risk Assessment'!$F$4:$F$5003,dCrit))/COUNTIFS('JSA Risk Assessment'!$D$4:$D$5003,"May",'JSA Risk Assessment'!$F$4:$F$5003,dCrit)*100,0)</f>
        <v>0</v>
      </c>
      <c r="AA175" s="21">
        <f>IFERROR((COUNTIFS('JSA Risk Assessment'!$M$4:$M$5003,"Approved",'JSA Risk Assessment'!$D$4:$D$5003,"Jun",'JSA Risk Assessment'!$F$4:$F$5003,dCrit))/COUNTIFS('JSA Risk Assessment'!$D$4:$D$5003,"Jun",'JSA Risk Assessment'!$F$4:$F$5003,dCrit)*100,0)</f>
        <v>0</v>
      </c>
      <c r="AB175" s="21">
        <f>IFERROR((COUNTIFS('JSA Risk Assessment'!$M$4:$M$5003,"Approved",'JSA Risk Assessment'!$D$4:$D$5003,"Jul",'JSA Risk Assessment'!$F$4:$F$5003,dCrit))/COUNTIFS('JSA Risk Assessment'!$D$4:$D$5003,"Jul",'JSA Risk Assessment'!$F$4:$F$5003,dCrit)*100,0)</f>
        <v>0</v>
      </c>
      <c r="AC175" s="21">
        <f>IFERROR((COUNTIFS('JSA Risk Assessment'!$M$4:$M$5003,"Approved",'JSA Risk Assessment'!$D$4:$D$5003,"Aug",'JSA Risk Assessment'!$F$4:$F$5003,dCrit))/COUNTIFS('JSA Risk Assessment'!$D$4:$D$5003,"Aug",'JSA Risk Assessment'!$F$4:$F$5003,dCrit)*100,0)</f>
        <v>0</v>
      </c>
      <c r="AD175" s="21">
        <f>IFERROR((COUNTIFS('JSA Risk Assessment'!$M$4:$M$5003,"Approved",'JSA Risk Assessment'!$D$4:$D$5003,"Sep",'JSA Risk Assessment'!$F$4:$F$5003,dCrit))/COUNTIFS('JSA Risk Assessment'!$D$4:$D$5003,"Sep",'JSA Risk Assessment'!$F$4:$F$5003,dCrit)*100,0)</f>
        <v>0</v>
      </c>
      <c r="AE175" s="21">
        <f>IFERROR((COUNTIFS('JSA Risk Assessment'!$M$4:$M$5003,"Approved",'JSA Risk Assessment'!$D$4:$D$5003,"Oct",'JSA Risk Assessment'!$F$4:$F$5003,dCrit))/COUNTIFS('JSA Risk Assessment'!$D$4:$D$5003,"Oct",'JSA Risk Assessment'!$F$4:$F$5003,dCrit)*100,0)</f>
        <v>0</v>
      </c>
      <c r="AF175" s="21">
        <f>IFERROR((COUNTIFS('JSA Risk Assessment'!$M$4:$M$5003,"Approved",'JSA Risk Assessment'!$D$4:$D$5003,"Nov",'JSA Risk Assessment'!$F$4:$F$5003,dCrit))/COUNTIFS('JSA Risk Assessment'!$D$4:$D$5003,"Nov",'JSA Risk Assessment'!$F$4:$F$5003,dCrit)*100,0)</f>
        <v>0</v>
      </c>
      <c r="AG175" s="21">
        <f>IFERROR((COUNTIFS('JSA Risk Assessment'!$M$4:$M$5003,"Approved",'JSA Risk Assessment'!$D$4:$D$5003,"Dec",'JSA Risk Assessment'!$F$4:$F$5003,dCrit))/COUNTIFS('JSA Risk Assessment'!$D$4:$D$5003,"Dec",'JSA Risk Assessment'!$F$4:$F$5003,dCrit)*100,0)</f>
        <v>0</v>
      </c>
      <c r="AH175" s="21">
        <f>IFERROR(AVERAGE(V175:AG175),0)</f>
        <v>0</v>
      </c>
    </row>
    <row r="176" spans="2:34">
      <c r="B176" s="19" t="s">
        <v>44</v>
      </c>
      <c r="C176" s="20">
        <f>COUNTIFS('JSA Risk Assessment'!$D$4:$D$5003,"Mar",'JSA Risk Assessment'!$F$4:$F$5003,dCrit)</f>
        <v>0</v>
      </c>
      <c r="E176" s="11" t="s">
        <v>142</v>
      </c>
      <c r="F176" s="20">
        <f>COUNTIFS('JSA Risk Assessment'!$J$4:$J$5003,"Medium",'JSA Risk Assessment'!$D$4:$D$5003,mCrit,'JSA Risk Assessment'!$F$4:$F$5003,dCrit)</f>
        <v>0</v>
      </c>
      <c r="G176" s="11" t="s">
        <v>150</v>
      </c>
      <c r="H176" s="20">
        <f>COUNTIFS('JSA Risk Assessment'!$L$4:$L$5003,"HAZOP",'JSA Risk Assessment'!$D$4:$D$5003,mCrit,'JSA Risk Assessment'!$F$4:$F$5003,dCrit)</f>
        <v>0</v>
      </c>
      <c r="J176" s="11" t="s">
        <v>155</v>
      </c>
      <c r="K176" s="20">
        <f>COUNTIFS('JSA Risk Assessment'!$M$4:$M$5003,"Revision Required",'JSA Risk Assessment'!$D$4:$D$5003,mCrit,'JSA Risk Assessment'!$F$4:$F$5003,dCrit)</f>
        <v>0</v>
      </c>
      <c r="M176" s="11" t="s">
        <v>1830</v>
      </c>
      <c r="N176" s="20">
        <f>COUNTIFS('JSA Risk Assessment'!$M$4:$M$5003,"Pending Review",'JSA Risk Assessment'!$D$4:$D$5003,mCrit,'JSA Risk Assessment'!$F$4:$F$5003,dCrit)</f>
        <v>0</v>
      </c>
      <c r="P176" s="11" t="s">
        <v>39</v>
      </c>
      <c r="Q176" s="20">
        <f>COUNTIFS('JSA Risk Assessment'!$D$4:$D$5003,mCrit,'JSA Risk Assessment'!$F$4:$F$5003,"Engineering")</f>
        <v>0</v>
      </c>
      <c r="R176" s="21">
        <f>IFERROR((COUNTIFS('JSA Risk Assessment'!$M$4:$M$5003,"Approved",'JSA Risk Assessment'!$D$4:$D$5003,mCrit,'JSA Risk Assessment'!$F$4:$F$5003,"Engineering"))/COUNTIFS('JSA Risk Assessment'!$D$4:$D$5003,mCrit,'JSA Risk Assessment'!$F$4:$F$5003,"Engineering")*100,0)</f>
        <v>0</v>
      </c>
      <c r="S176" s="20">
        <f>COUNTIFS('JSA Risk Assessment'!$D$4:$D$5003,mCrit,'JSA Risk Assessment'!$F$4:$F$5003,"Engineering")</f>
        <v>0</v>
      </c>
    </row>
    <row r="177" spans="2:19">
      <c r="B177" s="19" t="s">
        <v>53</v>
      </c>
      <c r="C177" s="20">
        <f>COUNTIFS('JSA Risk Assessment'!$D$4:$D$5003,"Apr",'JSA Risk Assessment'!$F$4:$F$5003,dCrit)</f>
        <v>0</v>
      </c>
      <c r="E177" s="11" t="s">
        <v>154</v>
      </c>
      <c r="F177" s="20">
        <f>COUNTIFS('JSA Risk Assessment'!$J$4:$J$5003,"Low",'JSA Risk Assessment'!$D$4:$D$5003,mCrit,'JSA Risk Assessment'!$F$4:$F$5003,dCrit)</f>
        <v>0</v>
      </c>
      <c r="G177" s="11" t="s">
        <v>163</v>
      </c>
      <c r="H177" s="20">
        <f>COUNTIFS('JSA Risk Assessment'!$L$4:$L$5003,"What-If",'JSA Risk Assessment'!$D$4:$D$5003,mCrit,'JSA Risk Assessment'!$F$4:$F$5003,dCrit)</f>
        <v>0</v>
      </c>
      <c r="J177" s="11" t="s">
        <v>147</v>
      </c>
      <c r="K177" s="20">
        <f>COUNTIFS('JSA Risk Assessment'!$M$4:$M$5003,"Rejected",'JSA Risk Assessment'!$D$4:$D$5003,mCrit,'JSA Risk Assessment'!$F$4:$F$5003,dCrit)</f>
        <v>0</v>
      </c>
      <c r="M177" s="11" t="s">
        <v>211</v>
      </c>
      <c r="N177" s="20">
        <f>SUMIFS('JSA Risk Assessment'!$K$4:$K$5003,'JSA Risk Assessment'!$D$4:$D$5003,mCrit,'JSA Risk Assessment'!$F$4:$F$5003,dCrit)</f>
        <v>0</v>
      </c>
      <c r="P177" s="11" t="s">
        <v>89</v>
      </c>
      <c r="Q177" s="20">
        <f>COUNTIFS('JSA Risk Assessment'!$D$4:$D$5003,mCrit,'JSA Risk Assessment'!$F$4:$F$5003,"Construction")</f>
        <v>0</v>
      </c>
      <c r="R177" s="21">
        <f>IFERROR((COUNTIFS('JSA Risk Assessment'!$M$4:$M$5003,"Approved",'JSA Risk Assessment'!$D$4:$D$5003,mCrit,'JSA Risk Assessment'!$F$4:$F$5003,"Construction"))/COUNTIFS('JSA Risk Assessment'!$D$4:$D$5003,mCrit,'JSA Risk Assessment'!$F$4:$F$5003,"Construction")*100,0)</f>
        <v>0</v>
      </c>
      <c r="S177" s="20">
        <f>COUNTIFS('JSA Risk Assessment'!$D$4:$D$5003,mCrit,'JSA Risk Assessment'!$F$4:$F$5003,"Construction")</f>
        <v>0</v>
      </c>
    </row>
    <row r="178" spans="2:19">
      <c r="B178" s="19" t="s">
        <v>60</v>
      </c>
      <c r="C178" s="20">
        <f>COUNTIFS('JSA Risk Assessment'!$D$4:$D$5003,"May",'JSA Risk Assessment'!$F$4:$F$5003,dCrit)</f>
        <v>0</v>
      </c>
      <c r="G178" s="11" t="s">
        <v>157</v>
      </c>
      <c r="H178" s="20">
        <f>COUNTIFS('JSA Risk Assessment'!$L$4:$L$5003,"Bow Tie",'JSA Risk Assessment'!$D$4:$D$5003,mCrit,'JSA Risk Assessment'!$F$4:$F$5003,dCrit)</f>
        <v>0</v>
      </c>
      <c r="M178" s="11" t="s">
        <v>1831</v>
      </c>
      <c r="N178" s="20">
        <f>COUNTIFS('JSA Risk Assessment'!$J$4:$J$5003,"High",'JSA Risk Assessment'!$D$4:$D$5003,mCrit,'JSA Risk Assessment'!$F$4:$F$5003,dCrit)+COUNTIFS('JSA Risk Assessment'!$J$4:$J$5003,"Critical",'JSA Risk Assessment'!$D$4:$D$5003,mCrit,'JSA Risk Assessment'!$F$4:$F$5003,dCrit)</f>
        <v>0</v>
      </c>
      <c r="P178" s="11" t="s">
        <v>65</v>
      </c>
      <c r="Q178" s="20">
        <f>COUNTIFS('JSA Risk Assessment'!$D$4:$D$5003,mCrit,'JSA Risk Assessment'!$F$4:$F$5003,"Safety")</f>
        <v>0</v>
      </c>
      <c r="R178" s="21">
        <f>IFERROR((COUNTIFS('JSA Risk Assessment'!$M$4:$M$5003,"Approved",'JSA Risk Assessment'!$D$4:$D$5003,mCrit,'JSA Risk Assessment'!$F$4:$F$5003,"Safety"))/COUNTIFS('JSA Risk Assessment'!$D$4:$D$5003,mCrit,'JSA Risk Assessment'!$F$4:$F$5003,"Safety")*100,0)</f>
        <v>0</v>
      </c>
      <c r="S178" s="20">
        <f>COUNTIFS('JSA Risk Assessment'!$D$4:$D$5003,mCrit,'JSA Risk Assessment'!$F$4:$F$5003,"Safety")</f>
        <v>0</v>
      </c>
    </row>
    <row r="179" spans="2:19">
      <c r="B179" s="19" t="s">
        <v>73</v>
      </c>
      <c r="C179" s="20">
        <f>COUNTIFS('JSA Risk Assessment'!$D$4:$D$5003,"Jun",'JSA Risk Assessment'!$F$4:$F$5003,dCrit)</f>
        <v>0</v>
      </c>
      <c r="G179" s="11" t="s">
        <v>169</v>
      </c>
      <c r="H179" s="20">
        <f>COUNTIFS('JSA Risk Assessment'!$L$4:$L$5003,"JSA",'JSA Risk Assessment'!$D$4:$D$5003,mCrit,'JSA Risk Assessment'!$F$4:$F$5003,dCrit)</f>
        <v>0</v>
      </c>
      <c r="P179" s="11" t="s">
        <v>5</v>
      </c>
      <c r="Q179" s="20">
        <f>COUNTIFS('JSA Risk Assessment'!$D$4:$D$5003,mCrit,'JSA Risk Assessment'!$F$4:$F$5003,"Logistics")</f>
        <v>0</v>
      </c>
      <c r="R179" s="21">
        <f>IFERROR((COUNTIFS('JSA Risk Assessment'!$M$4:$M$5003,"Approved",'JSA Risk Assessment'!$D$4:$D$5003,mCrit,'JSA Risk Assessment'!$F$4:$F$5003,"Logistics"))/COUNTIFS('JSA Risk Assessment'!$D$4:$D$5003,mCrit,'JSA Risk Assessment'!$F$4:$F$5003,"Logistics")*100,0)</f>
        <v>0</v>
      </c>
      <c r="S179" s="20">
        <f>COUNTIFS('JSA Risk Assessment'!$D$4:$D$5003,mCrit,'JSA Risk Assessment'!$F$4:$F$5003,"Logistics")</f>
        <v>0</v>
      </c>
    </row>
    <row r="180" spans="2:19">
      <c r="B180" s="19" t="s">
        <v>76</v>
      </c>
      <c r="C180" s="20">
        <f>COUNTIFS('JSA Risk Assessment'!$D$4:$D$5003,"Jul",'JSA Risk Assessment'!$F$4:$F$5003,dCrit)</f>
        <v>0</v>
      </c>
      <c r="P180" s="11" t="s">
        <v>50</v>
      </c>
      <c r="Q180" s="20">
        <f>COUNTIFS('JSA Risk Assessment'!$D$4:$D$5003,mCrit,'JSA Risk Assessment'!$F$4:$F$5003,"Quality")</f>
        <v>0</v>
      </c>
      <c r="R180" s="21">
        <f>IFERROR((COUNTIFS('JSA Risk Assessment'!$M$4:$M$5003,"Approved",'JSA Risk Assessment'!$D$4:$D$5003,mCrit,'JSA Risk Assessment'!$F$4:$F$5003,"Quality"))/COUNTIFS('JSA Risk Assessment'!$D$4:$D$5003,mCrit,'JSA Risk Assessment'!$F$4:$F$5003,"Quality")*100,0)</f>
        <v>0</v>
      </c>
      <c r="S180" s="20">
        <f>COUNTIFS('JSA Risk Assessment'!$D$4:$D$5003,mCrit,'JSA Risk Assessment'!$F$4:$F$5003,"Quality")</f>
        <v>0</v>
      </c>
    </row>
    <row r="181" spans="2:19">
      <c r="B181" s="19" t="s">
        <v>86</v>
      </c>
      <c r="C181" s="20">
        <f>COUNTIFS('JSA Risk Assessment'!$D$4:$D$5003,"Aug",'JSA Risk Assessment'!$F$4:$F$5003,dCrit)</f>
        <v>0</v>
      </c>
      <c r="P181" s="11" t="s">
        <v>46</v>
      </c>
      <c r="Q181" s="20">
        <f>COUNTIFS('JSA Risk Assessment'!$D$4:$D$5003,mCrit,'JSA Risk Assessment'!$F$4:$F$5003,"Admin")</f>
        <v>0</v>
      </c>
      <c r="R181" s="21">
        <f>IFERROR((COUNTIFS('JSA Risk Assessment'!$M$4:$M$5003,"Approved",'JSA Risk Assessment'!$D$4:$D$5003,mCrit,'JSA Risk Assessment'!$F$4:$F$5003,"Admin"))/COUNTIFS('JSA Risk Assessment'!$D$4:$D$5003,mCrit,'JSA Risk Assessment'!$F$4:$F$5003,"Admin")*100,0)</f>
        <v>0</v>
      </c>
      <c r="S181" s="20">
        <f>COUNTIFS('JSA Risk Assessment'!$D$4:$D$5003,mCrit,'JSA Risk Assessment'!$F$4:$F$5003,"Admin")</f>
        <v>0</v>
      </c>
    </row>
    <row r="182" spans="2:19">
      <c r="B182" s="19" t="s">
        <v>102</v>
      </c>
      <c r="C182" s="20">
        <f>COUNTIFS('JSA Risk Assessment'!$D$4:$D$5003,"Sep",'JSA Risk Assessment'!$F$4:$F$5003,dCrit)</f>
        <v>0</v>
      </c>
      <c r="P182" s="11" t="s">
        <v>13</v>
      </c>
      <c r="Q182" s="20">
        <f>COUNTIFS('JSA Risk Assessment'!$D$4:$D$5003,mCrit,'JSA Risk Assessment'!$F$4:$F$5003,"Projects")</f>
        <v>0</v>
      </c>
      <c r="R182" s="21">
        <f>IFERROR((COUNTIFS('JSA Risk Assessment'!$M$4:$M$5003,"Approved",'JSA Risk Assessment'!$D$4:$D$5003,mCrit,'JSA Risk Assessment'!$F$4:$F$5003,"Projects"))/COUNTIFS('JSA Risk Assessment'!$D$4:$D$5003,mCrit,'JSA Risk Assessment'!$F$4:$F$5003,"Projects")*100,0)</f>
        <v>0</v>
      </c>
      <c r="S182" s="20">
        <f>COUNTIFS('JSA Risk Assessment'!$D$4:$D$5003,mCrit,'JSA Risk Assessment'!$F$4:$F$5003,"Projects")</f>
        <v>0</v>
      </c>
    </row>
    <row r="183" spans="2:19">
      <c r="B183" s="19" t="s">
        <v>106</v>
      </c>
      <c r="C183" s="20">
        <f>COUNTIFS('JSA Risk Assessment'!$D$4:$D$5003,"Oct",'JSA Risk Assessment'!$F$4:$F$5003,dCrit)</f>
        <v>0</v>
      </c>
      <c r="P183" s="11" t="s">
        <v>58</v>
      </c>
      <c r="Q183" s="20">
        <f>COUNTIFS('JSA Risk Assessment'!$D$4:$D$5003,mCrit,'JSA Risk Assessment'!$F$4:$F$5003,"Contractor")</f>
        <v>0</v>
      </c>
      <c r="R183" s="21">
        <f>IFERROR((COUNTIFS('JSA Risk Assessment'!$M$4:$M$5003,"Approved",'JSA Risk Assessment'!$D$4:$D$5003,mCrit,'JSA Risk Assessment'!$F$4:$F$5003,"Contractor"))/COUNTIFS('JSA Risk Assessment'!$D$4:$D$5003,mCrit,'JSA Risk Assessment'!$F$4:$F$5003,"Contractor")*100,0)</f>
        <v>0</v>
      </c>
      <c r="S183" s="20">
        <f>COUNTIFS('JSA Risk Assessment'!$D$4:$D$5003,mCrit,'JSA Risk Assessment'!$F$4:$F$5003,"Contractor")</f>
        <v>0</v>
      </c>
    </row>
    <row r="184" spans="2:19">
      <c r="B184" s="19" t="s">
        <v>111</v>
      </c>
      <c r="C184" s="20">
        <f>COUNTIFS('JSA Risk Assessment'!$D$4:$D$5003,"Nov",'JSA Risk Assessment'!$F$4:$F$5003,dCrit)</f>
        <v>0</v>
      </c>
    </row>
    <row r="185" spans="2:19">
      <c r="B185" s="19" t="s">
        <v>122</v>
      </c>
      <c r="C185" s="20">
        <f>COUNTIFS('JSA Risk Assessment'!$D$4:$D$5003,"Dec",'JSA Risk Assessment'!$F$4:$F$5003,dCrit)</f>
        <v>0</v>
      </c>
    </row>
    <row r="198" spans="2:34">
      <c r="B198" s="17" t="s">
        <v>1834</v>
      </c>
    </row>
    <row r="199" spans="2:34">
      <c r="B199" s="10" t="s">
        <v>127</v>
      </c>
      <c r="C199" s="10" t="s">
        <v>1782</v>
      </c>
      <c r="E199" s="10" t="s">
        <v>283</v>
      </c>
      <c r="F199" s="10" t="s">
        <v>1782</v>
      </c>
      <c r="G199" s="10" t="s">
        <v>285</v>
      </c>
      <c r="H199" s="10" t="s">
        <v>1782</v>
      </c>
      <c r="J199" s="10" t="s">
        <v>287</v>
      </c>
      <c r="K199" s="10" t="s">
        <v>1782</v>
      </c>
      <c r="M199" s="10" t="s">
        <v>1726</v>
      </c>
      <c r="N199" s="10" t="s">
        <v>1817</v>
      </c>
      <c r="P199" s="10" t="s">
        <v>129</v>
      </c>
      <c r="Q199" s="10" t="s">
        <v>1782</v>
      </c>
      <c r="R199" s="10" t="s">
        <v>1832</v>
      </c>
      <c r="S199" s="10" t="s">
        <v>1822</v>
      </c>
      <c r="U199" s="10" t="s">
        <v>1826</v>
      </c>
      <c r="V199" s="10" t="s">
        <v>3</v>
      </c>
      <c r="W199" s="10" t="s">
        <v>19</v>
      </c>
      <c r="X199" s="10" t="s">
        <v>44</v>
      </c>
      <c r="Y199" s="10" t="s">
        <v>53</v>
      </c>
      <c r="Z199" s="10" t="s">
        <v>60</v>
      </c>
      <c r="AA199" s="10" t="s">
        <v>73</v>
      </c>
      <c r="AB199" s="10" t="s">
        <v>76</v>
      </c>
      <c r="AC199" s="10" t="s">
        <v>86</v>
      </c>
      <c r="AD199" s="10" t="s">
        <v>102</v>
      </c>
      <c r="AE199" s="10" t="s">
        <v>106</v>
      </c>
      <c r="AF199" s="10" t="s">
        <v>111</v>
      </c>
      <c r="AG199" s="10" t="s">
        <v>122</v>
      </c>
      <c r="AH199" s="10" t="s">
        <v>1827</v>
      </c>
    </row>
    <row r="200" spans="2:34">
      <c r="B200" s="19" t="s">
        <v>3</v>
      </c>
      <c r="C200" s="20">
        <f>COUNTIFS('Training'!$D$4:$D$5003,"Jan",'Training'!$G$4:$G$5003,dCrit)</f>
        <v>0</v>
      </c>
      <c r="E200" s="11" t="s">
        <v>237</v>
      </c>
      <c r="F200" s="20">
        <f>COUNTIFS('Training'!$F$4:$F$5003,"Induction",'Training'!$D$4:$D$5003,mCrit,'Training'!$G$4:$G$5003,dCrit)</f>
        <v>0</v>
      </c>
      <c r="G200" s="11" t="s">
        <v>227</v>
      </c>
      <c r="H200" s="20">
        <f>COUNTIFS('Training'!$I$4:$I$5003,"Internal",'Training'!$D$4:$D$5003,mCrit,'Training'!$G$4:$G$5003,dCrit)</f>
        <v>0</v>
      </c>
      <c r="J200" s="11" t="s">
        <v>220</v>
      </c>
      <c r="K200" s="20">
        <f>COUNTIFS('Training'!$N$4:$N$5003,"Completed",'Training'!$D$4:$D$5003,mCrit,'Training'!$G$4:$G$5003,dCrit)</f>
        <v>0</v>
      </c>
      <c r="M200" s="11" t="s">
        <v>1821</v>
      </c>
      <c r="N200" s="20">
        <f>COUNTIFS('Training'!$D$4:$D$5003,mCrit,'Training'!$G$4:$G$5003,dCrit)</f>
        <v>0</v>
      </c>
      <c r="P200" s="11" t="s">
        <v>27</v>
      </c>
      <c r="Q200" s="20">
        <f>COUNTIFS('Training'!$D$4:$D$5003,mCrit,'Training'!$G$4:$G$5003,"Operations")</f>
        <v>0</v>
      </c>
      <c r="R200" s="21">
        <f>IFERROR((COUNTIFS('Training'!$N$4:$N$5003,"Closed",'Training'!$D$4:$D$5003,mCrit,'Training'!$G$4:$G$5003,"Operations"))/COUNTIFS('Training'!$D$4:$D$5003,mCrit,'Training'!$G$4:$G$5003,"Operations")*100,0)</f>
        <v>0</v>
      </c>
      <c r="S200" s="21">
        <f>IFERROR(AVERAGEIFS('Training'!$L$4:$L$5003,'Training'!$D$4:$D$5003,mCrit,'Training'!$G$4:$G$5003,"Operations"),0)</f>
        <v>0</v>
      </c>
      <c r="U200" s="11" t="s">
        <v>1825</v>
      </c>
      <c r="V200" s="20">
        <f>COUNTIFS('Training'!$D$4:$D$5003,"Jan",'Training'!$G$4:$G$5003,dCrit)</f>
        <v>0</v>
      </c>
      <c r="W200" s="20">
        <f>COUNTIFS('Training'!$D$4:$D$5003,"Feb",'Training'!$G$4:$G$5003,dCrit)</f>
        <v>0</v>
      </c>
      <c r="X200" s="20">
        <f>COUNTIFS('Training'!$D$4:$D$5003,"Mar",'Training'!$G$4:$G$5003,dCrit)</f>
        <v>0</v>
      </c>
      <c r="Y200" s="20">
        <f>COUNTIFS('Training'!$D$4:$D$5003,"Apr",'Training'!$G$4:$G$5003,dCrit)</f>
        <v>0</v>
      </c>
      <c r="Z200" s="20">
        <f>COUNTIFS('Training'!$D$4:$D$5003,"May",'Training'!$G$4:$G$5003,dCrit)</f>
        <v>0</v>
      </c>
      <c r="AA200" s="20">
        <f>COUNTIFS('Training'!$D$4:$D$5003,"Jun",'Training'!$G$4:$G$5003,dCrit)</f>
        <v>0</v>
      </c>
      <c r="AB200" s="20">
        <f>COUNTIFS('Training'!$D$4:$D$5003,"Jul",'Training'!$G$4:$G$5003,dCrit)</f>
        <v>0</v>
      </c>
      <c r="AC200" s="20">
        <f>COUNTIFS('Training'!$D$4:$D$5003,"Aug",'Training'!$G$4:$G$5003,dCrit)</f>
        <v>0</v>
      </c>
      <c r="AD200" s="20">
        <f>COUNTIFS('Training'!$D$4:$D$5003,"Sep",'Training'!$G$4:$G$5003,dCrit)</f>
        <v>0</v>
      </c>
      <c r="AE200" s="20">
        <f>COUNTIFS('Training'!$D$4:$D$5003,"Oct",'Training'!$G$4:$G$5003,dCrit)</f>
        <v>0</v>
      </c>
      <c r="AF200" s="20">
        <f>COUNTIFS('Training'!$D$4:$D$5003,"Nov",'Training'!$G$4:$G$5003,dCrit)</f>
        <v>0</v>
      </c>
      <c r="AG200" s="20">
        <f>COUNTIFS('Training'!$D$4:$D$5003,"Dec",'Training'!$G$4:$G$5003,dCrit)</f>
        <v>0</v>
      </c>
      <c r="AH200" s="20">
        <f>SUM(V200:AG200)</f>
        <v>0</v>
      </c>
    </row>
    <row r="201" spans="2:34">
      <c r="B201" s="19" t="s">
        <v>19</v>
      </c>
      <c r="C201" s="20">
        <f>COUNTIFS('Training'!$D$4:$D$5003,"Feb",'Training'!$G$4:$G$5003,dCrit)</f>
        <v>0</v>
      </c>
      <c r="E201" s="11" t="s">
        <v>233</v>
      </c>
      <c r="F201" s="20">
        <f>COUNTIFS('Training'!$F$4:$F$5003,"Refresher",'Training'!$D$4:$D$5003,mCrit,'Training'!$G$4:$G$5003,dCrit)</f>
        <v>0</v>
      </c>
      <c r="G201" s="11" t="s">
        <v>240</v>
      </c>
      <c r="H201" s="20">
        <f>COUNTIFS('Training'!$I$4:$I$5003,"External",'Training'!$D$4:$D$5003,mCrit,'Training'!$G$4:$G$5003,dCrit)</f>
        <v>0</v>
      </c>
      <c r="J201" s="11" t="s">
        <v>235</v>
      </c>
      <c r="K201" s="20">
        <f>COUNTIFS('Training'!$N$4:$N$5003,"Scheduled",'Training'!$D$4:$D$5003,mCrit,'Training'!$G$4:$G$5003,dCrit)</f>
        <v>0</v>
      </c>
      <c r="M201" s="11" t="s">
        <v>1829</v>
      </c>
      <c r="N201" s="21">
        <f>IFERROR((COUNTIFS('Training'!$N$4:$N$5003,"Closed",'Training'!$D$4:$D$5003,mCrit,'Training'!$G$4:$G$5003,dCrit))/COUNTIFS('Training'!$D$4:$D$5003,mCrit,'Training'!$G$4:$G$5003,dCrit)*100,0)</f>
        <v>0</v>
      </c>
      <c r="P201" s="11" t="s">
        <v>92</v>
      </c>
      <c r="Q201" s="20">
        <f>COUNTIFS('Training'!$D$4:$D$5003,mCrit,'Training'!$G$4:$G$5003,"Maintenance")</f>
        <v>0</v>
      </c>
      <c r="R201" s="21">
        <f>IFERROR((COUNTIFS('Training'!$N$4:$N$5003,"Closed",'Training'!$D$4:$D$5003,mCrit,'Training'!$G$4:$G$5003,"Maintenance"))/COUNTIFS('Training'!$D$4:$D$5003,mCrit,'Training'!$G$4:$G$5003,"Maintenance")*100,0)</f>
        <v>0</v>
      </c>
      <c r="S201" s="21">
        <f>IFERROR(AVERAGEIFS('Training'!$L$4:$L$5003,'Training'!$D$4:$D$5003,mCrit,'Training'!$G$4:$G$5003,"Maintenance"),0)</f>
        <v>0</v>
      </c>
      <c r="U201" s="11" t="s">
        <v>1833</v>
      </c>
      <c r="V201" s="21">
        <f>IFERROR((COUNTIFS('Training'!$N$4:$N$5003,"Closed",'Training'!$D$4:$D$5003,"Jan",'Training'!$G$4:$G$5003,dCrit))/COUNTIFS('Training'!$D$4:$D$5003,"Jan",'Training'!$G$4:$G$5003,dCrit)*100,0)</f>
        <v>0</v>
      </c>
      <c r="W201" s="21">
        <f>IFERROR((COUNTIFS('Training'!$N$4:$N$5003,"Closed",'Training'!$D$4:$D$5003,"Feb",'Training'!$G$4:$G$5003,dCrit))/COUNTIFS('Training'!$D$4:$D$5003,"Feb",'Training'!$G$4:$G$5003,dCrit)*100,0)</f>
        <v>0</v>
      </c>
      <c r="X201" s="21">
        <f>IFERROR((COUNTIFS('Training'!$N$4:$N$5003,"Closed",'Training'!$D$4:$D$5003,"Mar",'Training'!$G$4:$G$5003,dCrit))/COUNTIFS('Training'!$D$4:$D$5003,"Mar",'Training'!$G$4:$G$5003,dCrit)*100,0)</f>
        <v>0</v>
      </c>
      <c r="Y201" s="21">
        <f>IFERROR((COUNTIFS('Training'!$N$4:$N$5003,"Closed",'Training'!$D$4:$D$5003,"Apr",'Training'!$G$4:$G$5003,dCrit))/COUNTIFS('Training'!$D$4:$D$5003,"Apr",'Training'!$G$4:$G$5003,dCrit)*100,0)</f>
        <v>0</v>
      </c>
      <c r="Z201" s="21">
        <f>IFERROR((COUNTIFS('Training'!$N$4:$N$5003,"Closed",'Training'!$D$4:$D$5003,"May",'Training'!$G$4:$G$5003,dCrit))/COUNTIFS('Training'!$D$4:$D$5003,"May",'Training'!$G$4:$G$5003,dCrit)*100,0)</f>
        <v>0</v>
      </c>
      <c r="AA201" s="21">
        <f>IFERROR((COUNTIFS('Training'!$N$4:$N$5003,"Closed",'Training'!$D$4:$D$5003,"Jun",'Training'!$G$4:$G$5003,dCrit))/COUNTIFS('Training'!$D$4:$D$5003,"Jun",'Training'!$G$4:$G$5003,dCrit)*100,0)</f>
        <v>0</v>
      </c>
      <c r="AB201" s="21">
        <f>IFERROR((COUNTIFS('Training'!$N$4:$N$5003,"Closed",'Training'!$D$4:$D$5003,"Jul",'Training'!$G$4:$G$5003,dCrit))/COUNTIFS('Training'!$D$4:$D$5003,"Jul",'Training'!$G$4:$G$5003,dCrit)*100,0)</f>
        <v>0</v>
      </c>
      <c r="AC201" s="21">
        <f>IFERROR((COUNTIFS('Training'!$N$4:$N$5003,"Closed",'Training'!$D$4:$D$5003,"Aug",'Training'!$G$4:$G$5003,dCrit))/COUNTIFS('Training'!$D$4:$D$5003,"Aug",'Training'!$G$4:$G$5003,dCrit)*100,0)</f>
        <v>0</v>
      </c>
      <c r="AD201" s="21">
        <f>IFERROR((COUNTIFS('Training'!$N$4:$N$5003,"Closed",'Training'!$D$4:$D$5003,"Sep",'Training'!$G$4:$G$5003,dCrit))/COUNTIFS('Training'!$D$4:$D$5003,"Sep",'Training'!$G$4:$G$5003,dCrit)*100,0)</f>
        <v>0</v>
      </c>
      <c r="AE201" s="21">
        <f>IFERROR((COUNTIFS('Training'!$N$4:$N$5003,"Closed",'Training'!$D$4:$D$5003,"Oct",'Training'!$G$4:$G$5003,dCrit))/COUNTIFS('Training'!$D$4:$D$5003,"Oct",'Training'!$G$4:$G$5003,dCrit)*100,0)</f>
        <v>0</v>
      </c>
      <c r="AF201" s="21">
        <f>IFERROR((COUNTIFS('Training'!$N$4:$N$5003,"Closed",'Training'!$D$4:$D$5003,"Nov",'Training'!$G$4:$G$5003,dCrit))/COUNTIFS('Training'!$D$4:$D$5003,"Nov",'Training'!$G$4:$G$5003,dCrit)*100,0)</f>
        <v>0</v>
      </c>
      <c r="AG201" s="21">
        <f>IFERROR((COUNTIFS('Training'!$N$4:$N$5003,"Closed",'Training'!$D$4:$D$5003,"Dec",'Training'!$G$4:$G$5003,dCrit))/COUNTIFS('Training'!$D$4:$D$5003,"Dec",'Training'!$G$4:$G$5003,dCrit)*100,0)</f>
        <v>0</v>
      </c>
      <c r="AH201" s="21">
        <f>IFERROR(AVERAGE(V201:AG201),0)</f>
        <v>0</v>
      </c>
    </row>
    <row r="202" spans="2:34">
      <c r="B202" s="19" t="s">
        <v>44</v>
      </c>
      <c r="C202" s="20">
        <f>COUNTIFS('Training'!$D$4:$D$5003,"Mar",'Training'!$G$4:$G$5003,dCrit)</f>
        <v>0</v>
      </c>
      <c r="E202" s="11" t="s">
        <v>230</v>
      </c>
      <c r="F202" s="20">
        <f>COUNTIFS('Training'!$F$4:$F$5003,"Advanced",'Training'!$D$4:$D$5003,mCrit,'Training'!$G$4:$G$5003,dCrit)</f>
        <v>0</v>
      </c>
      <c r="G202" s="11" t="s">
        <v>219</v>
      </c>
      <c r="H202" s="20">
        <f>COUNTIFS('Training'!$I$4:$I$5003,"Online",'Training'!$D$4:$D$5003,mCrit,'Training'!$G$4:$G$5003,dCrit)</f>
        <v>0</v>
      </c>
      <c r="J202" s="11" t="s">
        <v>238</v>
      </c>
      <c r="K202" s="20">
        <f>COUNTIFS('Training'!$N$4:$N$5003,"Overdue",'Training'!$D$4:$D$5003,mCrit,'Training'!$G$4:$G$5003,dCrit)</f>
        <v>0</v>
      </c>
      <c r="M202" s="11" t="s">
        <v>1830</v>
      </c>
      <c r="N202" s="20">
        <f>COUNTIFS('Training'!$N$4:$N$5003,"Open",'Training'!$D$4:$D$5003,mCrit,'Training'!$G$4:$G$5003,dCrit)+COUNTIFS('Training'!$N$4:$N$5003,"In Progress",'Training'!$D$4:$D$5003,mCrit,'Training'!$G$4:$G$5003,dCrit)+COUNTIFS('Training'!$N$4:$N$5003,"Overdue",'Training'!$D$4:$D$5003,mCrit,'Training'!$G$4:$G$5003,dCrit)</f>
        <v>0</v>
      </c>
      <c r="P202" s="11" t="s">
        <v>39</v>
      </c>
      <c r="Q202" s="20">
        <f>COUNTIFS('Training'!$D$4:$D$5003,mCrit,'Training'!$G$4:$G$5003,"Engineering")</f>
        <v>0</v>
      </c>
      <c r="R202" s="21">
        <f>IFERROR((COUNTIFS('Training'!$N$4:$N$5003,"Closed",'Training'!$D$4:$D$5003,mCrit,'Training'!$G$4:$G$5003,"Engineering"))/COUNTIFS('Training'!$D$4:$D$5003,mCrit,'Training'!$G$4:$G$5003,"Engineering")*100,0)</f>
        <v>0</v>
      </c>
      <c r="S202" s="21">
        <f>IFERROR(AVERAGEIFS('Training'!$L$4:$L$5003,'Training'!$D$4:$D$5003,mCrit,'Training'!$G$4:$G$5003,"Engineering"),0)</f>
        <v>0</v>
      </c>
      <c r="U202" s="11" t="s">
        <v>1822</v>
      </c>
      <c r="V202" s="21">
        <f>IFERROR(AVERAGEIFS('Training'!$L$4:$L$5003,'Training'!$D$4:$D$5003,"Jan",'Training'!$G$4:$G$5003,dCrit),0)</f>
        <v>0</v>
      </c>
      <c r="W202" s="21">
        <f>IFERROR(AVERAGEIFS('Training'!$L$4:$L$5003,'Training'!$D$4:$D$5003,"Feb",'Training'!$G$4:$G$5003,dCrit),0)</f>
        <v>0</v>
      </c>
      <c r="X202" s="21">
        <f>IFERROR(AVERAGEIFS('Training'!$L$4:$L$5003,'Training'!$D$4:$D$5003,"Mar",'Training'!$G$4:$G$5003,dCrit),0)</f>
        <v>0</v>
      </c>
      <c r="Y202" s="21">
        <f>IFERROR(AVERAGEIFS('Training'!$L$4:$L$5003,'Training'!$D$4:$D$5003,"Apr",'Training'!$G$4:$G$5003,dCrit),0)</f>
        <v>0</v>
      </c>
      <c r="Z202" s="21">
        <f>IFERROR(AVERAGEIFS('Training'!$L$4:$L$5003,'Training'!$D$4:$D$5003,"May",'Training'!$G$4:$G$5003,dCrit),0)</f>
        <v>0</v>
      </c>
      <c r="AA202" s="21">
        <f>IFERROR(AVERAGEIFS('Training'!$L$4:$L$5003,'Training'!$D$4:$D$5003,"Jun",'Training'!$G$4:$G$5003,dCrit),0)</f>
        <v>0</v>
      </c>
      <c r="AB202" s="21">
        <f>IFERROR(AVERAGEIFS('Training'!$L$4:$L$5003,'Training'!$D$4:$D$5003,"Jul",'Training'!$G$4:$G$5003,dCrit),0)</f>
        <v>0</v>
      </c>
      <c r="AC202" s="21">
        <f>IFERROR(AVERAGEIFS('Training'!$L$4:$L$5003,'Training'!$D$4:$D$5003,"Aug",'Training'!$G$4:$G$5003,dCrit),0)</f>
        <v>0</v>
      </c>
      <c r="AD202" s="21">
        <f>IFERROR(AVERAGEIFS('Training'!$L$4:$L$5003,'Training'!$D$4:$D$5003,"Sep",'Training'!$G$4:$G$5003,dCrit),0)</f>
        <v>0</v>
      </c>
      <c r="AE202" s="21">
        <f>IFERROR(AVERAGEIFS('Training'!$L$4:$L$5003,'Training'!$D$4:$D$5003,"Oct",'Training'!$G$4:$G$5003,dCrit),0)</f>
        <v>0</v>
      </c>
      <c r="AF202" s="21">
        <f>IFERROR(AVERAGEIFS('Training'!$L$4:$L$5003,'Training'!$D$4:$D$5003,"Nov",'Training'!$G$4:$G$5003,dCrit),0)</f>
        <v>0</v>
      </c>
      <c r="AG202" s="21">
        <f>IFERROR(AVERAGEIFS('Training'!$L$4:$L$5003,'Training'!$D$4:$D$5003,"Dec",'Training'!$G$4:$G$5003,dCrit),0)</f>
        <v>0</v>
      </c>
      <c r="AH202" s="21">
        <f>IFERROR(AVERAGE(V202:AG202),0)</f>
        <v>0</v>
      </c>
    </row>
    <row r="203" spans="2:34">
      <c r="B203" s="19" t="s">
        <v>53</v>
      </c>
      <c r="C203" s="20">
        <f>COUNTIFS('Training'!$D$4:$D$5003,"Apr",'Training'!$G$4:$G$5003,dCrit)</f>
        <v>0</v>
      </c>
      <c r="E203" s="11" t="s">
        <v>224</v>
      </c>
      <c r="F203" s="20">
        <f>COUNTIFS('Training'!$F$4:$F$5003,"On-the-Job",'Training'!$D$4:$D$5003,mCrit,'Training'!$G$4:$G$5003,dCrit)</f>
        <v>0</v>
      </c>
      <c r="G203" s="11" t="s">
        <v>224</v>
      </c>
      <c r="H203" s="20">
        <f>COUNTIFS('Training'!$I$4:$I$5003,"On-the-Job",'Training'!$D$4:$D$5003,mCrit,'Training'!$G$4:$G$5003,dCrit)</f>
        <v>0</v>
      </c>
      <c r="J203" s="11" t="s">
        <v>254</v>
      </c>
      <c r="K203" s="20">
        <f>COUNTIFS('Training'!$N$4:$N$5003,"In Progress",'Training'!$D$4:$D$5003,mCrit,'Training'!$G$4:$G$5003,dCrit)</f>
        <v>0</v>
      </c>
      <c r="M203" s="11" t="s">
        <v>238</v>
      </c>
      <c r="N203" s="20">
        <f>COUNTIFS('Training'!$N$4:$N$5003,"Overdue",'Training'!$D$4:$D$5003,mCrit,'Training'!$G$4:$G$5003,dCrit)</f>
        <v>0</v>
      </c>
      <c r="P203" s="11" t="s">
        <v>89</v>
      </c>
      <c r="Q203" s="20">
        <f>COUNTIFS('Training'!$D$4:$D$5003,mCrit,'Training'!$G$4:$G$5003,"Construction")</f>
        <v>0</v>
      </c>
      <c r="R203" s="21">
        <f>IFERROR((COUNTIFS('Training'!$N$4:$N$5003,"Closed",'Training'!$D$4:$D$5003,mCrit,'Training'!$G$4:$G$5003,"Construction"))/COUNTIFS('Training'!$D$4:$D$5003,mCrit,'Training'!$G$4:$G$5003,"Construction")*100,0)</f>
        <v>0</v>
      </c>
      <c r="S203" s="21">
        <f>IFERROR(AVERAGEIFS('Training'!$L$4:$L$5003,'Training'!$D$4:$D$5003,mCrit,'Training'!$G$4:$G$5003,"Construction"),0)</f>
        <v>0</v>
      </c>
    </row>
    <row r="204" spans="2:34">
      <c r="B204" s="19" t="s">
        <v>60</v>
      </c>
      <c r="C204" s="20">
        <f>COUNTIFS('Training'!$D$4:$D$5003,"May",'Training'!$G$4:$G$5003,dCrit)</f>
        <v>0</v>
      </c>
      <c r="E204" s="11" t="s">
        <v>223</v>
      </c>
      <c r="F204" s="20">
        <f>COUNTIFS('Training'!$F$4:$F$5003,"Awareness",'Training'!$D$4:$D$5003,mCrit,'Training'!$G$4:$G$5003,dCrit)</f>
        <v>0</v>
      </c>
      <c r="M204" s="11" t="s">
        <v>1822</v>
      </c>
      <c r="N204" s="21">
        <f>IFERROR(AVERAGEIFS('Training'!$L$4:$L$5003,'Training'!$D$4:$D$5003,mCrit,'Training'!$G$4:$G$5003,dCrit),0)</f>
        <v>0</v>
      </c>
      <c r="P204" s="11" t="s">
        <v>65</v>
      </c>
      <c r="Q204" s="20">
        <f>COUNTIFS('Training'!$D$4:$D$5003,mCrit,'Training'!$G$4:$G$5003,"Safety")</f>
        <v>0</v>
      </c>
      <c r="R204" s="21">
        <f>IFERROR((COUNTIFS('Training'!$N$4:$N$5003,"Closed",'Training'!$D$4:$D$5003,mCrit,'Training'!$G$4:$G$5003,"Safety"))/COUNTIFS('Training'!$D$4:$D$5003,mCrit,'Training'!$G$4:$G$5003,"Safety")*100,0)</f>
        <v>0</v>
      </c>
      <c r="S204" s="21">
        <f>IFERROR(AVERAGEIFS('Training'!$L$4:$L$5003,'Training'!$D$4:$D$5003,mCrit,'Training'!$G$4:$G$5003,"Safety"),0)</f>
        <v>0</v>
      </c>
    </row>
    <row r="205" spans="2:34">
      <c r="B205" s="19" t="s">
        <v>73</v>
      </c>
      <c r="C205" s="20">
        <f>COUNTIFS('Training'!$D$4:$D$5003,"Jun",'Training'!$G$4:$G$5003,dCrit)</f>
        <v>0</v>
      </c>
      <c r="E205" s="11" t="s">
        <v>218</v>
      </c>
      <c r="F205" s="20">
        <f>COUNTIFS('Training'!$F$4:$F$5003,"Competency",'Training'!$D$4:$D$5003,mCrit,'Training'!$G$4:$G$5003,dCrit)</f>
        <v>0</v>
      </c>
      <c r="M205" s="11" t="s">
        <v>1835</v>
      </c>
      <c r="N205" s="20">
        <f>SUMIFS('Training'!$M$4:$M$5003,'Training'!$D$4:$D$5003,mCrit,'Training'!$G$4:$G$5003,dCrit)</f>
        <v>0</v>
      </c>
      <c r="P205" s="11" t="s">
        <v>5</v>
      </c>
      <c r="Q205" s="20">
        <f>COUNTIFS('Training'!$D$4:$D$5003,mCrit,'Training'!$G$4:$G$5003,"Logistics")</f>
        <v>0</v>
      </c>
      <c r="R205" s="21">
        <f>IFERROR((COUNTIFS('Training'!$N$4:$N$5003,"Closed",'Training'!$D$4:$D$5003,mCrit,'Training'!$G$4:$G$5003,"Logistics"))/COUNTIFS('Training'!$D$4:$D$5003,mCrit,'Training'!$G$4:$G$5003,"Logistics")*100,0)</f>
        <v>0</v>
      </c>
      <c r="S205" s="21">
        <f>IFERROR(AVERAGEIFS('Training'!$L$4:$L$5003,'Training'!$D$4:$D$5003,mCrit,'Training'!$G$4:$G$5003,"Logistics"),0)</f>
        <v>0</v>
      </c>
    </row>
    <row r="206" spans="2:34">
      <c r="B206" s="19" t="s">
        <v>76</v>
      </c>
      <c r="C206" s="20">
        <f>COUNTIFS('Training'!$D$4:$D$5003,"Jul",'Training'!$G$4:$G$5003,dCrit)</f>
        <v>0</v>
      </c>
      <c r="M206" s="11" t="s">
        <v>1836</v>
      </c>
      <c r="N206" s="20">
        <f>COUNTIFS('Training'!$P$4:$P$5003,"Yes",'Training'!$D$4:$D$5003,mCrit,'Training'!$G$4:$G$5003,dCrit)</f>
        <v>0</v>
      </c>
      <c r="P206" s="11" t="s">
        <v>50</v>
      </c>
      <c r="Q206" s="20">
        <f>COUNTIFS('Training'!$D$4:$D$5003,mCrit,'Training'!$G$4:$G$5003,"Quality")</f>
        <v>0</v>
      </c>
      <c r="R206" s="21">
        <f>IFERROR((COUNTIFS('Training'!$N$4:$N$5003,"Closed",'Training'!$D$4:$D$5003,mCrit,'Training'!$G$4:$G$5003,"Quality"))/COUNTIFS('Training'!$D$4:$D$5003,mCrit,'Training'!$G$4:$G$5003,"Quality")*100,0)</f>
        <v>0</v>
      </c>
      <c r="S206" s="21">
        <f>IFERROR(AVERAGEIFS('Training'!$L$4:$L$5003,'Training'!$D$4:$D$5003,mCrit,'Training'!$G$4:$G$5003,"Quality"),0)</f>
        <v>0</v>
      </c>
    </row>
    <row r="207" spans="2:34">
      <c r="B207" s="19" t="s">
        <v>86</v>
      </c>
      <c r="C207" s="20">
        <f>COUNTIFS('Training'!$D$4:$D$5003,"Aug",'Training'!$G$4:$G$5003,dCrit)</f>
        <v>0</v>
      </c>
      <c r="M207" s="11" t="s">
        <v>1837</v>
      </c>
      <c r="N207" s="20">
        <f>COUNTIFS('Training'!$O$4:$O$5003,"Pass",'Training'!$D$4:$D$5003,mCrit,'Training'!$G$4:$G$5003,dCrit)</f>
        <v>0</v>
      </c>
      <c r="P207" s="11" t="s">
        <v>46</v>
      </c>
      <c r="Q207" s="20">
        <f>COUNTIFS('Training'!$D$4:$D$5003,mCrit,'Training'!$G$4:$G$5003,"Admin")</f>
        <v>0</v>
      </c>
      <c r="R207" s="21">
        <f>IFERROR((COUNTIFS('Training'!$N$4:$N$5003,"Closed",'Training'!$D$4:$D$5003,mCrit,'Training'!$G$4:$G$5003,"Admin"))/COUNTIFS('Training'!$D$4:$D$5003,mCrit,'Training'!$G$4:$G$5003,"Admin")*100,0)</f>
        <v>0</v>
      </c>
      <c r="S207" s="21">
        <f>IFERROR(AVERAGEIFS('Training'!$L$4:$L$5003,'Training'!$D$4:$D$5003,mCrit,'Training'!$G$4:$G$5003,"Admin"),0)</f>
        <v>0</v>
      </c>
    </row>
    <row r="208" spans="2:34">
      <c r="B208" s="19" t="s">
        <v>102</v>
      </c>
      <c r="C208" s="20">
        <f>COUNTIFS('Training'!$D$4:$D$5003,"Sep",'Training'!$G$4:$G$5003,dCrit)</f>
        <v>0</v>
      </c>
      <c r="P208" s="11" t="s">
        <v>13</v>
      </c>
      <c r="Q208" s="20">
        <f>COUNTIFS('Training'!$D$4:$D$5003,mCrit,'Training'!$G$4:$G$5003,"Projects")</f>
        <v>0</v>
      </c>
      <c r="R208" s="21">
        <f>IFERROR((COUNTIFS('Training'!$N$4:$N$5003,"Closed",'Training'!$D$4:$D$5003,mCrit,'Training'!$G$4:$G$5003,"Projects"))/COUNTIFS('Training'!$D$4:$D$5003,mCrit,'Training'!$G$4:$G$5003,"Projects")*100,0)</f>
        <v>0</v>
      </c>
      <c r="S208" s="21">
        <f>IFERROR(AVERAGEIFS('Training'!$L$4:$L$5003,'Training'!$D$4:$D$5003,mCrit,'Training'!$G$4:$G$5003,"Projects"),0)</f>
        <v>0</v>
      </c>
    </row>
    <row r="209" spans="2:19">
      <c r="B209" s="19" t="s">
        <v>106</v>
      </c>
      <c r="C209" s="20">
        <f>COUNTIFS('Training'!$D$4:$D$5003,"Oct",'Training'!$G$4:$G$5003,dCrit)</f>
        <v>0</v>
      </c>
      <c r="P209" s="11" t="s">
        <v>58</v>
      </c>
      <c r="Q209" s="20">
        <f>COUNTIFS('Training'!$D$4:$D$5003,mCrit,'Training'!$G$4:$G$5003,"Contractor")</f>
        <v>0</v>
      </c>
      <c r="R209" s="21">
        <f>IFERROR((COUNTIFS('Training'!$N$4:$N$5003,"Closed",'Training'!$D$4:$D$5003,mCrit,'Training'!$G$4:$G$5003,"Contractor"))/COUNTIFS('Training'!$D$4:$D$5003,mCrit,'Training'!$G$4:$G$5003,"Contractor")*100,0)</f>
        <v>0</v>
      </c>
      <c r="S209" s="21">
        <f>IFERROR(AVERAGEIFS('Training'!$L$4:$L$5003,'Training'!$D$4:$D$5003,mCrit,'Training'!$G$4:$G$5003,"Contractor"),0)</f>
        <v>0</v>
      </c>
    </row>
    <row r="210" spans="2:19">
      <c r="B210" s="19" t="s">
        <v>111</v>
      </c>
      <c r="C210" s="20">
        <f>COUNTIFS('Training'!$D$4:$D$5003,"Nov",'Training'!$G$4:$G$5003,dCrit)</f>
        <v>0</v>
      </c>
    </row>
    <row r="211" spans="2:19">
      <c r="B211" s="19" t="s">
        <v>122</v>
      </c>
      <c r="C211" s="20">
        <f>COUNTIFS('Training'!$D$4:$D$5003,"Dec",'Training'!$G$4:$G$5003,dCrit)</f>
        <v>0</v>
      </c>
    </row>
    <row r="224" spans="2:19">
      <c r="B224" s="17" t="s">
        <v>1838</v>
      </c>
    </row>
    <row r="225" spans="2:34">
      <c r="B225" s="10" t="s">
        <v>127</v>
      </c>
      <c r="C225" s="10" t="s">
        <v>1782</v>
      </c>
      <c r="E225" s="10" t="s">
        <v>351</v>
      </c>
      <c r="F225" s="10" t="s">
        <v>1782</v>
      </c>
      <c r="G225" s="10" t="s">
        <v>355</v>
      </c>
      <c r="H225" s="10" t="s">
        <v>1782</v>
      </c>
      <c r="J225" s="10" t="s">
        <v>287</v>
      </c>
      <c r="K225" s="10" t="s">
        <v>1782</v>
      </c>
      <c r="M225" s="10" t="s">
        <v>1726</v>
      </c>
      <c r="N225" s="10" t="s">
        <v>1817</v>
      </c>
      <c r="P225" s="10" t="s">
        <v>129</v>
      </c>
      <c r="Q225" s="10" t="s">
        <v>1782</v>
      </c>
      <c r="R225" s="10" t="s">
        <v>1832</v>
      </c>
      <c r="S225" s="10" t="s">
        <v>1825</v>
      </c>
      <c r="U225" s="10" t="s">
        <v>1826</v>
      </c>
      <c r="V225" s="10" t="s">
        <v>3</v>
      </c>
      <c r="W225" s="10" t="s">
        <v>19</v>
      </c>
      <c r="X225" s="10" t="s">
        <v>44</v>
      </c>
      <c r="Y225" s="10" t="s">
        <v>53</v>
      </c>
      <c r="Z225" s="10" t="s">
        <v>60</v>
      </c>
      <c r="AA225" s="10" t="s">
        <v>73</v>
      </c>
      <c r="AB225" s="10" t="s">
        <v>76</v>
      </c>
      <c r="AC225" s="10" t="s">
        <v>86</v>
      </c>
      <c r="AD225" s="10" t="s">
        <v>102</v>
      </c>
      <c r="AE225" s="10" t="s">
        <v>106</v>
      </c>
      <c r="AF225" s="10" t="s">
        <v>111</v>
      </c>
      <c r="AG225" s="10" t="s">
        <v>122</v>
      </c>
      <c r="AH225" s="10" t="s">
        <v>1827</v>
      </c>
    </row>
    <row r="226" spans="2:34">
      <c r="B226" s="19" t="s">
        <v>3</v>
      </c>
      <c r="C226" s="20">
        <f>COUNTIFS('HSE Observations'!$D$4:$D$5003,"Jan",'HSE Observations'!$G$4:$G$5003,dCrit)</f>
        <v>0</v>
      </c>
      <c r="E226" s="11" t="s">
        <v>292</v>
      </c>
      <c r="F226" s="20">
        <f>COUNTIFS('HSE Observations'!$E$4:$E$5003,"Safe Act",'HSE Observations'!$D$4:$D$5003,mCrit,'HSE Observations'!$G$4:$G$5003,dCrit)</f>
        <v>0</v>
      </c>
      <c r="G226" s="11" t="s">
        <v>33</v>
      </c>
      <c r="H226" s="20">
        <f>COUNTIFS('HSE Observations'!$K$4:$K$5003,"BBS",'HSE Observations'!$D$4:$D$5003,mCrit,'HSE Observations'!$G$4:$G$5003,dCrit)</f>
        <v>0</v>
      </c>
      <c r="J226" s="11" t="s">
        <v>293</v>
      </c>
      <c r="K226" s="20">
        <f>COUNTIFS('HSE Observations'!$M$4:$M$5003,"Closed",'HSE Observations'!$D$4:$D$5003,mCrit,'HSE Observations'!$G$4:$G$5003,dCrit)</f>
        <v>0</v>
      </c>
      <c r="M226" s="11" t="s">
        <v>1821</v>
      </c>
      <c r="N226" s="20">
        <f>COUNTIFS('HSE Observations'!$D$4:$D$5003,mCrit,'HSE Observations'!$G$4:$G$5003,dCrit)</f>
        <v>0</v>
      </c>
      <c r="P226" s="11" t="s">
        <v>27</v>
      </c>
      <c r="Q226" s="20">
        <f>COUNTIFS('HSE Observations'!$D$4:$D$5003,mCrit,'HSE Observations'!$G$4:$G$5003,"Operations")</f>
        <v>0</v>
      </c>
      <c r="R226" s="21">
        <f>IFERROR((COUNTIFS('HSE Observations'!$M$4:$M$5003,"Closed",'HSE Observations'!$D$4:$D$5003,mCrit,'HSE Observations'!$G$4:$G$5003,"Operations"))/COUNTIFS('HSE Observations'!$D$4:$D$5003,mCrit,'HSE Observations'!$G$4:$G$5003,"Operations")*100,0)</f>
        <v>0</v>
      </c>
      <c r="S226" s="20">
        <f>COUNTIFS('HSE Observations'!$D$4:$D$5003,mCrit,'HSE Observations'!$G$4:$G$5003,"Operations")</f>
        <v>0</v>
      </c>
      <c r="U226" s="11" t="s">
        <v>1825</v>
      </c>
      <c r="V226" s="20">
        <f>COUNTIFS('HSE Observations'!$D$4:$D$5003,"Jan",'HSE Observations'!$G$4:$G$5003,dCrit)</f>
        <v>0</v>
      </c>
      <c r="W226" s="20">
        <f>COUNTIFS('HSE Observations'!$D$4:$D$5003,"Feb",'HSE Observations'!$G$4:$G$5003,dCrit)</f>
        <v>0</v>
      </c>
      <c r="X226" s="20">
        <f>COUNTIFS('HSE Observations'!$D$4:$D$5003,"Mar",'HSE Observations'!$G$4:$G$5003,dCrit)</f>
        <v>0</v>
      </c>
      <c r="Y226" s="20">
        <f>COUNTIFS('HSE Observations'!$D$4:$D$5003,"Apr",'HSE Observations'!$G$4:$G$5003,dCrit)</f>
        <v>0</v>
      </c>
      <c r="Z226" s="20">
        <f>COUNTIFS('HSE Observations'!$D$4:$D$5003,"May",'HSE Observations'!$G$4:$G$5003,dCrit)</f>
        <v>0</v>
      </c>
      <c r="AA226" s="20">
        <f>COUNTIFS('HSE Observations'!$D$4:$D$5003,"Jun",'HSE Observations'!$G$4:$G$5003,dCrit)</f>
        <v>0</v>
      </c>
      <c r="AB226" s="20">
        <f>COUNTIFS('HSE Observations'!$D$4:$D$5003,"Jul",'HSE Observations'!$G$4:$G$5003,dCrit)</f>
        <v>0</v>
      </c>
      <c r="AC226" s="20">
        <f>COUNTIFS('HSE Observations'!$D$4:$D$5003,"Aug",'HSE Observations'!$G$4:$G$5003,dCrit)</f>
        <v>0</v>
      </c>
      <c r="AD226" s="20">
        <f>COUNTIFS('HSE Observations'!$D$4:$D$5003,"Sep",'HSE Observations'!$G$4:$G$5003,dCrit)</f>
        <v>0</v>
      </c>
      <c r="AE226" s="20">
        <f>COUNTIFS('HSE Observations'!$D$4:$D$5003,"Oct",'HSE Observations'!$G$4:$G$5003,dCrit)</f>
        <v>0</v>
      </c>
      <c r="AF226" s="20">
        <f>COUNTIFS('HSE Observations'!$D$4:$D$5003,"Nov",'HSE Observations'!$G$4:$G$5003,dCrit)</f>
        <v>0</v>
      </c>
      <c r="AG226" s="20">
        <f>COUNTIFS('HSE Observations'!$D$4:$D$5003,"Dec",'HSE Observations'!$G$4:$G$5003,dCrit)</f>
        <v>0</v>
      </c>
      <c r="AH226" s="20">
        <f>SUM(V226:AG226)</f>
        <v>0</v>
      </c>
    </row>
    <row r="227" spans="2:34">
      <c r="B227" s="19" t="s">
        <v>19</v>
      </c>
      <c r="C227" s="20">
        <f>COUNTIFS('HSE Observations'!$D$4:$D$5003,"Feb",'HSE Observations'!$G$4:$G$5003,dCrit)</f>
        <v>0</v>
      </c>
      <c r="E227" s="11" t="s">
        <v>300</v>
      </c>
      <c r="F227" s="20">
        <f>COUNTIFS('HSE Observations'!$E$4:$E$5003,"Unsafe Act",'HSE Observations'!$D$4:$D$5003,mCrit,'HSE Observations'!$G$4:$G$5003,dCrit)</f>
        <v>0</v>
      </c>
      <c r="G227" s="11" t="s">
        <v>47</v>
      </c>
      <c r="H227" s="20">
        <f>COUNTIFS('HSE Observations'!$K$4:$K$5003,"General",'HSE Observations'!$D$4:$D$5003,mCrit,'HSE Observations'!$G$4:$G$5003,dCrit)</f>
        <v>0</v>
      </c>
      <c r="J227" s="11" t="s">
        <v>297</v>
      </c>
      <c r="K227" s="20">
        <f>COUNTIFS('HSE Observations'!$M$4:$M$5003,"Open",'HSE Observations'!$D$4:$D$5003,mCrit,'HSE Observations'!$G$4:$G$5003,dCrit)</f>
        <v>0</v>
      </c>
      <c r="M227" s="11" t="s">
        <v>1829</v>
      </c>
      <c r="N227" s="21">
        <f>IFERROR((COUNTIFS('HSE Observations'!$M$4:$M$5003,"Closed",'HSE Observations'!$D$4:$D$5003,mCrit,'HSE Observations'!$G$4:$G$5003,dCrit))/COUNTIFS('HSE Observations'!$D$4:$D$5003,mCrit,'HSE Observations'!$G$4:$G$5003,dCrit)*100,0)</f>
        <v>0</v>
      </c>
      <c r="P227" s="11" t="s">
        <v>92</v>
      </c>
      <c r="Q227" s="20">
        <f>COUNTIFS('HSE Observations'!$D$4:$D$5003,mCrit,'HSE Observations'!$G$4:$G$5003,"Maintenance")</f>
        <v>0</v>
      </c>
      <c r="R227" s="21">
        <f>IFERROR((COUNTIFS('HSE Observations'!$M$4:$M$5003,"Closed",'HSE Observations'!$D$4:$D$5003,mCrit,'HSE Observations'!$G$4:$G$5003,"Maintenance"))/COUNTIFS('HSE Observations'!$D$4:$D$5003,mCrit,'HSE Observations'!$G$4:$G$5003,"Maintenance")*100,0)</f>
        <v>0</v>
      </c>
      <c r="S227" s="20">
        <f>COUNTIFS('HSE Observations'!$D$4:$D$5003,mCrit,'HSE Observations'!$G$4:$G$5003,"Maintenance")</f>
        <v>0</v>
      </c>
      <c r="U227" s="11" t="s">
        <v>1833</v>
      </c>
      <c r="V227" s="21">
        <f>IFERROR((COUNTIFS('HSE Observations'!$M$4:$M$5003,"Closed",'HSE Observations'!$D$4:$D$5003,"Jan",'HSE Observations'!$G$4:$G$5003,dCrit))/COUNTIFS('HSE Observations'!$D$4:$D$5003,"Jan",'HSE Observations'!$G$4:$G$5003,dCrit)*100,0)</f>
        <v>0</v>
      </c>
      <c r="W227" s="21">
        <f>IFERROR((COUNTIFS('HSE Observations'!$M$4:$M$5003,"Closed",'HSE Observations'!$D$4:$D$5003,"Feb",'HSE Observations'!$G$4:$G$5003,dCrit))/COUNTIFS('HSE Observations'!$D$4:$D$5003,"Feb",'HSE Observations'!$G$4:$G$5003,dCrit)*100,0)</f>
        <v>0</v>
      </c>
      <c r="X227" s="21">
        <f>IFERROR((COUNTIFS('HSE Observations'!$M$4:$M$5003,"Closed",'HSE Observations'!$D$4:$D$5003,"Mar",'HSE Observations'!$G$4:$G$5003,dCrit))/COUNTIFS('HSE Observations'!$D$4:$D$5003,"Mar",'HSE Observations'!$G$4:$G$5003,dCrit)*100,0)</f>
        <v>0</v>
      </c>
      <c r="Y227" s="21">
        <f>IFERROR((COUNTIFS('HSE Observations'!$M$4:$M$5003,"Closed",'HSE Observations'!$D$4:$D$5003,"Apr",'HSE Observations'!$G$4:$G$5003,dCrit))/COUNTIFS('HSE Observations'!$D$4:$D$5003,"Apr",'HSE Observations'!$G$4:$G$5003,dCrit)*100,0)</f>
        <v>0</v>
      </c>
      <c r="Z227" s="21">
        <f>IFERROR((COUNTIFS('HSE Observations'!$M$4:$M$5003,"Closed",'HSE Observations'!$D$4:$D$5003,"May",'HSE Observations'!$G$4:$G$5003,dCrit))/COUNTIFS('HSE Observations'!$D$4:$D$5003,"May",'HSE Observations'!$G$4:$G$5003,dCrit)*100,0)</f>
        <v>0</v>
      </c>
      <c r="AA227" s="21">
        <f>IFERROR((COUNTIFS('HSE Observations'!$M$4:$M$5003,"Closed",'HSE Observations'!$D$4:$D$5003,"Jun",'HSE Observations'!$G$4:$G$5003,dCrit))/COUNTIFS('HSE Observations'!$D$4:$D$5003,"Jun",'HSE Observations'!$G$4:$G$5003,dCrit)*100,0)</f>
        <v>0</v>
      </c>
      <c r="AB227" s="21">
        <f>IFERROR((COUNTIFS('HSE Observations'!$M$4:$M$5003,"Closed",'HSE Observations'!$D$4:$D$5003,"Jul",'HSE Observations'!$G$4:$G$5003,dCrit))/COUNTIFS('HSE Observations'!$D$4:$D$5003,"Jul",'HSE Observations'!$G$4:$G$5003,dCrit)*100,0)</f>
        <v>0</v>
      </c>
      <c r="AC227" s="21">
        <f>IFERROR((COUNTIFS('HSE Observations'!$M$4:$M$5003,"Closed",'HSE Observations'!$D$4:$D$5003,"Aug",'HSE Observations'!$G$4:$G$5003,dCrit))/COUNTIFS('HSE Observations'!$D$4:$D$5003,"Aug",'HSE Observations'!$G$4:$G$5003,dCrit)*100,0)</f>
        <v>0</v>
      </c>
      <c r="AD227" s="21">
        <f>IFERROR((COUNTIFS('HSE Observations'!$M$4:$M$5003,"Closed",'HSE Observations'!$D$4:$D$5003,"Sep",'HSE Observations'!$G$4:$G$5003,dCrit))/COUNTIFS('HSE Observations'!$D$4:$D$5003,"Sep",'HSE Observations'!$G$4:$G$5003,dCrit)*100,0)</f>
        <v>0</v>
      </c>
      <c r="AE227" s="21">
        <f>IFERROR((COUNTIFS('HSE Observations'!$M$4:$M$5003,"Closed",'HSE Observations'!$D$4:$D$5003,"Oct",'HSE Observations'!$G$4:$G$5003,dCrit))/COUNTIFS('HSE Observations'!$D$4:$D$5003,"Oct",'HSE Observations'!$G$4:$G$5003,dCrit)*100,0)</f>
        <v>0</v>
      </c>
      <c r="AF227" s="21">
        <f>IFERROR((COUNTIFS('HSE Observations'!$M$4:$M$5003,"Closed",'HSE Observations'!$D$4:$D$5003,"Nov",'HSE Observations'!$G$4:$G$5003,dCrit))/COUNTIFS('HSE Observations'!$D$4:$D$5003,"Nov",'HSE Observations'!$G$4:$G$5003,dCrit)*100,0)</f>
        <v>0</v>
      </c>
      <c r="AG227" s="21">
        <f>IFERROR((COUNTIFS('HSE Observations'!$M$4:$M$5003,"Closed",'HSE Observations'!$D$4:$D$5003,"Dec",'HSE Observations'!$G$4:$G$5003,dCrit))/COUNTIFS('HSE Observations'!$D$4:$D$5003,"Dec",'HSE Observations'!$G$4:$G$5003,dCrit)*100,0)</f>
        <v>0</v>
      </c>
      <c r="AH227" s="21">
        <f>IFERROR(AVERAGE(V227:AG227),0)</f>
        <v>0</v>
      </c>
    </row>
    <row r="228" spans="2:34">
      <c r="B228" s="19" t="s">
        <v>44</v>
      </c>
      <c r="C228" s="20">
        <f>COUNTIFS('HSE Observations'!$D$4:$D$5003,"Mar",'HSE Observations'!$G$4:$G$5003,dCrit)</f>
        <v>0</v>
      </c>
      <c r="E228" s="11" t="s">
        <v>302</v>
      </c>
      <c r="F228" s="20">
        <f>COUNTIFS('HSE Observations'!$E$4:$E$5003,"Safe Condition",'HSE Observations'!$D$4:$D$5003,mCrit,'HSE Observations'!$G$4:$G$5003,dCrit)</f>
        <v>0</v>
      </c>
      <c r="G228" s="11" t="s">
        <v>99</v>
      </c>
      <c r="H228" s="20">
        <f>COUNTIFS('HSE Observations'!$K$4:$K$5003,"PPE",'HSE Observations'!$D$4:$D$5003,mCrit,'HSE Observations'!$G$4:$G$5003,dCrit)</f>
        <v>0</v>
      </c>
      <c r="J228" s="11" t="s">
        <v>254</v>
      </c>
      <c r="K228" s="20">
        <f>COUNTIFS('HSE Observations'!$M$4:$M$5003,"In Progress",'HSE Observations'!$D$4:$D$5003,mCrit,'HSE Observations'!$G$4:$G$5003,dCrit)</f>
        <v>0</v>
      </c>
      <c r="M228" s="11" t="s">
        <v>1830</v>
      </c>
      <c r="N228" s="20">
        <f>COUNTIFS('HSE Observations'!$M$4:$M$5003,"Open",'HSE Observations'!$D$4:$D$5003,mCrit,'HSE Observations'!$G$4:$G$5003,dCrit)+COUNTIFS('HSE Observations'!$M$4:$M$5003,"In Progress",'HSE Observations'!$D$4:$D$5003,mCrit,'HSE Observations'!$G$4:$G$5003,dCrit)+COUNTIFS('HSE Observations'!$M$4:$M$5003,"Overdue",'HSE Observations'!$D$4:$D$5003,mCrit,'HSE Observations'!$G$4:$G$5003,dCrit)</f>
        <v>0</v>
      </c>
      <c r="P228" s="11" t="s">
        <v>39</v>
      </c>
      <c r="Q228" s="20">
        <f>COUNTIFS('HSE Observations'!$D$4:$D$5003,mCrit,'HSE Observations'!$G$4:$G$5003,"Engineering")</f>
        <v>0</v>
      </c>
      <c r="R228" s="21">
        <f>IFERROR((COUNTIFS('HSE Observations'!$M$4:$M$5003,"Closed",'HSE Observations'!$D$4:$D$5003,mCrit,'HSE Observations'!$G$4:$G$5003,"Engineering"))/COUNTIFS('HSE Observations'!$D$4:$D$5003,mCrit,'HSE Observations'!$G$4:$G$5003,"Engineering")*100,0)</f>
        <v>0</v>
      </c>
      <c r="S228" s="20">
        <f>COUNTIFS('HSE Observations'!$D$4:$D$5003,mCrit,'HSE Observations'!$G$4:$G$5003,"Engineering")</f>
        <v>0</v>
      </c>
    </row>
    <row r="229" spans="2:34">
      <c r="B229" s="19" t="s">
        <v>53</v>
      </c>
      <c r="C229" s="20">
        <f>COUNTIFS('HSE Observations'!$D$4:$D$5003,"Apr",'HSE Observations'!$G$4:$G$5003,dCrit)</f>
        <v>0</v>
      </c>
      <c r="E229" s="11" t="s">
        <v>296</v>
      </c>
      <c r="F229" s="20">
        <f>COUNTIFS('HSE Observations'!$E$4:$E$5003,"Unsafe Condition",'HSE Observations'!$D$4:$D$5003,mCrit,'HSE Observations'!$G$4:$G$5003,dCrit)</f>
        <v>0</v>
      </c>
      <c r="G229" s="11" t="s">
        <v>16</v>
      </c>
      <c r="H229" s="20">
        <f>COUNTIFS('HSE Observations'!$K$4:$K$5003,"Housekeeping",'HSE Observations'!$D$4:$D$5003,mCrit,'HSE Observations'!$G$4:$G$5003,dCrit)</f>
        <v>0</v>
      </c>
      <c r="J229" s="11" t="s">
        <v>238</v>
      </c>
      <c r="K229" s="20">
        <f>COUNTIFS('HSE Observations'!$M$4:$M$5003,"Overdue",'HSE Observations'!$D$4:$D$5003,mCrit,'HSE Observations'!$G$4:$G$5003,dCrit)</f>
        <v>0</v>
      </c>
      <c r="M229" s="11" t="s">
        <v>238</v>
      </c>
      <c r="N229" s="20">
        <f>COUNTIFS('HSE Observations'!$M$4:$M$5003,"Overdue",'HSE Observations'!$D$4:$D$5003,mCrit,'HSE Observations'!$G$4:$G$5003,dCrit)</f>
        <v>0</v>
      </c>
      <c r="P229" s="11" t="s">
        <v>89</v>
      </c>
      <c r="Q229" s="20">
        <f>COUNTIFS('HSE Observations'!$D$4:$D$5003,mCrit,'HSE Observations'!$G$4:$G$5003,"Construction")</f>
        <v>0</v>
      </c>
      <c r="R229" s="21">
        <f>IFERROR((COUNTIFS('HSE Observations'!$M$4:$M$5003,"Closed",'HSE Observations'!$D$4:$D$5003,mCrit,'HSE Observations'!$G$4:$G$5003,"Construction"))/COUNTIFS('HSE Observations'!$D$4:$D$5003,mCrit,'HSE Observations'!$G$4:$G$5003,"Construction")*100,0)</f>
        <v>0</v>
      </c>
      <c r="S229" s="20">
        <f>COUNTIFS('HSE Observations'!$D$4:$D$5003,mCrit,'HSE Observations'!$G$4:$G$5003,"Construction")</f>
        <v>0</v>
      </c>
    </row>
    <row r="230" spans="2:34">
      <c r="B230" s="19" t="s">
        <v>60</v>
      </c>
      <c r="C230" s="20">
        <f>COUNTIFS('HSE Observations'!$D$4:$D$5003,"May",'HSE Observations'!$G$4:$G$5003,dCrit)</f>
        <v>0</v>
      </c>
      <c r="G230" s="11" t="s">
        <v>8</v>
      </c>
      <c r="H230" s="20">
        <f>COUNTIFS('HSE Observations'!$K$4:$K$5003,"Ergonomics",'HSE Observations'!$D$4:$D$5003,mCrit,'HSE Observations'!$G$4:$G$5003,dCrit)</f>
        <v>0</v>
      </c>
      <c r="M230" s="11" t="s">
        <v>1839</v>
      </c>
      <c r="N230" s="20">
        <f>COUNTIFS('HSE Observations'!$L$4:$L$5003,"Critical",'HSE Observations'!$D$4:$D$5003,mCrit,'HSE Observations'!$G$4:$G$5003,dCrit)+COUNTIFS('HSE Observations'!$L$4:$L$5003,"High",'HSE Observations'!$D$4:$D$5003,mCrit,'HSE Observations'!$G$4:$G$5003,dCrit)</f>
        <v>0</v>
      </c>
      <c r="P230" s="11" t="s">
        <v>65</v>
      </c>
      <c r="Q230" s="20">
        <f>COUNTIFS('HSE Observations'!$D$4:$D$5003,mCrit,'HSE Observations'!$G$4:$G$5003,"Safety")</f>
        <v>0</v>
      </c>
      <c r="R230" s="21">
        <f>IFERROR((COUNTIFS('HSE Observations'!$M$4:$M$5003,"Closed",'HSE Observations'!$D$4:$D$5003,mCrit,'HSE Observations'!$G$4:$G$5003,"Safety"))/COUNTIFS('HSE Observations'!$D$4:$D$5003,mCrit,'HSE Observations'!$G$4:$G$5003,"Safety")*100,0)</f>
        <v>0</v>
      </c>
      <c r="S230" s="20">
        <f>COUNTIFS('HSE Observations'!$D$4:$D$5003,mCrit,'HSE Observations'!$G$4:$G$5003,"Safety")</f>
        <v>0</v>
      </c>
    </row>
    <row r="231" spans="2:34">
      <c r="B231" s="19" t="s">
        <v>73</v>
      </c>
      <c r="C231" s="20">
        <f>COUNTIFS('HSE Observations'!$D$4:$D$5003,"Jun",'HSE Observations'!$G$4:$G$5003,dCrit)</f>
        <v>0</v>
      </c>
      <c r="G231" s="11" t="s">
        <v>55</v>
      </c>
      <c r="H231" s="20">
        <f>COUNTIFS('HSE Observations'!$K$4:$K$5003,"Process Safety",'HSE Observations'!$D$4:$D$5003,mCrit,'HSE Observations'!$G$4:$G$5003,dCrit)</f>
        <v>0</v>
      </c>
      <c r="P231" s="11" t="s">
        <v>5</v>
      </c>
      <c r="Q231" s="20">
        <f>COUNTIFS('HSE Observations'!$D$4:$D$5003,mCrit,'HSE Observations'!$G$4:$G$5003,"Logistics")</f>
        <v>0</v>
      </c>
      <c r="R231" s="21">
        <f>IFERROR((COUNTIFS('HSE Observations'!$M$4:$M$5003,"Closed",'HSE Observations'!$D$4:$D$5003,mCrit,'HSE Observations'!$G$4:$G$5003,"Logistics"))/COUNTIFS('HSE Observations'!$D$4:$D$5003,mCrit,'HSE Observations'!$G$4:$G$5003,"Logistics")*100,0)</f>
        <v>0</v>
      </c>
      <c r="S231" s="20">
        <f>COUNTIFS('HSE Observations'!$D$4:$D$5003,mCrit,'HSE Observations'!$G$4:$G$5003,"Logistics")</f>
        <v>0</v>
      </c>
    </row>
    <row r="232" spans="2:34">
      <c r="B232" s="19" t="s">
        <v>76</v>
      </c>
      <c r="C232" s="20">
        <f>COUNTIFS('HSE Observations'!$D$4:$D$5003,"Jul",'HSE Observations'!$G$4:$G$5003,dCrit)</f>
        <v>0</v>
      </c>
      <c r="P232" s="11" t="s">
        <v>50</v>
      </c>
      <c r="Q232" s="20">
        <f>COUNTIFS('HSE Observations'!$D$4:$D$5003,mCrit,'HSE Observations'!$G$4:$G$5003,"Quality")</f>
        <v>0</v>
      </c>
      <c r="R232" s="21">
        <f>IFERROR((COUNTIFS('HSE Observations'!$M$4:$M$5003,"Closed",'HSE Observations'!$D$4:$D$5003,mCrit,'HSE Observations'!$G$4:$G$5003,"Quality"))/COUNTIFS('HSE Observations'!$D$4:$D$5003,mCrit,'HSE Observations'!$G$4:$G$5003,"Quality")*100,0)</f>
        <v>0</v>
      </c>
      <c r="S232" s="20">
        <f>COUNTIFS('HSE Observations'!$D$4:$D$5003,mCrit,'HSE Observations'!$G$4:$G$5003,"Quality")</f>
        <v>0</v>
      </c>
    </row>
    <row r="233" spans="2:34">
      <c r="B233" s="19" t="s">
        <v>86</v>
      </c>
      <c r="C233" s="20">
        <f>COUNTIFS('HSE Observations'!$D$4:$D$5003,"Aug",'HSE Observations'!$G$4:$G$5003,dCrit)</f>
        <v>0</v>
      </c>
      <c r="P233" s="11" t="s">
        <v>46</v>
      </c>
      <c r="Q233" s="20">
        <f>COUNTIFS('HSE Observations'!$D$4:$D$5003,mCrit,'HSE Observations'!$G$4:$G$5003,"Admin")</f>
        <v>0</v>
      </c>
      <c r="R233" s="21">
        <f>IFERROR((COUNTIFS('HSE Observations'!$M$4:$M$5003,"Closed",'HSE Observations'!$D$4:$D$5003,mCrit,'HSE Observations'!$G$4:$G$5003,"Admin"))/COUNTIFS('HSE Observations'!$D$4:$D$5003,mCrit,'HSE Observations'!$G$4:$G$5003,"Admin")*100,0)</f>
        <v>0</v>
      </c>
      <c r="S233" s="20">
        <f>COUNTIFS('HSE Observations'!$D$4:$D$5003,mCrit,'HSE Observations'!$G$4:$G$5003,"Admin")</f>
        <v>0</v>
      </c>
    </row>
    <row r="234" spans="2:34">
      <c r="B234" s="19" t="s">
        <v>102</v>
      </c>
      <c r="C234" s="20">
        <f>COUNTIFS('HSE Observations'!$D$4:$D$5003,"Sep",'HSE Observations'!$G$4:$G$5003,dCrit)</f>
        <v>0</v>
      </c>
      <c r="P234" s="11" t="s">
        <v>13</v>
      </c>
      <c r="Q234" s="20">
        <f>COUNTIFS('HSE Observations'!$D$4:$D$5003,mCrit,'HSE Observations'!$G$4:$G$5003,"Projects")</f>
        <v>0</v>
      </c>
      <c r="R234" s="21">
        <f>IFERROR((COUNTIFS('HSE Observations'!$M$4:$M$5003,"Closed",'HSE Observations'!$D$4:$D$5003,mCrit,'HSE Observations'!$G$4:$G$5003,"Projects"))/COUNTIFS('HSE Observations'!$D$4:$D$5003,mCrit,'HSE Observations'!$G$4:$G$5003,"Projects")*100,0)</f>
        <v>0</v>
      </c>
      <c r="S234" s="20">
        <f>COUNTIFS('HSE Observations'!$D$4:$D$5003,mCrit,'HSE Observations'!$G$4:$G$5003,"Projects")</f>
        <v>0</v>
      </c>
    </row>
    <row r="235" spans="2:34">
      <c r="B235" s="19" t="s">
        <v>106</v>
      </c>
      <c r="C235" s="20">
        <f>COUNTIFS('HSE Observations'!$D$4:$D$5003,"Oct",'HSE Observations'!$G$4:$G$5003,dCrit)</f>
        <v>0</v>
      </c>
      <c r="P235" s="11" t="s">
        <v>58</v>
      </c>
      <c r="Q235" s="20">
        <f>COUNTIFS('HSE Observations'!$D$4:$D$5003,mCrit,'HSE Observations'!$G$4:$G$5003,"Contractor")</f>
        <v>0</v>
      </c>
      <c r="R235" s="21">
        <f>IFERROR((COUNTIFS('HSE Observations'!$M$4:$M$5003,"Closed",'HSE Observations'!$D$4:$D$5003,mCrit,'HSE Observations'!$G$4:$G$5003,"Contractor"))/COUNTIFS('HSE Observations'!$D$4:$D$5003,mCrit,'HSE Observations'!$G$4:$G$5003,"Contractor")*100,0)</f>
        <v>0</v>
      </c>
      <c r="S235" s="20">
        <f>COUNTIFS('HSE Observations'!$D$4:$D$5003,mCrit,'HSE Observations'!$G$4:$G$5003,"Contractor")</f>
        <v>0</v>
      </c>
    </row>
    <row r="236" spans="2:34">
      <c r="B236" s="19" t="s">
        <v>111</v>
      </c>
      <c r="C236" s="20">
        <f>COUNTIFS('HSE Observations'!$D$4:$D$5003,"Nov",'HSE Observations'!$G$4:$G$5003,dCrit)</f>
        <v>0</v>
      </c>
    </row>
    <row r="237" spans="2:34">
      <c r="B237" s="19" t="s">
        <v>122</v>
      </c>
      <c r="C237" s="20">
        <f>COUNTIFS('HSE Observations'!$D$4:$D$5003,"Dec",'HSE Observations'!$G$4:$G$5003,dCrit)</f>
        <v>0</v>
      </c>
    </row>
    <row r="250" spans="2:34">
      <c r="B250" s="17" t="s">
        <v>1840</v>
      </c>
    </row>
    <row r="251" spans="2:34">
      <c r="B251" s="10" t="s">
        <v>127</v>
      </c>
      <c r="C251" s="10" t="s">
        <v>1782</v>
      </c>
      <c r="E251" s="10" t="s">
        <v>412</v>
      </c>
      <c r="F251" s="10" t="s">
        <v>1782</v>
      </c>
      <c r="J251" s="10" t="s">
        <v>287</v>
      </c>
      <c r="K251" s="10" t="s">
        <v>1782</v>
      </c>
      <c r="M251" s="10" t="s">
        <v>1726</v>
      </c>
      <c r="N251" s="10" t="s">
        <v>1817</v>
      </c>
      <c r="P251" s="10" t="s">
        <v>129</v>
      </c>
      <c r="Q251" s="10" t="s">
        <v>1782</v>
      </c>
      <c r="R251" s="10" t="s">
        <v>1832</v>
      </c>
      <c r="S251" s="10" t="s">
        <v>1825</v>
      </c>
      <c r="U251" s="10" t="s">
        <v>1826</v>
      </c>
      <c r="V251" s="10" t="s">
        <v>3</v>
      </c>
      <c r="W251" s="10" t="s">
        <v>19</v>
      </c>
      <c r="X251" s="10" t="s">
        <v>44</v>
      </c>
      <c r="Y251" s="10" t="s">
        <v>53</v>
      </c>
      <c r="Z251" s="10" t="s">
        <v>60</v>
      </c>
      <c r="AA251" s="10" t="s">
        <v>73</v>
      </c>
      <c r="AB251" s="10" t="s">
        <v>76</v>
      </c>
      <c r="AC251" s="10" t="s">
        <v>86</v>
      </c>
      <c r="AD251" s="10" t="s">
        <v>102</v>
      </c>
      <c r="AE251" s="10" t="s">
        <v>106</v>
      </c>
      <c r="AF251" s="10" t="s">
        <v>111</v>
      </c>
      <c r="AG251" s="10" t="s">
        <v>122</v>
      </c>
      <c r="AH251" s="10" t="s">
        <v>1827</v>
      </c>
    </row>
    <row r="252" spans="2:34">
      <c r="B252" s="19" t="s">
        <v>3</v>
      </c>
      <c r="C252" s="20">
        <f>COUNTIFS('Workplace Inspections'!$D$4:$D$5003,"Jan",'Workplace Inspections'!$F$4:$F$5003,dCrit)</f>
        <v>0</v>
      </c>
      <c r="E252" s="11" t="s">
        <v>10</v>
      </c>
      <c r="F252" s="20">
        <f>COUNTIFS('Workplace Inspections'!$L$4:$L$5003,"Excellent",'Workplace Inspections'!$D$4:$D$5003,mCrit,'Workplace Inspections'!$F$4:$F$5003,dCrit)</f>
        <v>0</v>
      </c>
      <c r="J252" s="11" t="s">
        <v>297</v>
      </c>
      <c r="K252" s="20">
        <f>COUNTIFS('Workplace Inspections'!$M$4:$M$5003,"Open",'Workplace Inspections'!$D$4:$D$5003,mCrit,'Workplace Inspections'!$F$4:$F$5003,dCrit)</f>
        <v>0</v>
      </c>
      <c r="M252" s="11" t="s">
        <v>1821</v>
      </c>
      <c r="N252" s="20">
        <f>COUNTIFS('Workplace Inspections'!$D$4:$D$5003,mCrit,'Workplace Inspections'!$F$4:$F$5003,dCrit)</f>
        <v>0</v>
      </c>
      <c r="P252" s="11" t="s">
        <v>27</v>
      </c>
      <c r="Q252" s="20">
        <f>COUNTIFS('Workplace Inspections'!$D$4:$D$5003,mCrit,'Workplace Inspections'!$F$4:$F$5003,"Operations")</f>
        <v>0</v>
      </c>
      <c r="R252" s="21">
        <f>IFERROR((COUNTIFS('Workplace Inspections'!$M$4:$M$5003,"Closed",'Workplace Inspections'!$D$4:$D$5003,mCrit,'Workplace Inspections'!$F$4:$F$5003,"Operations"))/COUNTIFS('Workplace Inspections'!$D$4:$D$5003,mCrit,'Workplace Inspections'!$F$4:$F$5003,"Operations")*100,0)</f>
        <v>0</v>
      </c>
      <c r="S252" s="20">
        <f>COUNTIFS('Workplace Inspections'!$D$4:$D$5003,mCrit,'Workplace Inspections'!$F$4:$F$5003,"Operations")</f>
        <v>0</v>
      </c>
      <c r="U252" s="11" t="s">
        <v>1825</v>
      </c>
      <c r="V252" s="20">
        <f>COUNTIFS('Workplace Inspections'!$D$4:$D$5003,"Jan",'Workplace Inspections'!$F$4:$F$5003,dCrit)</f>
        <v>0</v>
      </c>
      <c r="W252" s="20">
        <f>COUNTIFS('Workplace Inspections'!$D$4:$D$5003,"Feb",'Workplace Inspections'!$F$4:$F$5003,dCrit)</f>
        <v>0</v>
      </c>
      <c r="X252" s="20">
        <f>COUNTIFS('Workplace Inspections'!$D$4:$D$5003,"Mar",'Workplace Inspections'!$F$4:$F$5003,dCrit)</f>
        <v>0</v>
      </c>
      <c r="Y252" s="20">
        <f>COUNTIFS('Workplace Inspections'!$D$4:$D$5003,"Apr",'Workplace Inspections'!$F$4:$F$5003,dCrit)</f>
        <v>0</v>
      </c>
      <c r="Z252" s="20">
        <f>COUNTIFS('Workplace Inspections'!$D$4:$D$5003,"May",'Workplace Inspections'!$F$4:$F$5003,dCrit)</f>
        <v>0</v>
      </c>
      <c r="AA252" s="20">
        <f>COUNTIFS('Workplace Inspections'!$D$4:$D$5003,"Jun",'Workplace Inspections'!$F$4:$F$5003,dCrit)</f>
        <v>0</v>
      </c>
      <c r="AB252" s="20">
        <f>COUNTIFS('Workplace Inspections'!$D$4:$D$5003,"Jul",'Workplace Inspections'!$F$4:$F$5003,dCrit)</f>
        <v>0</v>
      </c>
      <c r="AC252" s="20">
        <f>COUNTIFS('Workplace Inspections'!$D$4:$D$5003,"Aug",'Workplace Inspections'!$F$4:$F$5003,dCrit)</f>
        <v>0</v>
      </c>
      <c r="AD252" s="20">
        <f>COUNTIFS('Workplace Inspections'!$D$4:$D$5003,"Sep",'Workplace Inspections'!$F$4:$F$5003,dCrit)</f>
        <v>0</v>
      </c>
      <c r="AE252" s="20">
        <f>COUNTIFS('Workplace Inspections'!$D$4:$D$5003,"Oct",'Workplace Inspections'!$F$4:$F$5003,dCrit)</f>
        <v>0</v>
      </c>
      <c r="AF252" s="20">
        <f>COUNTIFS('Workplace Inspections'!$D$4:$D$5003,"Nov",'Workplace Inspections'!$F$4:$F$5003,dCrit)</f>
        <v>0</v>
      </c>
      <c r="AG252" s="20">
        <f>COUNTIFS('Workplace Inspections'!$D$4:$D$5003,"Dec",'Workplace Inspections'!$F$4:$F$5003,dCrit)</f>
        <v>0</v>
      </c>
      <c r="AH252" s="20">
        <f>SUM(V252:AG252)</f>
        <v>0</v>
      </c>
    </row>
    <row r="253" spans="2:34">
      <c r="B253" s="19" t="s">
        <v>19</v>
      </c>
      <c r="C253" s="20">
        <f>COUNTIFS('Workplace Inspections'!$D$4:$D$5003,"Feb",'Workplace Inspections'!$F$4:$F$5003,dCrit)</f>
        <v>0</v>
      </c>
      <c r="E253" s="11" t="s">
        <v>42</v>
      </c>
      <c r="F253" s="20">
        <f>COUNTIFS('Workplace Inspections'!$L$4:$L$5003,"Good",'Workplace Inspections'!$D$4:$D$5003,mCrit,'Workplace Inspections'!$F$4:$F$5003,dCrit)</f>
        <v>0</v>
      </c>
      <c r="J253" s="11" t="s">
        <v>254</v>
      </c>
      <c r="K253" s="20">
        <f>COUNTIFS('Workplace Inspections'!$M$4:$M$5003,"In Progress",'Workplace Inspections'!$D$4:$D$5003,mCrit,'Workplace Inspections'!$F$4:$F$5003,dCrit)</f>
        <v>0</v>
      </c>
      <c r="M253" s="11" t="s">
        <v>1829</v>
      </c>
      <c r="N253" s="21">
        <f>IFERROR((COUNTIFS('Workplace Inspections'!$M$4:$M$5003,"Closed",'Workplace Inspections'!$D$4:$D$5003,mCrit,'Workplace Inspections'!$F$4:$F$5003,dCrit))/COUNTIFS('Workplace Inspections'!$D$4:$D$5003,mCrit,'Workplace Inspections'!$F$4:$F$5003,dCrit)*100,0)</f>
        <v>0</v>
      </c>
      <c r="P253" s="11" t="s">
        <v>92</v>
      </c>
      <c r="Q253" s="20">
        <f>COUNTIFS('Workplace Inspections'!$D$4:$D$5003,mCrit,'Workplace Inspections'!$F$4:$F$5003,"Maintenance")</f>
        <v>0</v>
      </c>
      <c r="R253" s="21">
        <f>IFERROR((COUNTIFS('Workplace Inspections'!$M$4:$M$5003,"Closed",'Workplace Inspections'!$D$4:$D$5003,mCrit,'Workplace Inspections'!$F$4:$F$5003,"Maintenance"))/COUNTIFS('Workplace Inspections'!$D$4:$D$5003,mCrit,'Workplace Inspections'!$F$4:$F$5003,"Maintenance")*100,0)</f>
        <v>0</v>
      </c>
      <c r="S253" s="20">
        <f>COUNTIFS('Workplace Inspections'!$D$4:$D$5003,mCrit,'Workplace Inspections'!$F$4:$F$5003,"Maintenance")</f>
        <v>0</v>
      </c>
      <c r="U253" s="11" t="s">
        <v>1833</v>
      </c>
      <c r="V253" s="21">
        <f>IFERROR((COUNTIFS('Workplace Inspections'!$M$4:$M$5003,"Closed",'Workplace Inspections'!$D$4:$D$5003,"Jan",'Workplace Inspections'!$F$4:$F$5003,dCrit))/COUNTIFS('Workplace Inspections'!$D$4:$D$5003,"Jan",'Workplace Inspections'!$F$4:$F$5003,dCrit)*100,0)</f>
        <v>0</v>
      </c>
      <c r="W253" s="21">
        <f>IFERROR((COUNTIFS('Workplace Inspections'!$M$4:$M$5003,"Closed",'Workplace Inspections'!$D$4:$D$5003,"Feb",'Workplace Inspections'!$F$4:$F$5003,dCrit))/COUNTIFS('Workplace Inspections'!$D$4:$D$5003,"Feb",'Workplace Inspections'!$F$4:$F$5003,dCrit)*100,0)</f>
        <v>0</v>
      </c>
      <c r="X253" s="21">
        <f>IFERROR((COUNTIFS('Workplace Inspections'!$M$4:$M$5003,"Closed",'Workplace Inspections'!$D$4:$D$5003,"Mar",'Workplace Inspections'!$F$4:$F$5003,dCrit))/COUNTIFS('Workplace Inspections'!$D$4:$D$5003,"Mar",'Workplace Inspections'!$F$4:$F$5003,dCrit)*100,0)</f>
        <v>0</v>
      </c>
      <c r="Y253" s="21">
        <f>IFERROR((COUNTIFS('Workplace Inspections'!$M$4:$M$5003,"Closed",'Workplace Inspections'!$D$4:$D$5003,"Apr",'Workplace Inspections'!$F$4:$F$5003,dCrit))/COUNTIFS('Workplace Inspections'!$D$4:$D$5003,"Apr",'Workplace Inspections'!$F$4:$F$5003,dCrit)*100,0)</f>
        <v>0</v>
      </c>
      <c r="Z253" s="21">
        <f>IFERROR((COUNTIFS('Workplace Inspections'!$M$4:$M$5003,"Closed",'Workplace Inspections'!$D$4:$D$5003,"May",'Workplace Inspections'!$F$4:$F$5003,dCrit))/COUNTIFS('Workplace Inspections'!$D$4:$D$5003,"May",'Workplace Inspections'!$F$4:$F$5003,dCrit)*100,0)</f>
        <v>0</v>
      </c>
      <c r="AA253" s="21">
        <f>IFERROR((COUNTIFS('Workplace Inspections'!$M$4:$M$5003,"Closed",'Workplace Inspections'!$D$4:$D$5003,"Jun",'Workplace Inspections'!$F$4:$F$5003,dCrit))/COUNTIFS('Workplace Inspections'!$D$4:$D$5003,"Jun",'Workplace Inspections'!$F$4:$F$5003,dCrit)*100,0)</f>
        <v>0</v>
      </c>
      <c r="AB253" s="21">
        <f>IFERROR((COUNTIFS('Workplace Inspections'!$M$4:$M$5003,"Closed",'Workplace Inspections'!$D$4:$D$5003,"Jul",'Workplace Inspections'!$F$4:$F$5003,dCrit))/COUNTIFS('Workplace Inspections'!$D$4:$D$5003,"Jul",'Workplace Inspections'!$F$4:$F$5003,dCrit)*100,0)</f>
        <v>0</v>
      </c>
      <c r="AC253" s="21">
        <f>IFERROR((COUNTIFS('Workplace Inspections'!$M$4:$M$5003,"Closed",'Workplace Inspections'!$D$4:$D$5003,"Aug",'Workplace Inspections'!$F$4:$F$5003,dCrit))/COUNTIFS('Workplace Inspections'!$D$4:$D$5003,"Aug",'Workplace Inspections'!$F$4:$F$5003,dCrit)*100,0)</f>
        <v>0</v>
      </c>
      <c r="AD253" s="21">
        <f>IFERROR((COUNTIFS('Workplace Inspections'!$M$4:$M$5003,"Closed",'Workplace Inspections'!$D$4:$D$5003,"Sep",'Workplace Inspections'!$F$4:$F$5003,dCrit))/COUNTIFS('Workplace Inspections'!$D$4:$D$5003,"Sep",'Workplace Inspections'!$F$4:$F$5003,dCrit)*100,0)</f>
        <v>0</v>
      </c>
      <c r="AE253" s="21">
        <f>IFERROR((COUNTIFS('Workplace Inspections'!$M$4:$M$5003,"Closed",'Workplace Inspections'!$D$4:$D$5003,"Oct",'Workplace Inspections'!$F$4:$F$5003,dCrit))/COUNTIFS('Workplace Inspections'!$D$4:$D$5003,"Oct",'Workplace Inspections'!$F$4:$F$5003,dCrit)*100,0)</f>
        <v>0</v>
      </c>
      <c r="AF253" s="21">
        <f>IFERROR((COUNTIFS('Workplace Inspections'!$M$4:$M$5003,"Closed",'Workplace Inspections'!$D$4:$D$5003,"Nov",'Workplace Inspections'!$F$4:$F$5003,dCrit))/COUNTIFS('Workplace Inspections'!$D$4:$D$5003,"Nov",'Workplace Inspections'!$F$4:$F$5003,dCrit)*100,0)</f>
        <v>0</v>
      </c>
      <c r="AG253" s="21">
        <f>IFERROR((COUNTIFS('Workplace Inspections'!$M$4:$M$5003,"Closed",'Workplace Inspections'!$D$4:$D$5003,"Dec",'Workplace Inspections'!$F$4:$F$5003,dCrit))/COUNTIFS('Workplace Inspections'!$D$4:$D$5003,"Dec",'Workplace Inspections'!$F$4:$F$5003,dCrit)*100,0)</f>
        <v>0</v>
      </c>
      <c r="AH253" s="21">
        <f>IFERROR(AVERAGE(V253:AG253),0)</f>
        <v>0</v>
      </c>
    </row>
    <row r="254" spans="2:34">
      <c r="B254" s="19" t="s">
        <v>44</v>
      </c>
      <c r="C254" s="20">
        <f>COUNTIFS('Workplace Inspections'!$D$4:$D$5003,"Mar",'Workplace Inspections'!$F$4:$F$5003,dCrit)</f>
        <v>0</v>
      </c>
      <c r="E254" s="11" t="s">
        <v>17</v>
      </c>
      <c r="F254" s="20">
        <f>COUNTIFS('Workplace Inspections'!$L$4:$L$5003,"Satisfactory",'Workplace Inspections'!$D$4:$D$5003,mCrit,'Workplace Inspections'!$F$4:$F$5003,dCrit)</f>
        <v>0</v>
      </c>
      <c r="J254" s="11" t="s">
        <v>293</v>
      </c>
      <c r="K254" s="20">
        <f>COUNTIFS('Workplace Inspections'!$M$4:$M$5003,"Closed",'Workplace Inspections'!$D$4:$D$5003,mCrit,'Workplace Inspections'!$F$4:$F$5003,dCrit)</f>
        <v>0</v>
      </c>
      <c r="M254" s="11" t="s">
        <v>1830</v>
      </c>
      <c r="N254" s="20">
        <f>COUNTIFS('Workplace Inspections'!$M$4:$M$5003,"Open",'Workplace Inspections'!$D$4:$D$5003,mCrit,'Workplace Inspections'!$F$4:$F$5003,dCrit)+COUNTIFS('Workplace Inspections'!$M$4:$M$5003,"In Progress",'Workplace Inspections'!$D$4:$D$5003,mCrit,'Workplace Inspections'!$F$4:$F$5003,dCrit)+COUNTIFS('Workplace Inspections'!$M$4:$M$5003,"Overdue",'Workplace Inspections'!$D$4:$D$5003,mCrit,'Workplace Inspections'!$F$4:$F$5003,dCrit)</f>
        <v>0</v>
      </c>
      <c r="P254" s="11" t="s">
        <v>39</v>
      </c>
      <c r="Q254" s="20">
        <f>COUNTIFS('Workplace Inspections'!$D$4:$D$5003,mCrit,'Workplace Inspections'!$F$4:$F$5003,"Engineering")</f>
        <v>0</v>
      </c>
      <c r="R254" s="21">
        <f>IFERROR((COUNTIFS('Workplace Inspections'!$M$4:$M$5003,"Closed",'Workplace Inspections'!$D$4:$D$5003,mCrit,'Workplace Inspections'!$F$4:$F$5003,"Engineering"))/COUNTIFS('Workplace Inspections'!$D$4:$D$5003,mCrit,'Workplace Inspections'!$F$4:$F$5003,"Engineering")*100,0)</f>
        <v>0</v>
      </c>
      <c r="S254" s="20">
        <f>COUNTIFS('Workplace Inspections'!$D$4:$D$5003,mCrit,'Workplace Inspections'!$F$4:$F$5003,"Engineering")</f>
        <v>0</v>
      </c>
    </row>
    <row r="255" spans="2:34">
      <c r="B255" s="19" t="s">
        <v>53</v>
      </c>
      <c r="C255" s="20">
        <f>COUNTIFS('Workplace Inspections'!$D$4:$D$5003,"Apr",'Workplace Inspections'!$F$4:$F$5003,dCrit)</f>
        <v>0</v>
      </c>
      <c r="E255" s="11" t="s">
        <v>96</v>
      </c>
      <c r="F255" s="20">
        <f>COUNTIFS('Workplace Inspections'!$L$4:$L$5003,"Needs Improvement",'Workplace Inspections'!$D$4:$D$5003,mCrit,'Workplace Inspections'!$F$4:$F$5003,dCrit)</f>
        <v>0</v>
      </c>
      <c r="J255" s="11" t="s">
        <v>238</v>
      </c>
      <c r="K255" s="20">
        <f>COUNTIFS('Workplace Inspections'!$M$4:$M$5003,"Overdue",'Workplace Inspections'!$D$4:$D$5003,mCrit,'Workplace Inspections'!$F$4:$F$5003,dCrit)</f>
        <v>0</v>
      </c>
      <c r="M255" s="11" t="s">
        <v>238</v>
      </c>
      <c r="N255" s="20">
        <f>COUNTIFS('Workplace Inspections'!$M$4:$M$5003,"Overdue",'Workplace Inspections'!$D$4:$D$5003,mCrit,'Workplace Inspections'!$F$4:$F$5003,dCrit)</f>
        <v>0</v>
      </c>
      <c r="P255" s="11" t="s">
        <v>89</v>
      </c>
      <c r="Q255" s="20">
        <f>COUNTIFS('Workplace Inspections'!$D$4:$D$5003,mCrit,'Workplace Inspections'!$F$4:$F$5003,"Construction")</f>
        <v>0</v>
      </c>
      <c r="R255" s="21">
        <f>IFERROR((COUNTIFS('Workplace Inspections'!$M$4:$M$5003,"Closed",'Workplace Inspections'!$D$4:$D$5003,mCrit,'Workplace Inspections'!$F$4:$F$5003,"Construction"))/COUNTIFS('Workplace Inspections'!$D$4:$D$5003,mCrit,'Workplace Inspections'!$F$4:$F$5003,"Construction")*100,0)</f>
        <v>0</v>
      </c>
      <c r="S255" s="20">
        <f>COUNTIFS('Workplace Inspections'!$D$4:$D$5003,mCrit,'Workplace Inspections'!$F$4:$F$5003,"Construction")</f>
        <v>0</v>
      </c>
    </row>
    <row r="256" spans="2:34">
      <c r="B256" s="19" t="s">
        <v>60</v>
      </c>
      <c r="C256" s="20">
        <f>COUNTIFS('Workplace Inspections'!$D$4:$D$5003,"May",'Workplace Inspections'!$F$4:$F$5003,dCrit)</f>
        <v>0</v>
      </c>
      <c r="E256" s="11" t="s">
        <v>24</v>
      </c>
      <c r="F256" s="20">
        <f>COUNTIFS('Workplace Inspections'!$L$4:$L$5003,"Unsatisfactory",'Workplace Inspections'!$D$4:$D$5003,mCrit,'Workplace Inspections'!$F$4:$F$5003,dCrit)</f>
        <v>0</v>
      </c>
      <c r="M256" s="11" t="s">
        <v>410</v>
      </c>
      <c r="N256" s="20">
        <f>SUMIFS('Workplace Inspections'!$J$4:$J$5003,'Workplace Inspections'!$D$4:$D$5003,mCrit,'Workplace Inspections'!$F$4:$F$5003,dCrit)</f>
        <v>0</v>
      </c>
      <c r="P256" s="11" t="s">
        <v>65</v>
      </c>
      <c r="Q256" s="20">
        <f>COUNTIFS('Workplace Inspections'!$D$4:$D$5003,mCrit,'Workplace Inspections'!$F$4:$F$5003,"Safety")</f>
        <v>0</v>
      </c>
      <c r="R256" s="21">
        <f>IFERROR((COUNTIFS('Workplace Inspections'!$M$4:$M$5003,"Closed",'Workplace Inspections'!$D$4:$D$5003,mCrit,'Workplace Inspections'!$F$4:$F$5003,"Safety"))/COUNTIFS('Workplace Inspections'!$D$4:$D$5003,mCrit,'Workplace Inspections'!$F$4:$F$5003,"Safety")*100,0)</f>
        <v>0</v>
      </c>
      <c r="S256" s="20">
        <f>COUNTIFS('Workplace Inspections'!$D$4:$D$5003,mCrit,'Workplace Inspections'!$F$4:$F$5003,"Safety")</f>
        <v>0</v>
      </c>
    </row>
    <row r="257" spans="2:19">
      <c r="B257" s="19" t="s">
        <v>73</v>
      </c>
      <c r="C257" s="20">
        <f>COUNTIFS('Workplace Inspections'!$D$4:$D$5003,"Jun",'Workplace Inspections'!$F$4:$F$5003,dCrit)</f>
        <v>0</v>
      </c>
      <c r="M257" s="11" t="s">
        <v>411</v>
      </c>
      <c r="N257" s="20">
        <f>SUMIFS('Workplace Inspections'!$K$4:$K$5003,'Workplace Inspections'!$D$4:$D$5003,mCrit,'Workplace Inspections'!$F$4:$F$5003,dCrit)</f>
        <v>0</v>
      </c>
      <c r="P257" s="11" t="s">
        <v>5</v>
      </c>
      <c r="Q257" s="20">
        <f>COUNTIFS('Workplace Inspections'!$D$4:$D$5003,mCrit,'Workplace Inspections'!$F$4:$F$5003,"Logistics")</f>
        <v>0</v>
      </c>
      <c r="R257" s="21">
        <f>IFERROR((COUNTIFS('Workplace Inspections'!$M$4:$M$5003,"Closed",'Workplace Inspections'!$D$4:$D$5003,mCrit,'Workplace Inspections'!$F$4:$F$5003,"Logistics"))/COUNTIFS('Workplace Inspections'!$D$4:$D$5003,mCrit,'Workplace Inspections'!$F$4:$F$5003,"Logistics")*100,0)</f>
        <v>0</v>
      </c>
      <c r="S257" s="20">
        <f>COUNTIFS('Workplace Inspections'!$D$4:$D$5003,mCrit,'Workplace Inspections'!$F$4:$F$5003,"Logistics")</f>
        <v>0</v>
      </c>
    </row>
    <row r="258" spans="2:19">
      <c r="B258" s="19" t="s">
        <v>76</v>
      </c>
      <c r="C258" s="20">
        <f>COUNTIFS('Workplace Inspections'!$D$4:$D$5003,"Jul",'Workplace Inspections'!$F$4:$F$5003,dCrit)</f>
        <v>0</v>
      </c>
      <c r="M258" s="11" t="s">
        <v>1841</v>
      </c>
      <c r="N258" s="20">
        <f>IFERROR(AVERAGEIFS('Workplace Inspections'!$I$4:$I$5003,'Workplace Inspections'!$D$4:$D$5003,mCrit,'Workplace Inspections'!$F$4:$F$5003,dCrit),0)</f>
        <v>0</v>
      </c>
      <c r="P258" s="11" t="s">
        <v>50</v>
      </c>
      <c r="Q258" s="20">
        <f>COUNTIFS('Workplace Inspections'!$D$4:$D$5003,mCrit,'Workplace Inspections'!$F$4:$F$5003,"Quality")</f>
        <v>0</v>
      </c>
      <c r="R258" s="21">
        <f>IFERROR((COUNTIFS('Workplace Inspections'!$M$4:$M$5003,"Closed",'Workplace Inspections'!$D$4:$D$5003,mCrit,'Workplace Inspections'!$F$4:$F$5003,"Quality"))/COUNTIFS('Workplace Inspections'!$D$4:$D$5003,mCrit,'Workplace Inspections'!$F$4:$F$5003,"Quality")*100,0)</f>
        <v>0</v>
      </c>
      <c r="S258" s="20">
        <f>COUNTIFS('Workplace Inspections'!$D$4:$D$5003,mCrit,'Workplace Inspections'!$F$4:$F$5003,"Quality")</f>
        <v>0</v>
      </c>
    </row>
    <row r="259" spans="2:19">
      <c r="B259" s="19" t="s">
        <v>86</v>
      </c>
      <c r="C259" s="20">
        <f>COUNTIFS('Workplace Inspections'!$D$4:$D$5003,"Aug",'Workplace Inspections'!$F$4:$F$5003,dCrit)</f>
        <v>0</v>
      </c>
      <c r="P259" s="11" t="s">
        <v>46</v>
      </c>
      <c r="Q259" s="20">
        <f>COUNTIFS('Workplace Inspections'!$D$4:$D$5003,mCrit,'Workplace Inspections'!$F$4:$F$5003,"Admin")</f>
        <v>0</v>
      </c>
      <c r="R259" s="21">
        <f>IFERROR((COUNTIFS('Workplace Inspections'!$M$4:$M$5003,"Closed",'Workplace Inspections'!$D$4:$D$5003,mCrit,'Workplace Inspections'!$F$4:$F$5003,"Admin"))/COUNTIFS('Workplace Inspections'!$D$4:$D$5003,mCrit,'Workplace Inspections'!$F$4:$F$5003,"Admin")*100,0)</f>
        <v>0</v>
      </c>
      <c r="S259" s="20">
        <f>COUNTIFS('Workplace Inspections'!$D$4:$D$5003,mCrit,'Workplace Inspections'!$F$4:$F$5003,"Admin")</f>
        <v>0</v>
      </c>
    </row>
    <row r="260" spans="2:19">
      <c r="B260" s="19" t="s">
        <v>102</v>
      </c>
      <c r="C260" s="20">
        <f>COUNTIFS('Workplace Inspections'!$D$4:$D$5003,"Sep",'Workplace Inspections'!$F$4:$F$5003,dCrit)</f>
        <v>0</v>
      </c>
      <c r="P260" s="11" t="s">
        <v>13</v>
      </c>
      <c r="Q260" s="20">
        <f>COUNTIFS('Workplace Inspections'!$D$4:$D$5003,mCrit,'Workplace Inspections'!$F$4:$F$5003,"Projects")</f>
        <v>0</v>
      </c>
      <c r="R260" s="21">
        <f>IFERROR((COUNTIFS('Workplace Inspections'!$M$4:$M$5003,"Closed",'Workplace Inspections'!$D$4:$D$5003,mCrit,'Workplace Inspections'!$F$4:$F$5003,"Projects"))/COUNTIFS('Workplace Inspections'!$D$4:$D$5003,mCrit,'Workplace Inspections'!$F$4:$F$5003,"Projects")*100,0)</f>
        <v>0</v>
      </c>
      <c r="S260" s="20">
        <f>COUNTIFS('Workplace Inspections'!$D$4:$D$5003,mCrit,'Workplace Inspections'!$F$4:$F$5003,"Projects")</f>
        <v>0</v>
      </c>
    </row>
    <row r="261" spans="2:19">
      <c r="B261" s="19" t="s">
        <v>106</v>
      </c>
      <c r="C261" s="20">
        <f>COUNTIFS('Workplace Inspections'!$D$4:$D$5003,"Oct",'Workplace Inspections'!$F$4:$F$5003,dCrit)</f>
        <v>0</v>
      </c>
      <c r="P261" s="11" t="s">
        <v>58</v>
      </c>
      <c r="Q261" s="20">
        <f>COUNTIFS('Workplace Inspections'!$D$4:$D$5003,mCrit,'Workplace Inspections'!$F$4:$F$5003,"Contractor")</f>
        <v>0</v>
      </c>
      <c r="R261" s="21">
        <f>IFERROR((COUNTIFS('Workplace Inspections'!$M$4:$M$5003,"Closed",'Workplace Inspections'!$D$4:$D$5003,mCrit,'Workplace Inspections'!$F$4:$F$5003,"Contractor"))/COUNTIFS('Workplace Inspections'!$D$4:$D$5003,mCrit,'Workplace Inspections'!$F$4:$F$5003,"Contractor")*100,0)</f>
        <v>0</v>
      </c>
      <c r="S261" s="20">
        <f>COUNTIFS('Workplace Inspections'!$D$4:$D$5003,mCrit,'Workplace Inspections'!$F$4:$F$5003,"Contractor")</f>
        <v>0</v>
      </c>
    </row>
    <row r="262" spans="2:19">
      <c r="B262" s="19" t="s">
        <v>111</v>
      </c>
      <c r="C262" s="20">
        <f>COUNTIFS('Workplace Inspections'!$D$4:$D$5003,"Nov",'Workplace Inspections'!$F$4:$F$5003,dCrit)</f>
        <v>0</v>
      </c>
    </row>
    <row r="263" spans="2:19">
      <c r="B263" s="19" t="s">
        <v>122</v>
      </c>
      <c r="C263" s="20">
        <f>COUNTIFS('Workplace Inspections'!$D$4:$D$5003,"Dec",'Workplace Inspections'!$F$4:$F$5003,dCrit)</f>
        <v>0</v>
      </c>
    </row>
    <row r="276" spans="2:34">
      <c r="B276" s="17" t="s">
        <v>1842</v>
      </c>
    </row>
    <row r="277" spans="2:34">
      <c r="B277" s="10" t="s">
        <v>127</v>
      </c>
      <c r="C277" s="10" t="s">
        <v>1782</v>
      </c>
      <c r="E277" s="10" t="s">
        <v>412</v>
      </c>
      <c r="F277" s="10" t="s">
        <v>1782</v>
      </c>
      <c r="J277" s="10" t="s">
        <v>287</v>
      </c>
      <c r="K277" s="10" t="s">
        <v>1782</v>
      </c>
      <c r="M277" s="10" t="s">
        <v>1726</v>
      </c>
      <c r="N277" s="10" t="s">
        <v>1817</v>
      </c>
      <c r="P277" s="10" t="s">
        <v>129</v>
      </c>
      <c r="Q277" s="10" t="s">
        <v>1782</v>
      </c>
      <c r="R277" s="10" t="s">
        <v>1832</v>
      </c>
      <c r="S277" s="10" t="s">
        <v>1825</v>
      </c>
      <c r="U277" s="10" t="s">
        <v>1826</v>
      </c>
      <c r="V277" s="10" t="s">
        <v>3</v>
      </c>
      <c r="W277" s="10" t="s">
        <v>19</v>
      </c>
      <c r="X277" s="10" t="s">
        <v>44</v>
      </c>
      <c r="Y277" s="10" t="s">
        <v>53</v>
      </c>
      <c r="Z277" s="10" t="s">
        <v>60</v>
      </c>
      <c r="AA277" s="10" t="s">
        <v>73</v>
      </c>
      <c r="AB277" s="10" t="s">
        <v>76</v>
      </c>
      <c r="AC277" s="10" t="s">
        <v>86</v>
      </c>
      <c r="AD277" s="10" t="s">
        <v>102</v>
      </c>
      <c r="AE277" s="10" t="s">
        <v>106</v>
      </c>
      <c r="AF277" s="10" t="s">
        <v>111</v>
      </c>
      <c r="AG277" s="10" t="s">
        <v>122</v>
      </c>
      <c r="AH277" s="10" t="s">
        <v>1827</v>
      </c>
    </row>
    <row r="278" spans="2:34">
      <c r="B278" s="19" t="s">
        <v>3</v>
      </c>
      <c r="C278" s="20">
        <f>COUNTIFS('Equipment Inspections'!$D$4:$D$5003,"Jan",'Equipment Inspections'!$F$4:$F$5003,dCrit)</f>
        <v>0</v>
      </c>
      <c r="E278" s="11" t="s">
        <v>10</v>
      </c>
      <c r="F278" s="20">
        <f>COUNTIFS('Equipment Inspections'!$L$4:$L$5003,"Excellent",'Equipment Inspections'!$D$4:$D$5003,mCrit,'Equipment Inspections'!$F$4:$F$5003,dCrit)</f>
        <v>0</v>
      </c>
      <c r="J278" s="11" t="s">
        <v>293</v>
      </c>
      <c r="K278" s="20">
        <f>COUNTIFS('Equipment Inspections'!$M$4:$M$5003,"Closed",'Equipment Inspections'!$D$4:$D$5003,mCrit,'Equipment Inspections'!$F$4:$F$5003,dCrit)</f>
        <v>0</v>
      </c>
      <c r="M278" s="11" t="s">
        <v>1821</v>
      </c>
      <c r="N278" s="20">
        <f>COUNTIFS('Equipment Inspections'!$D$4:$D$5003,mCrit,'Equipment Inspections'!$F$4:$F$5003,dCrit)</f>
        <v>0</v>
      </c>
      <c r="P278" s="11" t="s">
        <v>27</v>
      </c>
      <c r="Q278" s="20">
        <f>COUNTIFS('Equipment Inspections'!$D$4:$D$5003,mCrit,'Equipment Inspections'!$F$4:$F$5003,"Operations")</f>
        <v>0</v>
      </c>
      <c r="R278" s="21">
        <f>IFERROR((COUNTIFS('Equipment Inspections'!$M$4:$M$5003,"Closed",'Equipment Inspections'!$D$4:$D$5003,mCrit,'Equipment Inspections'!$F$4:$F$5003,"Operations"))/COUNTIFS('Equipment Inspections'!$D$4:$D$5003,mCrit,'Equipment Inspections'!$F$4:$F$5003,"Operations")*100,0)</f>
        <v>0</v>
      </c>
      <c r="S278" s="20">
        <f>COUNTIFS('Equipment Inspections'!$D$4:$D$5003,mCrit,'Equipment Inspections'!$F$4:$F$5003,"Operations")</f>
        <v>0</v>
      </c>
      <c r="U278" s="11" t="s">
        <v>1825</v>
      </c>
      <c r="V278" s="20">
        <f>COUNTIFS('Equipment Inspections'!$D$4:$D$5003,"Jan",'Equipment Inspections'!$F$4:$F$5003,dCrit)</f>
        <v>0</v>
      </c>
      <c r="W278" s="20">
        <f>COUNTIFS('Equipment Inspections'!$D$4:$D$5003,"Feb",'Equipment Inspections'!$F$4:$F$5003,dCrit)</f>
        <v>0</v>
      </c>
      <c r="X278" s="20">
        <f>COUNTIFS('Equipment Inspections'!$D$4:$D$5003,"Mar",'Equipment Inspections'!$F$4:$F$5003,dCrit)</f>
        <v>0</v>
      </c>
      <c r="Y278" s="20">
        <f>COUNTIFS('Equipment Inspections'!$D$4:$D$5003,"Apr",'Equipment Inspections'!$F$4:$F$5003,dCrit)</f>
        <v>0</v>
      </c>
      <c r="Z278" s="20">
        <f>COUNTIFS('Equipment Inspections'!$D$4:$D$5003,"May",'Equipment Inspections'!$F$4:$F$5003,dCrit)</f>
        <v>0</v>
      </c>
      <c r="AA278" s="20">
        <f>COUNTIFS('Equipment Inspections'!$D$4:$D$5003,"Jun",'Equipment Inspections'!$F$4:$F$5003,dCrit)</f>
        <v>0</v>
      </c>
      <c r="AB278" s="20">
        <f>COUNTIFS('Equipment Inspections'!$D$4:$D$5003,"Jul",'Equipment Inspections'!$F$4:$F$5003,dCrit)</f>
        <v>0</v>
      </c>
      <c r="AC278" s="20">
        <f>COUNTIFS('Equipment Inspections'!$D$4:$D$5003,"Aug",'Equipment Inspections'!$F$4:$F$5003,dCrit)</f>
        <v>0</v>
      </c>
      <c r="AD278" s="20">
        <f>COUNTIFS('Equipment Inspections'!$D$4:$D$5003,"Sep",'Equipment Inspections'!$F$4:$F$5003,dCrit)</f>
        <v>0</v>
      </c>
      <c r="AE278" s="20">
        <f>COUNTIFS('Equipment Inspections'!$D$4:$D$5003,"Oct",'Equipment Inspections'!$F$4:$F$5003,dCrit)</f>
        <v>0</v>
      </c>
      <c r="AF278" s="20">
        <f>COUNTIFS('Equipment Inspections'!$D$4:$D$5003,"Nov",'Equipment Inspections'!$F$4:$F$5003,dCrit)</f>
        <v>0</v>
      </c>
      <c r="AG278" s="20">
        <f>COUNTIFS('Equipment Inspections'!$D$4:$D$5003,"Dec",'Equipment Inspections'!$F$4:$F$5003,dCrit)</f>
        <v>0</v>
      </c>
      <c r="AH278" s="20">
        <f>SUM(V278:AG278)</f>
        <v>0</v>
      </c>
    </row>
    <row r="279" spans="2:34">
      <c r="B279" s="19" t="s">
        <v>19</v>
      </c>
      <c r="C279" s="20">
        <f>COUNTIFS('Equipment Inspections'!$D$4:$D$5003,"Feb",'Equipment Inspections'!$F$4:$F$5003,dCrit)</f>
        <v>0</v>
      </c>
      <c r="E279" s="11" t="s">
        <v>42</v>
      </c>
      <c r="F279" s="20">
        <f>COUNTIFS('Equipment Inspections'!$L$4:$L$5003,"Good",'Equipment Inspections'!$D$4:$D$5003,mCrit,'Equipment Inspections'!$F$4:$F$5003,dCrit)</f>
        <v>0</v>
      </c>
      <c r="J279" s="11" t="s">
        <v>238</v>
      </c>
      <c r="K279" s="20">
        <f>COUNTIFS('Equipment Inspections'!$M$4:$M$5003,"Overdue",'Equipment Inspections'!$D$4:$D$5003,mCrit,'Equipment Inspections'!$F$4:$F$5003,dCrit)</f>
        <v>0</v>
      </c>
      <c r="M279" s="11" t="s">
        <v>1829</v>
      </c>
      <c r="N279" s="21">
        <f>IFERROR((COUNTIFS('Equipment Inspections'!$M$4:$M$5003,"Closed",'Equipment Inspections'!$D$4:$D$5003,mCrit,'Equipment Inspections'!$F$4:$F$5003,dCrit))/COUNTIFS('Equipment Inspections'!$D$4:$D$5003,mCrit,'Equipment Inspections'!$F$4:$F$5003,dCrit)*100,0)</f>
        <v>0</v>
      </c>
      <c r="P279" s="11" t="s">
        <v>92</v>
      </c>
      <c r="Q279" s="20">
        <f>COUNTIFS('Equipment Inspections'!$D$4:$D$5003,mCrit,'Equipment Inspections'!$F$4:$F$5003,"Maintenance")</f>
        <v>0</v>
      </c>
      <c r="R279" s="21">
        <f>IFERROR((COUNTIFS('Equipment Inspections'!$M$4:$M$5003,"Closed",'Equipment Inspections'!$D$4:$D$5003,mCrit,'Equipment Inspections'!$F$4:$F$5003,"Maintenance"))/COUNTIFS('Equipment Inspections'!$D$4:$D$5003,mCrit,'Equipment Inspections'!$F$4:$F$5003,"Maintenance")*100,0)</f>
        <v>0</v>
      </c>
      <c r="S279" s="20">
        <f>COUNTIFS('Equipment Inspections'!$D$4:$D$5003,mCrit,'Equipment Inspections'!$F$4:$F$5003,"Maintenance")</f>
        <v>0</v>
      </c>
      <c r="U279" s="11" t="s">
        <v>1833</v>
      </c>
      <c r="V279" s="21">
        <f>IFERROR((COUNTIFS('Equipment Inspections'!$M$4:$M$5003,"Closed",'Equipment Inspections'!$D$4:$D$5003,"Jan",'Equipment Inspections'!$F$4:$F$5003,dCrit))/COUNTIFS('Equipment Inspections'!$D$4:$D$5003,"Jan",'Equipment Inspections'!$F$4:$F$5003,dCrit)*100,0)</f>
        <v>0</v>
      </c>
      <c r="W279" s="21">
        <f>IFERROR((COUNTIFS('Equipment Inspections'!$M$4:$M$5003,"Closed",'Equipment Inspections'!$D$4:$D$5003,"Feb",'Equipment Inspections'!$F$4:$F$5003,dCrit))/COUNTIFS('Equipment Inspections'!$D$4:$D$5003,"Feb",'Equipment Inspections'!$F$4:$F$5003,dCrit)*100,0)</f>
        <v>0</v>
      </c>
      <c r="X279" s="21">
        <f>IFERROR((COUNTIFS('Equipment Inspections'!$M$4:$M$5003,"Closed",'Equipment Inspections'!$D$4:$D$5003,"Mar",'Equipment Inspections'!$F$4:$F$5003,dCrit))/COUNTIFS('Equipment Inspections'!$D$4:$D$5003,"Mar",'Equipment Inspections'!$F$4:$F$5003,dCrit)*100,0)</f>
        <v>0</v>
      </c>
      <c r="Y279" s="21">
        <f>IFERROR((COUNTIFS('Equipment Inspections'!$M$4:$M$5003,"Closed",'Equipment Inspections'!$D$4:$D$5003,"Apr",'Equipment Inspections'!$F$4:$F$5003,dCrit))/COUNTIFS('Equipment Inspections'!$D$4:$D$5003,"Apr",'Equipment Inspections'!$F$4:$F$5003,dCrit)*100,0)</f>
        <v>0</v>
      </c>
      <c r="Z279" s="21">
        <f>IFERROR((COUNTIFS('Equipment Inspections'!$M$4:$M$5003,"Closed",'Equipment Inspections'!$D$4:$D$5003,"May",'Equipment Inspections'!$F$4:$F$5003,dCrit))/COUNTIFS('Equipment Inspections'!$D$4:$D$5003,"May",'Equipment Inspections'!$F$4:$F$5003,dCrit)*100,0)</f>
        <v>0</v>
      </c>
      <c r="AA279" s="21">
        <f>IFERROR((COUNTIFS('Equipment Inspections'!$M$4:$M$5003,"Closed",'Equipment Inspections'!$D$4:$D$5003,"Jun",'Equipment Inspections'!$F$4:$F$5003,dCrit))/COUNTIFS('Equipment Inspections'!$D$4:$D$5003,"Jun",'Equipment Inspections'!$F$4:$F$5003,dCrit)*100,0)</f>
        <v>0</v>
      </c>
      <c r="AB279" s="21">
        <f>IFERROR((COUNTIFS('Equipment Inspections'!$M$4:$M$5003,"Closed",'Equipment Inspections'!$D$4:$D$5003,"Jul",'Equipment Inspections'!$F$4:$F$5003,dCrit))/COUNTIFS('Equipment Inspections'!$D$4:$D$5003,"Jul",'Equipment Inspections'!$F$4:$F$5003,dCrit)*100,0)</f>
        <v>0</v>
      </c>
      <c r="AC279" s="21">
        <f>IFERROR((COUNTIFS('Equipment Inspections'!$M$4:$M$5003,"Closed",'Equipment Inspections'!$D$4:$D$5003,"Aug",'Equipment Inspections'!$F$4:$F$5003,dCrit))/COUNTIFS('Equipment Inspections'!$D$4:$D$5003,"Aug",'Equipment Inspections'!$F$4:$F$5003,dCrit)*100,0)</f>
        <v>0</v>
      </c>
      <c r="AD279" s="21">
        <f>IFERROR((COUNTIFS('Equipment Inspections'!$M$4:$M$5003,"Closed",'Equipment Inspections'!$D$4:$D$5003,"Sep",'Equipment Inspections'!$F$4:$F$5003,dCrit))/COUNTIFS('Equipment Inspections'!$D$4:$D$5003,"Sep",'Equipment Inspections'!$F$4:$F$5003,dCrit)*100,0)</f>
        <v>0</v>
      </c>
      <c r="AE279" s="21">
        <f>IFERROR((COUNTIFS('Equipment Inspections'!$M$4:$M$5003,"Closed",'Equipment Inspections'!$D$4:$D$5003,"Oct",'Equipment Inspections'!$F$4:$F$5003,dCrit))/COUNTIFS('Equipment Inspections'!$D$4:$D$5003,"Oct",'Equipment Inspections'!$F$4:$F$5003,dCrit)*100,0)</f>
        <v>0</v>
      </c>
      <c r="AF279" s="21">
        <f>IFERROR((COUNTIFS('Equipment Inspections'!$M$4:$M$5003,"Closed",'Equipment Inspections'!$D$4:$D$5003,"Nov",'Equipment Inspections'!$F$4:$F$5003,dCrit))/COUNTIFS('Equipment Inspections'!$D$4:$D$5003,"Nov",'Equipment Inspections'!$F$4:$F$5003,dCrit)*100,0)</f>
        <v>0</v>
      </c>
      <c r="AG279" s="21">
        <f>IFERROR((COUNTIFS('Equipment Inspections'!$M$4:$M$5003,"Closed",'Equipment Inspections'!$D$4:$D$5003,"Dec",'Equipment Inspections'!$F$4:$F$5003,dCrit))/COUNTIFS('Equipment Inspections'!$D$4:$D$5003,"Dec",'Equipment Inspections'!$F$4:$F$5003,dCrit)*100,0)</f>
        <v>0</v>
      </c>
      <c r="AH279" s="21">
        <f>IFERROR(AVERAGE(V279:AG279),0)</f>
        <v>0</v>
      </c>
    </row>
    <row r="280" spans="2:34">
      <c r="B280" s="19" t="s">
        <v>44</v>
      </c>
      <c r="C280" s="20">
        <f>COUNTIFS('Equipment Inspections'!$D$4:$D$5003,"Mar",'Equipment Inspections'!$F$4:$F$5003,dCrit)</f>
        <v>0</v>
      </c>
      <c r="E280" s="11" t="s">
        <v>17</v>
      </c>
      <c r="F280" s="20">
        <f>COUNTIFS('Equipment Inspections'!$L$4:$L$5003,"Satisfactory",'Equipment Inspections'!$D$4:$D$5003,mCrit,'Equipment Inspections'!$F$4:$F$5003,dCrit)</f>
        <v>0</v>
      </c>
      <c r="J280" s="11" t="s">
        <v>254</v>
      </c>
      <c r="K280" s="20">
        <f>COUNTIFS('Equipment Inspections'!$M$4:$M$5003,"In Progress",'Equipment Inspections'!$D$4:$D$5003,mCrit,'Equipment Inspections'!$F$4:$F$5003,dCrit)</f>
        <v>0</v>
      </c>
      <c r="M280" s="11" t="s">
        <v>1830</v>
      </c>
      <c r="N280" s="20">
        <f>COUNTIFS('Equipment Inspections'!$M$4:$M$5003,"Open",'Equipment Inspections'!$D$4:$D$5003,mCrit,'Equipment Inspections'!$F$4:$F$5003,dCrit)+COUNTIFS('Equipment Inspections'!$M$4:$M$5003,"In Progress",'Equipment Inspections'!$D$4:$D$5003,mCrit,'Equipment Inspections'!$F$4:$F$5003,dCrit)+COUNTIFS('Equipment Inspections'!$M$4:$M$5003,"Overdue",'Equipment Inspections'!$D$4:$D$5003,mCrit,'Equipment Inspections'!$F$4:$F$5003,dCrit)</f>
        <v>0</v>
      </c>
      <c r="P280" s="11" t="s">
        <v>39</v>
      </c>
      <c r="Q280" s="20">
        <f>COUNTIFS('Equipment Inspections'!$D$4:$D$5003,mCrit,'Equipment Inspections'!$F$4:$F$5003,"Engineering")</f>
        <v>0</v>
      </c>
      <c r="R280" s="21">
        <f>IFERROR((COUNTIFS('Equipment Inspections'!$M$4:$M$5003,"Closed",'Equipment Inspections'!$D$4:$D$5003,mCrit,'Equipment Inspections'!$F$4:$F$5003,"Engineering"))/COUNTIFS('Equipment Inspections'!$D$4:$D$5003,mCrit,'Equipment Inspections'!$F$4:$F$5003,"Engineering")*100,0)</f>
        <v>0</v>
      </c>
      <c r="S280" s="20">
        <f>COUNTIFS('Equipment Inspections'!$D$4:$D$5003,mCrit,'Equipment Inspections'!$F$4:$F$5003,"Engineering")</f>
        <v>0</v>
      </c>
    </row>
    <row r="281" spans="2:34">
      <c r="B281" s="19" t="s">
        <v>53</v>
      </c>
      <c r="C281" s="20">
        <f>COUNTIFS('Equipment Inspections'!$D$4:$D$5003,"Apr",'Equipment Inspections'!$F$4:$F$5003,dCrit)</f>
        <v>0</v>
      </c>
      <c r="E281" s="11" t="s">
        <v>96</v>
      </c>
      <c r="F281" s="20">
        <f>COUNTIFS('Equipment Inspections'!$L$4:$L$5003,"Needs Improvement",'Equipment Inspections'!$D$4:$D$5003,mCrit,'Equipment Inspections'!$F$4:$F$5003,dCrit)</f>
        <v>0</v>
      </c>
      <c r="J281" s="11" t="s">
        <v>297</v>
      </c>
      <c r="K281" s="20">
        <f>COUNTIFS('Equipment Inspections'!$M$4:$M$5003,"Open",'Equipment Inspections'!$D$4:$D$5003,mCrit,'Equipment Inspections'!$F$4:$F$5003,dCrit)</f>
        <v>0</v>
      </c>
      <c r="M281" s="11" t="s">
        <v>238</v>
      </c>
      <c r="N281" s="20">
        <f>COUNTIFS('Equipment Inspections'!$M$4:$M$5003,"Overdue",'Equipment Inspections'!$D$4:$D$5003,mCrit,'Equipment Inspections'!$F$4:$F$5003,dCrit)</f>
        <v>0</v>
      </c>
      <c r="P281" s="11" t="s">
        <v>89</v>
      </c>
      <c r="Q281" s="20">
        <f>COUNTIFS('Equipment Inspections'!$D$4:$D$5003,mCrit,'Equipment Inspections'!$F$4:$F$5003,"Construction")</f>
        <v>0</v>
      </c>
      <c r="R281" s="21">
        <f>IFERROR((COUNTIFS('Equipment Inspections'!$M$4:$M$5003,"Closed",'Equipment Inspections'!$D$4:$D$5003,mCrit,'Equipment Inspections'!$F$4:$F$5003,"Construction"))/COUNTIFS('Equipment Inspections'!$D$4:$D$5003,mCrit,'Equipment Inspections'!$F$4:$F$5003,"Construction")*100,0)</f>
        <v>0</v>
      </c>
      <c r="S281" s="20">
        <f>COUNTIFS('Equipment Inspections'!$D$4:$D$5003,mCrit,'Equipment Inspections'!$F$4:$F$5003,"Construction")</f>
        <v>0</v>
      </c>
    </row>
    <row r="282" spans="2:34">
      <c r="B282" s="19" t="s">
        <v>60</v>
      </c>
      <c r="C282" s="20">
        <f>COUNTIFS('Equipment Inspections'!$D$4:$D$5003,"May",'Equipment Inspections'!$F$4:$F$5003,dCrit)</f>
        <v>0</v>
      </c>
      <c r="E282" s="11" t="s">
        <v>24</v>
      </c>
      <c r="F282" s="20">
        <f>COUNTIFS('Equipment Inspections'!$L$4:$L$5003,"Unsatisfactory",'Equipment Inspections'!$D$4:$D$5003,mCrit,'Equipment Inspections'!$F$4:$F$5003,dCrit)</f>
        <v>0</v>
      </c>
      <c r="M282" s="11" t="s">
        <v>410</v>
      </c>
      <c r="N282" s="20">
        <f>SUMIFS('Equipment Inspections'!$J$4:$J$5003,'Equipment Inspections'!$D$4:$D$5003,mCrit,'Equipment Inspections'!$F$4:$F$5003,dCrit)</f>
        <v>0</v>
      </c>
      <c r="P282" s="11" t="s">
        <v>65</v>
      </c>
      <c r="Q282" s="20">
        <f>COUNTIFS('Equipment Inspections'!$D$4:$D$5003,mCrit,'Equipment Inspections'!$F$4:$F$5003,"Safety")</f>
        <v>0</v>
      </c>
      <c r="R282" s="21">
        <f>IFERROR((COUNTIFS('Equipment Inspections'!$M$4:$M$5003,"Closed",'Equipment Inspections'!$D$4:$D$5003,mCrit,'Equipment Inspections'!$F$4:$F$5003,"Safety"))/COUNTIFS('Equipment Inspections'!$D$4:$D$5003,mCrit,'Equipment Inspections'!$F$4:$F$5003,"Safety")*100,0)</f>
        <v>0</v>
      </c>
      <c r="S282" s="20">
        <f>COUNTIFS('Equipment Inspections'!$D$4:$D$5003,mCrit,'Equipment Inspections'!$F$4:$F$5003,"Safety")</f>
        <v>0</v>
      </c>
    </row>
    <row r="283" spans="2:34">
      <c r="B283" s="19" t="s">
        <v>73</v>
      </c>
      <c r="C283" s="20">
        <f>COUNTIFS('Equipment Inspections'!$D$4:$D$5003,"Jun",'Equipment Inspections'!$F$4:$F$5003,dCrit)</f>
        <v>0</v>
      </c>
      <c r="M283" s="11" t="s">
        <v>411</v>
      </c>
      <c r="N283" s="20">
        <f>SUMIFS('Equipment Inspections'!$K$4:$K$5003,'Equipment Inspections'!$D$4:$D$5003,mCrit,'Equipment Inspections'!$F$4:$F$5003,dCrit)</f>
        <v>0</v>
      </c>
      <c r="P283" s="11" t="s">
        <v>5</v>
      </c>
      <c r="Q283" s="20">
        <f>COUNTIFS('Equipment Inspections'!$D$4:$D$5003,mCrit,'Equipment Inspections'!$F$4:$F$5003,"Logistics")</f>
        <v>0</v>
      </c>
      <c r="R283" s="21">
        <f>IFERROR((COUNTIFS('Equipment Inspections'!$M$4:$M$5003,"Closed",'Equipment Inspections'!$D$4:$D$5003,mCrit,'Equipment Inspections'!$F$4:$F$5003,"Logistics"))/COUNTIFS('Equipment Inspections'!$D$4:$D$5003,mCrit,'Equipment Inspections'!$F$4:$F$5003,"Logistics")*100,0)</f>
        <v>0</v>
      </c>
      <c r="S283" s="20">
        <f>COUNTIFS('Equipment Inspections'!$D$4:$D$5003,mCrit,'Equipment Inspections'!$F$4:$F$5003,"Logistics")</f>
        <v>0</v>
      </c>
    </row>
    <row r="284" spans="2:34">
      <c r="B284" s="19" t="s">
        <v>76</v>
      </c>
      <c r="C284" s="20">
        <f>COUNTIFS('Equipment Inspections'!$D$4:$D$5003,"Jul",'Equipment Inspections'!$F$4:$F$5003,dCrit)</f>
        <v>0</v>
      </c>
      <c r="M284" s="11" t="s">
        <v>1841</v>
      </c>
      <c r="N284" s="20">
        <f>IFERROR(AVERAGEIFS('Equipment Inspections'!$I$4:$I$5003,'Equipment Inspections'!$D$4:$D$5003,mCrit,'Equipment Inspections'!$F$4:$F$5003,dCrit),0)</f>
        <v>0</v>
      </c>
      <c r="P284" s="11" t="s">
        <v>50</v>
      </c>
      <c r="Q284" s="20">
        <f>COUNTIFS('Equipment Inspections'!$D$4:$D$5003,mCrit,'Equipment Inspections'!$F$4:$F$5003,"Quality")</f>
        <v>0</v>
      </c>
      <c r="R284" s="21">
        <f>IFERROR((COUNTIFS('Equipment Inspections'!$M$4:$M$5003,"Closed",'Equipment Inspections'!$D$4:$D$5003,mCrit,'Equipment Inspections'!$F$4:$F$5003,"Quality"))/COUNTIFS('Equipment Inspections'!$D$4:$D$5003,mCrit,'Equipment Inspections'!$F$4:$F$5003,"Quality")*100,0)</f>
        <v>0</v>
      </c>
      <c r="S284" s="20">
        <f>COUNTIFS('Equipment Inspections'!$D$4:$D$5003,mCrit,'Equipment Inspections'!$F$4:$F$5003,"Quality")</f>
        <v>0</v>
      </c>
    </row>
    <row r="285" spans="2:34">
      <c r="B285" s="19" t="s">
        <v>86</v>
      </c>
      <c r="C285" s="20">
        <f>COUNTIFS('Equipment Inspections'!$D$4:$D$5003,"Aug",'Equipment Inspections'!$F$4:$F$5003,dCrit)</f>
        <v>0</v>
      </c>
      <c r="P285" s="11" t="s">
        <v>46</v>
      </c>
      <c r="Q285" s="20">
        <f>COUNTIFS('Equipment Inspections'!$D$4:$D$5003,mCrit,'Equipment Inspections'!$F$4:$F$5003,"Admin")</f>
        <v>0</v>
      </c>
      <c r="R285" s="21">
        <f>IFERROR((COUNTIFS('Equipment Inspections'!$M$4:$M$5003,"Closed",'Equipment Inspections'!$D$4:$D$5003,mCrit,'Equipment Inspections'!$F$4:$F$5003,"Admin"))/COUNTIFS('Equipment Inspections'!$D$4:$D$5003,mCrit,'Equipment Inspections'!$F$4:$F$5003,"Admin")*100,0)</f>
        <v>0</v>
      </c>
      <c r="S285" s="20">
        <f>COUNTIFS('Equipment Inspections'!$D$4:$D$5003,mCrit,'Equipment Inspections'!$F$4:$F$5003,"Admin")</f>
        <v>0</v>
      </c>
    </row>
    <row r="286" spans="2:34">
      <c r="B286" s="19" t="s">
        <v>102</v>
      </c>
      <c r="C286" s="20">
        <f>COUNTIFS('Equipment Inspections'!$D$4:$D$5003,"Sep",'Equipment Inspections'!$F$4:$F$5003,dCrit)</f>
        <v>0</v>
      </c>
      <c r="P286" s="11" t="s">
        <v>13</v>
      </c>
      <c r="Q286" s="20">
        <f>COUNTIFS('Equipment Inspections'!$D$4:$D$5003,mCrit,'Equipment Inspections'!$F$4:$F$5003,"Projects")</f>
        <v>0</v>
      </c>
      <c r="R286" s="21">
        <f>IFERROR((COUNTIFS('Equipment Inspections'!$M$4:$M$5003,"Closed",'Equipment Inspections'!$D$4:$D$5003,mCrit,'Equipment Inspections'!$F$4:$F$5003,"Projects"))/COUNTIFS('Equipment Inspections'!$D$4:$D$5003,mCrit,'Equipment Inspections'!$F$4:$F$5003,"Projects")*100,0)</f>
        <v>0</v>
      </c>
      <c r="S286" s="20">
        <f>COUNTIFS('Equipment Inspections'!$D$4:$D$5003,mCrit,'Equipment Inspections'!$F$4:$F$5003,"Projects")</f>
        <v>0</v>
      </c>
    </row>
    <row r="287" spans="2:34">
      <c r="B287" s="19" t="s">
        <v>106</v>
      </c>
      <c r="C287" s="20">
        <f>COUNTIFS('Equipment Inspections'!$D$4:$D$5003,"Oct",'Equipment Inspections'!$F$4:$F$5003,dCrit)</f>
        <v>0</v>
      </c>
      <c r="P287" s="11" t="s">
        <v>58</v>
      </c>
      <c r="Q287" s="20">
        <f>COUNTIFS('Equipment Inspections'!$D$4:$D$5003,mCrit,'Equipment Inspections'!$F$4:$F$5003,"Contractor")</f>
        <v>0</v>
      </c>
      <c r="R287" s="21">
        <f>IFERROR((COUNTIFS('Equipment Inspections'!$M$4:$M$5003,"Closed",'Equipment Inspections'!$D$4:$D$5003,mCrit,'Equipment Inspections'!$F$4:$F$5003,"Contractor"))/COUNTIFS('Equipment Inspections'!$D$4:$D$5003,mCrit,'Equipment Inspections'!$F$4:$F$5003,"Contractor")*100,0)</f>
        <v>0</v>
      </c>
      <c r="S287" s="20">
        <f>COUNTIFS('Equipment Inspections'!$D$4:$D$5003,mCrit,'Equipment Inspections'!$F$4:$F$5003,"Contractor")</f>
        <v>0</v>
      </c>
    </row>
    <row r="288" spans="2:34">
      <c r="B288" s="19" t="s">
        <v>111</v>
      </c>
      <c r="C288" s="20">
        <f>COUNTIFS('Equipment Inspections'!$D$4:$D$5003,"Nov",'Equipment Inspections'!$F$4:$F$5003,dCrit)</f>
        <v>0</v>
      </c>
    </row>
    <row r="289" spans="2:34">
      <c r="B289" s="19" t="s">
        <v>122</v>
      </c>
      <c r="C289" s="20">
        <f>COUNTIFS('Equipment Inspections'!$D$4:$D$5003,"Dec",'Equipment Inspections'!$F$4:$F$5003,dCrit)</f>
        <v>0</v>
      </c>
    </row>
    <row r="302" spans="2:34">
      <c r="B302" s="17" t="s">
        <v>1843</v>
      </c>
    </row>
    <row r="303" spans="2:34">
      <c r="B303" s="10" t="s">
        <v>127</v>
      </c>
      <c r="C303" s="10" t="s">
        <v>1782</v>
      </c>
      <c r="E303" s="10" t="s">
        <v>412</v>
      </c>
      <c r="F303" s="10" t="s">
        <v>1782</v>
      </c>
      <c r="J303" s="10" t="s">
        <v>287</v>
      </c>
      <c r="K303" s="10" t="s">
        <v>1782</v>
      </c>
      <c r="M303" s="10" t="s">
        <v>1726</v>
      </c>
      <c r="N303" s="10" t="s">
        <v>1817</v>
      </c>
      <c r="P303" s="10" t="s">
        <v>129</v>
      </c>
      <c r="Q303" s="10" t="s">
        <v>1782</v>
      </c>
      <c r="R303" s="10" t="s">
        <v>1832</v>
      </c>
      <c r="S303" s="10" t="s">
        <v>1825</v>
      </c>
      <c r="U303" s="10" t="s">
        <v>1826</v>
      </c>
      <c r="V303" s="10" t="s">
        <v>3</v>
      </c>
      <c r="W303" s="10" t="s">
        <v>19</v>
      </c>
      <c r="X303" s="10" t="s">
        <v>44</v>
      </c>
      <c r="Y303" s="10" t="s">
        <v>53</v>
      </c>
      <c r="Z303" s="10" t="s">
        <v>60</v>
      </c>
      <c r="AA303" s="10" t="s">
        <v>73</v>
      </c>
      <c r="AB303" s="10" t="s">
        <v>76</v>
      </c>
      <c r="AC303" s="10" t="s">
        <v>86</v>
      </c>
      <c r="AD303" s="10" t="s">
        <v>102</v>
      </c>
      <c r="AE303" s="10" t="s">
        <v>106</v>
      </c>
      <c r="AF303" s="10" t="s">
        <v>111</v>
      </c>
      <c r="AG303" s="10" t="s">
        <v>122</v>
      </c>
      <c r="AH303" s="10" t="s">
        <v>1827</v>
      </c>
    </row>
    <row r="304" spans="2:34">
      <c r="B304" s="19" t="s">
        <v>3</v>
      </c>
      <c r="C304" s="20">
        <f>COUNTIFS('Safety Walkthroughs'!$D$4:$D$5003,"Jan",'Safety Walkthroughs'!$F$4:$F$5003,dCrit)</f>
        <v>0</v>
      </c>
      <c r="E304" s="11" t="s">
        <v>10</v>
      </c>
      <c r="F304" s="20">
        <f>COUNTIFS('Safety Walkthroughs'!$L$4:$L$5003,"Excellent",'Safety Walkthroughs'!$D$4:$D$5003,mCrit,'Safety Walkthroughs'!$F$4:$F$5003,dCrit)</f>
        <v>0</v>
      </c>
      <c r="J304" s="11" t="s">
        <v>297</v>
      </c>
      <c r="K304" s="20">
        <f>COUNTIFS('Safety Walkthroughs'!$M$4:$M$5003,"Open",'Safety Walkthroughs'!$D$4:$D$5003,mCrit,'Safety Walkthroughs'!$F$4:$F$5003,dCrit)</f>
        <v>0</v>
      </c>
      <c r="M304" s="11" t="s">
        <v>1821</v>
      </c>
      <c r="N304" s="20">
        <f>COUNTIFS('Safety Walkthroughs'!$D$4:$D$5003,mCrit,'Safety Walkthroughs'!$F$4:$F$5003,dCrit)</f>
        <v>0</v>
      </c>
      <c r="P304" s="11" t="s">
        <v>27</v>
      </c>
      <c r="Q304" s="20">
        <f>COUNTIFS('Safety Walkthroughs'!$D$4:$D$5003,mCrit,'Safety Walkthroughs'!$F$4:$F$5003,"Operations")</f>
        <v>0</v>
      </c>
      <c r="R304" s="21">
        <f>IFERROR((COUNTIFS('Safety Walkthroughs'!$M$4:$M$5003,"Closed",'Safety Walkthroughs'!$D$4:$D$5003,mCrit,'Safety Walkthroughs'!$F$4:$F$5003,"Operations"))/COUNTIFS('Safety Walkthroughs'!$D$4:$D$5003,mCrit,'Safety Walkthroughs'!$F$4:$F$5003,"Operations")*100,0)</f>
        <v>0</v>
      </c>
      <c r="S304" s="20">
        <f>COUNTIFS('Safety Walkthroughs'!$D$4:$D$5003,mCrit,'Safety Walkthroughs'!$F$4:$F$5003,"Operations")</f>
        <v>0</v>
      </c>
      <c r="U304" s="11" t="s">
        <v>1825</v>
      </c>
      <c r="V304" s="20">
        <f>COUNTIFS('Safety Walkthroughs'!$D$4:$D$5003,"Jan",'Safety Walkthroughs'!$F$4:$F$5003,dCrit)</f>
        <v>0</v>
      </c>
      <c r="W304" s="20">
        <f>COUNTIFS('Safety Walkthroughs'!$D$4:$D$5003,"Feb",'Safety Walkthroughs'!$F$4:$F$5003,dCrit)</f>
        <v>0</v>
      </c>
      <c r="X304" s="20">
        <f>COUNTIFS('Safety Walkthroughs'!$D$4:$D$5003,"Mar",'Safety Walkthroughs'!$F$4:$F$5003,dCrit)</f>
        <v>0</v>
      </c>
      <c r="Y304" s="20">
        <f>COUNTIFS('Safety Walkthroughs'!$D$4:$D$5003,"Apr",'Safety Walkthroughs'!$F$4:$F$5003,dCrit)</f>
        <v>0</v>
      </c>
      <c r="Z304" s="20">
        <f>COUNTIFS('Safety Walkthroughs'!$D$4:$D$5003,"May",'Safety Walkthroughs'!$F$4:$F$5003,dCrit)</f>
        <v>0</v>
      </c>
      <c r="AA304" s="20">
        <f>COUNTIFS('Safety Walkthroughs'!$D$4:$D$5003,"Jun",'Safety Walkthroughs'!$F$4:$F$5003,dCrit)</f>
        <v>0</v>
      </c>
      <c r="AB304" s="20">
        <f>COUNTIFS('Safety Walkthroughs'!$D$4:$D$5003,"Jul",'Safety Walkthroughs'!$F$4:$F$5003,dCrit)</f>
        <v>0</v>
      </c>
      <c r="AC304" s="20">
        <f>COUNTIFS('Safety Walkthroughs'!$D$4:$D$5003,"Aug",'Safety Walkthroughs'!$F$4:$F$5003,dCrit)</f>
        <v>0</v>
      </c>
      <c r="AD304" s="20">
        <f>COUNTIFS('Safety Walkthroughs'!$D$4:$D$5003,"Sep",'Safety Walkthroughs'!$F$4:$F$5003,dCrit)</f>
        <v>0</v>
      </c>
      <c r="AE304" s="20">
        <f>COUNTIFS('Safety Walkthroughs'!$D$4:$D$5003,"Oct",'Safety Walkthroughs'!$F$4:$F$5003,dCrit)</f>
        <v>0</v>
      </c>
      <c r="AF304" s="20">
        <f>COUNTIFS('Safety Walkthroughs'!$D$4:$D$5003,"Nov",'Safety Walkthroughs'!$F$4:$F$5003,dCrit)</f>
        <v>0</v>
      </c>
      <c r="AG304" s="20">
        <f>COUNTIFS('Safety Walkthroughs'!$D$4:$D$5003,"Dec",'Safety Walkthroughs'!$F$4:$F$5003,dCrit)</f>
        <v>0</v>
      </c>
      <c r="AH304" s="20">
        <f>SUM(V304:AG304)</f>
        <v>0</v>
      </c>
    </row>
    <row r="305" spans="2:34">
      <c r="B305" s="19" t="s">
        <v>19</v>
      </c>
      <c r="C305" s="20">
        <f>COUNTIFS('Safety Walkthroughs'!$D$4:$D$5003,"Feb",'Safety Walkthroughs'!$F$4:$F$5003,dCrit)</f>
        <v>0</v>
      </c>
      <c r="E305" s="11" t="s">
        <v>42</v>
      </c>
      <c r="F305" s="20">
        <f>COUNTIFS('Safety Walkthroughs'!$L$4:$L$5003,"Good",'Safety Walkthroughs'!$D$4:$D$5003,mCrit,'Safety Walkthroughs'!$F$4:$F$5003,dCrit)</f>
        <v>0</v>
      </c>
      <c r="J305" s="11" t="s">
        <v>254</v>
      </c>
      <c r="K305" s="20">
        <f>COUNTIFS('Safety Walkthroughs'!$M$4:$M$5003,"In Progress",'Safety Walkthroughs'!$D$4:$D$5003,mCrit,'Safety Walkthroughs'!$F$4:$F$5003,dCrit)</f>
        <v>0</v>
      </c>
      <c r="M305" s="11" t="s">
        <v>1829</v>
      </c>
      <c r="N305" s="21">
        <f>IFERROR((COUNTIFS('Safety Walkthroughs'!$M$4:$M$5003,"Closed",'Safety Walkthroughs'!$D$4:$D$5003,mCrit,'Safety Walkthroughs'!$F$4:$F$5003,dCrit))/COUNTIFS('Safety Walkthroughs'!$D$4:$D$5003,mCrit,'Safety Walkthroughs'!$F$4:$F$5003,dCrit)*100,0)</f>
        <v>0</v>
      </c>
      <c r="P305" s="11" t="s">
        <v>92</v>
      </c>
      <c r="Q305" s="20">
        <f>COUNTIFS('Safety Walkthroughs'!$D$4:$D$5003,mCrit,'Safety Walkthroughs'!$F$4:$F$5003,"Maintenance")</f>
        <v>0</v>
      </c>
      <c r="R305" s="21">
        <f>IFERROR((COUNTIFS('Safety Walkthroughs'!$M$4:$M$5003,"Closed",'Safety Walkthroughs'!$D$4:$D$5003,mCrit,'Safety Walkthroughs'!$F$4:$F$5003,"Maintenance"))/COUNTIFS('Safety Walkthroughs'!$D$4:$D$5003,mCrit,'Safety Walkthroughs'!$F$4:$F$5003,"Maintenance")*100,0)</f>
        <v>0</v>
      </c>
      <c r="S305" s="20">
        <f>COUNTIFS('Safety Walkthroughs'!$D$4:$D$5003,mCrit,'Safety Walkthroughs'!$F$4:$F$5003,"Maintenance")</f>
        <v>0</v>
      </c>
      <c r="U305" s="11" t="s">
        <v>1833</v>
      </c>
      <c r="V305" s="21">
        <f>IFERROR((COUNTIFS('Safety Walkthroughs'!$M$4:$M$5003,"Closed",'Safety Walkthroughs'!$D$4:$D$5003,"Jan",'Safety Walkthroughs'!$F$4:$F$5003,dCrit))/COUNTIFS('Safety Walkthroughs'!$D$4:$D$5003,"Jan",'Safety Walkthroughs'!$F$4:$F$5003,dCrit)*100,0)</f>
        <v>0</v>
      </c>
      <c r="W305" s="21">
        <f>IFERROR((COUNTIFS('Safety Walkthroughs'!$M$4:$M$5003,"Closed",'Safety Walkthroughs'!$D$4:$D$5003,"Feb",'Safety Walkthroughs'!$F$4:$F$5003,dCrit))/COUNTIFS('Safety Walkthroughs'!$D$4:$D$5003,"Feb",'Safety Walkthroughs'!$F$4:$F$5003,dCrit)*100,0)</f>
        <v>0</v>
      </c>
      <c r="X305" s="21">
        <f>IFERROR((COUNTIFS('Safety Walkthroughs'!$M$4:$M$5003,"Closed",'Safety Walkthroughs'!$D$4:$D$5003,"Mar",'Safety Walkthroughs'!$F$4:$F$5003,dCrit))/COUNTIFS('Safety Walkthroughs'!$D$4:$D$5003,"Mar",'Safety Walkthroughs'!$F$4:$F$5003,dCrit)*100,0)</f>
        <v>0</v>
      </c>
      <c r="Y305" s="21">
        <f>IFERROR((COUNTIFS('Safety Walkthroughs'!$M$4:$M$5003,"Closed",'Safety Walkthroughs'!$D$4:$D$5003,"Apr",'Safety Walkthroughs'!$F$4:$F$5003,dCrit))/COUNTIFS('Safety Walkthroughs'!$D$4:$D$5003,"Apr",'Safety Walkthroughs'!$F$4:$F$5003,dCrit)*100,0)</f>
        <v>0</v>
      </c>
      <c r="Z305" s="21">
        <f>IFERROR((COUNTIFS('Safety Walkthroughs'!$M$4:$M$5003,"Closed",'Safety Walkthroughs'!$D$4:$D$5003,"May",'Safety Walkthroughs'!$F$4:$F$5003,dCrit))/COUNTIFS('Safety Walkthroughs'!$D$4:$D$5003,"May",'Safety Walkthroughs'!$F$4:$F$5003,dCrit)*100,0)</f>
        <v>0</v>
      </c>
      <c r="AA305" s="21">
        <f>IFERROR((COUNTIFS('Safety Walkthroughs'!$M$4:$M$5003,"Closed",'Safety Walkthroughs'!$D$4:$D$5003,"Jun",'Safety Walkthroughs'!$F$4:$F$5003,dCrit))/COUNTIFS('Safety Walkthroughs'!$D$4:$D$5003,"Jun",'Safety Walkthroughs'!$F$4:$F$5003,dCrit)*100,0)</f>
        <v>0</v>
      </c>
      <c r="AB305" s="21">
        <f>IFERROR((COUNTIFS('Safety Walkthroughs'!$M$4:$M$5003,"Closed",'Safety Walkthroughs'!$D$4:$D$5003,"Jul",'Safety Walkthroughs'!$F$4:$F$5003,dCrit))/COUNTIFS('Safety Walkthroughs'!$D$4:$D$5003,"Jul",'Safety Walkthroughs'!$F$4:$F$5003,dCrit)*100,0)</f>
        <v>0</v>
      </c>
      <c r="AC305" s="21">
        <f>IFERROR((COUNTIFS('Safety Walkthroughs'!$M$4:$M$5003,"Closed",'Safety Walkthroughs'!$D$4:$D$5003,"Aug",'Safety Walkthroughs'!$F$4:$F$5003,dCrit))/COUNTIFS('Safety Walkthroughs'!$D$4:$D$5003,"Aug",'Safety Walkthroughs'!$F$4:$F$5003,dCrit)*100,0)</f>
        <v>0</v>
      </c>
      <c r="AD305" s="21">
        <f>IFERROR((COUNTIFS('Safety Walkthroughs'!$M$4:$M$5003,"Closed",'Safety Walkthroughs'!$D$4:$D$5003,"Sep",'Safety Walkthroughs'!$F$4:$F$5003,dCrit))/COUNTIFS('Safety Walkthroughs'!$D$4:$D$5003,"Sep",'Safety Walkthroughs'!$F$4:$F$5003,dCrit)*100,0)</f>
        <v>0</v>
      </c>
      <c r="AE305" s="21">
        <f>IFERROR((COUNTIFS('Safety Walkthroughs'!$M$4:$M$5003,"Closed",'Safety Walkthroughs'!$D$4:$D$5003,"Oct",'Safety Walkthroughs'!$F$4:$F$5003,dCrit))/COUNTIFS('Safety Walkthroughs'!$D$4:$D$5003,"Oct",'Safety Walkthroughs'!$F$4:$F$5003,dCrit)*100,0)</f>
        <v>0</v>
      </c>
      <c r="AF305" s="21">
        <f>IFERROR((COUNTIFS('Safety Walkthroughs'!$M$4:$M$5003,"Closed",'Safety Walkthroughs'!$D$4:$D$5003,"Nov",'Safety Walkthroughs'!$F$4:$F$5003,dCrit))/COUNTIFS('Safety Walkthroughs'!$D$4:$D$5003,"Nov",'Safety Walkthroughs'!$F$4:$F$5003,dCrit)*100,0)</f>
        <v>0</v>
      </c>
      <c r="AG305" s="21">
        <f>IFERROR((COUNTIFS('Safety Walkthroughs'!$M$4:$M$5003,"Closed",'Safety Walkthroughs'!$D$4:$D$5003,"Dec",'Safety Walkthroughs'!$F$4:$F$5003,dCrit))/COUNTIFS('Safety Walkthroughs'!$D$4:$D$5003,"Dec",'Safety Walkthroughs'!$F$4:$F$5003,dCrit)*100,0)</f>
        <v>0</v>
      </c>
      <c r="AH305" s="21">
        <f>IFERROR(AVERAGE(V305:AG305),0)</f>
        <v>0</v>
      </c>
    </row>
    <row r="306" spans="2:34">
      <c r="B306" s="19" t="s">
        <v>44</v>
      </c>
      <c r="C306" s="20">
        <f>COUNTIFS('Safety Walkthroughs'!$D$4:$D$5003,"Mar",'Safety Walkthroughs'!$F$4:$F$5003,dCrit)</f>
        <v>0</v>
      </c>
      <c r="E306" s="11" t="s">
        <v>17</v>
      </c>
      <c r="F306" s="20">
        <f>COUNTIFS('Safety Walkthroughs'!$L$4:$L$5003,"Satisfactory",'Safety Walkthroughs'!$D$4:$D$5003,mCrit,'Safety Walkthroughs'!$F$4:$F$5003,dCrit)</f>
        <v>0</v>
      </c>
      <c r="J306" s="11" t="s">
        <v>293</v>
      </c>
      <c r="K306" s="20">
        <f>COUNTIFS('Safety Walkthroughs'!$M$4:$M$5003,"Closed",'Safety Walkthroughs'!$D$4:$D$5003,mCrit,'Safety Walkthroughs'!$F$4:$F$5003,dCrit)</f>
        <v>0</v>
      </c>
      <c r="M306" s="11" t="s">
        <v>1830</v>
      </c>
      <c r="N306" s="20">
        <f>COUNTIFS('Safety Walkthroughs'!$M$4:$M$5003,"Open",'Safety Walkthroughs'!$D$4:$D$5003,mCrit,'Safety Walkthroughs'!$F$4:$F$5003,dCrit)+COUNTIFS('Safety Walkthroughs'!$M$4:$M$5003,"In Progress",'Safety Walkthroughs'!$D$4:$D$5003,mCrit,'Safety Walkthroughs'!$F$4:$F$5003,dCrit)+COUNTIFS('Safety Walkthroughs'!$M$4:$M$5003,"Overdue",'Safety Walkthroughs'!$D$4:$D$5003,mCrit,'Safety Walkthroughs'!$F$4:$F$5003,dCrit)</f>
        <v>0</v>
      </c>
      <c r="P306" s="11" t="s">
        <v>39</v>
      </c>
      <c r="Q306" s="20">
        <f>COUNTIFS('Safety Walkthroughs'!$D$4:$D$5003,mCrit,'Safety Walkthroughs'!$F$4:$F$5003,"Engineering")</f>
        <v>0</v>
      </c>
      <c r="R306" s="21">
        <f>IFERROR((COUNTIFS('Safety Walkthroughs'!$M$4:$M$5003,"Closed",'Safety Walkthroughs'!$D$4:$D$5003,mCrit,'Safety Walkthroughs'!$F$4:$F$5003,"Engineering"))/COUNTIFS('Safety Walkthroughs'!$D$4:$D$5003,mCrit,'Safety Walkthroughs'!$F$4:$F$5003,"Engineering")*100,0)</f>
        <v>0</v>
      </c>
      <c r="S306" s="20">
        <f>COUNTIFS('Safety Walkthroughs'!$D$4:$D$5003,mCrit,'Safety Walkthroughs'!$F$4:$F$5003,"Engineering")</f>
        <v>0</v>
      </c>
    </row>
    <row r="307" spans="2:34">
      <c r="B307" s="19" t="s">
        <v>53</v>
      </c>
      <c r="C307" s="20">
        <f>COUNTIFS('Safety Walkthroughs'!$D$4:$D$5003,"Apr",'Safety Walkthroughs'!$F$4:$F$5003,dCrit)</f>
        <v>0</v>
      </c>
      <c r="E307" s="11" t="s">
        <v>96</v>
      </c>
      <c r="F307" s="20">
        <f>COUNTIFS('Safety Walkthroughs'!$L$4:$L$5003,"Needs Improvement",'Safety Walkthroughs'!$D$4:$D$5003,mCrit,'Safety Walkthroughs'!$F$4:$F$5003,dCrit)</f>
        <v>0</v>
      </c>
      <c r="J307" s="11" t="s">
        <v>238</v>
      </c>
      <c r="K307" s="20">
        <f>COUNTIFS('Safety Walkthroughs'!$M$4:$M$5003,"Overdue",'Safety Walkthroughs'!$D$4:$D$5003,mCrit,'Safety Walkthroughs'!$F$4:$F$5003,dCrit)</f>
        <v>0</v>
      </c>
      <c r="M307" s="11" t="s">
        <v>238</v>
      </c>
      <c r="N307" s="20">
        <f>COUNTIFS('Safety Walkthroughs'!$M$4:$M$5003,"Overdue",'Safety Walkthroughs'!$D$4:$D$5003,mCrit,'Safety Walkthroughs'!$F$4:$F$5003,dCrit)</f>
        <v>0</v>
      </c>
      <c r="P307" s="11" t="s">
        <v>89</v>
      </c>
      <c r="Q307" s="20">
        <f>COUNTIFS('Safety Walkthroughs'!$D$4:$D$5003,mCrit,'Safety Walkthroughs'!$F$4:$F$5003,"Construction")</f>
        <v>0</v>
      </c>
      <c r="R307" s="21">
        <f>IFERROR((COUNTIFS('Safety Walkthroughs'!$M$4:$M$5003,"Closed",'Safety Walkthroughs'!$D$4:$D$5003,mCrit,'Safety Walkthroughs'!$F$4:$F$5003,"Construction"))/COUNTIFS('Safety Walkthroughs'!$D$4:$D$5003,mCrit,'Safety Walkthroughs'!$F$4:$F$5003,"Construction")*100,0)</f>
        <v>0</v>
      </c>
      <c r="S307" s="20">
        <f>COUNTIFS('Safety Walkthroughs'!$D$4:$D$5003,mCrit,'Safety Walkthroughs'!$F$4:$F$5003,"Construction")</f>
        <v>0</v>
      </c>
    </row>
    <row r="308" spans="2:34">
      <c r="B308" s="19" t="s">
        <v>60</v>
      </c>
      <c r="C308" s="20">
        <f>COUNTIFS('Safety Walkthroughs'!$D$4:$D$5003,"May",'Safety Walkthroughs'!$F$4:$F$5003,dCrit)</f>
        <v>0</v>
      </c>
      <c r="E308" s="11" t="s">
        <v>24</v>
      </c>
      <c r="F308" s="20">
        <f>COUNTIFS('Safety Walkthroughs'!$L$4:$L$5003,"Unsatisfactory",'Safety Walkthroughs'!$D$4:$D$5003,mCrit,'Safety Walkthroughs'!$F$4:$F$5003,dCrit)</f>
        <v>0</v>
      </c>
      <c r="M308" s="11" t="s">
        <v>410</v>
      </c>
      <c r="N308" s="20">
        <f>SUMIFS('Safety Walkthroughs'!$J$4:$J$5003,'Safety Walkthroughs'!$D$4:$D$5003,mCrit,'Safety Walkthroughs'!$F$4:$F$5003,dCrit)</f>
        <v>0</v>
      </c>
      <c r="P308" s="11" t="s">
        <v>65</v>
      </c>
      <c r="Q308" s="20">
        <f>COUNTIFS('Safety Walkthroughs'!$D$4:$D$5003,mCrit,'Safety Walkthroughs'!$F$4:$F$5003,"Safety")</f>
        <v>0</v>
      </c>
      <c r="R308" s="21">
        <f>IFERROR((COUNTIFS('Safety Walkthroughs'!$M$4:$M$5003,"Closed",'Safety Walkthroughs'!$D$4:$D$5003,mCrit,'Safety Walkthroughs'!$F$4:$F$5003,"Safety"))/COUNTIFS('Safety Walkthroughs'!$D$4:$D$5003,mCrit,'Safety Walkthroughs'!$F$4:$F$5003,"Safety")*100,0)</f>
        <v>0</v>
      </c>
      <c r="S308" s="20">
        <f>COUNTIFS('Safety Walkthroughs'!$D$4:$D$5003,mCrit,'Safety Walkthroughs'!$F$4:$F$5003,"Safety")</f>
        <v>0</v>
      </c>
    </row>
    <row r="309" spans="2:34">
      <c r="B309" s="19" t="s">
        <v>73</v>
      </c>
      <c r="C309" s="20">
        <f>COUNTIFS('Safety Walkthroughs'!$D$4:$D$5003,"Jun",'Safety Walkthroughs'!$F$4:$F$5003,dCrit)</f>
        <v>0</v>
      </c>
      <c r="M309" s="11" t="s">
        <v>411</v>
      </c>
      <c r="N309" s="20">
        <f>SUMIFS('Safety Walkthroughs'!$K$4:$K$5003,'Safety Walkthroughs'!$D$4:$D$5003,mCrit,'Safety Walkthroughs'!$F$4:$F$5003,dCrit)</f>
        <v>0</v>
      </c>
      <c r="P309" s="11" t="s">
        <v>5</v>
      </c>
      <c r="Q309" s="20">
        <f>COUNTIFS('Safety Walkthroughs'!$D$4:$D$5003,mCrit,'Safety Walkthroughs'!$F$4:$F$5003,"Logistics")</f>
        <v>0</v>
      </c>
      <c r="R309" s="21">
        <f>IFERROR((COUNTIFS('Safety Walkthroughs'!$M$4:$M$5003,"Closed",'Safety Walkthroughs'!$D$4:$D$5003,mCrit,'Safety Walkthroughs'!$F$4:$F$5003,"Logistics"))/COUNTIFS('Safety Walkthroughs'!$D$4:$D$5003,mCrit,'Safety Walkthroughs'!$F$4:$F$5003,"Logistics")*100,0)</f>
        <v>0</v>
      </c>
      <c r="S309" s="20">
        <f>COUNTIFS('Safety Walkthroughs'!$D$4:$D$5003,mCrit,'Safety Walkthroughs'!$F$4:$F$5003,"Logistics")</f>
        <v>0</v>
      </c>
    </row>
    <row r="310" spans="2:34">
      <c r="B310" s="19" t="s">
        <v>76</v>
      </c>
      <c r="C310" s="20">
        <f>COUNTIFS('Safety Walkthroughs'!$D$4:$D$5003,"Jul",'Safety Walkthroughs'!$F$4:$F$5003,dCrit)</f>
        <v>0</v>
      </c>
      <c r="M310" s="11" t="s">
        <v>1841</v>
      </c>
      <c r="N310" s="20">
        <f>IFERROR(AVERAGEIFS('Safety Walkthroughs'!$I$4:$I$5003,'Safety Walkthroughs'!$D$4:$D$5003,mCrit,'Safety Walkthroughs'!$F$4:$F$5003,dCrit),0)</f>
        <v>0</v>
      </c>
      <c r="P310" s="11" t="s">
        <v>50</v>
      </c>
      <c r="Q310" s="20">
        <f>COUNTIFS('Safety Walkthroughs'!$D$4:$D$5003,mCrit,'Safety Walkthroughs'!$F$4:$F$5003,"Quality")</f>
        <v>0</v>
      </c>
      <c r="R310" s="21">
        <f>IFERROR((COUNTIFS('Safety Walkthroughs'!$M$4:$M$5003,"Closed",'Safety Walkthroughs'!$D$4:$D$5003,mCrit,'Safety Walkthroughs'!$F$4:$F$5003,"Quality"))/COUNTIFS('Safety Walkthroughs'!$D$4:$D$5003,mCrit,'Safety Walkthroughs'!$F$4:$F$5003,"Quality")*100,0)</f>
        <v>0</v>
      </c>
      <c r="S310" s="20">
        <f>COUNTIFS('Safety Walkthroughs'!$D$4:$D$5003,mCrit,'Safety Walkthroughs'!$F$4:$F$5003,"Quality")</f>
        <v>0</v>
      </c>
    </row>
    <row r="311" spans="2:34">
      <c r="B311" s="19" t="s">
        <v>86</v>
      </c>
      <c r="C311" s="20">
        <f>COUNTIFS('Safety Walkthroughs'!$D$4:$D$5003,"Aug",'Safety Walkthroughs'!$F$4:$F$5003,dCrit)</f>
        <v>0</v>
      </c>
      <c r="P311" s="11" t="s">
        <v>46</v>
      </c>
      <c r="Q311" s="20">
        <f>COUNTIFS('Safety Walkthroughs'!$D$4:$D$5003,mCrit,'Safety Walkthroughs'!$F$4:$F$5003,"Admin")</f>
        <v>0</v>
      </c>
      <c r="R311" s="21">
        <f>IFERROR((COUNTIFS('Safety Walkthroughs'!$M$4:$M$5003,"Closed",'Safety Walkthroughs'!$D$4:$D$5003,mCrit,'Safety Walkthroughs'!$F$4:$F$5003,"Admin"))/COUNTIFS('Safety Walkthroughs'!$D$4:$D$5003,mCrit,'Safety Walkthroughs'!$F$4:$F$5003,"Admin")*100,0)</f>
        <v>0</v>
      </c>
      <c r="S311" s="20">
        <f>COUNTIFS('Safety Walkthroughs'!$D$4:$D$5003,mCrit,'Safety Walkthroughs'!$F$4:$F$5003,"Admin")</f>
        <v>0</v>
      </c>
    </row>
    <row r="312" spans="2:34">
      <c r="B312" s="19" t="s">
        <v>102</v>
      </c>
      <c r="C312" s="20">
        <f>COUNTIFS('Safety Walkthroughs'!$D$4:$D$5003,"Sep",'Safety Walkthroughs'!$F$4:$F$5003,dCrit)</f>
        <v>0</v>
      </c>
      <c r="P312" s="11" t="s">
        <v>13</v>
      </c>
      <c r="Q312" s="20">
        <f>COUNTIFS('Safety Walkthroughs'!$D$4:$D$5003,mCrit,'Safety Walkthroughs'!$F$4:$F$5003,"Projects")</f>
        <v>0</v>
      </c>
      <c r="R312" s="21">
        <f>IFERROR((COUNTIFS('Safety Walkthroughs'!$M$4:$M$5003,"Closed",'Safety Walkthroughs'!$D$4:$D$5003,mCrit,'Safety Walkthroughs'!$F$4:$F$5003,"Projects"))/COUNTIFS('Safety Walkthroughs'!$D$4:$D$5003,mCrit,'Safety Walkthroughs'!$F$4:$F$5003,"Projects")*100,0)</f>
        <v>0</v>
      </c>
      <c r="S312" s="20">
        <f>COUNTIFS('Safety Walkthroughs'!$D$4:$D$5003,mCrit,'Safety Walkthroughs'!$F$4:$F$5003,"Projects")</f>
        <v>0</v>
      </c>
    </row>
    <row r="313" spans="2:34">
      <c r="B313" s="19" t="s">
        <v>106</v>
      </c>
      <c r="C313" s="20">
        <f>COUNTIFS('Safety Walkthroughs'!$D$4:$D$5003,"Oct",'Safety Walkthroughs'!$F$4:$F$5003,dCrit)</f>
        <v>0</v>
      </c>
      <c r="P313" s="11" t="s">
        <v>58</v>
      </c>
      <c r="Q313" s="20">
        <f>COUNTIFS('Safety Walkthroughs'!$D$4:$D$5003,mCrit,'Safety Walkthroughs'!$F$4:$F$5003,"Contractor")</f>
        <v>0</v>
      </c>
      <c r="R313" s="21">
        <f>IFERROR((COUNTIFS('Safety Walkthroughs'!$M$4:$M$5003,"Closed",'Safety Walkthroughs'!$D$4:$D$5003,mCrit,'Safety Walkthroughs'!$F$4:$F$5003,"Contractor"))/COUNTIFS('Safety Walkthroughs'!$D$4:$D$5003,mCrit,'Safety Walkthroughs'!$F$4:$F$5003,"Contractor")*100,0)</f>
        <v>0</v>
      </c>
      <c r="S313" s="20">
        <f>COUNTIFS('Safety Walkthroughs'!$D$4:$D$5003,mCrit,'Safety Walkthroughs'!$F$4:$F$5003,"Contractor")</f>
        <v>0</v>
      </c>
    </row>
    <row r="314" spans="2:34">
      <c r="B314" s="19" t="s">
        <v>111</v>
      </c>
      <c r="C314" s="20">
        <f>COUNTIFS('Safety Walkthroughs'!$D$4:$D$5003,"Nov",'Safety Walkthroughs'!$F$4:$F$5003,dCrit)</f>
        <v>0</v>
      </c>
    </row>
    <row r="315" spans="2:34">
      <c r="B315" s="19" t="s">
        <v>122</v>
      </c>
      <c r="C315" s="20">
        <f>COUNTIFS('Safety Walkthroughs'!$D$4:$D$5003,"Dec",'Safety Walkthroughs'!$F$4:$F$5003,dCrit)</f>
        <v>0</v>
      </c>
    </row>
    <row r="328" spans="2:34">
      <c r="B328" s="17" t="s">
        <v>1844</v>
      </c>
    </row>
    <row r="329" spans="2:34">
      <c r="B329" s="10" t="s">
        <v>127</v>
      </c>
      <c r="C329" s="10" t="s">
        <v>1782</v>
      </c>
      <c r="E329" s="10" t="s">
        <v>566</v>
      </c>
      <c r="F329" s="10" t="s">
        <v>1782</v>
      </c>
      <c r="G329" s="10" t="s">
        <v>574</v>
      </c>
      <c r="H329" s="10" t="s">
        <v>1782</v>
      </c>
      <c r="M329" s="10" t="s">
        <v>1726</v>
      </c>
      <c r="N329" s="10" t="s">
        <v>1817</v>
      </c>
      <c r="P329" s="10" t="s">
        <v>129</v>
      </c>
      <c r="Q329" s="10" t="s">
        <v>1782</v>
      </c>
      <c r="R329" s="10" t="s">
        <v>1825</v>
      </c>
      <c r="S329" s="10" t="s">
        <v>1822</v>
      </c>
      <c r="U329" s="10" t="s">
        <v>1826</v>
      </c>
      <c r="V329" s="10" t="s">
        <v>3</v>
      </c>
      <c r="W329" s="10" t="s">
        <v>19</v>
      </c>
      <c r="X329" s="10" t="s">
        <v>44</v>
      </c>
      <c r="Y329" s="10" t="s">
        <v>53</v>
      </c>
      <c r="Z329" s="10" t="s">
        <v>60</v>
      </c>
      <c r="AA329" s="10" t="s">
        <v>73</v>
      </c>
      <c r="AB329" s="10" t="s">
        <v>76</v>
      </c>
      <c r="AC329" s="10" t="s">
        <v>86</v>
      </c>
      <c r="AD329" s="10" t="s">
        <v>102</v>
      </c>
      <c r="AE329" s="10" t="s">
        <v>106</v>
      </c>
      <c r="AF329" s="10" t="s">
        <v>111</v>
      </c>
      <c r="AG329" s="10" t="s">
        <v>122</v>
      </c>
      <c r="AH329" s="10" t="s">
        <v>1827</v>
      </c>
    </row>
    <row r="330" spans="2:34">
      <c r="B330" s="19" t="s">
        <v>3</v>
      </c>
      <c r="C330" s="20">
        <f>COUNTIFS('Safety Meetings'!$D$4:$D$5003,"Jan",'Safety Meetings'!$G$4:$G$5003,dCrit)</f>
        <v>0</v>
      </c>
      <c r="E330" s="11" t="s">
        <v>514</v>
      </c>
      <c r="F330" s="20">
        <f>COUNTIFS('Safety Meetings'!$E$4:$E$5003,"Weekly",'Safety Meetings'!$D$4:$D$5003,mCrit,'Safety Meetings'!$G$4:$G$5003,dCrit)</f>
        <v>0</v>
      </c>
      <c r="G330" s="11" t="s">
        <v>9</v>
      </c>
      <c r="H330" s="20">
        <f>COUNTIFS('Safety Meetings'!$P$4:$P$5003,"Yes",'Safety Meetings'!$D$4:$D$5003,mCrit,'Safety Meetings'!$G$4:$G$5003,dCrit)</f>
        <v>0</v>
      </c>
      <c r="M330" s="11" t="s">
        <v>1821</v>
      </c>
      <c r="N330" s="20">
        <f>COUNTIFS('Safety Meetings'!$D$4:$D$5003,mCrit,'Safety Meetings'!$G$4:$G$5003,dCrit)</f>
        <v>0</v>
      </c>
      <c r="P330" s="11" t="s">
        <v>27</v>
      </c>
      <c r="Q330" s="20">
        <f>COUNTIFS('Safety Meetings'!$D$4:$D$5003,mCrit,'Safety Meetings'!$G$4:$G$5003,"Operations")</f>
        <v>0</v>
      </c>
      <c r="R330" s="20">
        <f>COUNTIFS('Safety Meetings'!$D$4:$D$5003,mCrit,'Safety Meetings'!$G$4:$G$5003,"Operations")</f>
        <v>0</v>
      </c>
      <c r="S330" s="21">
        <f>IFERROR(AVERAGEIFS('Safety Meetings'!$K$4:$K$5003,'Safety Meetings'!$D$4:$D$5003,mCrit,'Safety Meetings'!$G$4:$G$5003,"Operations"),0)</f>
        <v>0</v>
      </c>
      <c r="U330" s="11" t="s">
        <v>1825</v>
      </c>
      <c r="V330" s="20">
        <f>COUNTIFS('Safety Meetings'!$D$4:$D$5003,"Jan",'Safety Meetings'!$G$4:$G$5003,dCrit)</f>
        <v>0</v>
      </c>
      <c r="W330" s="20">
        <f>COUNTIFS('Safety Meetings'!$D$4:$D$5003,"Feb",'Safety Meetings'!$G$4:$G$5003,dCrit)</f>
        <v>0</v>
      </c>
      <c r="X330" s="20">
        <f>COUNTIFS('Safety Meetings'!$D$4:$D$5003,"Mar",'Safety Meetings'!$G$4:$G$5003,dCrit)</f>
        <v>0</v>
      </c>
      <c r="Y330" s="20">
        <f>COUNTIFS('Safety Meetings'!$D$4:$D$5003,"Apr",'Safety Meetings'!$G$4:$G$5003,dCrit)</f>
        <v>0</v>
      </c>
      <c r="Z330" s="20">
        <f>COUNTIFS('Safety Meetings'!$D$4:$D$5003,"May",'Safety Meetings'!$G$4:$G$5003,dCrit)</f>
        <v>0</v>
      </c>
      <c r="AA330" s="20">
        <f>COUNTIFS('Safety Meetings'!$D$4:$D$5003,"Jun",'Safety Meetings'!$G$4:$G$5003,dCrit)</f>
        <v>0</v>
      </c>
      <c r="AB330" s="20">
        <f>COUNTIFS('Safety Meetings'!$D$4:$D$5003,"Jul",'Safety Meetings'!$G$4:$G$5003,dCrit)</f>
        <v>0</v>
      </c>
      <c r="AC330" s="20">
        <f>COUNTIFS('Safety Meetings'!$D$4:$D$5003,"Aug",'Safety Meetings'!$G$4:$G$5003,dCrit)</f>
        <v>0</v>
      </c>
      <c r="AD330" s="20">
        <f>COUNTIFS('Safety Meetings'!$D$4:$D$5003,"Sep",'Safety Meetings'!$G$4:$G$5003,dCrit)</f>
        <v>0</v>
      </c>
      <c r="AE330" s="20">
        <f>COUNTIFS('Safety Meetings'!$D$4:$D$5003,"Oct",'Safety Meetings'!$G$4:$G$5003,dCrit)</f>
        <v>0</v>
      </c>
      <c r="AF330" s="20">
        <f>COUNTIFS('Safety Meetings'!$D$4:$D$5003,"Nov",'Safety Meetings'!$G$4:$G$5003,dCrit)</f>
        <v>0</v>
      </c>
      <c r="AG330" s="20">
        <f>COUNTIFS('Safety Meetings'!$D$4:$D$5003,"Dec",'Safety Meetings'!$G$4:$G$5003,dCrit)</f>
        <v>0</v>
      </c>
      <c r="AH330" s="20">
        <f>SUM(V330:AG330)</f>
        <v>0</v>
      </c>
    </row>
    <row r="331" spans="2:34">
      <c r="B331" s="19" t="s">
        <v>19</v>
      </c>
      <c r="C331" s="20">
        <f>COUNTIFS('Safety Meetings'!$D$4:$D$5003,"Feb",'Safety Meetings'!$G$4:$G$5003,dCrit)</f>
        <v>0</v>
      </c>
      <c r="E331" s="11" t="s">
        <v>523</v>
      </c>
      <c r="F331" s="20">
        <f>COUNTIFS('Safety Meetings'!$E$4:$E$5003,"Monthly",'Safety Meetings'!$D$4:$D$5003,mCrit,'Safety Meetings'!$G$4:$G$5003,dCrit)</f>
        <v>0</v>
      </c>
      <c r="G331" s="11" t="s">
        <v>23</v>
      </c>
      <c r="H331" s="20">
        <f>COUNTIFS('Safety Meetings'!$P$4:$P$5003,"No",'Safety Meetings'!$D$4:$D$5003,mCrit,'Safety Meetings'!$G$4:$G$5003,dCrit)</f>
        <v>0</v>
      </c>
      <c r="M331" s="11" t="s">
        <v>1822</v>
      </c>
      <c r="N331" s="21">
        <f>IFERROR(AVERAGEIFS('Safety Meetings'!$K$4:$K$5003,'Safety Meetings'!$D$4:$D$5003,mCrit,'Safety Meetings'!$G$4:$G$5003,dCrit),0)</f>
        <v>0</v>
      </c>
      <c r="P331" s="11" t="s">
        <v>92</v>
      </c>
      <c r="Q331" s="20">
        <f>COUNTIFS('Safety Meetings'!$D$4:$D$5003,mCrit,'Safety Meetings'!$G$4:$G$5003,"Maintenance")</f>
        <v>0</v>
      </c>
      <c r="R331" s="20">
        <f>COUNTIFS('Safety Meetings'!$D$4:$D$5003,mCrit,'Safety Meetings'!$G$4:$G$5003,"Maintenance")</f>
        <v>0</v>
      </c>
      <c r="S331" s="21">
        <f>IFERROR(AVERAGEIFS('Safety Meetings'!$K$4:$K$5003,'Safety Meetings'!$D$4:$D$5003,mCrit,'Safety Meetings'!$G$4:$G$5003,"Maintenance"),0)</f>
        <v>0</v>
      </c>
      <c r="U331" s="11" t="s">
        <v>1822</v>
      </c>
      <c r="V331" s="21">
        <f>IFERROR(AVERAGEIFS('Safety Meetings'!$K$4:$K$5003,'Safety Meetings'!$D$4:$D$5003,"Jan",'Safety Meetings'!$G$4:$G$5003,dCrit),0)</f>
        <v>0</v>
      </c>
      <c r="W331" s="21">
        <f>IFERROR(AVERAGEIFS('Safety Meetings'!$K$4:$K$5003,'Safety Meetings'!$D$4:$D$5003,"Feb",'Safety Meetings'!$G$4:$G$5003,dCrit),0)</f>
        <v>0</v>
      </c>
      <c r="X331" s="21">
        <f>IFERROR(AVERAGEIFS('Safety Meetings'!$K$4:$K$5003,'Safety Meetings'!$D$4:$D$5003,"Mar",'Safety Meetings'!$G$4:$G$5003,dCrit),0)</f>
        <v>0</v>
      </c>
      <c r="Y331" s="21">
        <f>IFERROR(AVERAGEIFS('Safety Meetings'!$K$4:$K$5003,'Safety Meetings'!$D$4:$D$5003,"Apr",'Safety Meetings'!$G$4:$G$5003,dCrit),0)</f>
        <v>0</v>
      </c>
      <c r="Z331" s="21">
        <f>IFERROR(AVERAGEIFS('Safety Meetings'!$K$4:$K$5003,'Safety Meetings'!$D$4:$D$5003,"May",'Safety Meetings'!$G$4:$G$5003,dCrit),0)</f>
        <v>0</v>
      </c>
      <c r="AA331" s="21">
        <f>IFERROR(AVERAGEIFS('Safety Meetings'!$K$4:$K$5003,'Safety Meetings'!$D$4:$D$5003,"Jun",'Safety Meetings'!$G$4:$G$5003,dCrit),0)</f>
        <v>0</v>
      </c>
      <c r="AB331" s="21">
        <f>IFERROR(AVERAGEIFS('Safety Meetings'!$K$4:$K$5003,'Safety Meetings'!$D$4:$D$5003,"Jul",'Safety Meetings'!$G$4:$G$5003,dCrit),0)</f>
        <v>0</v>
      </c>
      <c r="AC331" s="21">
        <f>IFERROR(AVERAGEIFS('Safety Meetings'!$K$4:$K$5003,'Safety Meetings'!$D$4:$D$5003,"Aug",'Safety Meetings'!$G$4:$G$5003,dCrit),0)</f>
        <v>0</v>
      </c>
      <c r="AD331" s="21">
        <f>IFERROR(AVERAGEIFS('Safety Meetings'!$K$4:$K$5003,'Safety Meetings'!$D$4:$D$5003,"Sep",'Safety Meetings'!$G$4:$G$5003,dCrit),0)</f>
        <v>0</v>
      </c>
      <c r="AE331" s="21">
        <f>IFERROR(AVERAGEIFS('Safety Meetings'!$K$4:$K$5003,'Safety Meetings'!$D$4:$D$5003,"Oct",'Safety Meetings'!$G$4:$G$5003,dCrit),0)</f>
        <v>0</v>
      </c>
      <c r="AF331" s="21">
        <f>IFERROR(AVERAGEIFS('Safety Meetings'!$K$4:$K$5003,'Safety Meetings'!$D$4:$D$5003,"Nov",'Safety Meetings'!$G$4:$G$5003,dCrit),0)</f>
        <v>0</v>
      </c>
      <c r="AG331" s="21">
        <f>IFERROR(AVERAGEIFS('Safety Meetings'!$K$4:$K$5003,'Safety Meetings'!$D$4:$D$5003,"Dec",'Safety Meetings'!$G$4:$G$5003,dCrit),0)</f>
        <v>0</v>
      </c>
      <c r="AH331" s="21">
        <f>IFERROR(AVERAGE(V331:AG331),0)</f>
        <v>0</v>
      </c>
    </row>
    <row r="332" spans="2:34">
      <c r="B332" s="19" t="s">
        <v>44</v>
      </c>
      <c r="C332" s="20">
        <f>COUNTIFS('Safety Meetings'!$D$4:$D$5003,"Mar",'Safety Meetings'!$G$4:$G$5003,dCrit)</f>
        <v>0</v>
      </c>
      <c r="E332" s="11" t="s">
        <v>516</v>
      </c>
      <c r="F332" s="20">
        <f>COUNTIFS('Safety Meetings'!$E$4:$E$5003,"Quarterly",'Safety Meetings'!$D$4:$D$5003,mCrit,'Safety Meetings'!$G$4:$G$5003,dCrit)</f>
        <v>0</v>
      </c>
      <c r="M332" s="11" t="s">
        <v>1845</v>
      </c>
      <c r="N332" s="21">
        <f>IFERROR(AVERAGEIFS('Safety Meetings'!$O$4:$O$5003,'Safety Meetings'!$D$4:$D$5003,mCrit,'Safety Meetings'!$G$4:$G$5003,dCrit),0)</f>
        <v>0</v>
      </c>
      <c r="P332" s="11" t="s">
        <v>39</v>
      </c>
      <c r="Q332" s="20">
        <f>COUNTIFS('Safety Meetings'!$D$4:$D$5003,mCrit,'Safety Meetings'!$G$4:$G$5003,"Engineering")</f>
        <v>0</v>
      </c>
      <c r="R332" s="20">
        <f>COUNTIFS('Safety Meetings'!$D$4:$D$5003,mCrit,'Safety Meetings'!$G$4:$G$5003,"Engineering")</f>
        <v>0</v>
      </c>
      <c r="S332" s="21">
        <f>IFERROR(AVERAGEIFS('Safety Meetings'!$K$4:$K$5003,'Safety Meetings'!$D$4:$D$5003,mCrit,'Safety Meetings'!$G$4:$G$5003,"Engineering"),0)</f>
        <v>0</v>
      </c>
    </row>
    <row r="333" spans="2:34">
      <c r="B333" s="19" t="s">
        <v>53</v>
      </c>
      <c r="C333" s="20">
        <f>COUNTIFS('Safety Meetings'!$D$4:$D$5003,"Apr",'Safety Meetings'!$G$4:$G$5003,dCrit)</f>
        <v>0</v>
      </c>
      <c r="E333" s="11" t="s">
        <v>518</v>
      </c>
      <c r="F333" s="20">
        <f>COUNTIFS('Safety Meetings'!$E$4:$E$5003,"Annual",'Safety Meetings'!$D$4:$D$5003,mCrit,'Safety Meetings'!$G$4:$G$5003,dCrit)</f>
        <v>0</v>
      </c>
      <c r="M333" s="11" t="s">
        <v>879</v>
      </c>
      <c r="N333" s="20">
        <f>SUMIFS('Safety Meetings'!$M$4:$M$5003,'Safety Meetings'!$D$4:$D$5003,mCrit,'Safety Meetings'!$G$4:$G$5003,dCrit)</f>
        <v>0</v>
      </c>
      <c r="P333" s="11" t="s">
        <v>89</v>
      </c>
      <c r="Q333" s="20">
        <f>COUNTIFS('Safety Meetings'!$D$4:$D$5003,mCrit,'Safety Meetings'!$G$4:$G$5003,"Construction")</f>
        <v>0</v>
      </c>
      <c r="R333" s="20">
        <f>COUNTIFS('Safety Meetings'!$D$4:$D$5003,mCrit,'Safety Meetings'!$G$4:$G$5003,"Construction")</f>
        <v>0</v>
      </c>
      <c r="S333" s="21">
        <f>IFERROR(AVERAGEIFS('Safety Meetings'!$K$4:$K$5003,'Safety Meetings'!$D$4:$D$5003,mCrit,'Safety Meetings'!$G$4:$G$5003,"Construction"),0)</f>
        <v>0</v>
      </c>
    </row>
    <row r="334" spans="2:34">
      <c r="B334" s="19" t="s">
        <v>60</v>
      </c>
      <c r="C334" s="20">
        <f>COUNTIFS('Safety Meetings'!$D$4:$D$5003,"May",'Safety Meetings'!$G$4:$G$5003,dCrit)</f>
        <v>0</v>
      </c>
      <c r="P334" s="11" t="s">
        <v>65</v>
      </c>
      <c r="Q334" s="20">
        <f>COUNTIFS('Safety Meetings'!$D$4:$D$5003,mCrit,'Safety Meetings'!$G$4:$G$5003,"Safety")</f>
        <v>0</v>
      </c>
      <c r="R334" s="20">
        <f>COUNTIFS('Safety Meetings'!$D$4:$D$5003,mCrit,'Safety Meetings'!$G$4:$G$5003,"Safety")</f>
        <v>0</v>
      </c>
      <c r="S334" s="21">
        <f>IFERROR(AVERAGEIFS('Safety Meetings'!$K$4:$K$5003,'Safety Meetings'!$D$4:$D$5003,mCrit,'Safety Meetings'!$G$4:$G$5003,"Safety"),0)</f>
        <v>0</v>
      </c>
    </row>
    <row r="335" spans="2:34">
      <c r="B335" s="19" t="s">
        <v>73</v>
      </c>
      <c r="C335" s="20">
        <f>COUNTIFS('Safety Meetings'!$D$4:$D$5003,"Jun",'Safety Meetings'!$G$4:$G$5003,dCrit)</f>
        <v>0</v>
      </c>
      <c r="P335" s="11" t="s">
        <v>5</v>
      </c>
      <c r="Q335" s="20">
        <f>COUNTIFS('Safety Meetings'!$D$4:$D$5003,mCrit,'Safety Meetings'!$G$4:$G$5003,"Logistics")</f>
        <v>0</v>
      </c>
      <c r="R335" s="20">
        <f>COUNTIFS('Safety Meetings'!$D$4:$D$5003,mCrit,'Safety Meetings'!$G$4:$G$5003,"Logistics")</f>
        <v>0</v>
      </c>
      <c r="S335" s="21">
        <f>IFERROR(AVERAGEIFS('Safety Meetings'!$K$4:$K$5003,'Safety Meetings'!$D$4:$D$5003,mCrit,'Safety Meetings'!$G$4:$G$5003,"Logistics"),0)</f>
        <v>0</v>
      </c>
    </row>
    <row r="336" spans="2:34">
      <c r="B336" s="19" t="s">
        <v>76</v>
      </c>
      <c r="C336" s="20">
        <f>COUNTIFS('Safety Meetings'!$D$4:$D$5003,"Jul",'Safety Meetings'!$G$4:$G$5003,dCrit)</f>
        <v>0</v>
      </c>
      <c r="P336" s="11" t="s">
        <v>50</v>
      </c>
      <c r="Q336" s="20">
        <f>COUNTIFS('Safety Meetings'!$D$4:$D$5003,mCrit,'Safety Meetings'!$G$4:$G$5003,"Quality")</f>
        <v>0</v>
      </c>
      <c r="R336" s="20">
        <f>COUNTIFS('Safety Meetings'!$D$4:$D$5003,mCrit,'Safety Meetings'!$G$4:$G$5003,"Quality")</f>
        <v>0</v>
      </c>
      <c r="S336" s="21">
        <f>IFERROR(AVERAGEIFS('Safety Meetings'!$K$4:$K$5003,'Safety Meetings'!$D$4:$D$5003,mCrit,'Safety Meetings'!$G$4:$G$5003,"Quality"),0)</f>
        <v>0</v>
      </c>
    </row>
    <row r="337" spans="2:19">
      <c r="B337" s="19" t="s">
        <v>86</v>
      </c>
      <c r="C337" s="20">
        <f>COUNTIFS('Safety Meetings'!$D$4:$D$5003,"Aug",'Safety Meetings'!$G$4:$G$5003,dCrit)</f>
        <v>0</v>
      </c>
      <c r="P337" s="11" t="s">
        <v>46</v>
      </c>
      <c r="Q337" s="20">
        <f>COUNTIFS('Safety Meetings'!$D$4:$D$5003,mCrit,'Safety Meetings'!$G$4:$G$5003,"Admin")</f>
        <v>0</v>
      </c>
      <c r="R337" s="20">
        <f>COUNTIFS('Safety Meetings'!$D$4:$D$5003,mCrit,'Safety Meetings'!$G$4:$G$5003,"Admin")</f>
        <v>0</v>
      </c>
      <c r="S337" s="21">
        <f>IFERROR(AVERAGEIFS('Safety Meetings'!$K$4:$K$5003,'Safety Meetings'!$D$4:$D$5003,mCrit,'Safety Meetings'!$G$4:$G$5003,"Admin"),0)</f>
        <v>0</v>
      </c>
    </row>
    <row r="338" spans="2:19">
      <c r="B338" s="19" t="s">
        <v>102</v>
      </c>
      <c r="C338" s="20">
        <f>COUNTIFS('Safety Meetings'!$D$4:$D$5003,"Sep",'Safety Meetings'!$G$4:$G$5003,dCrit)</f>
        <v>0</v>
      </c>
      <c r="P338" s="11" t="s">
        <v>13</v>
      </c>
      <c r="Q338" s="20">
        <f>COUNTIFS('Safety Meetings'!$D$4:$D$5003,mCrit,'Safety Meetings'!$G$4:$G$5003,"Projects")</f>
        <v>0</v>
      </c>
      <c r="R338" s="20">
        <f>COUNTIFS('Safety Meetings'!$D$4:$D$5003,mCrit,'Safety Meetings'!$G$4:$G$5003,"Projects")</f>
        <v>0</v>
      </c>
      <c r="S338" s="21">
        <f>IFERROR(AVERAGEIFS('Safety Meetings'!$K$4:$K$5003,'Safety Meetings'!$D$4:$D$5003,mCrit,'Safety Meetings'!$G$4:$G$5003,"Projects"),0)</f>
        <v>0</v>
      </c>
    </row>
    <row r="339" spans="2:19">
      <c r="B339" s="19" t="s">
        <v>106</v>
      </c>
      <c r="C339" s="20">
        <f>COUNTIFS('Safety Meetings'!$D$4:$D$5003,"Oct",'Safety Meetings'!$G$4:$G$5003,dCrit)</f>
        <v>0</v>
      </c>
      <c r="P339" s="11" t="s">
        <v>58</v>
      </c>
      <c r="Q339" s="20">
        <f>COUNTIFS('Safety Meetings'!$D$4:$D$5003,mCrit,'Safety Meetings'!$G$4:$G$5003,"Contractor")</f>
        <v>0</v>
      </c>
      <c r="R339" s="20">
        <f>COUNTIFS('Safety Meetings'!$D$4:$D$5003,mCrit,'Safety Meetings'!$G$4:$G$5003,"Contractor")</f>
        <v>0</v>
      </c>
      <c r="S339" s="21">
        <f>IFERROR(AVERAGEIFS('Safety Meetings'!$K$4:$K$5003,'Safety Meetings'!$D$4:$D$5003,mCrit,'Safety Meetings'!$G$4:$G$5003,"Contractor"),0)</f>
        <v>0</v>
      </c>
    </row>
    <row r="340" spans="2:19">
      <c r="B340" s="19" t="s">
        <v>111</v>
      </c>
      <c r="C340" s="20">
        <f>COUNTIFS('Safety Meetings'!$D$4:$D$5003,"Nov",'Safety Meetings'!$G$4:$G$5003,dCrit)</f>
        <v>0</v>
      </c>
    </row>
    <row r="341" spans="2:19">
      <c r="B341" s="19" t="s">
        <v>122</v>
      </c>
      <c r="C341" s="20">
        <f>COUNTIFS('Safety Meetings'!$D$4:$D$5003,"Dec",'Safety Meetings'!$G$4:$G$5003,dCrit)</f>
        <v>0</v>
      </c>
    </row>
    <row r="354" spans="2:34">
      <c r="B354" s="17" t="s">
        <v>1846</v>
      </c>
    </row>
    <row r="355" spans="2:34">
      <c r="B355" s="10" t="s">
        <v>127</v>
      </c>
      <c r="C355" s="10" t="s">
        <v>1782</v>
      </c>
      <c r="E355" s="10" t="s">
        <v>636</v>
      </c>
      <c r="F355" s="10" t="s">
        <v>1782</v>
      </c>
      <c r="G355" s="10" t="s">
        <v>640</v>
      </c>
      <c r="H355" s="10" t="s">
        <v>1782</v>
      </c>
      <c r="J355" s="10" t="s">
        <v>287</v>
      </c>
      <c r="K355" s="10" t="s">
        <v>1782</v>
      </c>
      <c r="M355" s="10" t="s">
        <v>1726</v>
      </c>
      <c r="N355" s="10" t="s">
        <v>1817</v>
      </c>
      <c r="U355" s="10" t="s">
        <v>1826</v>
      </c>
      <c r="V355" s="10" t="s">
        <v>3</v>
      </c>
      <c r="W355" s="10" t="s">
        <v>19</v>
      </c>
      <c r="X355" s="10" t="s">
        <v>44</v>
      </c>
      <c r="Y355" s="10" t="s">
        <v>53</v>
      </c>
      <c r="Z355" s="10" t="s">
        <v>60</v>
      </c>
      <c r="AA355" s="10" t="s">
        <v>73</v>
      </c>
      <c r="AB355" s="10" t="s">
        <v>76</v>
      </c>
      <c r="AC355" s="10" t="s">
        <v>86</v>
      </c>
      <c r="AD355" s="10" t="s">
        <v>102</v>
      </c>
      <c r="AE355" s="10" t="s">
        <v>106</v>
      </c>
      <c r="AF355" s="10" t="s">
        <v>111</v>
      </c>
      <c r="AG355" s="10" t="s">
        <v>122</v>
      </c>
      <c r="AH355" s="10" t="s">
        <v>1827</v>
      </c>
    </row>
    <row r="356" spans="2:34">
      <c r="B356" s="19" t="s">
        <v>3</v>
      </c>
      <c r="C356" s="20">
        <f>COUNTIFS('Safety Bulletins'!$D$4:$D$5003,"Jan")</f>
        <v>0</v>
      </c>
      <c r="E356" s="11" t="s">
        <v>588</v>
      </c>
      <c r="F356" s="20">
        <f>COUNTIFS('Safety Bulletins'!$E$4:$E$5003,"Safety Alert",'Safety Bulletins'!$D$4:$D$5003,mCrit)</f>
        <v>0</v>
      </c>
      <c r="G356" s="11" t="s">
        <v>601</v>
      </c>
      <c r="H356" s="20">
        <f>COUNTIFS('Safety Bulletins'!$I$4:$I$5003,"Email",'Safety Bulletins'!$D$4:$D$5003,mCrit)</f>
        <v>0</v>
      </c>
      <c r="J356" s="11" t="s">
        <v>293</v>
      </c>
      <c r="K356" s="20">
        <f>COUNTIFS('Safety Bulletins'!$K$4:$K$5003,"Closed",'Safety Bulletins'!$D$4:$D$5003,mCrit)</f>
        <v>0</v>
      </c>
      <c r="M356" s="11" t="s">
        <v>1821</v>
      </c>
      <c r="N356" s="20">
        <f>COUNTIFS('Safety Bulletins'!$D$4:$D$5003,mCrit)</f>
        <v>0</v>
      </c>
      <c r="U356" s="11" t="s">
        <v>1825</v>
      </c>
      <c r="V356" s="20">
        <f>COUNTIFS('Safety Bulletins'!$D$4:$D$5003,"Jan")</f>
        <v>0</v>
      </c>
      <c r="W356" s="20">
        <f>COUNTIFS('Safety Bulletins'!$D$4:$D$5003,"Feb")</f>
        <v>0</v>
      </c>
      <c r="X356" s="20">
        <f>COUNTIFS('Safety Bulletins'!$D$4:$D$5003,"Mar")</f>
        <v>0</v>
      </c>
      <c r="Y356" s="20">
        <f>COUNTIFS('Safety Bulletins'!$D$4:$D$5003,"Apr")</f>
        <v>0</v>
      </c>
      <c r="Z356" s="20">
        <f>COUNTIFS('Safety Bulletins'!$D$4:$D$5003,"May")</f>
        <v>0</v>
      </c>
      <c r="AA356" s="20">
        <f>COUNTIFS('Safety Bulletins'!$D$4:$D$5003,"Jun")</f>
        <v>0</v>
      </c>
      <c r="AB356" s="20">
        <f>COUNTIFS('Safety Bulletins'!$D$4:$D$5003,"Jul")</f>
        <v>0</v>
      </c>
      <c r="AC356" s="20">
        <f>COUNTIFS('Safety Bulletins'!$D$4:$D$5003,"Aug")</f>
        <v>0</v>
      </c>
      <c r="AD356" s="20">
        <f>COUNTIFS('Safety Bulletins'!$D$4:$D$5003,"Sep")</f>
        <v>0</v>
      </c>
      <c r="AE356" s="20">
        <f>COUNTIFS('Safety Bulletins'!$D$4:$D$5003,"Oct")</f>
        <v>0</v>
      </c>
      <c r="AF356" s="20">
        <f>COUNTIFS('Safety Bulletins'!$D$4:$D$5003,"Nov")</f>
        <v>0</v>
      </c>
      <c r="AG356" s="20">
        <f>COUNTIFS('Safety Bulletins'!$D$4:$D$5003,"Dec")</f>
        <v>0</v>
      </c>
      <c r="AH356" s="20">
        <f>SUM(V356:AG356)</f>
        <v>0</v>
      </c>
    </row>
    <row r="357" spans="2:34">
      <c r="B357" s="19" t="s">
        <v>19</v>
      </c>
      <c r="C357" s="20">
        <f>COUNTIFS('Safety Bulletins'!$D$4:$D$5003,"Feb")</f>
        <v>0</v>
      </c>
      <c r="E357" s="11" t="s">
        <v>594</v>
      </c>
      <c r="F357" s="20">
        <f>COUNTIFS('Safety Bulletins'!$E$4:$E$5003,"Bulletin",'Safety Bulletins'!$D$4:$D$5003,mCrit)</f>
        <v>0</v>
      </c>
      <c r="G357" s="11" t="s">
        <v>578</v>
      </c>
      <c r="H357" s="20">
        <f>COUNTIFS('Safety Bulletins'!$I$4:$I$5003,"Notice Board",'Safety Bulletins'!$D$4:$D$5003,mCrit)</f>
        <v>0</v>
      </c>
      <c r="J357" s="11" t="s">
        <v>254</v>
      </c>
      <c r="K357" s="20">
        <f>COUNTIFS('Safety Bulletins'!$K$4:$K$5003,"In Progress",'Safety Bulletins'!$D$4:$D$5003,mCrit)</f>
        <v>0</v>
      </c>
      <c r="M357" s="11" t="s">
        <v>1829</v>
      </c>
      <c r="N357" s="21">
        <f>IFERROR((COUNTIFS('Safety Bulletins'!$K$4:$K$5003,"Closed",'Safety Bulletins'!$D$4:$D$5003,mCrit))/COUNTIFS('Safety Bulletins'!$D$4:$D$5003,mCrit)*100,0)</f>
        <v>0</v>
      </c>
      <c r="U357" s="11" t="s">
        <v>1833</v>
      </c>
      <c r="V357" s="21">
        <f>IFERROR((COUNTIFS('Safety Bulletins'!$K$4:$K$5003,"Closed",'Safety Bulletins'!$D$4:$D$5003,"Jan"))/COUNTIFS('Safety Bulletins'!$D$4:$D$5003,"Jan")*100,0)</f>
        <v>0</v>
      </c>
      <c r="W357" s="21">
        <f>IFERROR((COUNTIFS('Safety Bulletins'!$K$4:$K$5003,"Closed",'Safety Bulletins'!$D$4:$D$5003,"Feb"))/COUNTIFS('Safety Bulletins'!$D$4:$D$5003,"Feb")*100,0)</f>
        <v>0</v>
      </c>
      <c r="X357" s="21">
        <f>IFERROR((COUNTIFS('Safety Bulletins'!$K$4:$K$5003,"Closed",'Safety Bulletins'!$D$4:$D$5003,"Mar"))/COUNTIFS('Safety Bulletins'!$D$4:$D$5003,"Mar")*100,0)</f>
        <v>0</v>
      </c>
      <c r="Y357" s="21">
        <f>IFERROR((COUNTIFS('Safety Bulletins'!$K$4:$K$5003,"Closed",'Safety Bulletins'!$D$4:$D$5003,"Apr"))/COUNTIFS('Safety Bulletins'!$D$4:$D$5003,"Apr")*100,0)</f>
        <v>0</v>
      </c>
      <c r="Z357" s="21">
        <f>IFERROR((COUNTIFS('Safety Bulletins'!$K$4:$K$5003,"Closed",'Safety Bulletins'!$D$4:$D$5003,"May"))/COUNTIFS('Safety Bulletins'!$D$4:$D$5003,"May")*100,0)</f>
        <v>0</v>
      </c>
      <c r="AA357" s="21">
        <f>IFERROR((COUNTIFS('Safety Bulletins'!$K$4:$K$5003,"Closed",'Safety Bulletins'!$D$4:$D$5003,"Jun"))/COUNTIFS('Safety Bulletins'!$D$4:$D$5003,"Jun")*100,0)</f>
        <v>0</v>
      </c>
      <c r="AB357" s="21">
        <f>IFERROR((COUNTIFS('Safety Bulletins'!$K$4:$K$5003,"Closed",'Safety Bulletins'!$D$4:$D$5003,"Jul"))/COUNTIFS('Safety Bulletins'!$D$4:$D$5003,"Jul")*100,0)</f>
        <v>0</v>
      </c>
      <c r="AC357" s="21">
        <f>IFERROR((COUNTIFS('Safety Bulletins'!$K$4:$K$5003,"Closed",'Safety Bulletins'!$D$4:$D$5003,"Aug"))/COUNTIFS('Safety Bulletins'!$D$4:$D$5003,"Aug")*100,0)</f>
        <v>0</v>
      </c>
      <c r="AD357" s="21">
        <f>IFERROR((COUNTIFS('Safety Bulletins'!$K$4:$K$5003,"Closed",'Safety Bulletins'!$D$4:$D$5003,"Sep"))/COUNTIFS('Safety Bulletins'!$D$4:$D$5003,"Sep")*100,0)</f>
        <v>0</v>
      </c>
      <c r="AE357" s="21">
        <f>IFERROR((COUNTIFS('Safety Bulletins'!$K$4:$K$5003,"Closed",'Safety Bulletins'!$D$4:$D$5003,"Oct"))/COUNTIFS('Safety Bulletins'!$D$4:$D$5003,"Oct")*100,0)</f>
        <v>0</v>
      </c>
      <c r="AF357" s="21">
        <f>IFERROR((COUNTIFS('Safety Bulletins'!$K$4:$K$5003,"Closed",'Safety Bulletins'!$D$4:$D$5003,"Nov"))/COUNTIFS('Safety Bulletins'!$D$4:$D$5003,"Nov")*100,0)</f>
        <v>0</v>
      </c>
      <c r="AG357" s="21">
        <f>IFERROR((COUNTIFS('Safety Bulletins'!$K$4:$K$5003,"Closed",'Safety Bulletins'!$D$4:$D$5003,"Dec"))/COUNTIFS('Safety Bulletins'!$D$4:$D$5003,"Dec")*100,0)</f>
        <v>0</v>
      </c>
      <c r="AH357" s="21">
        <f>IFERROR(AVERAGE(V357:AG357),0)</f>
        <v>0</v>
      </c>
    </row>
    <row r="358" spans="2:34">
      <c r="B358" s="19" t="s">
        <v>44</v>
      </c>
      <c r="C358" s="20">
        <f>COUNTIFS('Safety Bulletins'!$D$4:$D$5003,"Mar")</f>
        <v>0</v>
      </c>
      <c r="E358" s="11" t="s">
        <v>584</v>
      </c>
      <c r="F358" s="20">
        <f>COUNTIFS('Safety Bulletins'!$E$4:$E$5003,"Toolbox Topic",'Safety Bulletins'!$D$4:$D$5003,mCrit)</f>
        <v>0</v>
      </c>
      <c r="G358" s="11" t="s">
        <v>581</v>
      </c>
      <c r="H358" s="20">
        <f>COUNTIFS('Safety Bulletins'!$I$4:$I$5003,"App Notification",'Safety Bulletins'!$D$4:$D$5003,mCrit)</f>
        <v>0</v>
      </c>
      <c r="J358" s="11" t="s">
        <v>238</v>
      </c>
      <c r="K358" s="20">
        <f>COUNTIFS('Safety Bulletins'!$K$4:$K$5003,"Overdue",'Safety Bulletins'!$D$4:$D$5003,mCrit)</f>
        <v>0</v>
      </c>
      <c r="M358" s="11" t="s">
        <v>1830</v>
      </c>
      <c r="N358" s="20">
        <f>COUNTIFS('Safety Bulletins'!$K$4:$K$5003,"Open",'Safety Bulletins'!$D$4:$D$5003,mCrit)+COUNTIFS('Safety Bulletins'!$K$4:$K$5003,"In Progress",'Safety Bulletins'!$D$4:$D$5003,mCrit)+COUNTIFS('Safety Bulletins'!$K$4:$K$5003,"Overdue",'Safety Bulletins'!$D$4:$D$5003,mCrit)</f>
        <v>0</v>
      </c>
      <c r="U358" s="11" t="s">
        <v>1847</v>
      </c>
      <c r="V358" s="21">
        <f>IFERROR(AVERAGEIFS('Safety Bulletins'!$N$4:$N$5003,'Safety Bulletins'!$D$4:$D$5003,"Jan"),0)</f>
        <v>0</v>
      </c>
      <c r="W358" s="21">
        <f>IFERROR(AVERAGEIFS('Safety Bulletins'!$N$4:$N$5003,'Safety Bulletins'!$D$4:$D$5003,"Feb"),0)</f>
        <v>0</v>
      </c>
      <c r="X358" s="21">
        <f>IFERROR(AVERAGEIFS('Safety Bulletins'!$N$4:$N$5003,'Safety Bulletins'!$D$4:$D$5003,"Mar"),0)</f>
        <v>0</v>
      </c>
      <c r="Y358" s="21">
        <f>IFERROR(AVERAGEIFS('Safety Bulletins'!$N$4:$N$5003,'Safety Bulletins'!$D$4:$D$5003,"Apr"),0)</f>
        <v>0</v>
      </c>
      <c r="Z358" s="21">
        <f>IFERROR(AVERAGEIFS('Safety Bulletins'!$N$4:$N$5003,'Safety Bulletins'!$D$4:$D$5003,"May"),0)</f>
        <v>0</v>
      </c>
      <c r="AA358" s="21">
        <f>IFERROR(AVERAGEIFS('Safety Bulletins'!$N$4:$N$5003,'Safety Bulletins'!$D$4:$D$5003,"Jun"),0)</f>
        <v>0</v>
      </c>
      <c r="AB358" s="21">
        <f>IFERROR(AVERAGEIFS('Safety Bulletins'!$N$4:$N$5003,'Safety Bulletins'!$D$4:$D$5003,"Jul"),0)</f>
        <v>0</v>
      </c>
      <c r="AC358" s="21">
        <f>IFERROR(AVERAGEIFS('Safety Bulletins'!$N$4:$N$5003,'Safety Bulletins'!$D$4:$D$5003,"Aug"),0)</f>
        <v>0</v>
      </c>
      <c r="AD358" s="21">
        <f>IFERROR(AVERAGEIFS('Safety Bulletins'!$N$4:$N$5003,'Safety Bulletins'!$D$4:$D$5003,"Sep"),0)</f>
        <v>0</v>
      </c>
      <c r="AE358" s="21">
        <f>IFERROR(AVERAGEIFS('Safety Bulletins'!$N$4:$N$5003,'Safety Bulletins'!$D$4:$D$5003,"Oct"),0)</f>
        <v>0</v>
      </c>
      <c r="AF358" s="21">
        <f>IFERROR(AVERAGEIFS('Safety Bulletins'!$N$4:$N$5003,'Safety Bulletins'!$D$4:$D$5003,"Nov"),0)</f>
        <v>0</v>
      </c>
      <c r="AG358" s="21">
        <f>IFERROR(AVERAGEIFS('Safety Bulletins'!$N$4:$N$5003,'Safety Bulletins'!$D$4:$D$5003,"Dec"),0)</f>
        <v>0</v>
      </c>
      <c r="AH358" s="21">
        <f>IFERROR(AVERAGE(V358:AG358),0)</f>
        <v>0</v>
      </c>
    </row>
    <row r="359" spans="2:34">
      <c r="B359" s="19" t="s">
        <v>53</v>
      </c>
      <c r="C359" s="20">
        <f>COUNTIFS('Safety Bulletins'!$D$4:$D$5003,"Apr")</f>
        <v>0</v>
      </c>
      <c r="E359" s="11" t="s">
        <v>577</v>
      </c>
      <c r="F359" s="20">
        <f>COUNTIFS('Safety Bulletins'!$E$4:$E$5003,"Lesson Learned",'Safety Bulletins'!$D$4:$D$5003,mCrit)</f>
        <v>0</v>
      </c>
      <c r="G359" s="11" t="s">
        <v>585</v>
      </c>
      <c r="H359" s="20">
        <f>COUNTIFS('Safety Bulletins'!$I$4:$I$5003,"All Channels",'Safety Bulletins'!$D$4:$D$5003,mCrit)</f>
        <v>0</v>
      </c>
      <c r="J359" s="11" t="s">
        <v>297</v>
      </c>
      <c r="K359" s="20">
        <f>COUNTIFS('Safety Bulletins'!$K$4:$K$5003,"Open",'Safety Bulletins'!$D$4:$D$5003,mCrit)</f>
        <v>0</v>
      </c>
      <c r="M359" s="11" t="s">
        <v>238</v>
      </c>
      <c r="N359" s="20">
        <f>COUNTIFS('Safety Bulletins'!$K$4:$K$5003,"Overdue",'Safety Bulletins'!$D$4:$D$5003,mCrit)</f>
        <v>0</v>
      </c>
    </row>
    <row r="360" spans="2:34">
      <c r="B360" s="19" t="s">
        <v>60</v>
      </c>
      <c r="C360" s="20">
        <f>COUNTIFS('Safety Bulletins'!$D$4:$D$5003,"May")</f>
        <v>0</v>
      </c>
      <c r="E360" s="11" t="s">
        <v>580</v>
      </c>
      <c r="F360" s="20">
        <f>COUNTIFS('Safety Bulletins'!$E$4:$E$5003,"Best Practice",'Safety Bulletins'!$D$4:$D$5003,mCrit)</f>
        <v>0</v>
      </c>
      <c r="M360" s="11" t="s">
        <v>1847</v>
      </c>
      <c r="N360" s="21">
        <f>IFERROR(AVERAGEIFS('Safety Bulletins'!$N$4:$N$5003,'Safety Bulletins'!$D$4:$D$5003,mCrit),0)</f>
        <v>0</v>
      </c>
    </row>
    <row r="361" spans="2:34">
      <c r="B361" s="19" t="s">
        <v>73</v>
      </c>
      <c r="C361" s="20">
        <f>COUNTIFS('Safety Bulletins'!$D$4:$D$5003,"Jun")</f>
        <v>0</v>
      </c>
      <c r="E361" s="11" t="s">
        <v>590</v>
      </c>
      <c r="F361" s="20">
        <f>COUNTIFS('Safety Bulletins'!$E$4:$E$5003,"Advisory",'Safety Bulletins'!$D$4:$D$5003,mCrit)</f>
        <v>0</v>
      </c>
      <c r="M361" s="11" t="s">
        <v>1848</v>
      </c>
      <c r="N361" s="20">
        <f>COUNTIFS('Safety Bulletins'!$J$4:$J$5003,"Critical",'Safety Bulletins'!$D$4:$D$5003,mCrit)+COUNTIFS('Safety Bulletins'!$J$4:$J$5003,"High",'Safety Bulletins'!$D$4:$D$5003,mCrit)</f>
        <v>0</v>
      </c>
    </row>
    <row r="362" spans="2:34">
      <c r="B362" s="19" t="s">
        <v>76</v>
      </c>
      <c r="C362" s="20">
        <f>COUNTIFS('Safety Bulletins'!$D$4:$D$5003,"Jul")</f>
        <v>0</v>
      </c>
    </row>
    <row r="363" spans="2:34">
      <c r="B363" s="19" t="s">
        <v>86</v>
      </c>
      <c r="C363" s="20">
        <f>COUNTIFS('Safety Bulletins'!$D$4:$D$5003,"Aug")</f>
        <v>0</v>
      </c>
    </row>
    <row r="364" spans="2:34">
      <c r="B364" s="19" t="s">
        <v>102</v>
      </c>
      <c r="C364" s="20">
        <f>COUNTIFS('Safety Bulletins'!$D$4:$D$5003,"Sep")</f>
        <v>0</v>
      </c>
    </row>
    <row r="365" spans="2:34">
      <c r="B365" s="19" t="s">
        <v>106</v>
      </c>
      <c r="C365" s="20">
        <f>COUNTIFS('Safety Bulletins'!$D$4:$D$5003,"Oct")</f>
        <v>0</v>
      </c>
    </row>
    <row r="366" spans="2:34">
      <c r="B366" s="19" t="s">
        <v>111</v>
      </c>
      <c r="C366" s="20">
        <f>COUNTIFS('Safety Bulletins'!$D$4:$D$5003,"Nov")</f>
        <v>0</v>
      </c>
    </row>
    <row r="367" spans="2:34">
      <c r="B367" s="19" t="s">
        <v>122</v>
      </c>
      <c r="C367" s="20">
        <f>COUNTIFS('Safety Bulletins'!$D$4:$D$5003,"Dec")</f>
        <v>0</v>
      </c>
    </row>
    <row r="380" spans="2:34">
      <c r="B380" s="17" t="s">
        <v>1849</v>
      </c>
    </row>
    <row r="381" spans="2:34">
      <c r="B381" s="10" t="s">
        <v>127</v>
      </c>
      <c r="C381" s="10" t="s">
        <v>1782</v>
      </c>
      <c r="E381" s="10" t="s">
        <v>701</v>
      </c>
      <c r="F381" s="10" t="s">
        <v>1782</v>
      </c>
      <c r="G381" s="10" t="s">
        <v>412</v>
      </c>
      <c r="H381" s="10" t="s">
        <v>1782</v>
      </c>
      <c r="J381" s="10" t="s">
        <v>287</v>
      </c>
      <c r="K381" s="10" t="s">
        <v>1782</v>
      </c>
      <c r="M381" s="10" t="s">
        <v>1726</v>
      </c>
      <c r="N381" s="10" t="s">
        <v>1817</v>
      </c>
      <c r="U381" s="10" t="s">
        <v>1826</v>
      </c>
      <c r="V381" s="10" t="s">
        <v>3</v>
      </c>
      <c r="W381" s="10" t="s">
        <v>19</v>
      </c>
      <c r="X381" s="10" t="s">
        <v>44</v>
      </c>
      <c r="Y381" s="10" t="s">
        <v>53</v>
      </c>
      <c r="Z381" s="10" t="s">
        <v>60</v>
      </c>
      <c r="AA381" s="10" t="s">
        <v>73</v>
      </c>
      <c r="AB381" s="10" t="s">
        <v>76</v>
      </c>
      <c r="AC381" s="10" t="s">
        <v>86</v>
      </c>
      <c r="AD381" s="10" t="s">
        <v>102</v>
      </c>
      <c r="AE381" s="10" t="s">
        <v>106</v>
      </c>
      <c r="AF381" s="10" t="s">
        <v>111</v>
      </c>
      <c r="AG381" s="10" t="s">
        <v>122</v>
      </c>
      <c r="AH381" s="10" t="s">
        <v>1827</v>
      </c>
    </row>
    <row r="382" spans="2:34">
      <c r="B382" s="19" t="s">
        <v>3</v>
      </c>
      <c r="C382" s="20">
        <f>COUNTIFS('Emergency Drills'!$D$4:$D$5003,"Jan")</f>
        <v>0</v>
      </c>
      <c r="E382" s="11" t="s">
        <v>649</v>
      </c>
      <c r="F382" s="20">
        <f>COUNTIFS('Emergency Drills'!$E$4:$E$5003,"Fire Evacuation",'Emergency Drills'!$D$4:$D$5003,mCrit)</f>
        <v>0</v>
      </c>
      <c r="G382" s="11" t="s">
        <v>10</v>
      </c>
      <c r="H382" s="20">
        <f>COUNTIFS('Emergency Drills'!$M$4:$M$5003,"Excellent",'Emergency Drills'!$D$4:$D$5003,mCrit)</f>
        <v>0</v>
      </c>
      <c r="J382" s="11" t="s">
        <v>254</v>
      </c>
      <c r="K382" s="20">
        <f>COUNTIFS('Emergency Drills'!$O$4:$O$5003,"In Progress",'Emergency Drills'!$D$4:$D$5003,mCrit)</f>
        <v>0</v>
      </c>
      <c r="M382" s="11" t="s">
        <v>1821</v>
      </c>
      <c r="N382" s="20">
        <f>COUNTIFS('Emergency Drills'!$D$4:$D$5003,mCrit)</f>
        <v>0</v>
      </c>
      <c r="U382" s="11" t="s">
        <v>1825</v>
      </c>
      <c r="V382" s="20">
        <f>COUNTIFS('Emergency Drills'!$D$4:$D$5003,"Jan")</f>
        <v>0</v>
      </c>
      <c r="W382" s="20">
        <f>COUNTIFS('Emergency Drills'!$D$4:$D$5003,"Feb")</f>
        <v>0</v>
      </c>
      <c r="X382" s="20">
        <f>COUNTIFS('Emergency Drills'!$D$4:$D$5003,"Mar")</f>
        <v>0</v>
      </c>
      <c r="Y382" s="20">
        <f>COUNTIFS('Emergency Drills'!$D$4:$D$5003,"Apr")</f>
        <v>0</v>
      </c>
      <c r="Z382" s="20">
        <f>COUNTIFS('Emergency Drills'!$D$4:$D$5003,"May")</f>
        <v>0</v>
      </c>
      <c r="AA382" s="20">
        <f>COUNTIFS('Emergency Drills'!$D$4:$D$5003,"Jun")</f>
        <v>0</v>
      </c>
      <c r="AB382" s="20">
        <f>COUNTIFS('Emergency Drills'!$D$4:$D$5003,"Jul")</f>
        <v>0</v>
      </c>
      <c r="AC382" s="20">
        <f>COUNTIFS('Emergency Drills'!$D$4:$D$5003,"Aug")</f>
        <v>0</v>
      </c>
      <c r="AD382" s="20">
        <f>COUNTIFS('Emergency Drills'!$D$4:$D$5003,"Sep")</f>
        <v>0</v>
      </c>
      <c r="AE382" s="20">
        <f>COUNTIFS('Emergency Drills'!$D$4:$D$5003,"Oct")</f>
        <v>0</v>
      </c>
      <c r="AF382" s="20">
        <f>COUNTIFS('Emergency Drills'!$D$4:$D$5003,"Nov")</f>
        <v>0</v>
      </c>
      <c r="AG382" s="20">
        <f>COUNTIFS('Emergency Drills'!$D$4:$D$5003,"Dec")</f>
        <v>0</v>
      </c>
      <c r="AH382" s="20">
        <f>SUM(V382:AG382)</f>
        <v>0</v>
      </c>
    </row>
    <row r="383" spans="2:34">
      <c r="B383" s="19" t="s">
        <v>19</v>
      </c>
      <c r="C383" s="20">
        <f>COUNTIFS('Emergency Drills'!$D$4:$D$5003,"Feb")</f>
        <v>0</v>
      </c>
      <c r="E383" s="11" t="s">
        <v>657</v>
      </c>
      <c r="F383" s="20">
        <f>COUNTIFS('Emergency Drills'!$E$4:$E$5003,"Chemical Spill",'Emergency Drills'!$D$4:$D$5003,mCrit)</f>
        <v>0</v>
      </c>
      <c r="G383" s="11" t="s">
        <v>42</v>
      </c>
      <c r="H383" s="20">
        <f>COUNTIFS('Emergency Drills'!$M$4:$M$5003,"Good",'Emergency Drills'!$D$4:$D$5003,mCrit)</f>
        <v>0</v>
      </c>
      <c r="J383" s="11" t="s">
        <v>293</v>
      </c>
      <c r="K383" s="20">
        <f>COUNTIFS('Emergency Drills'!$O$4:$O$5003,"Closed",'Emergency Drills'!$D$4:$D$5003,mCrit)</f>
        <v>0</v>
      </c>
      <c r="M383" s="11" t="s">
        <v>1829</v>
      </c>
      <c r="N383" s="21">
        <f>IFERROR((COUNTIFS('Emergency Drills'!$O$4:$O$5003,"Closed",'Emergency Drills'!$D$4:$D$5003,mCrit))/COUNTIFS('Emergency Drills'!$D$4:$D$5003,mCrit)*100,0)</f>
        <v>0</v>
      </c>
      <c r="U383" s="11" t="s">
        <v>1833</v>
      </c>
      <c r="V383" s="21">
        <f>IFERROR((COUNTIFS('Emergency Drills'!$O$4:$O$5003,"Closed",'Emergency Drills'!$D$4:$D$5003,"Jan"))/COUNTIFS('Emergency Drills'!$D$4:$D$5003,"Jan")*100,0)</f>
        <v>0</v>
      </c>
      <c r="W383" s="21">
        <f>IFERROR((COUNTIFS('Emergency Drills'!$O$4:$O$5003,"Closed",'Emergency Drills'!$D$4:$D$5003,"Feb"))/COUNTIFS('Emergency Drills'!$D$4:$D$5003,"Feb")*100,0)</f>
        <v>0</v>
      </c>
      <c r="X383" s="21">
        <f>IFERROR((COUNTIFS('Emergency Drills'!$O$4:$O$5003,"Closed",'Emergency Drills'!$D$4:$D$5003,"Mar"))/COUNTIFS('Emergency Drills'!$D$4:$D$5003,"Mar")*100,0)</f>
        <v>0</v>
      </c>
      <c r="Y383" s="21">
        <f>IFERROR((COUNTIFS('Emergency Drills'!$O$4:$O$5003,"Closed",'Emergency Drills'!$D$4:$D$5003,"Apr"))/COUNTIFS('Emergency Drills'!$D$4:$D$5003,"Apr")*100,0)</f>
        <v>0</v>
      </c>
      <c r="Z383" s="21">
        <f>IFERROR((COUNTIFS('Emergency Drills'!$O$4:$O$5003,"Closed",'Emergency Drills'!$D$4:$D$5003,"May"))/COUNTIFS('Emergency Drills'!$D$4:$D$5003,"May")*100,0)</f>
        <v>0</v>
      </c>
      <c r="AA383" s="21">
        <f>IFERROR((COUNTIFS('Emergency Drills'!$O$4:$O$5003,"Closed",'Emergency Drills'!$D$4:$D$5003,"Jun"))/COUNTIFS('Emergency Drills'!$D$4:$D$5003,"Jun")*100,0)</f>
        <v>0</v>
      </c>
      <c r="AB383" s="21">
        <f>IFERROR((COUNTIFS('Emergency Drills'!$O$4:$O$5003,"Closed",'Emergency Drills'!$D$4:$D$5003,"Jul"))/COUNTIFS('Emergency Drills'!$D$4:$D$5003,"Jul")*100,0)</f>
        <v>0</v>
      </c>
      <c r="AC383" s="21">
        <f>IFERROR((COUNTIFS('Emergency Drills'!$O$4:$O$5003,"Closed",'Emergency Drills'!$D$4:$D$5003,"Aug"))/COUNTIFS('Emergency Drills'!$D$4:$D$5003,"Aug")*100,0)</f>
        <v>0</v>
      </c>
      <c r="AD383" s="21">
        <f>IFERROR((COUNTIFS('Emergency Drills'!$O$4:$O$5003,"Closed",'Emergency Drills'!$D$4:$D$5003,"Sep"))/COUNTIFS('Emergency Drills'!$D$4:$D$5003,"Sep")*100,0)</f>
        <v>0</v>
      </c>
      <c r="AE383" s="21">
        <f>IFERROR((COUNTIFS('Emergency Drills'!$O$4:$O$5003,"Closed",'Emergency Drills'!$D$4:$D$5003,"Oct"))/COUNTIFS('Emergency Drills'!$D$4:$D$5003,"Oct")*100,0)</f>
        <v>0</v>
      </c>
      <c r="AF383" s="21">
        <f>IFERROR((COUNTIFS('Emergency Drills'!$O$4:$O$5003,"Closed",'Emergency Drills'!$D$4:$D$5003,"Nov"))/COUNTIFS('Emergency Drills'!$D$4:$D$5003,"Nov")*100,0)</f>
        <v>0</v>
      </c>
      <c r="AG383" s="21">
        <f>IFERROR((COUNTIFS('Emergency Drills'!$O$4:$O$5003,"Closed",'Emergency Drills'!$D$4:$D$5003,"Dec"))/COUNTIFS('Emergency Drills'!$D$4:$D$5003,"Dec")*100,0)</f>
        <v>0</v>
      </c>
      <c r="AH383" s="21">
        <f>IFERROR(AVERAGE(V383:AG383),0)</f>
        <v>0</v>
      </c>
    </row>
    <row r="384" spans="2:34">
      <c r="B384" s="19" t="s">
        <v>44</v>
      </c>
      <c r="C384" s="20">
        <f>COUNTIFS('Emergency Drills'!$D$4:$D$5003,"Mar")</f>
        <v>0</v>
      </c>
      <c r="E384" s="11" t="s">
        <v>654</v>
      </c>
      <c r="F384" s="20">
        <f>COUNTIFS('Emergency Drills'!$E$4:$E$5003,"Medical Emergency",'Emergency Drills'!$D$4:$D$5003,mCrit)</f>
        <v>0</v>
      </c>
      <c r="G384" s="11" t="s">
        <v>17</v>
      </c>
      <c r="H384" s="20">
        <f>COUNTIFS('Emergency Drills'!$M$4:$M$5003,"Satisfactory",'Emergency Drills'!$D$4:$D$5003,mCrit)</f>
        <v>0</v>
      </c>
      <c r="J384" s="11" t="s">
        <v>297</v>
      </c>
      <c r="K384" s="20">
        <f>COUNTIFS('Emergency Drills'!$O$4:$O$5003,"Open",'Emergency Drills'!$D$4:$D$5003,mCrit)</f>
        <v>0</v>
      </c>
      <c r="M384" s="11" t="s">
        <v>1830</v>
      </c>
      <c r="N384" s="20">
        <f>COUNTIFS('Emergency Drills'!$O$4:$O$5003,"Open",'Emergency Drills'!$D$4:$D$5003,mCrit)+COUNTIFS('Emergency Drills'!$O$4:$O$5003,"In Progress",'Emergency Drills'!$D$4:$D$5003,mCrit)+COUNTIFS('Emergency Drills'!$O$4:$O$5003,"Overdue",'Emergency Drills'!$D$4:$D$5003,mCrit)</f>
        <v>0</v>
      </c>
      <c r="U384" s="11" t="s">
        <v>1850</v>
      </c>
      <c r="V384" s="21">
        <f>IFERROR(AVERAGEIFS('Emergency Drills'!$J$4:$J$5003,'Emergency Drills'!$D$4:$D$5003,"Jan"),0)</f>
        <v>0</v>
      </c>
      <c r="W384" s="21">
        <f>IFERROR(AVERAGEIFS('Emergency Drills'!$J$4:$J$5003,'Emergency Drills'!$D$4:$D$5003,"Feb"),0)</f>
        <v>0</v>
      </c>
      <c r="X384" s="21">
        <f>IFERROR(AVERAGEIFS('Emergency Drills'!$J$4:$J$5003,'Emergency Drills'!$D$4:$D$5003,"Mar"),0)</f>
        <v>0</v>
      </c>
      <c r="Y384" s="21">
        <f>IFERROR(AVERAGEIFS('Emergency Drills'!$J$4:$J$5003,'Emergency Drills'!$D$4:$D$5003,"Apr"),0)</f>
        <v>0</v>
      </c>
      <c r="Z384" s="21">
        <f>IFERROR(AVERAGEIFS('Emergency Drills'!$J$4:$J$5003,'Emergency Drills'!$D$4:$D$5003,"May"),0)</f>
        <v>0</v>
      </c>
      <c r="AA384" s="21">
        <f>IFERROR(AVERAGEIFS('Emergency Drills'!$J$4:$J$5003,'Emergency Drills'!$D$4:$D$5003,"Jun"),0)</f>
        <v>0</v>
      </c>
      <c r="AB384" s="21">
        <f>IFERROR(AVERAGEIFS('Emergency Drills'!$J$4:$J$5003,'Emergency Drills'!$D$4:$D$5003,"Jul"),0)</f>
        <v>0</v>
      </c>
      <c r="AC384" s="21">
        <f>IFERROR(AVERAGEIFS('Emergency Drills'!$J$4:$J$5003,'Emergency Drills'!$D$4:$D$5003,"Aug"),0)</f>
        <v>0</v>
      </c>
      <c r="AD384" s="21">
        <f>IFERROR(AVERAGEIFS('Emergency Drills'!$J$4:$J$5003,'Emergency Drills'!$D$4:$D$5003,"Sep"),0)</f>
        <v>0</v>
      </c>
      <c r="AE384" s="21">
        <f>IFERROR(AVERAGEIFS('Emergency Drills'!$J$4:$J$5003,'Emergency Drills'!$D$4:$D$5003,"Oct"),0)</f>
        <v>0</v>
      </c>
      <c r="AF384" s="21">
        <f>IFERROR(AVERAGEIFS('Emergency Drills'!$J$4:$J$5003,'Emergency Drills'!$D$4:$D$5003,"Nov"),0)</f>
        <v>0</v>
      </c>
      <c r="AG384" s="21">
        <f>IFERROR(AVERAGEIFS('Emergency Drills'!$J$4:$J$5003,'Emergency Drills'!$D$4:$D$5003,"Dec"),0)</f>
        <v>0</v>
      </c>
      <c r="AH384" s="21">
        <f>IFERROR(AVERAGE(V384:AG384),0)</f>
        <v>0</v>
      </c>
    </row>
    <row r="385" spans="2:14">
      <c r="B385" s="19" t="s">
        <v>53</v>
      </c>
      <c r="C385" s="20">
        <f>COUNTIFS('Emergency Drills'!$D$4:$D$5003,"Apr")</f>
        <v>0</v>
      </c>
      <c r="E385" s="11" t="s">
        <v>651</v>
      </c>
      <c r="F385" s="20">
        <f>COUNTIFS('Emergency Drills'!$E$4:$E$5003,"Gas Leak",'Emergency Drills'!$D$4:$D$5003,mCrit)</f>
        <v>0</v>
      </c>
      <c r="G385" s="11" t="s">
        <v>96</v>
      </c>
      <c r="H385" s="20">
        <f>COUNTIFS('Emergency Drills'!$M$4:$M$5003,"Needs Improvement",'Emergency Drills'!$D$4:$D$5003,mCrit)</f>
        <v>0</v>
      </c>
      <c r="J385" s="11" t="s">
        <v>238</v>
      </c>
      <c r="K385" s="20">
        <f>COUNTIFS('Emergency Drills'!$O$4:$O$5003,"Overdue",'Emergency Drills'!$D$4:$D$5003,mCrit)</f>
        <v>0</v>
      </c>
      <c r="M385" s="11" t="s">
        <v>238</v>
      </c>
      <c r="N385" s="20">
        <f>COUNTIFS('Emergency Drills'!$O$4:$O$5003,"Overdue",'Emergency Drills'!$D$4:$D$5003,mCrit)</f>
        <v>0</v>
      </c>
    </row>
    <row r="386" spans="2:14">
      <c r="B386" s="19" t="s">
        <v>60</v>
      </c>
      <c r="C386" s="20">
        <f>COUNTIFS('Emergency Drills'!$D$4:$D$5003,"May")</f>
        <v>0</v>
      </c>
      <c r="E386" s="11" t="s">
        <v>647</v>
      </c>
      <c r="F386" s="20">
        <f>COUNTIFS('Emergency Drills'!$E$4:$E$5003,"Confined Space Rescue",'Emergency Drills'!$D$4:$D$5003,mCrit)</f>
        <v>0</v>
      </c>
      <c r="G386" s="11" t="s">
        <v>24</v>
      </c>
      <c r="H386" s="20">
        <f>COUNTIFS('Emergency Drills'!$M$4:$M$5003,"Unsatisfactory",'Emergency Drills'!$D$4:$D$5003,mCrit)</f>
        <v>0</v>
      </c>
      <c r="M386" s="11" t="s">
        <v>1850</v>
      </c>
      <c r="N386" s="21">
        <f>IFERROR(AVERAGEIFS('Emergency Drills'!$J$4:$J$5003,'Emergency Drills'!$D$4:$D$5003,mCrit),0)</f>
        <v>0</v>
      </c>
    </row>
    <row r="387" spans="2:14">
      <c r="B387" s="19" t="s">
        <v>73</v>
      </c>
      <c r="C387" s="20">
        <f>COUNTIFS('Emergency Drills'!$D$4:$D$5003,"Jun")</f>
        <v>0</v>
      </c>
      <c r="E387" s="11" t="s">
        <v>659</v>
      </c>
      <c r="F387" s="20">
        <f>COUNTIFS('Emergency Drills'!$E$4:$E$5003,"Earthquake",'Emergency Drills'!$D$4:$D$5003,mCrit)</f>
        <v>0</v>
      </c>
      <c r="M387" s="11" t="s">
        <v>1851</v>
      </c>
      <c r="N387" s="20">
        <f>IFERROR(AVERAGEIFS('Emergency Drills'!$L$4:$L$5003,'Emergency Drills'!$D$4:$D$5003,mCrit),0)</f>
        <v>0</v>
      </c>
    </row>
    <row r="388" spans="2:14">
      <c r="B388" s="19" t="s">
        <v>76</v>
      </c>
      <c r="C388" s="20">
        <f>COUNTIFS('Emergency Drills'!$D$4:$D$5003,"Jul")</f>
        <v>0</v>
      </c>
      <c r="M388" s="11" t="s">
        <v>1852</v>
      </c>
      <c r="N388" s="20">
        <f>COUNTIFS('Emergency Drills'!$M$4:$M$5003,"Excellent",'Emergency Drills'!$D$4:$D$5003,mCrit)+COUNTIFS('Emergency Drills'!$M$4:$M$5003,"Good",'Emergency Drills'!$D$4:$D$5003,mCrit)</f>
        <v>0</v>
      </c>
    </row>
    <row r="389" spans="2:14">
      <c r="B389" s="19" t="s">
        <v>86</v>
      </c>
      <c r="C389" s="20">
        <f>COUNTIFS('Emergency Drills'!$D$4:$D$5003,"Aug")</f>
        <v>0</v>
      </c>
    </row>
    <row r="390" spans="2:14">
      <c r="B390" s="19" t="s">
        <v>102</v>
      </c>
      <c r="C390" s="20">
        <f>COUNTIFS('Emergency Drills'!$D$4:$D$5003,"Sep")</f>
        <v>0</v>
      </c>
    </row>
    <row r="391" spans="2:14">
      <c r="B391" s="19" t="s">
        <v>106</v>
      </c>
      <c r="C391" s="20">
        <f>COUNTIFS('Emergency Drills'!$D$4:$D$5003,"Oct")</f>
        <v>0</v>
      </c>
    </row>
    <row r="392" spans="2:14">
      <c r="B392" s="19" t="s">
        <v>111</v>
      </c>
      <c r="C392" s="20">
        <f>COUNTIFS('Emergency Drills'!$D$4:$D$5003,"Nov")</f>
        <v>0</v>
      </c>
    </row>
    <row r="393" spans="2:14">
      <c r="B393" s="19" t="s">
        <v>122</v>
      </c>
      <c r="C393" s="20">
        <f>COUNTIFS('Emergency Drills'!$D$4:$D$5003,"Dec")</f>
        <v>0</v>
      </c>
    </row>
    <row r="406" spans="2:34">
      <c r="B406" s="17" t="s">
        <v>1853</v>
      </c>
    </row>
    <row r="407" spans="2:34">
      <c r="B407" s="10" t="s">
        <v>127</v>
      </c>
      <c r="C407" s="10" t="s">
        <v>1782</v>
      </c>
      <c r="E407" s="10" t="s">
        <v>766</v>
      </c>
      <c r="F407" s="10" t="s">
        <v>1782</v>
      </c>
      <c r="J407" s="10" t="s">
        <v>287</v>
      </c>
      <c r="K407" s="10" t="s">
        <v>1782</v>
      </c>
      <c r="M407" s="10" t="s">
        <v>1726</v>
      </c>
      <c r="N407" s="10" t="s">
        <v>1817</v>
      </c>
      <c r="P407" s="10" t="s">
        <v>129</v>
      </c>
      <c r="Q407" s="10" t="s">
        <v>1782</v>
      </c>
      <c r="R407" s="10" t="s">
        <v>1832</v>
      </c>
      <c r="S407" s="10" t="s">
        <v>1825</v>
      </c>
      <c r="U407" s="10" t="s">
        <v>1826</v>
      </c>
      <c r="V407" s="10" t="s">
        <v>3</v>
      </c>
      <c r="W407" s="10" t="s">
        <v>19</v>
      </c>
      <c r="X407" s="10" t="s">
        <v>44</v>
      </c>
      <c r="Y407" s="10" t="s">
        <v>53</v>
      </c>
      <c r="Z407" s="10" t="s">
        <v>60</v>
      </c>
      <c r="AA407" s="10" t="s">
        <v>73</v>
      </c>
      <c r="AB407" s="10" t="s">
        <v>76</v>
      </c>
      <c r="AC407" s="10" t="s">
        <v>86</v>
      </c>
      <c r="AD407" s="10" t="s">
        <v>102</v>
      </c>
      <c r="AE407" s="10" t="s">
        <v>106</v>
      </c>
      <c r="AF407" s="10" t="s">
        <v>111</v>
      </c>
      <c r="AG407" s="10" t="s">
        <v>122</v>
      </c>
      <c r="AH407" s="10" t="s">
        <v>1827</v>
      </c>
    </row>
    <row r="408" spans="2:34">
      <c r="B408" s="19" t="s">
        <v>3</v>
      </c>
      <c r="C408" s="20">
        <f>COUNTIFS('Internal Audits'!$D$4:$D$5003,"Jan",'Internal Audits'!$G$4:$G$5003,dCrit)</f>
        <v>0</v>
      </c>
      <c r="E408" s="11" t="s">
        <v>715</v>
      </c>
      <c r="F408" s="20">
        <f>COUNTIFS('Internal Audits'!$F$4:$F$5003,"System Audit",'Internal Audits'!$D$4:$D$5003,mCrit,'Internal Audits'!$G$4:$G$5003,dCrit)</f>
        <v>0</v>
      </c>
      <c r="J408" s="11" t="s">
        <v>238</v>
      </c>
      <c r="K408" s="20">
        <f>COUNTIFS('Internal Audits'!$P$4:$P$5003,"Overdue",'Internal Audits'!$D$4:$D$5003,mCrit,'Internal Audits'!$G$4:$G$5003,dCrit)</f>
        <v>0</v>
      </c>
      <c r="M408" s="11" t="s">
        <v>1821</v>
      </c>
      <c r="N408" s="20">
        <f>COUNTIFS('Internal Audits'!$D$4:$D$5003,mCrit,'Internal Audits'!$G$4:$G$5003,dCrit)</f>
        <v>0</v>
      </c>
      <c r="P408" s="11" t="s">
        <v>27</v>
      </c>
      <c r="Q408" s="20">
        <f>COUNTIFS('Internal Audits'!$D$4:$D$5003,mCrit,'Internal Audits'!$G$4:$G$5003,"Operations")</f>
        <v>0</v>
      </c>
      <c r="R408" s="21">
        <f>IFERROR((COUNTIFS('Internal Audits'!$P$4:$P$5003,"Closed",'Internal Audits'!$D$4:$D$5003,mCrit,'Internal Audits'!$G$4:$G$5003,"Operations"))/COUNTIFS('Internal Audits'!$D$4:$D$5003,mCrit,'Internal Audits'!$G$4:$G$5003,"Operations")*100,0)</f>
        <v>0</v>
      </c>
      <c r="S408" s="20">
        <f>COUNTIFS('Internal Audits'!$D$4:$D$5003,mCrit,'Internal Audits'!$G$4:$G$5003,"Operations")</f>
        <v>0</v>
      </c>
      <c r="U408" s="11" t="s">
        <v>1825</v>
      </c>
      <c r="V408" s="20">
        <f>COUNTIFS('Internal Audits'!$D$4:$D$5003,"Jan",'Internal Audits'!$G$4:$G$5003,dCrit)</f>
        <v>0</v>
      </c>
      <c r="W408" s="20">
        <f>COUNTIFS('Internal Audits'!$D$4:$D$5003,"Feb",'Internal Audits'!$G$4:$G$5003,dCrit)</f>
        <v>0</v>
      </c>
      <c r="X408" s="20">
        <f>COUNTIFS('Internal Audits'!$D$4:$D$5003,"Mar",'Internal Audits'!$G$4:$G$5003,dCrit)</f>
        <v>0</v>
      </c>
      <c r="Y408" s="20">
        <f>COUNTIFS('Internal Audits'!$D$4:$D$5003,"Apr",'Internal Audits'!$G$4:$G$5003,dCrit)</f>
        <v>0</v>
      </c>
      <c r="Z408" s="20">
        <f>COUNTIFS('Internal Audits'!$D$4:$D$5003,"May",'Internal Audits'!$G$4:$G$5003,dCrit)</f>
        <v>0</v>
      </c>
      <c r="AA408" s="20">
        <f>COUNTIFS('Internal Audits'!$D$4:$D$5003,"Jun",'Internal Audits'!$G$4:$G$5003,dCrit)</f>
        <v>0</v>
      </c>
      <c r="AB408" s="20">
        <f>COUNTIFS('Internal Audits'!$D$4:$D$5003,"Jul",'Internal Audits'!$G$4:$G$5003,dCrit)</f>
        <v>0</v>
      </c>
      <c r="AC408" s="20">
        <f>COUNTIFS('Internal Audits'!$D$4:$D$5003,"Aug",'Internal Audits'!$G$4:$G$5003,dCrit)</f>
        <v>0</v>
      </c>
      <c r="AD408" s="20">
        <f>COUNTIFS('Internal Audits'!$D$4:$D$5003,"Sep",'Internal Audits'!$G$4:$G$5003,dCrit)</f>
        <v>0</v>
      </c>
      <c r="AE408" s="20">
        <f>COUNTIFS('Internal Audits'!$D$4:$D$5003,"Oct",'Internal Audits'!$G$4:$G$5003,dCrit)</f>
        <v>0</v>
      </c>
      <c r="AF408" s="20">
        <f>COUNTIFS('Internal Audits'!$D$4:$D$5003,"Nov",'Internal Audits'!$G$4:$G$5003,dCrit)</f>
        <v>0</v>
      </c>
      <c r="AG408" s="20">
        <f>COUNTIFS('Internal Audits'!$D$4:$D$5003,"Dec",'Internal Audits'!$G$4:$G$5003,dCrit)</f>
        <v>0</v>
      </c>
      <c r="AH408" s="20">
        <f>SUM(V408:AG408)</f>
        <v>0</v>
      </c>
    </row>
    <row r="409" spans="2:34">
      <c r="B409" s="19" t="s">
        <v>19</v>
      </c>
      <c r="C409" s="20">
        <f>COUNTIFS('Internal Audits'!$D$4:$D$5003,"Feb",'Internal Audits'!$G$4:$G$5003,dCrit)</f>
        <v>0</v>
      </c>
      <c r="E409" s="11" t="s">
        <v>740</v>
      </c>
      <c r="F409" s="20">
        <f>COUNTIFS('Internal Audits'!$F$4:$F$5003,"Compliance Audit",'Internal Audits'!$D$4:$D$5003,mCrit,'Internal Audits'!$G$4:$G$5003,dCrit)</f>
        <v>0</v>
      </c>
      <c r="J409" s="11" t="s">
        <v>293</v>
      </c>
      <c r="K409" s="20">
        <f>COUNTIFS('Internal Audits'!$P$4:$P$5003,"Closed",'Internal Audits'!$D$4:$D$5003,mCrit,'Internal Audits'!$G$4:$G$5003,dCrit)</f>
        <v>0</v>
      </c>
      <c r="M409" s="11" t="s">
        <v>1829</v>
      </c>
      <c r="N409" s="21">
        <f>IFERROR((COUNTIFS('Internal Audits'!$P$4:$P$5003,"Closed",'Internal Audits'!$D$4:$D$5003,mCrit,'Internal Audits'!$G$4:$G$5003,dCrit))/COUNTIFS('Internal Audits'!$D$4:$D$5003,mCrit,'Internal Audits'!$G$4:$G$5003,dCrit)*100,0)</f>
        <v>0</v>
      </c>
      <c r="P409" s="11" t="s">
        <v>92</v>
      </c>
      <c r="Q409" s="20">
        <f>COUNTIFS('Internal Audits'!$D$4:$D$5003,mCrit,'Internal Audits'!$G$4:$G$5003,"Maintenance")</f>
        <v>0</v>
      </c>
      <c r="R409" s="21">
        <f>IFERROR((COUNTIFS('Internal Audits'!$P$4:$P$5003,"Closed",'Internal Audits'!$D$4:$D$5003,mCrit,'Internal Audits'!$G$4:$G$5003,"Maintenance"))/COUNTIFS('Internal Audits'!$D$4:$D$5003,mCrit,'Internal Audits'!$G$4:$G$5003,"Maintenance")*100,0)</f>
        <v>0</v>
      </c>
      <c r="S409" s="20">
        <f>COUNTIFS('Internal Audits'!$D$4:$D$5003,mCrit,'Internal Audits'!$G$4:$G$5003,"Maintenance")</f>
        <v>0</v>
      </c>
      <c r="U409" s="11" t="s">
        <v>1833</v>
      </c>
      <c r="V409" s="21">
        <f>IFERROR((COUNTIFS('Internal Audits'!$P$4:$P$5003,"Closed",'Internal Audits'!$D$4:$D$5003,"Jan",'Internal Audits'!$G$4:$G$5003,dCrit))/COUNTIFS('Internal Audits'!$D$4:$D$5003,"Jan",'Internal Audits'!$G$4:$G$5003,dCrit)*100,0)</f>
        <v>0</v>
      </c>
      <c r="W409" s="21">
        <f>IFERROR((COUNTIFS('Internal Audits'!$P$4:$P$5003,"Closed",'Internal Audits'!$D$4:$D$5003,"Feb",'Internal Audits'!$G$4:$G$5003,dCrit))/COUNTIFS('Internal Audits'!$D$4:$D$5003,"Feb",'Internal Audits'!$G$4:$G$5003,dCrit)*100,0)</f>
        <v>0</v>
      </c>
      <c r="X409" s="21">
        <f>IFERROR((COUNTIFS('Internal Audits'!$P$4:$P$5003,"Closed",'Internal Audits'!$D$4:$D$5003,"Mar",'Internal Audits'!$G$4:$G$5003,dCrit))/COUNTIFS('Internal Audits'!$D$4:$D$5003,"Mar",'Internal Audits'!$G$4:$G$5003,dCrit)*100,0)</f>
        <v>0</v>
      </c>
      <c r="Y409" s="21">
        <f>IFERROR((COUNTIFS('Internal Audits'!$P$4:$P$5003,"Closed",'Internal Audits'!$D$4:$D$5003,"Apr",'Internal Audits'!$G$4:$G$5003,dCrit))/COUNTIFS('Internal Audits'!$D$4:$D$5003,"Apr",'Internal Audits'!$G$4:$G$5003,dCrit)*100,0)</f>
        <v>0</v>
      </c>
      <c r="Z409" s="21">
        <f>IFERROR((COUNTIFS('Internal Audits'!$P$4:$P$5003,"Closed",'Internal Audits'!$D$4:$D$5003,"May",'Internal Audits'!$G$4:$G$5003,dCrit))/COUNTIFS('Internal Audits'!$D$4:$D$5003,"May",'Internal Audits'!$G$4:$G$5003,dCrit)*100,0)</f>
        <v>0</v>
      </c>
      <c r="AA409" s="21">
        <f>IFERROR((COUNTIFS('Internal Audits'!$P$4:$P$5003,"Closed",'Internal Audits'!$D$4:$D$5003,"Jun",'Internal Audits'!$G$4:$G$5003,dCrit))/COUNTIFS('Internal Audits'!$D$4:$D$5003,"Jun",'Internal Audits'!$G$4:$G$5003,dCrit)*100,0)</f>
        <v>0</v>
      </c>
      <c r="AB409" s="21">
        <f>IFERROR((COUNTIFS('Internal Audits'!$P$4:$P$5003,"Closed",'Internal Audits'!$D$4:$D$5003,"Jul",'Internal Audits'!$G$4:$G$5003,dCrit))/COUNTIFS('Internal Audits'!$D$4:$D$5003,"Jul",'Internal Audits'!$G$4:$G$5003,dCrit)*100,0)</f>
        <v>0</v>
      </c>
      <c r="AC409" s="21">
        <f>IFERROR((COUNTIFS('Internal Audits'!$P$4:$P$5003,"Closed",'Internal Audits'!$D$4:$D$5003,"Aug",'Internal Audits'!$G$4:$G$5003,dCrit))/COUNTIFS('Internal Audits'!$D$4:$D$5003,"Aug",'Internal Audits'!$G$4:$G$5003,dCrit)*100,0)</f>
        <v>0</v>
      </c>
      <c r="AD409" s="21">
        <f>IFERROR((COUNTIFS('Internal Audits'!$P$4:$P$5003,"Closed",'Internal Audits'!$D$4:$D$5003,"Sep",'Internal Audits'!$G$4:$G$5003,dCrit))/COUNTIFS('Internal Audits'!$D$4:$D$5003,"Sep",'Internal Audits'!$G$4:$G$5003,dCrit)*100,0)</f>
        <v>0</v>
      </c>
      <c r="AE409" s="21">
        <f>IFERROR((COUNTIFS('Internal Audits'!$P$4:$P$5003,"Closed",'Internal Audits'!$D$4:$D$5003,"Oct",'Internal Audits'!$G$4:$G$5003,dCrit))/COUNTIFS('Internal Audits'!$D$4:$D$5003,"Oct",'Internal Audits'!$G$4:$G$5003,dCrit)*100,0)</f>
        <v>0</v>
      </c>
      <c r="AF409" s="21">
        <f>IFERROR((COUNTIFS('Internal Audits'!$P$4:$P$5003,"Closed",'Internal Audits'!$D$4:$D$5003,"Nov",'Internal Audits'!$G$4:$G$5003,dCrit))/COUNTIFS('Internal Audits'!$D$4:$D$5003,"Nov",'Internal Audits'!$G$4:$G$5003,dCrit)*100,0)</f>
        <v>0</v>
      </c>
      <c r="AG409" s="21">
        <f>IFERROR((COUNTIFS('Internal Audits'!$P$4:$P$5003,"Closed",'Internal Audits'!$D$4:$D$5003,"Dec",'Internal Audits'!$G$4:$G$5003,dCrit))/COUNTIFS('Internal Audits'!$D$4:$D$5003,"Dec",'Internal Audits'!$G$4:$G$5003,dCrit)*100,0)</f>
        <v>0</v>
      </c>
      <c r="AH409" s="21">
        <f>IFERROR(AVERAGE(V409:AG409),0)</f>
        <v>0</v>
      </c>
    </row>
    <row r="410" spans="2:34">
      <c r="B410" s="19" t="s">
        <v>44</v>
      </c>
      <c r="C410" s="20">
        <f>COUNTIFS('Internal Audits'!$D$4:$D$5003,"Mar",'Internal Audits'!$G$4:$G$5003,dCrit)</f>
        <v>0</v>
      </c>
      <c r="E410" s="11" t="s">
        <v>717</v>
      </c>
      <c r="F410" s="20">
        <f>COUNTIFS('Internal Audits'!$F$4:$F$5003,"Process Audit",'Internal Audits'!$D$4:$D$5003,mCrit,'Internal Audits'!$G$4:$G$5003,dCrit)</f>
        <v>0</v>
      </c>
      <c r="J410" s="11" t="s">
        <v>254</v>
      </c>
      <c r="K410" s="20">
        <f>COUNTIFS('Internal Audits'!$P$4:$P$5003,"In Progress",'Internal Audits'!$D$4:$D$5003,mCrit,'Internal Audits'!$G$4:$G$5003,dCrit)</f>
        <v>0</v>
      </c>
      <c r="M410" s="11" t="s">
        <v>1830</v>
      </c>
      <c r="N410" s="20">
        <f>COUNTIFS('Internal Audits'!$P$4:$P$5003,"Open",'Internal Audits'!$D$4:$D$5003,mCrit,'Internal Audits'!$G$4:$G$5003,dCrit)+COUNTIFS('Internal Audits'!$P$4:$P$5003,"In Progress",'Internal Audits'!$D$4:$D$5003,mCrit,'Internal Audits'!$G$4:$G$5003,dCrit)+COUNTIFS('Internal Audits'!$P$4:$P$5003,"Overdue",'Internal Audits'!$D$4:$D$5003,mCrit,'Internal Audits'!$G$4:$G$5003,dCrit)</f>
        <v>0</v>
      </c>
      <c r="P410" s="11" t="s">
        <v>39</v>
      </c>
      <c r="Q410" s="20">
        <f>COUNTIFS('Internal Audits'!$D$4:$D$5003,mCrit,'Internal Audits'!$G$4:$G$5003,"Engineering")</f>
        <v>0</v>
      </c>
      <c r="R410" s="21">
        <f>IFERROR((COUNTIFS('Internal Audits'!$P$4:$P$5003,"Closed",'Internal Audits'!$D$4:$D$5003,mCrit,'Internal Audits'!$G$4:$G$5003,"Engineering"))/COUNTIFS('Internal Audits'!$D$4:$D$5003,mCrit,'Internal Audits'!$G$4:$G$5003,"Engineering")*100,0)</f>
        <v>0</v>
      </c>
      <c r="S410" s="20">
        <f>COUNTIFS('Internal Audits'!$D$4:$D$5003,mCrit,'Internal Audits'!$G$4:$G$5003,"Engineering")</f>
        <v>0</v>
      </c>
    </row>
    <row r="411" spans="2:34">
      <c r="B411" s="19" t="s">
        <v>53</v>
      </c>
      <c r="C411" s="20">
        <f>COUNTIFS('Internal Audits'!$D$4:$D$5003,"Apr",'Internal Audits'!$G$4:$G$5003,dCrit)</f>
        <v>0</v>
      </c>
      <c r="E411" s="11" t="s">
        <v>722</v>
      </c>
      <c r="F411" s="20">
        <f>COUNTIFS('Internal Audits'!$F$4:$F$5003,"Surveillance",'Internal Audits'!$D$4:$D$5003,mCrit,'Internal Audits'!$G$4:$G$5003,dCrit)</f>
        <v>0</v>
      </c>
      <c r="J411" s="11" t="s">
        <v>297</v>
      </c>
      <c r="K411" s="20">
        <f>COUNTIFS('Internal Audits'!$P$4:$P$5003,"Open",'Internal Audits'!$D$4:$D$5003,mCrit,'Internal Audits'!$G$4:$G$5003,dCrit)</f>
        <v>0</v>
      </c>
      <c r="M411" s="11" t="s">
        <v>238</v>
      </c>
      <c r="N411" s="20">
        <f>COUNTIFS('Internal Audits'!$P$4:$P$5003,"Overdue",'Internal Audits'!$D$4:$D$5003,mCrit,'Internal Audits'!$G$4:$G$5003,dCrit)</f>
        <v>0</v>
      </c>
      <c r="P411" s="11" t="s">
        <v>89</v>
      </c>
      <c r="Q411" s="20">
        <f>COUNTIFS('Internal Audits'!$D$4:$D$5003,mCrit,'Internal Audits'!$G$4:$G$5003,"Construction")</f>
        <v>0</v>
      </c>
      <c r="R411" s="21">
        <f>IFERROR((COUNTIFS('Internal Audits'!$P$4:$P$5003,"Closed",'Internal Audits'!$D$4:$D$5003,mCrit,'Internal Audits'!$G$4:$G$5003,"Construction"))/COUNTIFS('Internal Audits'!$D$4:$D$5003,mCrit,'Internal Audits'!$G$4:$G$5003,"Construction")*100,0)</f>
        <v>0</v>
      </c>
      <c r="S411" s="20">
        <f>COUNTIFS('Internal Audits'!$D$4:$D$5003,mCrit,'Internal Audits'!$G$4:$G$5003,"Construction")</f>
        <v>0</v>
      </c>
    </row>
    <row r="412" spans="2:34">
      <c r="B412" s="19" t="s">
        <v>60</v>
      </c>
      <c r="C412" s="20">
        <f>COUNTIFS('Internal Audits'!$D$4:$D$5003,"May",'Internal Audits'!$G$4:$G$5003,dCrit)</f>
        <v>0</v>
      </c>
      <c r="E412" s="11" t="s">
        <v>711</v>
      </c>
      <c r="F412" s="20">
        <f>COUNTIFS('Internal Audits'!$F$4:$F$5003,"Customer Audit",'Internal Audits'!$D$4:$D$5003,mCrit,'Internal Audits'!$G$4:$G$5003,dCrit)</f>
        <v>0</v>
      </c>
      <c r="M412" s="11" t="s">
        <v>769</v>
      </c>
      <c r="N412" s="20">
        <f>SUMIFS('Internal Audits'!$L$4:$L$5003,'Internal Audits'!$D$4:$D$5003,mCrit,'Internal Audits'!$G$4:$G$5003,dCrit)</f>
        <v>0</v>
      </c>
      <c r="P412" s="11" t="s">
        <v>65</v>
      </c>
      <c r="Q412" s="20">
        <f>COUNTIFS('Internal Audits'!$D$4:$D$5003,mCrit,'Internal Audits'!$G$4:$G$5003,"Safety")</f>
        <v>0</v>
      </c>
      <c r="R412" s="21">
        <f>IFERROR((COUNTIFS('Internal Audits'!$P$4:$P$5003,"Closed",'Internal Audits'!$D$4:$D$5003,mCrit,'Internal Audits'!$G$4:$G$5003,"Safety"))/COUNTIFS('Internal Audits'!$D$4:$D$5003,mCrit,'Internal Audits'!$G$4:$G$5003,"Safety")*100,0)</f>
        <v>0</v>
      </c>
      <c r="S412" s="20">
        <f>COUNTIFS('Internal Audits'!$D$4:$D$5003,mCrit,'Internal Audits'!$G$4:$G$5003,"Safety")</f>
        <v>0</v>
      </c>
    </row>
    <row r="413" spans="2:34">
      <c r="B413" s="19" t="s">
        <v>73</v>
      </c>
      <c r="C413" s="20">
        <f>COUNTIFS('Internal Audits'!$D$4:$D$5003,"Jun",'Internal Audits'!$G$4:$G$5003,dCrit)</f>
        <v>0</v>
      </c>
      <c r="E413" s="11" t="s">
        <v>713</v>
      </c>
      <c r="F413" s="20">
        <f>COUNTIFS('Internal Audits'!$F$4:$F$5003,"Regulatory Inspection",'Internal Audits'!$D$4:$D$5003,mCrit,'Internal Audits'!$G$4:$G$5003,dCrit)</f>
        <v>0</v>
      </c>
      <c r="M413" s="11" t="s">
        <v>770</v>
      </c>
      <c r="N413" s="20">
        <f>SUMIFS('Internal Audits'!$M$4:$M$5003,'Internal Audits'!$D$4:$D$5003,mCrit,'Internal Audits'!$G$4:$G$5003,dCrit)</f>
        <v>0</v>
      </c>
      <c r="P413" s="11" t="s">
        <v>5</v>
      </c>
      <c r="Q413" s="20">
        <f>COUNTIFS('Internal Audits'!$D$4:$D$5003,mCrit,'Internal Audits'!$G$4:$G$5003,"Logistics")</f>
        <v>0</v>
      </c>
      <c r="R413" s="21">
        <f>IFERROR((COUNTIFS('Internal Audits'!$P$4:$P$5003,"Closed",'Internal Audits'!$D$4:$D$5003,mCrit,'Internal Audits'!$G$4:$G$5003,"Logistics"))/COUNTIFS('Internal Audits'!$D$4:$D$5003,mCrit,'Internal Audits'!$G$4:$G$5003,"Logistics")*100,0)</f>
        <v>0</v>
      </c>
      <c r="S413" s="20">
        <f>COUNTIFS('Internal Audits'!$D$4:$D$5003,mCrit,'Internal Audits'!$G$4:$G$5003,"Logistics")</f>
        <v>0</v>
      </c>
    </row>
    <row r="414" spans="2:34">
      <c r="B414" s="19" t="s">
        <v>76</v>
      </c>
      <c r="C414" s="20">
        <f>COUNTIFS('Internal Audits'!$D$4:$D$5003,"Jul",'Internal Audits'!$G$4:$G$5003,dCrit)</f>
        <v>0</v>
      </c>
      <c r="M414" s="11" t="s">
        <v>1854</v>
      </c>
      <c r="N414" s="20">
        <f>IFERROR(AVERAGEIFS('Internal Audits'!$K$4:$K$5003,'Internal Audits'!$D$4:$D$5003,mCrit,'Internal Audits'!$G$4:$G$5003,dCrit),0)</f>
        <v>0</v>
      </c>
      <c r="P414" s="11" t="s">
        <v>50</v>
      </c>
      <c r="Q414" s="20">
        <f>COUNTIFS('Internal Audits'!$D$4:$D$5003,mCrit,'Internal Audits'!$G$4:$G$5003,"Quality")</f>
        <v>0</v>
      </c>
      <c r="R414" s="21">
        <f>IFERROR((COUNTIFS('Internal Audits'!$P$4:$P$5003,"Closed",'Internal Audits'!$D$4:$D$5003,mCrit,'Internal Audits'!$G$4:$G$5003,"Quality"))/COUNTIFS('Internal Audits'!$D$4:$D$5003,mCrit,'Internal Audits'!$G$4:$G$5003,"Quality")*100,0)</f>
        <v>0</v>
      </c>
      <c r="S414" s="20">
        <f>COUNTIFS('Internal Audits'!$D$4:$D$5003,mCrit,'Internal Audits'!$G$4:$G$5003,"Quality")</f>
        <v>0</v>
      </c>
    </row>
    <row r="415" spans="2:34">
      <c r="B415" s="19" t="s">
        <v>86</v>
      </c>
      <c r="C415" s="20">
        <f>COUNTIFS('Internal Audits'!$D$4:$D$5003,"Aug",'Internal Audits'!$G$4:$G$5003,dCrit)</f>
        <v>0</v>
      </c>
      <c r="P415" s="11" t="s">
        <v>46</v>
      </c>
      <c r="Q415" s="20">
        <f>COUNTIFS('Internal Audits'!$D$4:$D$5003,mCrit,'Internal Audits'!$G$4:$G$5003,"Admin")</f>
        <v>0</v>
      </c>
      <c r="R415" s="21">
        <f>IFERROR((COUNTIFS('Internal Audits'!$P$4:$P$5003,"Closed",'Internal Audits'!$D$4:$D$5003,mCrit,'Internal Audits'!$G$4:$G$5003,"Admin"))/COUNTIFS('Internal Audits'!$D$4:$D$5003,mCrit,'Internal Audits'!$G$4:$G$5003,"Admin")*100,0)</f>
        <v>0</v>
      </c>
      <c r="S415" s="20">
        <f>COUNTIFS('Internal Audits'!$D$4:$D$5003,mCrit,'Internal Audits'!$G$4:$G$5003,"Admin")</f>
        <v>0</v>
      </c>
    </row>
    <row r="416" spans="2:34">
      <c r="B416" s="19" t="s">
        <v>102</v>
      </c>
      <c r="C416" s="20">
        <f>COUNTIFS('Internal Audits'!$D$4:$D$5003,"Sep",'Internal Audits'!$G$4:$G$5003,dCrit)</f>
        <v>0</v>
      </c>
      <c r="P416" s="11" t="s">
        <v>13</v>
      </c>
      <c r="Q416" s="20">
        <f>COUNTIFS('Internal Audits'!$D$4:$D$5003,mCrit,'Internal Audits'!$G$4:$G$5003,"Projects")</f>
        <v>0</v>
      </c>
      <c r="R416" s="21">
        <f>IFERROR((COUNTIFS('Internal Audits'!$P$4:$P$5003,"Closed",'Internal Audits'!$D$4:$D$5003,mCrit,'Internal Audits'!$G$4:$G$5003,"Projects"))/COUNTIFS('Internal Audits'!$D$4:$D$5003,mCrit,'Internal Audits'!$G$4:$G$5003,"Projects")*100,0)</f>
        <v>0</v>
      </c>
      <c r="S416" s="20">
        <f>COUNTIFS('Internal Audits'!$D$4:$D$5003,mCrit,'Internal Audits'!$G$4:$G$5003,"Projects")</f>
        <v>0</v>
      </c>
    </row>
    <row r="417" spans="2:19">
      <c r="B417" s="19" t="s">
        <v>106</v>
      </c>
      <c r="C417" s="20">
        <f>COUNTIFS('Internal Audits'!$D$4:$D$5003,"Oct",'Internal Audits'!$G$4:$G$5003,dCrit)</f>
        <v>0</v>
      </c>
      <c r="P417" s="11" t="s">
        <v>58</v>
      </c>
      <c r="Q417" s="20">
        <f>COUNTIFS('Internal Audits'!$D$4:$D$5003,mCrit,'Internal Audits'!$G$4:$G$5003,"Contractor")</f>
        <v>0</v>
      </c>
      <c r="R417" s="21">
        <f>IFERROR((COUNTIFS('Internal Audits'!$P$4:$P$5003,"Closed",'Internal Audits'!$D$4:$D$5003,mCrit,'Internal Audits'!$G$4:$G$5003,"Contractor"))/COUNTIFS('Internal Audits'!$D$4:$D$5003,mCrit,'Internal Audits'!$G$4:$G$5003,"Contractor")*100,0)</f>
        <v>0</v>
      </c>
      <c r="S417" s="20">
        <f>COUNTIFS('Internal Audits'!$D$4:$D$5003,mCrit,'Internal Audits'!$G$4:$G$5003,"Contractor")</f>
        <v>0</v>
      </c>
    </row>
    <row r="418" spans="2:19">
      <c r="B418" s="19" t="s">
        <v>111</v>
      </c>
      <c r="C418" s="20">
        <f>COUNTIFS('Internal Audits'!$D$4:$D$5003,"Nov",'Internal Audits'!$G$4:$G$5003,dCrit)</f>
        <v>0</v>
      </c>
    </row>
    <row r="419" spans="2:19">
      <c r="B419" s="19" t="s">
        <v>122</v>
      </c>
      <c r="C419" s="20">
        <f>COUNTIFS('Internal Audits'!$D$4:$D$5003,"Dec",'Internal Audits'!$G$4:$G$5003,dCrit)</f>
        <v>0</v>
      </c>
    </row>
    <row r="432" spans="2:19">
      <c r="B432" s="17" t="s">
        <v>1855</v>
      </c>
    </row>
    <row r="433" spans="2:34">
      <c r="B433" s="10" t="s">
        <v>127</v>
      </c>
      <c r="C433" s="10" t="s">
        <v>1782</v>
      </c>
      <c r="E433" s="10" t="s">
        <v>766</v>
      </c>
      <c r="F433" s="10" t="s">
        <v>1782</v>
      </c>
      <c r="J433" s="10" t="s">
        <v>287</v>
      </c>
      <c r="K433" s="10" t="s">
        <v>1782</v>
      </c>
      <c r="M433" s="10" t="s">
        <v>1726</v>
      </c>
      <c r="N433" s="10" t="s">
        <v>1817</v>
      </c>
      <c r="P433" s="10" t="s">
        <v>129</v>
      </c>
      <c r="Q433" s="10" t="s">
        <v>1782</v>
      </c>
      <c r="R433" s="10" t="s">
        <v>1832</v>
      </c>
      <c r="S433" s="10" t="s">
        <v>1825</v>
      </c>
      <c r="U433" s="10" t="s">
        <v>1826</v>
      </c>
      <c r="V433" s="10" t="s">
        <v>3</v>
      </c>
      <c r="W433" s="10" t="s">
        <v>19</v>
      </c>
      <c r="X433" s="10" t="s">
        <v>44</v>
      </c>
      <c r="Y433" s="10" t="s">
        <v>53</v>
      </c>
      <c r="Z433" s="10" t="s">
        <v>60</v>
      </c>
      <c r="AA433" s="10" t="s">
        <v>73</v>
      </c>
      <c r="AB433" s="10" t="s">
        <v>76</v>
      </c>
      <c r="AC433" s="10" t="s">
        <v>86</v>
      </c>
      <c r="AD433" s="10" t="s">
        <v>102</v>
      </c>
      <c r="AE433" s="10" t="s">
        <v>106</v>
      </c>
      <c r="AF433" s="10" t="s">
        <v>111</v>
      </c>
      <c r="AG433" s="10" t="s">
        <v>122</v>
      </c>
      <c r="AH433" s="10" t="s">
        <v>1827</v>
      </c>
    </row>
    <row r="434" spans="2:34">
      <c r="B434" s="19" t="s">
        <v>3</v>
      </c>
      <c r="C434" s="20">
        <f>COUNTIFS('External Audits'!$D$4:$D$5003,"Jan",'External Audits'!$G$4:$G$5003,dCrit)</f>
        <v>0</v>
      </c>
      <c r="E434" s="11" t="s">
        <v>715</v>
      </c>
      <c r="F434" s="20">
        <f>COUNTIFS('External Audits'!$F$4:$F$5003,"System Audit",'External Audits'!$D$4:$D$5003,mCrit,'External Audits'!$G$4:$G$5003,dCrit)</f>
        <v>0</v>
      </c>
      <c r="J434" s="11" t="s">
        <v>293</v>
      </c>
      <c r="K434" s="20">
        <f>COUNTIFS('External Audits'!$P$4:$P$5003,"Closed",'External Audits'!$D$4:$D$5003,mCrit,'External Audits'!$G$4:$G$5003,dCrit)</f>
        <v>0</v>
      </c>
      <c r="M434" s="11" t="s">
        <v>1821</v>
      </c>
      <c r="N434" s="20">
        <f>COUNTIFS('External Audits'!$D$4:$D$5003,mCrit,'External Audits'!$G$4:$G$5003,dCrit)</f>
        <v>0</v>
      </c>
      <c r="P434" s="11" t="s">
        <v>27</v>
      </c>
      <c r="Q434" s="20">
        <f>COUNTIFS('External Audits'!$D$4:$D$5003,mCrit,'External Audits'!$G$4:$G$5003,"Operations")</f>
        <v>0</v>
      </c>
      <c r="R434" s="21">
        <f>IFERROR((COUNTIFS('External Audits'!$P$4:$P$5003,"Closed",'External Audits'!$D$4:$D$5003,mCrit,'External Audits'!$G$4:$G$5003,"Operations"))/COUNTIFS('External Audits'!$D$4:$D$5003,mCrit,'External Audits'!$G$4:$G$5003,"Operations")*100,0)</f>
        <v>0</v>
      </c>
      <c r="S434" s="20">
        <f>COUNTIFS('External Audits'!$D$4:$D$5003,mCrit,'External Audits'!$G$4:$G$5003,"Operations")</f>
        <v>0</v>
      </c>
      <c r="U434" s="11" t="s">
        <v>1825</v>
      </c>
      <c r="V434" s="20">
        <f>COUNTIFS('External Audits'!$D$4:$D$5003,"Jan",'External Audits'!$G$4:$G$5003,dCrit)</f>
        <v>0</v>
      </c>
      <c r="W434" s="20">
        <f>COUNTIFS('External Audits'!$D$4:$D$5003,"Feb",'External Audits'!$G$4:$G$5003,dCrit)</f>
        <v>0</v>
      </c>
      <c r="X434" s="20">
        <f>COUNTIFS('External Audits'!$D$4:$D$5003,"Mar",'External Audits'!$G$4:$G$5003,dCrit)</f>
        <v>0</v>
      </c>
      <c r="Y434" s="20">
        <f>COUNTIFS('External Audits'!$D$4:$D$5003,"Apr",'External Audits'!$G$4:$G$5003,dCrit)</f>
        <v>0</v>
      </c>
      <c r="Z434" s="20">
        <f>COUNTIFS('External Audits'!$D$4:$D$5003,"May",'External Audits'!$G$4:$G$5003,dCrit)</f>
        <v>0</v>
      </c>
      <c r="AA434" s="20">
        <f>COUNTIFS('External Audits'!$D$4:$D$5003,"Jun",'External Audits'!$G$4:$G$5003,dCrit)</f>
        <v>0</v>
      </c>
      <c r="AB434" s="20">
        <f>COUNTIFS('External Audits'!$D$4:$D$5003,"Jul",'External Audits'!$G$4:$G$5003,dCrit)</f>
        <v>0</v>
      </c>
      <c r="AC434" s="20">
        <f>COUNTIFS('External Audits'!$D$4:$D$5003,"Aug",'External Audits'!$G$4:$G$5003,dCrit)</f>
        <v>0</v>
      </c>
      <c r="AD434" s="20">
        <f>COUNTIFS('External Audits'!$D$4:$D$5003,"Sep",'External Audits'!$G$4:$G$5003,dCrit)</f>
        <v>0</v>
      </c>
      <c r="AE434" s="20">
        <f>COUNTIFS('External Audits'!$D$4:$D$5003,"Oct",'External Audits'!$G$4:$G$5003,dCrit)</f>
        <v>0</v>
      </c>
      <c r="AF434" s="20">
        <f>COUNTIFS('External Audits'!$D$4:$D$5003,"Nov",'External Audits'!$G$4:$G$5003,dCrit)</f>
        <v>0</v>
      </c>
      <c r="AG434" s="20">
        <f>COUNTIFS('External Audits'!$D$4:$D$5003,"Dec",'External Audits'!$G$4:$G$5003,dCrit)</f>
        <v>0</v>
      </c>
      <c r="AH434" s="20">
        <f>SUM(V434:AG434)</f>
        <v>0</v>
      </c>
    </row>
    <row r="435" spans="2:34">
      <c r="B435" s="19" t="s">
        <v>19</v>
      </c>
      <c r="C435" s="20">
        <f>COUNTIFS('External Audits'!$D$4:$D$5003,"Feb",'External Audits'!$G$4:$G$5003,dCrit)</f>
        <v>0</v>
      </c>
      <c r="E435" s="11" t="s">
        <v>740</v>
      </c>
      <c r="F435" s="20">
        <f>COUNTIFS('External Audits'!$F$4:$F$5003,"Compliance Audit",'External Audits'!$D$4:$D$5003,mCrit,'External Audits'!$G$4:$G$5003,dCrit)</f>
        <v>0</v>
      </c>
      <c r="J435" s="11" t="s">
        <v>254</v>
      </c>
      <c r="K435" s="20">
        <f>COUNTIFS('External Audits'!$P$4:$P$5003,"In Progress",'External Audits'!$D$4:$D$5003,mCrit,'External Audits'!$G$4:$G$5003,dCrit)</f>
        <v>0</v>
      </c>
      <c r="M435" s="11" t="s">
        <v>1829</v>
      </c>
      <c r="N435" s="21">
        <f>IFERROR((COUNTIFS('External Audits'!$P$4:$P$5003,"Closed",'External Audits'!$D$4:$D$5003,mCrit,'External Audits'!$G$4:$G$5003,dCrit))/COUNTIFS('External Audits'!$D$4:$D$5003,mCrit,'External Audits'!$G$4:$G$5003,dCrit)*100,0)</f>
        <v>0</v>
      </c>
      <c r="P435" s="11" t="s">
        <v>92</v>
      </c>
      <c r="Q435" s="20">
        <f>COUNTIFS('External Audits'!$D$4:$D$5003,mCrit,'External Audits'!$G$4:$G$5003,"Maintenance")</f>
        <v>0</v>
      </c>
      <c r="R435" s="21">
        <f>IFERROR((COUNTIFS('External Audits'!$P$4:$P$5003,"Closed",'External Audits'!$D$4:$D$5003,mCrit,'External Audits'!$G$4:$G$5003,"Maintenance"))/COUNTIFS('External Audits'!$D$4:$D$5003,mCrit,'External Audits'!$G$4:$G$5003,"Maintenance")*100,0)</f>
        <v>0</v>
      </c>
      <c r="S435" s="20">
        <f>COUNTIFS('External Audits'!$D$4:$D$5003,mCrit,'External Audits'!$G$4:$G$5003,"Maintenance")</f>
        <v>0</v>
      </c>
      <c r="U435" s="11" t="s">
        <v>1833</v>
      </c>
      <c r="V435" s="21">
        <f>IFERROR((COUNTIFS('External Audits'!$P$4:$P$5003,"Closed",'External Audits'!$D$4:$D$5003,"Jan",'External Audits'!$G$4:$G$5003,dCrit))/COUNTIFS('External Audits'!$D$4:$D$5003,"Jan",'External Audits'!$G$4:$G$5003,dCrit)*100,0)</f>
        <v>0</v>
      </c>
      <c r="W435" s="21">
        <f>IFERROR((COUNTIFS('External Audits'!$P$4:$P$5003,"Closed",'External Audits'!$D$4:$D$5003,"Feb",'External Audits'!$G$4:$G$5003,dCrit))/COUNTIFS('External Audits'!$D$4:$D$5003,"Feb",'External Audits'!$G$4:$G$5003,dCrit)*100,0)</f>
        <v>0</v>
      </c>
      <c r="X435" s="21">
        <f>IFERROR((COUNTIFS('External Audits'!$P$4:$P$5003,"Closed",'External Audits'!$D$4:$D$5003,"Mar",'External Audits'!$G$4:$G$5003,dCrit))/COUNTIFS('External Audits'!$D$4:$D$5003,"Mar",'External Audits'!$G$4:$G$5003,dCrit)*100,0)</f>
        <v>0</v>
      </c>
      <c r="Y435" s="21">
        <f>IFERROR((COUNTIFS('External Audits'!$P$4:$P$5003,"Closed",'External Audits'!$D$4:$D$5003,"Apr",'External Audits'!$G$4:$G$5003,dCrit))/COUNTIFS('External Audits'!$D$4:$D$5003,"Apr",'External Audits'!$G$4:$G$5003,dCrit)*100,0)</f>
        <v>0</v>
      </c>
      <c r="Z435" s="21">
        <f>IFERROR((COUNTIFS('External Audits'!$P$4:$P$5003,"Closed",'External Audits'!$D$4:$D$5003,"May",'External Audits'!$G$4:$G$5003,dCrit))/COUNTIFS('External Audits'!$D$4:$D$5003,"May",'External Audits'!$G$4:$G$5003,dCrit)*100,0)</f>
        <v>0</v>
      </c>
      <c r="AA435" s="21">
        <f>IFERROR((COUNTIFS('External Audits'!$P$4:$P$5003,"Closed",'External Audits'!$D$4:$D$5003,"Jun",'External Audits'!$G$4:$G$5003,dCrit))/COUNTIFS('External Audits'!$D$4:$D$5003,"Jun",'External Audits'!$G$4:$G$5003,dCrit)*100,0)</f>
        <v>0</v>
      </c>
      <c r="AB435" s="21">
        <f>IFERROR((COUNTIFS('External Audits'!$P$4:$P$5003,"Closed",'External Audits'!$D$4:$D$5003,"Jul",'External Audits'!$G$4:$G$5003,dCrit))/COUNTIFS('External Audits'!$D$4:$D$5003,"Jul",'External Audits'!$G$4:$G$5003,dCrit)*100,0)</f>
        <v>0</v>
      </c>
      <c r="AC435" s="21">
        <f>IFERROR((COUNTIFS('External Audits'!$P$4:$P$5003,"Closed",'External Audits'!$D$4:$D$5003,"Aug",'External Audits'!$G$4:$G$5003,dCrit))/COUNTIFS('External Audits'!$D$4:$D$5003,"Aug",'External Audits'!$G$4:$G$5003,dCrit)*100,0)</f>
        <v>0</v>
      </c>
      <c r="AD435" s="21">
        <f>IFERROR((COUNTIFS('External Audits'!$P$4:$P$5003,"Closed",'External Audits'!$D$4:$D$5003,"Sep",'External Audits'!$G$4:$G$5003,dCrit))/COUNTIFS('External Audits'!$D$4:$D$5003,"Sep",'External Audits'!$G$4:$G$5003,dCrit)*100,0)</f>
        <v>0</v>
      </c>
      <c r="AE435" s="21">
        <f>IFERROR((COUNTIFS('External Audits'!$P$4:$P$5003,"Closed",'External Audits'!$D$4:$D$5003,"Oct",'External Audits'!$G$4:$G$5003,dCrit))/COUNTIFS('External Audits'!$D$4:$D$5003,"Oct",'External Audits'!$G$4:$G$5003,dCrit)*100,0)</f>
        <v>0</v>
      </c>
      <c r="AF435" s="21">
        <f>IFERROR((COUNTIFS('External Audits'!$P$4:$P$5003,"Closed",'External Audits'!$D$4:$D$5003,"Nov",'External Audits'!$G$4:$G$5003,dCrit))/COUNTIFS('External Audits'!$D$4:$D$5003,"Nov",'External Audits'!$G$4:$G$5003,dCrit)*100,0)</f>
        <v>0</v>
      </c>
      <c r="AG435" s="21">
        <f>IFERROR((COUNTIFS('External Audits'!$P$4:$P$5003,"Closed",'External Audits'!$D$4:$D$5003,"Dec",'External Audits'!$G$4:$G$5003,dCrit))/COUNTIFS('External Audits'!$D$4:$D$5003,"Dec",'External Audits'!$G$4:$G$5003,dCrit)*100,0)</f>
        <v>0</v>
      </c>
      <c r="AH435" s="21">
        <f>IFERROR(AVERAGE(V435:AG435),0)</f>
        <v>0</v>
      </c>
    </row>
    <row r="436" spans="2:34">
      <c r="B436" s="19" t="s">
        <v>44</v>
      </c>
      <c r="C436" s="20">
        <f>COUNTIFS('External Audits'!$D$4:$D$5003,"Mar",'External Audits'!$G$4:$G$5003,dCrit)</f>
        <v>0</v>
      </c>
      <c r="E436" s="11" t="s">
        <v>717</v>
      </c>
      <c r="F436" s="20">
        <f>COUNTIFS('External Audits'!$F$4:$F$5003,"Process Audit",'External Audits'!$D$4:$D$5003,mCrit,'External Audits'!$G$4:$G$5003,dCrit)</f>
        <v>0</v>
      </c>
      <c r="J436" s="11" t="s">
        <v>297</v>
      </c>
      <c r="K436" s="20">
        <f>COUNTIFS('External Audits'!$P$4:$P$5003,"Open",'External Audits'!$D$4:$D$5003,mCrit,'External Audits'!$G$4:$G$5003,dCrit)</f>
        <v>0</v>
      </c>
      <c r="M436" s="11" t="s">
        <v>1830</v>
      </c>
      <c r="N436" s="20">
        <f>COUNTIFS('External Audits'!$P$4:$P$5003,"Open",'External Audits'!$D$4:$D$5003,mCrit,'External Audits'!$G$4:$G$5003,dCrit)+COUNTIFS('External Audits'!$P$4:$P$5003,"In Progress",'External Audits'!$D$4:$D$5003,mCrit,'External Audits'!$G$4:$G$5003,dCrit)+COUNTIFS('External Audits'!$P$4:$P$5003,"Overdue",'External Audits'!$D$4:$D$5003,mCrit,'External Audits'!$G$4:$G$5003,dCrit)</f>
        <v>0</v>
      </c>
      <c r="P436" s="11" t="s">
        <v>39</v>
      </c>
      <c r="Q436" s="20">
        <f>COUNTIFS('External Audits'!$D$4:$D$5003,mCrit,'External Audits'!$G$4:$G$5003,"Engineering")</f>
        <v>0</v>
      </c>
      <c r="R436" s="21">
        <f>IFERROR((COUNTIFS('External Audits'!$P$4:$P$5003,"Closed",'External Audits'!$D$4:$D$5003,mCrit,'External Audits'!$G$4:$G$5003,"Engineering"))/COUNTIFS('External Audits'!$D$4:$D$5003,mCrit,'External Audits'!$G$4:$G$5003,"Engineering")*100,0)</f>
        <v>0</v>
      </c>
      <c r="S436" s="20">
        <f>COUNTIFS('External Audits'!$D$4:$D$5003,mCrit,'External Audits'!$G$4:$G$5003,"Engineering")</f>
        <v>0</v>
      </c>
    </row>
    <row r="437" spans="2:34">
      <c r="B437" s="19" t="s">
        <v>53</v>
      </c>
      <c r="C437" s="20">
        <f>COUNTIFS('External Audits'!$D$4:$D$5003,"Apr",'External Audits'!$G$4:$G$5003,dCrit)</f>
        <v>0</v>
      </c>
      <c r="E437" s="11" t="s">
        <v>722</v>
      </c>
      <c r="F437" s="20">
        <f>COUNTIFS('External Audits'!$F$4:$F$5003,"Surveillance",'External Audits'!$D$4:$D$5003,mCrit,'External Audits'!$G$4:$G$5003,dCrit)</f>
        <v>0</v>
      </c>
      <c r="J437" s="11" t="s">
        <v>238</v>
      </c>
      <c r="K437" s="20">
        <f>COUNTIFS('External Audits'!$P$4:$P$5003,"Overdue",'External Audits'!$D$4:$D$5003,mCrit,'External Audits'!$G$4:$G$5003,dCrit)</f>
        <v>0</v>
      </c>
      <c r="M437" s="11" t="s">
        <v>238</v>
      </c>
      <c r="N437" s="20">
        <f>COUNTIFS('External Audits'!$P$4:$P$5003,"Overdue",'External Audits'!$D$4:$D$5003,mCrit,'External Audits'!$G$4:$G$5003,dCrit)</f>
        <v>0</v>
      </c>
      <c r="P437" s="11" t="s">
        <v>89</v>
      </c>
      <c r="Q437" s="20">
        <f>COUNTIFS('External Audits'!$D$4:$D$5003,mCrit,'External Audits'!$G$4:$G$5003,"Construction")</f>
        <v>0</v>
      </c>
      <c r="R437" s="21">
        <f>IFERROR((COUNTIFS('External Audits'!$P$4:$P$5003,"Closed",'External Audits'!$D$4:$D$5003,mCrit,'External Audits'!$G$4:$G$5003,"Construction"))/COUNTIFS('External Audits'!$D$4:$D$5003,mCrit,'External Audits'!$G$4:$G$5003,"Construction")*100,0)</f>
        <v>0</v>
      </c>
      <c r="S437" s="20">
        <f>COUNTIFS('External Audits'!$D$4:$D$5003,mCrit,'External Audits'!$G$4:$G$5003,"Construction")</f>
        <v>0</v>
      </c>
    </row>
    <row r="438" spans="2:34">
      <c r="B438" s="19" t="s">
        <v>60</v>
      </c>
      <c r="C438" s="20">
        <f>COUNTIFS('External Audits'!$D$4:$D$5003,"May",'External Audits'!$G$4:$G$5003,dCrit)</f>
        <v>0</v>
      </c>
      <c r="E438" s="11" t="s">
        <v>711</v>
      </c>
      <c r="F438" s="20">
        <f>COUNTIFS('External Audits'!$F$4:$F$5003,"Customer Audit",'External Audits'!$D$4:$D$5003,mCrit,'External Audits'!$G$4:$G$5003,dCrit)</f>
        <v>0</v>
      </c>
      <c r="M438" s="11" t="s">
        <v>769</v>
      </c>
      <c r="N438" s="20">
        <f>SUMIFS('External Audits'!$L$4:$L$5003,'External Audits'!$D$4:$D$5003,mCrit,'External Audits'!$G$4:$G$5003,dCrit)</f>
        <v>0</v>
      </c>
      <c r="P438" s="11" t="s">
        <v>65</v>
      </c>
      <c r="Q438" s="20">
        <f>COUNTIFS('External Audits'!$D$4:$D$5003,mCrit,'External Audits'!$G$4:$G$5003,"Safety")</f>
        <v>0</v>
      </c>
      <c r="R438" s="21">
        <f>IFERROR((COUNTIFS('External Audits'!$P$4:$P$5003,"Closed",'External Audits'!$D$4:$D$5003,mCrit,'External Audits'!$G$4:$G$5003,"Safety"))/COUNTIFS('External Audits'!$D$4:$D$5003,mCrit,'External Audits'!$G$4:$G$5003,"Safety")*100,0)</f>
        <v>0</v>
      </c>
      <c r="S438" s="20">
        <f>COUNTIFS('External Audits'!$D$4:$D$5003,mCrit,'External Audits'!$G$4:$G$5003,"Safety")</f>
        <v>0</v>
      </c>
    </row>
    <row r="439" spans="2:34">
      <c r="B439" s="19" t="s">
        <v>73</v>
      </c>
      <c r="C439" s="20">
        <f>COUNTIFS('External Audits'!$D$4:$D$5003,"Jun",'External Audits'!$G$4:$G$5003,dCrit)</f>
        <v>0</v>
      </c>
      <c r="E439" s="11" t="s">
        <v>713</v>
      </c>
      <c r="F439" s="20">
        <f>COUNTIFS('External Audits'!$F$4:$F$5003,"Regulatory Inspection",'External Audits'!$D$4:$D$5003,mCrit,'External Audits'!$G$4:$G$5003,dCrit)</f>
        <v>0</v>
      </c>
      <c r="M439" s="11" t="s">
        <v>770</v>
      </c>
      <c r="N439" s="20">
        <f>SUMIFS('External Audits'!$M$4:$M$5003,'External Audits'!$D$4:$D$5003,mCrit,'External Audits'!$G$4:$G$5003,dCrit)</f>
        <v>0</v>
      </c>
      <c r="P439" s="11" t="s">
        <v>5</v>
      </c>
      <c r="Q439" s="20">
        <f>COUNTIFS('External Audits'!$D$4:$D$5003,mCrit,'External Audits'!$G$4:$G$5003,"Logistics")</f>
        <v>0</v>
      </c>
      <c r="R439" s="21">
        <f>IFERROR((COUNTIFS('External Audits'!$P$4:$P$5003,"Closed",'External Audits'!$D$4:$D$5003,mCrit,'External Audits'!$G$4:$G$5003,"Logistics"))/COUNTIFS('External Audits'!$D$4:$D$5003,mCrit,'External Audits'!$G$4:$G$5003,"Logistics")*100,0)</f>
        <v>0</v>
      </c>
      <c r="S439" s="20">
        <f>COUNTIFS('External Audits'!$D$4:$D$5003,mCrit,'External Audits'!$G$4:$G$5003,"Logistics")</f>
        <v>0</v>
      </c>
    </row>
    <row r="440" spans="2:34">
      <c r="B440" s="19" t="s">
        <v>76</v>
      </c>
      <c r="C440" s="20">
        <f>COUNTIFS('External Audits'!$D$4:$D$5003,"Jul",'External Audits'!$G$4:$G$5003,dCrit)</f>
        <v>0</v>
      </c>
      <c r="M440" s="11" t="s">
        <v>1854</v>
      </c>
      <c r="N440" s="20">
        <f>IFERROR(AVERAGEIFS('External Audits'!$K$4:$K$5003,'External Audits'!$D$4:$D$5003,mCrit,'External Audits'!$G$4:$G$5003,dCrit),0)</f>
        <v>0</v>
      </c>
      <c r="P440" s="11" t="s">
        <v>50</v>
      </c>
      <c r="Q440" s="20">
        <f>COUNTIFS('External Audits'!$D$4:$D$5003,mCrit,'External Audits'!$G$4:$G$5003,"Quality")</f>
        <v>0</v>
      </c>
      <c r="R440" s="21">
        <f>IFERROR((COUNTIFS('External Audits'!$P$4:$P$5003,"Closed",'External Audits'!$D$4:$D$5003,mCrit,'External Audits'!$G$4:$G$5003,"Quality"))/COUNTIFS('External Audits'!$D$4:$D$5003,mCrit,'External Audits'!$G$4:$G$5003,"Quality")*100,0)</f>
        <v>0</v>
      </c>
      <c r="S440" s="20">
        <f>COUNTIFS('External Audits'!$D$4:$D$5003,mCrit,'External Audits'!$G$4:$G$5003,"Quality")</f>
        <v>0</v>
      </c>
    </row>
    <row r="441" spans="2:34">
      <c r="B441" s="19" t="s">
        <v>86</v>
      </c>
      <c r="C441" s="20">
        <f>COUNTIFS('External Audits'!$D$4:$D$5003,"Aug",'External Audits'!$G$4:$G$5003,dCrit)</f>
        <v>0</v>
      </c>
      <c r="P441" s="11" t="s">
        <v>46</v>
      </c>
      <c r="Q441" s="20">
        <f>COUNTIFS('External Audits'!$D$4:$D$5003,mCrit,'External Audits'!$G$4:$G$5003,"Admin")</f>
        <v>0</v>
      </c>
      <c r="R441" s="21">
        <f>IFERROR((COUNTIFS('External Audits'!$P$4:$P$5003,"Closed",'External Audits'!$D$4:$D$5003,mCrit,'External Audits'!$G$4:$G$5003,"Admin"))/COUNTIFS('External Audits'!$D$4:$D$5003,mCrit,'External Audits'!$G$4:$G$5003,"Admin")*100,0)</f>
        <v>0</v>
      </c>
      <c r="S441" s="20">
        <f>COUNTIFS('External Audits'!$D$4:$D$5003,mCrit,'External Audits'!$G$4:$G$5003,"Admin")</f>
        <v>0</v>
      </c>
    </row>
    <row r="442" spans="2:34">
      <c r="B442" s="19" t="s">
        <v>102</v>
      </c>
      <c r="C442" s="20">
        <f>COUNTIFS('External Audits'!$D$4:$D$5003,"Sep",'External Audits'!$G$4:$G$5003,dCrit)</f>
        <v>0</v>
      </c>
      <c r="P442" s="11" t="s">
        <v>13</v>
      </c>
      <c r="Q442" s="20">
        <f>COUNTIFS('External Audits'!$D$4:$D$5003,mCrit,'External Audits'!$G$4:$G$5003,"Projects")</f>
        <v>0</v>
      </c>
      <c r="R442" s="21">
        <f>IFERROR((COUNTIFS('External Audits'!$P$4:$P$5003,"Closed",'External Audits'!$D$4:$D$5003,mCrit,'External Audits'!$G$4:$G$5003,"Projects"))/COUNTIFS('External Audits'!$D$4:$D$5003,mCrit,'External Audits'!$G$4:$G$5003,"Projects")*100,0)</f>
        <v>0</v>
      </c>
      <c r="S442" s="20">
        <f>COUNTIFS('External Audits'!$D$4:$D$5003,mCrit,'External Audits'!$G$4:$G$5003,"Projects")</f>
        <v>0</v>
      </c>
    </row>
    <row r="443" spans="2:34">
      <c r="B443" s="19" t="s">
        <v>106</v>
      </c>
      <c r="C443" s="20">
        <f>COUNTIFS('External Audits'!$D$4:$D$5003,"Oct",'External Audits'!$G$4:$G$5003,dCrit)</f>
        <v>0</v>
      </c>
      <c r="P443" s="11" t="s">
        <v>58</v>
      </c>
      <c r="Q443" s="20">
        <f>COUNTIFS('External Audits'!$D$4:$D$5003,mCrit,'External Audits'!$G$4:$G$5003,"Contractor")</f>
        <v>0</v>
      </c>
      <c r="R443" s="21">
        <f>IFERROR((COUNTIFS('External Audits'!$P$4:$P$5003,"Closed",'External Audits'!$D$4:$D$5003,mCrit,'External Audits'!$G$4:$G$5003,"Contractor"))/COUNTIFS('External Audits'!$D$4:$D$5003,mCrit,'External Audits'!$G$4:$G$5003,"Contractor")*100,0)</f>
        <v>0</v>
      </c>
      <c r="S443" s="20">
        <f>COUNTIFS('External Audits'!$D$4:$D$5003,mCrit,'External Audits'!$G$4:$G$5003,"Contractor")</f>
        <v>0</v>
      </c>
    </row>
    <row r="444" spans="2:34">
      <c r="B444" s="19" t="s">
        <v>111</v>
      </c>
      <c r="C444" s="20">
        <f>COUNTIFS('External Audits'!$D$4:$D$5003,"Nov",'External Audits'!$G$4:$G$5003,dCrit)</f>
        <v>0</v>
      </c>
    </row>
    <row r="445" spans="2:34">
      <c r="B445" s="19" t="s">
        <v>122</v>
      </c>
      <c r="C445" s="20">
        <f>COUNTIFS('External Audits'!$D$4:$D$5003,"Dec",'External Audits'!$G$4:$G$5003,dCrit)</f>
        <v>0</v>
      </c>
    </row>
    <row r="458" spans="2:34">
      <c r="B458" s="17" t="s">
        <v>1856</v>
      </c>
    </row>
    <row r="459" spans="2:34">
      <c r="B459" s="10" t="s">
        <v>127</v>
      </c>
      <c r="C459" s="10" t="s">
        <v>1782</v>
      </c>
      <c r="E459" s="10" t="s">
        <v>876</v>
      </c>
      <c r="F459" s="10" t="s">
        <v>1782</v>
      </c>
      <c r="J459" s="10" t="s">
        <v>287</v>
      </c>
      <c r="K459" s="10" t="s">
        <v>1782</v>
      </c>
      <c r="M459" s="10" t="s">
        <v>1726</v>
      </c>
      <c r="N459" s="10" t="s">
        <v>1817</v>
      </c>
      <c r="P459" s="10" t="s">
        <v>129</v>
      </c>
      <c r="Q459" s="10" t="s">
        <v>1782</v>
      </c>
      <c r="R459" s="10" t="s">
        <v>1832</v>
      </c>
      <c r="S459" s="10" t="s">
        <v>1845</v>
      </c>
      <c r="U459" s="10" t="s">
        <v>1826</v>
      </c>
      <c r="V459" s="10" t="s">
        <v>3</v>
      </c>
      <c r="W459" s="10" t="s">
        <v>19</v>
      </c>
      <c r="X459" s="10" t="s">
        <v>44</v>
      </c>
      <c r="Y459" s="10" t="s">
        <v>53</v>
      </c>
      <c r="Z459" s="10" t="s">
        <v>60</v>
      </c>
      <c r="AA459" s="10" t="s">
        <v>73</v>
      </c>
      <c r="AB459" s="10" t="s">
        <v>76</v>
      </c>
      <c r="AC459" s="10" t="s">
        <v>86</v>
      </c>
      <c r="AD459" s="10" t="s">
        <v>102</v>
      </c>
      <c r="AE459" s="10" t="s">
        <v>106</v>
      </c>
      <c r="AF459" s="10" t="s">
        <v>111</v>
      </c>
      <c r="AG459" s="10" t="s">
        <v>122</v>
      </c>
      <c r="AH459" s="10" t="s">
        <v>1827</v>
      </c>
    </row>
    <row r="460" spans="2:34">
      <c r="B460" s="19" t="s">
        <v>3</v>
      </c>
      <c r="C460" s="20">
        <f>COUNTIFS('Management Visits'!$D$4:$D$5003,"Jan",'Management Visits'!$F$4:$F$5003,dCrit)</f>
        <v>0</v>
      </c>
      <c r="E460" s="11" t="s">
        <v>824</v>
      </c>
      <c r="F460" s="20">
        <f>COUNTIFS('Management Visits'!$E$4:$E$5003,"Site Walk",'Management Visits'!$D$4:$D$5003,mCrit,'Management Visits'!$F$4:$F$5003,dCrit)</f>
        <v>0</v>
      </c>
      <c r="J460" s="11" t="s">
        <v>254</v>
      </c>
      <c r="K460" s="20">
        <f>COUNTIFS('Management Visits'!$N$4:$N$5003,"In Progress",'Management Visits'!$D$4:$D$5003,mCrit,'Management Visits'!$F$4:$F$5003,dCrit)</f>
        <v>0</v>
      </c>
      <c r="M460" s="11" t="s">
        <v>1821</v>
      </c>
      <c r="N460" s="20">
        <f>COUNTIFS('Management Visits'!$D$4:$D$5003,mCrit,'Management Visits'!$F$4:$F$5003,dCrit)</f>
        <v>0</v>
      </c>
      <c r="P460" s="11" t="s">
        <v>27</v>
      </c>
      <c r="Q460" s="20">
        <f>COUNTIFS('Management Visits'!$D$4:$D$5003,mCrit,'Management Visits'!$F$4:$F$5003,"Operations")</f>
        <v>0</v>
      </c>
      <c r="R460" s="21">
        <f>IFERROR((COUNTIFS('Management Visits'!$N$4:$N$5003,"Closed",'Management Visits'!$D$4:$D$5003,mCrit,'Management Visits'!$F$4:$F$5003,"Operations"))/COUNTIFS('Management Visits'!$D$4:$D$5003,mCrit,'Management Visits'!$F$4:$F$5003,"Operations")*100,0)</f>
        <v>0</v>
      </c>
      <c r="S460" s="21">
        <f>IFERROR(AVERAGEIFS('Management Visits'!$M$4:$M$5003,'Management Visits'!$D$4:$D$5003,mCrit,'Management Visits'!$F$4:$F$5003,"Operations"),0)</f>
        <v>0</v>
      </c>
      <c r="U460" s="11" t="s">
        <v>1825</v>
      </c>
      <c r="V460" s="20">
        <f>COUNTIFS('Management Visits'!$D$4:$D$5003,"Jan",'Management Visits'!$F$4:$F$5003,dCrit)</f>
        <v>0</v>
      </c>
      <c r="W460" s="20">
        <f>COUNTIFS('Management Visits'!$D$4:$D$5003,"Feb",'Management Visits'!$F$4:$F$5003,dCrit)</f>
        <v>0</v>
      </c>
      <c r="X460" s="20">
        <f>COUNTIFS('Management Visits'!$D$4:$D$5003,"Mar",'Management Visits'!$F$4:$F$5003,dCrit)</f>
        <v>0</v>
      </c>
      <c r="Y460" s="20">
        <f>COUNTIFS('Management Visits'!$D$4:$D$5003,"Apr",'Management Visits'!$F$4:$F$5003,dCrit)</f>
        <v>0</v>
      </c>
      <c r="Z460" s="20">
        <f>COUNTIFS('Management Visits'!$D$4:$D$5003,"May",'Management Visits'!$F$4:$F$5003,dCrit)</f>
        <v>0</v>
      </c>
      <c r="AA460" s="20">
        <f>COUNTIFS('Management Visits'!$D$4:$D$5003,"Jun",'Management Visits'!$F$4:$F$5003,dCrit)</f>
        <v>0</v>
      </c>
      <c r="AB460" s="20">
        <f>COUNTIFS('Management Visits'!$D$4:$D$5003,"Jul",'Management Visits'!$F$4:$F$5003,dCrit)</f>
        <v>0</v>
      </c>
      <c r="AC460" s="20">
        <f>COUNTIFS('Management Visits'!$D$4:$D$5003,"Aug",'Management Visits'!$F$4:$F$5003,dCrit)</f>
        <v>0</v>
      </c>
      <c r="AD460" s="20">
        <f>COUNTIFS('Management Visits'!$D$4:$D$5003,"Sep",'Management Visits'!$F$4:$F$5003,dCrit)</f>
        <v>0</v>
      </c>
      <c r="AE460" s="20">
        <f>COUNTIFS('Management Visits'!$D$4:$D$5003,"Oct",'Management Visits'!$F$4:$F$5003,dCrit)</f>
        <v>0</v>
      </c>
      <c r="AF460" s="20">
        <f>COUNTIFS('Management Visits'!$D$4:$D$5003,"Nov",'Management Visits'!$F$4:$F$5003,dCrit)</f>
        <v>0</v>
      </c>
      <c r="AG460" s="20">
        <f>COUNTIFS('Management Visits'!$D$4:$D$5003,"Dec",'Management Visits'!$F$4:$F$5003,dCrit)</f>
        <v>0</v>
      </c>
      <c r="AH460" s="20">
        <f>SUM(V460:AG460)</f>
        <v>0</v>
      </c>
    </row>
    <row r="461" spans="2:34">
      <c r="B461" s="19" t="s">
        <v>19</v>
      </c>
      <c r="C461" s="20">
        <f>COUNTIFS('Management Visits'!$D$4:$D$5003,"Feb",'Management Visits'!$F$4:$F$5003,dCrit)</f>
        <v>0</v>
      </c>
      <c r="E461" s="11" t="s">
        <v>831</v>
      </c>
      <c r="F461" s="20">
        <f>COUNTIFS('Management Visits'!$E$4:$E$5003,"Plant Visit",'Management Visits'!$D$4:$D$5003,mCrit,'Management Visits'!$F$4:$F$5003,dCrit)</f>
        <v>0</v>
      </c>
      <c r="J461" s="11" t="s">
        <v>293</v>
      </c>
      <c r="K461" s="20">
        <f>COUNTIFS('Management Visits'!$N$4:$N$5003,"Closed",'Management Visits'!$D$4:$D$5003,mCrit,'Management Visits'!$F$4:$F$5003,dCrit)</f>
        <v>0</v>
      </c>
      <c r="M461" s="11" t="s">
        <v>1829</v>
      </c>
      <c r="N461" s="21">
        <f>IFERROR((COUNTIFS('Management Visits'!$N$4:$N$5003,"Closed",'Management Visits'!$D$4:$D$5003,mCrit,'Management Visits'!$F$4:$F$5003,dCrit))/COUNTIFS('Management Visits'!$D$4:$D$5003,mCrit,'Management Visits'!$F$4:$F$5003,dCrit)*100,0)</f>
        <v>0</v>
      </c>
      <c r="P461" s="11" t="s">
        <v>92</v>
      </c>
      <c r="Q461" s="20">
        <f>COUNTIFS('Management Visits'!$D$4:$D$5003,mCrit,'Management Visits'!$F$4:$F$5003,"Maintenance")</f>
        <v>0</v>
      </c>
      <c r="R461" s="21">
        <f>IFERROR((COUNTIFS('Management Visits'!$N$4:$N$5003,"Closed",'Management Visits'!$D$4:$D$5003,mCrit,'Management Visits'!$F$4:$F$5003,"Maintenance"))/COUNTIFS('Management Visits'!$D$4:$D$5003,mCrit,'Management Visits'!$F$4:$F$5003,"Maintenance")*100,0)</f>
        <v>0</v>
      </c>
      <c r="S461" s="21">
        <f>IFERROR(AVERAGEIFS('Management Visits'!$M$4:$M$5003,'Management Visits'!$D$4:$D$5003,mCrit,'Management Visits'!$F$4:$F$5003,"Maintenance"),0)</f>
        <v>0</v>
      </c>
      <c r="U461" s="11" t="s">
        <v>1833</v>
      </c>
      <c r="V461" s="21">
        <f>IFERROR((COUNTIFS('Management Visits'!$N$4:$N$5003,"Closed",'Management Visits'!$D$4:$D$5003,"Jan",'Management Visits'!$F$4:$F$5003,dCrit))/COUNTIFS('Management Visits'!$D$4:$D$5003,"Jan",'Management Visits'!$F$4:$F$5003,dCrit)*100,0)</f>
        <v>0</v>
      </c>
      <c r="W461" s="21">
        <f>IFERROR((COUNTIFS('Management Visits'!$N$4:$N$5003,"Closed",'Management Visits'!$D$4:$D$5003,"Feb",'Management Visits'!$F$4:$F$5003,dCrit))/COUNTIFS('Management Visits'!$D$4:$D$5003,"Feb",'Management Visits'!$F$4:$F$5003,dCrit)*100,0)</f>
        <v>0</v>
      </c>
      <c r="X461" s="21">
        <f>IFERROR((COUNTIFS('Management Visits'!$N$4:$N$5003,"Closed",'Management Visits'!$D$4:$D$5003,"Mar",'Management Visits'!$F$4:$F$5003,dCrit))/COUNTIFS('Management Visits'!$D$4:$D$5003,"Mar",'Management Visits'!$F$4:$F$5003,dCrit)*100,0)</f>
        <v>0</v>
      </c>
      <c r="Y461" s="21">
        <f>IFERROR((COUNTIFS('Management Visits'!$N$4:$N$5003,"Closed",'Management Visits'!$D$4:$D$5003,"Apr",'Management Visits'!$F$4:$F$5003,dCrit))/COUNTIFS('Management Visits'!$D$4:$D$5003,"Apr",'Management Visits'!$F$4:$F$5003,dCrit)*100,0)</f>
        <v>0</v>
      </c>
      <c r="Z461" s="21">
        <f>IFERROR((COUNTIFS('Management Visits'!$N$4:$N$5003,"Closed",'Management Visits'!$D$4:$D$5003,"May",'Management Visits'!$F$4:$F$5003,dCrit))/COUNTIFS('Management Visits'!$D$4:$D$5003,"May",'Management Visits'!$F$4:$F$5003,dCrit)*100,0)</f>
        <v>0</v>
      </c>
      <c r="AA461" s="21">
        <f>IFERROR((COUNTIFS('Management Visits'!$N$4:$N$5003,"Closed",'Management Visits'!$D$4:$D$5003,"Jun",'Management Visits'!$F$4:$F$5003,dCrit))/COUNTIFS('Management Visits'!$D$4:$D$5003,"Jun",'Management Visits'!$F$4:$F$5003,dCrit)*100,0)</f>
        <v>0</v>
      </c>
      <c r="AB461" s="21">
        <f>IFERROR((COUNTIFS('Management Visits'!$N$4:$N$5003,"Closed",'Management Visits'!$D$4:$D$5003,"Jul",'Management Visits'!$F$4:$F$5003,dCrit))/COUNTIFS('Management Visits'!$D$4:$D$5003,"Jul",'Management Visits'!$F$4:$F$5003,dCrit)*100,0)</f>
        <v>0</v>
      </c>
      <c r="AC461" s="21">
        <f>IFERROR((COUNTIFS('Management Visits'!$N$4:$N$5003,"Closed",'Management Visits'!$D$4:$D$5003,"Aug",'Management Visits'!$F$4:$F$5003,dCrit))/COUNTIFS('Management Visits'!$D$4:$D$5003,"Aug",'Management Visits'!$F$4:$F$5003,dCrit)*100,0)</f>
        <v>0</v>
      </c>
      <c r="AD461" s="21">
        <f>IFERROR((COUNTIFS('Management Visits'!$N$4:$N$5003,"Closed",'Management Visits'!$D$4:$D$5003,"Sep",'Management Visits'!$F$4:$F$5003,dCrit))/COUNTIFS('Management Visits'!$D$4:$D$5003,"Sep",'Management Visits'!$F$4:$F$5003,dCrit)*100,0)</f>
        <v>0</v>
      </c>
      <c r="AE461" s="21">
        <f>IFERROR((COUNTIFS('Management Visits'!$N$4:$N$5003,"Closed",'Management Visits'!$D$4:$D$5003,"Oct",'Management Visits'!$F$4:$F$5003,dCrit))/COUNTIFS('Management Visits'!$D$4:$D$5003,"Oct",'Management Visits'!$F$4:$F$5003,dCrit)*100,0)</f>
        <v>0</v>
      </c>
      <c r="AF461" s="21">
        <f>IFERROR((COUNTIFS('Management Visits'!$N$4:$N$5003,"Closed",'Management Visits'!$D$4:$D$5003,"Nov",'Management Visits'!$F$4:$F$5003,dCrit))/COUNTIFS('Management Visits'!$D$4:$D$5003,"Nov",'Management Visits'!$F$4:$F$5003,dCrit)*100,0)</f>
        <v>0</v>
      </c>
      <c r="AG461" s="21">
        <f>IFERROR((COUNTIFS('Management Visits'!$N$4:$N$5003,"Closed",'Management Visits'!$D$4:$D$5003,"Dec",'Management Visits'!$F$4:$F$5003,dCrit))/COUNTIFS('Management Visits'!$D$4:$D$5003,"Dec",'Management Visits'!$F$4:$F$5003,dCrit)*100,0)</f>
        <v>0</v>
      </c>
      <c r="AH461" s="21">
        <f>IFERROR(AVERAGE(V461:AG461),0)</f>
        <v>0</v>
      </c>
    </row>
    <row r="462" spans="2:34">
      <c r="B462" s="19" t="s">
        <v>44</v>
      </c>
      <c r="C462" s="20">
        <f>COUNTIFS('Management Visits'!$D$4:$D$5003,"Mar",'Management Visits'!$F$4:$F$5003,dCrit)</f>
        <v>0</v>
      </c>
      <c r="E462" s="11" t="s">
        <v>826</v>
      </c>
      <c r="F462" s="20">
        <f>COUNTIFS('Management Visits'!$E$4:$E$5003,"Safety Observation",'Management Visits'!$D$4:$D$5003,mCrit,'Management Visits'!$F$4:$F$5003,dCrit)</f>
        <v>0</v>
      </c>
      <c r="J462" s="11" t="s">
        <v>238</v>
      </c>
      <c r="K462" s="20">
        <f>COUNTIFS('Management Visits'!$N$4:$N$5003,"Overdue",'Management Visits'!$D$4:$D$5003,mCrit,'Management Visits'!$F$4:$F$5003,dCrit)</f>
        <v>0</v>
      </c>
      <c r="M462" s="11" t="s">
        <v>1830</v>
      </c>
      <c r="N462" s="20">
        <f>COUNTIFS('Management Visits'!$N$4:$N$5003,"Open",'Management Visits'!$D$4:$D$5003,mCrit,'Management Visits'!$F$4:$F$5003,dCrit)+COUNTIFS('Management Visits'!$N$4:$N$5003,"In Progress",'Management Visits'!$D$4:$D$5003,mCrit,'Management Visits'!$F$4:$F$5003,dCrit)+COUNTIFS('Management Visits'!$N$4:$N$5003,"Overdue",'Management Visits'!$D$4:$D$5003,mCrit,'Management Visits'!$F$4:$F$5003,dCrit)</f>
        <v>0</v>
      </c>
      <c r="P462" s="11" t="s">
        <v>39</v>
      </c>
      <c r="Q462" s="20">
        <f>COUNTIFS('Management Visits'!$D$4:$D$5003,mCrit,'Management Visits'!$F$4:$F$5003,"Engineering")</f>
        <v>0</v>
      </c>
      <c r="R462" s="21">
        <f>IFERROR((COUNTIFS('Management Visits'!$N$4:$N$5003,"Closed",'Management Visits'!$D$4:$D$5003,mCrit,'Management Visits'!$F$4:$F$5003,"Engineering"))/COUNTIFS('Management Visits'!$D$4:$D$5003,mCrit,'Management Visits'!$F$4:$F$5003,"Engineering")*100,0)</f>
        <v>0</v>
      </c>
      <c r="S462" s="21">
        <f>IFERROR(AVERAGEIFS('Management Visits'!$M$4:$M$5003,'Management Visits'!$D$4:$D$5003,mCrit,'Management Visits'!$F$4:$F$5003,"Engineering"),0)</f>
        <v>0</v>
      </c>
      <c r="U462" s="11" t="s">
        <v>1845</v>
      </c>
      <c r="V462" s="21">
        <f>IFERROR(AVERAGEIFS('Management Visits'!$M$4:$M$5003,'Management Visits'!$D$4:$D$5003,"Jan",'Management Visits'!$F$4:$F$5003,dCrit),0)</f>
        <v>0</v>
      </c>
      <c r="W462" s="21">
        <f>IFERROR(AVERAGEIFS('Management Visits'!$M$4:$M$5003,'Management Visits'!$D$4:$D$5003,"Feb",'Management Visits'!$F$4:$F$5003,dCrit),0)</f>
        <v>0</v>
      </c>
      <c r="X462" s="21">
        <f>IFERROR(AVERAGEIFS('Management Visits'!$M$4:$M$5003,'Management Visits'!$D$4:$D$5003,"Mar",'Management Visits'!$F$4:$F$5003,dCrit),0)</f>
        <v>0</v>
      </c>
      <c r="Y462" s="21">
        <f>IFERROR(AVERAGEIFS('Management Visits'!$M$4:$M$5003,'Management Visits'!$D$4:$D$5003,"Apr",'Management Visits'!$F$4:$F$5003,dCrit),0)</f>
        <v>0</v>
      </c>
      <c r="Z462" s="21">
        <f>IFERROR(AVERAGEIFS('Management Visits'!$M$4:$M$5003,'Management Visits'!$D$4:$D$5003,"May",'Management Visits'!$F$4:$F$5003,dCrit),0)</f>
        <v>0</v>
      </c>
      <c r="AA462" s="21">
        <f>IFERROR(AVERAGEIFS('Management Visits'!$M$4:$M$5003,'Management Visits'!$D$4:$D$5003,"Jun",'Management Visits'!$F$4:$F$5003,dCrit),0)</f>
        <v>0</v>
      </c>
      <c r="AB462" s="21">
        <f>IFERROR(AVERAGEIFS('Management Visits'!$M$4:$M$5003,'Management Visits'!$D$4:$D$5003,"Jul",'Management Visits'!$F$4:$F$5003,dCrit),0)</f>
        <v>0</v>
      </c>
      <c r="AC462" s="21">
        <f>IFERROR(AVERAGEIFS('Management Visits'!$M$4:$M$5003,'Management Visits'!$D$4:$D$5003,"Aug",'Management Visits'!$F$4:$F$5003,dCrit),0)</f>
        <v>0</v>
      </c>
      <c r="AD462" s="21">
        <f>IFERROR(AVERAGEIFS('Management Visits'!$M$4:$M$5003,'Management Visits'!$D$4:$D$5003,"Sep",'Management Visits'!$F$4:$F$5003,dCrit),0)</f>
        <v>0</v>
      </c>
      <c r="AE462" s="21">
        <f>IFERROR(AVERAGEIFS('Management Visits'!$M$4:$M$5003,'Management Visits'!$D$4:$D$5003,"Oct",'Management Visits'!$F$4:$F$5003,dCrit),0)</f>
        <v>0</v>
      </c>
      <c r="AF462" s="21">
        <f>IFERROR(AVERAGEIFS('Management Visits'!$M$4:$M$5003,'Management Visits'!$D$4:$D$5003,"Nov",'Management Visits'!$F$4:$F$5003,dCrit),0)</f>
        <v>0</v>
      </c>
      <c r="AG462" s="21">
        <f>IFERROR(AVERAGEIFS('Management Visits'!$M$4:$M$5003,'Management Visits'!$D$4:$D$5003,"Dec",'Management Visits'!$F$4:$F$5003,dCrit),0)</f>
        <v>0</v>
      </c>
      <c r="AH462" s="21">
        <f>IFERROR(AVERAGE(V462:AG462),0)</f>
        <v>0</v>
      </c>
    </row>
    <row r="463" spans="2:34">
      <c r="B463" s="19" t="s">
        <v>53</v>
      </c>
      <c r="C463" s="20">
        <f>COUNTIFS('Management Visits'!$D$4:$D$5003,"Apr",'Management Visits'!$F$4:$F$5003,dCrit)</f>
        <v>0</v>
      </c>
      <c r="E463" s="11" t="s">
        <v>836</v>
      </c>
      <c r="F463" s="20">
        <f>COUNTIFS('Management Visits'!$E$4:$E$5003,"Project Visit",'Management Visits'!$D$4:$D$5003,mCrit,'Management Visits'!$F$4:$F$5003,dCrit)</f>
        <v>0</v>
      </c>
      <c r="J463" s="11" t="s">
        <v>297</v>
      </c>
      <c r="K463" s="20">
        <f>COUNTIFS('Management Visits'!$N$4:$N$5003,"Open",'Management Visits'!$D$4:$D$5003,mCrit,'Management Visits'!$F$4:$F$5003,dCrit)</f>
        <v>0</v>
      </c>
      <c r="M463" s="11" t="s">
        <v>238</v>
      </c>
      <c r="N463" s="20">
        <f>COUNTIFS('Management Visits'!$N$4:$N$5003,"Overdue",'Management Visits'!$D$4:$D$5003,mCrit,'Management Visits'!$F$4:$F$5003,dCrit)</f>
        <v>0</v>
      </c>
      <c r="P463" s="11" t="s">
        <v>89</v>
      </c>
      <c r="Q463" s="20">
        <f>COUNTIFS('Management Visits'!$D$4:$D$5003,mCrit,'Management Visits'!$F$4:$F$5003,"Construction")</f>
        <v>0</v>
      </c>
      <c r="R463" s="21">
        <f>IFERROR((COUNTIFS('Management Visits'!$N$4:$N$5003,"Closed",'Management Visits'!$D$4:$D$5003,mCrit,'Management Visits'!$F$4:$F$5003,"Construction"))/COUNTIFS('Management Visits'!$D$4:$D$5003,mCrit,'Management Visits'!$F$4:$F$5003,"Construction")*100,0)</f>
        <v>0</v>
      </c>
      <c r="S463" s="21">
        <f>IFERROR(AVERAGEIFS('Management Visits'!$M$4:$M$5003,'Management Visits'!$D$4:$D$5003,mCrit,'Management Visits'!$F$4:$F$5003,"Construction"),0)</f>
        <v>0</v>
      </c>
    </row>
    <row r="464" spans="2:34">
      <c r="B464" s="19" t="s">
        <v>60</v>
      </c>
      <c r="C464" s="20">
        <f>COUNTIFS('Management Visits'!$D$4:$D$5003,"May",'Management Visits'!$F$4:$F$5003,dCrit)</f>
        <v>0</v>
      </c>
      <c r="M464" s="11" t="s">
        <v>1845</v>
      </c>
      <c r="N464" s="21">
        <f>IFERROR(AVERAGEIFS('Management Visits'!$M$4:$M$5003,'Management Visits'!$D$4:$D$5003,mCrit,'Management Visits'!$F$4:$F$5003,dCrit),0)</f>
        <v>0</v>
      </c>
      <c r="P464" s="11" t="s">
        <v>65</v>
      </c>
      <c r="Q464" s="20">
        <f>COUNTIFS('Management Visits'!$D$4:$D$5003,mCrit,'Management Visits'!$F$4:$F$5003,"Safety")</f>
        <v>0</v>
      </c>
      <c r="R464" s="21">
        <f>IFERROR((COUNTIFS('Management Visits'!$N$4:$N$5003,"Closed",'Management Visits'!$D$4:$D$5003,mCrit,'Management Visits'!$F$4:$F$5003,"Safety"))/COUNTIFS('Management Visits'!$D$4:$D$5003,mCrit,'Management Visits'!$F$4:$F$5003,"Safety")*100,0)</f>
        <v>0</v>
      </c>
      <c r="S464" s="21">
        <f>IFERROR(AVERAGEIFS('Management Visits'!$M$4:$M$5003,'Management Visits'!$D$4:$D$5003,mCrit,'Management Visits'!$F$4:$F$5003,"Safety"),0)</f>
        <v>0</v>
      </c>
    </row>
    <row r="465" spans="2:19">
      <c r="B465" s="19" t="s">
        <v>73</v>
      </c>
      <c r="C465" s="20">
        <f>COUNTIFS('Management Visits'!$D$4:$D$5003,"Jun",'Management Visits'!$F$4:$F$5003,dCrit)</f>
        <v>0</v>
      </c>
      <c r="M465" s="11" t="s">
        <v>879</v>
      </c>
      <c r="N465" s="20">
        <f>SUMIFS('Management Visits'!$K$4:$K$5003,'Management Visits'!$D$4:$D$5003,mCrit,'Management Visits'!$F$4:$F$5003,dCrit)</f>
        <v>0</v>
      </c>
      <c r="P465" s="11" t="s">
        <v>5</v>
      </c>
      <c r="Q465" s="20">
        <f>COUNTIFS('Management Visits'!$D$4:$D$5003,mCrit,'Management Visits'!$F$4:$F$5003,"Logistics")</f>
        <v>0</v>
      </c>
      <c r="R465" s="21">
        <f>IFERROR((COUNTIFS('Management Visits'!$N$4:$N$5003,"Closed",'Management Visits'!$D$4:$D$5003,mCrit,'Management Visits'!$F$4:$F$5003,"Logistics"))/COUNTIFS('Management Visits'!$D$4:$D$5003,mCrit,'Management Visits'!$F$4:$F$5003,"Logistics")*100,0)</f>
        <v>0</v>
      </c>
      <c r="S465" s="21">
        <f>IFERROR(AVERAGEIFS('Management Visits'!$M$4:$M$5003,'Management Visits'!$D$4:$D$5003,mCrit,'Management Visits'!$F$4:$F$5003,"Logistics"),0)</f>
        <v>0</v>
      </c>
    </row>
    <row r="466" spans="2:19">
      <c r="B466" s="19" t="s">
        <v>76</v>
      </c>
      <c r="C466" s="20">
        <f>COUNTIFS('Management Visits'!$D$4:$D$5003,"Jul",'Management Visits'!$F$4:$F$5003,dCrit)</f>
        <v>0</v>
      </c>
      <c r="P466" s="11" t="s">
        <v>50</v>
      </c>
      <c r="Q466" s="20">
        <f>COUNTIFS('Management Visits'!$D$4:$D$5003,mCrit,'Management Visits'!$F$4:$F$5003,"Quality")</f>
        <v>0</v>
      </c>
      <c r="R466" s="21">
        <f>IFERROR((COUNTIFS('Management Visits'!$N$4:$N$5003,"Closed",'Management Visits'!$D$4:$D$5003,mCrit,'Management Visits'!$F$4:$F$5003,"Quality"))/COUNTIFS('Management Visits'!$D$4:$D$5003,mCrit,'Management Visits'!$F$4:$F$5003,"Quality")*100,0)</f>
        <v>0</v>
      </c>
      <c r="S466" s="21">
        <f>IFERROR(AVERAGEIFS('Management Visits'!$M$4:$M$5003,'Management Visits'!$D$4:$D$5003,mCrit,'Management Visits'!$F$4:$F$5003,"Quality"),0)</f>
        <v>0</v>
      </c>
    </row>
    <row r="467" spans="2:19">
      <c r="B467" s="19" t="s">
        <v>86</v>
      </c>
      <c r="C467" s="20">
        <f>COUNTIFS('Management Visits'!$D$4:$D$5003,"Aug",'Management Visits'!$F$4:$F$5003,dCrit)</f>
        <v>0</v>
      </c>
      <c r="P467" s="11" t="s">
        <v>46</v>
      </c>
      <c r="Q467" s="20">
        <f>COUNTIFS('Management Visits'!$D$4:$D$5003,mCrit,'Management Visits'!$F$4:$F$5003,"Admin")</f>
        <v>0</v>
      </c>
      <c r="R467" s="21">
        <f>IFERROR((COUNTIFS('Management Visits'!$N$4:$N$5003,"Closed",'Management Visits'!$D$4:$D$5003,mCrit,'Management Visits'!$F$4:$F$5003,"Admin"))/COUNTIFS('Management Visits'!$D$4:$D$5003,mCrit,'Management Visits'!$F$4:$F$5003,"Admin")*100,0)</f>
        <v>0</v>
      </c>
      <c r="S467" s="21">
        <f>IFERROR(AVERAGEIFS('Management Visits'!$M$4:$M$5003,'Management Visits'!$D$4:$D$5003,mCrit,'Management Visits'!$F$4:$F$5003,"Admin"),0)</f>
        <v>0</v>
      </c>
    </row>
    <row r="468" spans="2:19">
      <c r="B468" s="19" t="s">
        <v>102</v>
      </c>
      <c r="C468" s="20">
        <f>COUNTIFS('Management Visits'!$D$4:$D$5003,"Sep",'Management Visits'!$F$4:$F$5003,dCrit)</f>
        <v>0</v>
      </c>
      <c r="P468" s="11" t="s">
        <v>13</v>
      </c>
      <c r="Q468" s="20">
        <f>COUNTIFS('Management Visits'!$D$4:$D$5003,mCrit,'Management Visits'!$F$4:$F$5003,"Projects")</f>
        <v>0</v>
      </c>
      <c r="R468" s="21">
        <f>IFERROR((COUNTIFS('Management Visits'!$N$4:$N$5003,"Closed",'Management Visits'!$D$4:$D$5003,mCrit,'Management Visits'!$F$4:$F$5003,"Projects"))/COUNTIFS('Management Visits'!$D$4:$D$5003,mCrit,'Management Visits'!$F$4:$F$5003,"Projects")*100,0)</f>
        <v>0</v>
      </c>
      <c r="S468" s="21">
        <f>IFERROR(AVERAGEIFS('Management Visits'!$M$4:$M$5003,'Management Visits'!$D$4:$D$5003,mCrit,'Management Visits'!$F$4:$F$5003,"Projects"),0)</f>
        <v>0</v>
      </c>
    </row>
    <row r="469" spans="2:19">
      <c r="B469" s="19" t="s">
        <v>106</v>
      </c>
      <c r="C469" s="20">
        <f>COUNTIFS('Management Visits'!$D$4:$D$5003,"Oct",'Management Visits'!$F$4:$F$5003,dCrit)</f>
        <v>0</v>
      </c>
      <c r="P469" s="11" t="s">
        <v>58</v>
      </c>
      <c r="Q469" s="20">
        <f>COUNTIFS('Management Visits'!$D$4:$D$5003,mCrit,'Management Visits'!$F$4:$F$5003,"Contractor")</f>
        <v>0</v>
      </c>
      <c r="R469" s="21">
        <f>IFERROR((COUNTIFS('Management Visits'!$N$4:$N$5003,"Closed",'Management Visits'!$D$4:$D$5003,mCrit,'Management Visits'!$F$4:$F$5003,"Contractor"))/COUNTIFS('Management Visits'!$D$4:$D$5003,mCrit,'Management Visits'!$F$4:$F$5003,"Contractor")*100,0)</f>
        <v>0</v>
      </c>
      <c r="S469" s="21">
        <f>IFERROR(AVERAGEIFS('Management Visits'!$M$4:$M$5003,'Management Visits'!$D$4:$D$5003,mCrit,'Management Visits'!$F$4:$F$5003,"Contractor"),0)</f>
        <v>0</v>
      </c>
    </row>
    <row r="470" spans="2:19">
      <c r="B470" s="19" t="s">
        <v>111</v>
      </c>
      <c r="C470" s="20">
        <f>COUNTIFS('Management Visits'!$D$4:$D$5003,"Nov",'Management Visits'!$F$4:$F$5003,dCrit)</f>
        <v>0</v>
      </c>
    </row>
    <row r="471" spans="2:19">
      <c r="B471" s="19" t="s">
        <v>122</v>
      </c>
      <c r="C471" s="20">
        <f>COUNTIFS('Management Visits'!$D$4:$D$5003,"Dec",'Management Visits'!$F$4:$F$5003,dCrit)</f>
        <v>0</v>
      </c>
    </row>
    <row r="484" spans="2:34">
      <c r="B484" s="17" t="s">
        <v>1857</v>
      </c>
    </row>
    <row r="485" spans="2:34">
      <c r="B485" s="10" t="s">
        <v>127</v>
      </c>
      <c r="C485" s="10" t="s">
        <v>1782</v>
      </c>
      <c r="G485" s="10" t="s">
        <v>935</v>
      </c>
      <c r="H485" s="10" t="s">
        <v>1782</v>
      </c>
      <c r="J485" s="10" t="s">
        <v>287</v>
      </c>
      <c r="K485" s="10" t="s">
        <v>1782</v>
      </c>
      <c r="M485" s="10" t="s">
        <v>1726</v>
      </c>
      <c r="N485" s="10" t="s">
        <v>1817</v>
      </c>
      <c r="U485" s="10" t="s">
        <v>1826</v>
      </c>
      <c r="V485" s="10" t="s">
        <v>3</v>
      </c>
      <c r="W485" s="10" t="s">
        <v>19</v>
      </c>
      <c r="X485" s="10" t="s">
        <v>44</v>
      </c>
      <c r="Y485" s="10" t="s">
        <v>53</v>
      </c>
      <c r="Z485" s="10" t="s">
        <v>60</v>
      </c>
      <c r="AA485" s="10" t="s">
        <v>73</v>
      </c>
      <c r="AB485" s="10" t="s">
        <v>76</v>
      </c>
      <c r="AC485" s="10" t="s">
        <v>86</v>
      </c>
      <c r="AD485" s="10" t="s">
        <v>102</v>
      </c>
      <c r="AE485" s="10" t="s">
        <v>106</v>
      </c>
      <c r="AF485" s="10" t="s">
        <v>111</v>
      </c>
      <c r="AG485" s="10" t="s">
        <v>122</v>
      </c>
      <c r="AH485" s="10" t="s">
        <v>1827</v>
      </c>
    </row>
    <row r="486" spans="2:34">
      <c r="B486" s="19" t="s">
        <v>3</v>
      </c>
      <c r="C486" s="20">
        <f>COUNTIFS('Management Reviews'!$D$4:$D$5003,"Jan")</f>
        <v>0</v>
      </c>
      <c r="G486" s="11" t="s">
        <v>9</v>
      </c>
      <c r="H486" s="20">
        <f>COUNTIFS('Management Reviews'!$N$4:$N$5003,"Yes",'Management Reviews'!$D$4:$D$5003,mCrit)</f>
        <v>0</v>
      </c>
      <c r="J486" s="11" t="s">
        <v>238</v>
      </c>
      <c r="K486" s="20">
        <f>COUNTIFS('Management Reviews'!$O$4:$O$5003,"Overdue",'Management Reviews'!$D$4:$D$5003,mCrit)</f>
        <v>0</v>
      </c>
      <c r="M486" s="11" t="s">
        <v>1821</v>
      </c>
      <c r="N486" s="20">
        <f>COUNTIFS('Management Reviews'!$D$4:$D$5003,mCrit)</f>
        <v>0</v>
      </c>
      <c r="U486" s="11" t="s">
        <v>1825</v>
      </c>
      <c r="V486" s="20">
        <f>COUNTIFS('Management Reviews'!$D$4:$D$5003,"Jan")</f>
        <v>0</v>
      </c>
      <c r="W486" s="20">
        <f>COUNTIFS('Management Reviews'!$D$4:$D$5003,"Feb")</f>
        <v>0</v>
      </c>
      <c r="X486" s="20">
        <f>COUNTIFS('Management Reviews'!$D$4:$D$5003,"Mar")</f>
        <v>0</v>
      </c>
      <c r="Y486" s="20">
        <f>COUNTIFS('Management Reviews'!$D$4:$D$5003,"Apr")</f>
        <v>0</v>
      </c>
      <c r="Z486" s="20">
        <f>COUNTIFS('Management Reviews'!$D$4:$D$5003,"May")</f>
        <v>0</v>
      </c>
      <c r="AA486" s="20">
        <f>COUNTIFS('Management Reviews'!$D$4:$D$5003,"Jun")</f>
        <v>0</v>
      </c>
      <c r="AB486" s="20">
        <f>COUNTIFS('Management Reviews'!$D$4:$D$5003,"Jul")</f>
        <v>0</v>
      </c>
      <c r="AC486" s="20">
        <f>COUNTIFS('Management Reviews'!$D$4:$D$5003,"Aug")</f>
        <v>0</v>
      </c>
      <c r="AD486" s="20">
        <f>COUNTIFS('Management Reviews'!$D$4:$D$5003,"Sep")</f>
        <v>0</v>
      </c>
      <c r="AE486" s="20">
        <f>COUNTIFS('Management Reviews'!$D$4:$D$5003,"Oct")</f>
        <v>0</v>
      </c>
      <c r="AF486" s="20">
        <f>COUNTIFS('Management Reviews'!$D$4:$D$5003,"Nov")</f>
        <v>0</v>
      </c>
      <c r="AG486" s="20">
        <f>COUNTIFS('Management Reviews'!$D$4:$D$5003,"Dec")</f>
        <v>0</v>
      </c>
      <c r="AH486" s="20">
        <f>SUM(V486:AG486)</f>
        <v>0</v>
      </c>
    </row>
    <row r="487" spans="2:34">
      <c r="B487" s="19" t="s">
        <v>19</v>
      </c>
      <c r="C487" s="20">
        <f>COUNTIFS('Management Reviews'!$D$4:$D$5003,"Feb")</f>
        <v>0</v>
      </c>
      <c r="G487" s="11" t="s">
        <v>23</v>
      </c>
      <c r="H487" s="20">
        <f>COUNTIFS('Management Reviews'!$N$4:$N$5003,"No",'Management Reviews'!$D$4:$D$5003,mCrit)</f>
        <v>0</v>
      </c>
      <c r="J487" s="11" t="s">
        <v>254</v>
      </c>
      <c r="K487" s="20">
        <f>COUNTIFS('Management Reviews'!$O$4:$O$5003,"In Progress",'Management Reviews'!$D$4:$D$5003,mCrit)</f>
        <v>0</v>
      </c>
      <c r="M487" s="11" t="s">
        <v>1829</v>
      </c>
      <c r="N487" s="21">
        <f>IFERROR((COUNTIFS('Management Reviews'!$O$4:$O$5003,"Closed",'Management Reviews'!$D$4:$D$5003,mCrit))/COUNTIFS('Management Reviews'!$D$4:$D$5003,mCrit)*100,0)</f>
        <v>0</v>
      </c>
      <c r="U487" s="11" t="s">
        <v>1833</v>
      </c>
      <c r="V487" s="21">
        <f>IFERROR((COUNTIFS('Management Reviews'!$O$4:$O$5003,"Closed",'Management Reviews'!$D$4:$D$5003,"Jan"))/COUNTIFS('Management Reviews'!$D$4:$D$5003,"Jan")*100,0)</f>
        <v>0</v>
      </c>
      <c r="W487" s="21">
        <f>IFERROR((COUNTIFS('Management Reviews'!$O$4:$O$5003,"Closed",'Management Reviews'!$D$4:$D$5003,"Feb"))/COUNTIFS('Management Reviews'!$D$4:$D$5003,"Feb")*100,0)</f>
        <v>0</v>
      </c>
      <c r="X487" s="21">
        <f>IFERROR((COUNTIFS('Management Reviews'!$O$4:$O$5003,"Closed",'Management Reviews'!$D$4:$D$5003,"Mar"))/COUNTIFS('Management Reviews'!$D$4:$D$5003,"Mar")*100,0)</f>
        <v>0</v>
      </c>
      <c r="Y487" s="21">
        <f>IFERROR((COUNTIFS('Management Reviews'!$O$4:$O$5003,"Closed",'Management Reviews'!$D$4:$D$5003,"Apr"))/COUNTIFS('Management Reviews'!$D$4:$D$5003,"Apr")*100,0)</f>
        <v>0</v>
      </c>
      <c r="Z487" s="21">
        <f>IFERROR((COUNTIFS('Management Reviews'!$O$4:$O$5003,"Closed",'Management Reviews'!$D$4:$D$5003,"May"))/COUNTIFS('Management Reviews'!$D$4:$D$5003,"May")*100,0)</f>
        <v>0</v>
      </c>
      <c r="AA487" s="21">
        <f>IFERROR((COUNTIFS('Management Reviews'!$O$4:$O$5003,"Closed",'Management Reviews'!$D$4:$D$5003,"Jun"))/COUNTIFS('Management Reviews'!$D$4:$D$5003,"Jun")*100,0)</f>
        <v>0</v>
      </c>
      <c r="AB487" s="21">
        <f>IFERROR((COUNTIFS('Management Reviews'!$O$4:$O$5003,"Closed",'Management Reviews'!$D$4:$D$5003,"Jul"))/COUNTIFS('Management Reviews'!$D$4:$D$5003,"Jul")*100,0)</f>
        <v>0</v>
      </c>
      <c r="AC487" s="21">
        <f>IFERROR((COUNTIFS('Management Reviews'!$O$4:$O$5003,"Closed",'Management Reviews'!$D$4:$D$5003,"Aug"))/COUNTIFS('Management Reviews'!$D$4:$D$5003,"Aug")*100,0)</f>
        <v>0</v>
      </c>
      <c r="AD487" s="21">
        <f>IFERROR((COUNTIFS('Management Reviews'!$O$4:$O$5003,"Closed",'Management Reviews'!$D$4:$D$5003,"Sep"))/COUNTIFS('Management Reviews'!$D$4:$D$5003,"Sep")*100,0)</f>
        <v>0</v>
      </c>
      <c r="AE487" s="21">
        <f>IFERROR((COUNTIFS('Management Reviews'!$O$4:$O$5003,"Closed",'Management Reviews'!$D$4:$D$5003,"Oct"))/COUNTIFS('Management Reviews'!$D$4:$D$5003,"Oct")*100,0)</f>
        <v>0</v>
      </c>
      <c r="AF487" s="21">
        <f>IFERROR((COUNTIFS('Management Reviews'!$O$4:$O$5003,"Closed",'Management Reviews'!$D$4:$D$5003,"Nov"))/COUNTIFS('Management Reviews'!$D$4:$D$5003,"Nov")*100,0)</f>
        <v>0</v>
      </c>
      <c r="AG487" s="21">
        <f>IFERROR((COUNTIFS('Management Reviews'!$O$4:$O$5003,"Closed",'Management Reviews'!$D$4:$D$5003,"Dec"))/COUNTIFS('Management Reviews'!$D$4:$D$5003,"Dec")*100,0)</f>
        <v>0</v>
      </c>
      <c r="AH487" s="21">
        <f>IFERROR(AVERAGE(V487:AG487),0)</f>
        <v>0</v>
      </c>
    </row>
    <row r="488" spans="2:34">
      <c r="B488" s="19" t="s">
        <v>44</v>
      </c>
      <c r="C488" s="20">
        <f>COUNTIFS('Management Reviews'!$D$4:$D$5003,"Mar")</f>
        <v>0</v>
      </c>
      <c r="J488" s="11" t="s">
        <v>293</v>
      </c>
      <c r="K488" s="20">
        <f>COUNTIFS('Management Reviews'!$O$4:$O$5003,"Closed",'Management Reviews'!$D$4:$D$5003,mCrit)</f>
        <v>0</v>
      </c>
      <c r="M488" s="11" t="s">
        <v>1830</v>
      </c>
      <c r="N488" s="20">
        <f>COUNTIFS('Management Reviews'!$O$4:$O$5003,"Open",'Management Reviews'!$D$4:$D$5003,mCrit)+COUNTIFS('Management Reviews'!$O$4:$O$5003,"In Progress",'Management Reviews'!$D$4:$D$5003,mCrit)+COUNTIFS('Management Reviews'!$O$4:$O$5003,"Overdue",'Management Reviews'!$D$4:$D$5003,mCrit)</f>
        <v>0</v>
      </c>
      <c r="U488" s="11" t="s">
        <v>1822</v>
      </c>
      <c r="V488" s="21">
        <f>IFERROR(AVERAGEIFS('Management Reviews'!$I$4:$I$5003,'Management Reviews'!$D$4:$D$5003,"Jan"),0)</f>
        <v>0</v>
      </c>
      <c r="W488" s="21">
        <f>IFERROR(AVERAGEIFS('Management Reviews'!$I$4:$I$5003,'Management Reviews'!$D$4:$D$5003,"Feb"),0)</f>
        <v>0</v>
      </c>
      <c r="X488" s="21">
        <f>IFERROR(AVERAGEIFS('Management Reviews'!$I$4:$I$5003,'Management Reviews'!$D$4:$D$5003,"Mar"),0)</f>
        <v>0</v>
      </c>
      <c r="Y488" s="21">
        <f>IFERROR(AVERAGEIFS('Management Reviews'!$I$4:$I$5003,'Management Reviews'!$D$4:$D$5003,"Apr"),0)</f>
        <v>0</v>
      </c>
      <c r="Z488" s="21">
        <f>IFERROR(AVERAGEIFS('Management Reviews'!$I$4:$I$5003,'Management Reviews'!$D$4:$D$5003,"May"),0)</f>
        <v>0</v>
      </c>
      <c r="AA488" s="21">
        <f>IFERROR(AVERAGEIFS('Management Reviews'!$I$4:$I$5003,'Management Reviews'!$D$4:$D$5003,"Jun"),0)</f>
        <v>0</v>
      </c>
      <c r="AB488" s="21">
        <f>IFERROR(AVERAGEIFS('Management Reviews'!$I$4:$I$5003,'Management Reviews'!$D$4:$D$5003,"Jul"),0)</f>
        <v>0</v>
      </c>
      <c r="AC488" s="21">
        <f>IFERROR(AVERAGEIFS('Management Reviews'!$I$4:$I$5003,'Management Reviews'!$D$4:$D$5003,"Aug"),0)</f>
        <v>0</v>
      </c>
      <c r="AD488" s="21">
        <f>IFERROR(AVERAGEIFS('Management Reviews'!$I$4:$I$5003,'Management Reviews'!$D$4:$D$5003,"Sep"),0)</f>
        <v>0</v>
      </c>
      <c r="AE488" s="21">
        <f>IFERROR(AVERAGEIFS('Management Reviews'!$I$4:$I$5003,'Management Reviews'!$D$4:$D$5003,"Oct"),0)</f>
        <v>0</v>
      </c>
      <c r="AF488" s="21">
        <f>IFERROR(AVERAGEIFS('Management Reviews'!$I$4:$I$5003,'Management Reviews'!$D$4:$D$5003,"Nov"),0)</f>
        <v>0</v>
      </c>
      <c r="AG488" s="21">
        <f>IFERROR(AVERAGEIFS('Management Reviews'!$I$4:$I$5003,'Management Reviews'!$D$4:$D$5003,"Dec"),0)</f>
        <v>0</v>
      </c>
      <c r="AH488" s="21">
        <f>IFERROR(AVERAGE(V488:AG488),0)</f>
        <v>0</v>
      </c>
    </row>
    <row r="489" spans="2:34">
      <c r="B489" s="19" t="s">
        <v>53</v>
      </c>
      <c r="C489" s="20">
        <f>COUNTIFS('Management Reviews'!$D$4:$D$5003,"Apr")</f>
        <v>0</v>
      </c>
      <c r="J489" s="11" t="s">
        <v>297</v>
      </c>
      <c r="K489" s="20">
        <f>COUNTIFS('Management Reviews'!$O$4:$O$5003,"Open",'Management Reviews'!$D$4:$D$5003,mCrit)</f>
        <v>0</v>
      </c>
      <c r="M489" s="11" t="s">
        <v>238</v>
      </c>
      <c r="N489" s="20">
        <f>COUNTIFS('Management Reviews'!$O$4:$O$5003,"Overdue",'Management Reviews'!$D$4:$D$5003,mCrit)</f>
        <v>0</v>
      </c>
    </row>
    <row r="490" spans="2:34">
      <c r="B490" s="19" t="s">
        <v>60</v>
      </c>
      <c r="C490" s="20">
        <f>COUNTIFS('Management Reviews'!$D$4:$D$5003,"May")</f>
        <v>0</v>
      </c>
      <c r="M490" s="11" t="s">
        <v>1822</v>
      </c>
      <c r="N490" s="21">
        <f>IFERROR(AVERAGEIFS('Management Reviews'!$I$4:$I$5003,'Management Reviews'!$D$4:$D$5003,mCrit),0)</f>
        <v>0</v>
      </c>
    </row>
    <row r="491" spans="2:34">
      <c r="B491" s="19" t="s">
        <v>73</v>
      </c>
      <c r="C491" s="20">
        <f>COUNTIFS('Management Reviews'!$D$4:$D$5003,"Jun")</f>
        <v>0</v>
      </c>
      <c r="M491" s="11" t="s">
        <v>933</v>
      </c>
      <c r="N491" s="20">
        <f>SUMIFS('Management Reviews'!$K$4:$K$5003,'Management Reviews'!$D$4:$D$5003,mCrit)</f>
        <v>0</v>
      </c>
    </row>
    <row r="492" spans="2:34">
      <c r="B492" s="19" t="s">
        <v>76</v>
      </c>
      <c r="C492" s="20">
        <f>COUNTIFS('Management Reviews'!$D$4:$D$5003,"Jul")</f>
        <v>0</v>
      </c>
      <c r="M492" s="11" t="s">
        <v>934</v>
      </c>
      <c r="N492" s="20">
        <f>SUMIFS('Management Reviews'!$L$4:$L$5003,'Management Reviews'!$D$4:$D$5003,mCrit)</f>
        <v>0</v>
      </c>
    </row>
    <row r="493" spans="2:34">
      <c r="B493" s="19" t="s">
        <v>86</v>
      </c>
      <c r="C493" s="20">
        <f>COUNTIFS('Management Reviews'!$D$4:$D$5003,"Aug")</f>
        <v>0</v>
      </c>
    </row>
    <row r="494" spans="2:34">
      <c r="B494" s="19" t="s">
        <v>102</v>
      </c>
      <c r="C494" s="20">
        <f>COUNTIFS('Management Reviews'!$D$4:$D$5003,"Sep")</f>
        <v>0</v>
      </c>
    </row>
    <row r="495" spans="2:34">
      <c r="B495" s="19" t="s">
        <v>106</v>
      </c>
      <c r="C495" s="20">
        <f>COUNTIFS('Management Reviews'!$D$4:$D$5003,"Oct")</f>
        <v>0</v>
      </c>
    </row>
    <row r="496" spans="2:34">
      <c r="B496" s="19" t="s">
        <v>111</v>
      </c>
      <c r="C496" s="20">
        <f>COUNTIFS('Management Reviews'!$D$4:$D$5003,"Nov")</f>
        <v>0</v>
      </c>
    </row>
    <row r="497" spans="2:34">
      <c r="B497" s="19" t="s">
        <v>122</v>
      </c>
      <c r="C497" s="20">
        <f>COUNTIFS('Management Reviews'!$D$4:$D$5003,"Dec")</f>
        <v>0</v>
      </c>
    </row>
    <row r="510" spans="2:34">
      <c r="B510" s="17" t="s">
        <v>1858</v>
      </c>
    </row>
    <row r="511" spans="2:34">
      <c r="B511" s="10" t="s">
        <v>127</v>
      </c>
      <c r="C511" s="10" t="s">
        <v>1782</v>
      </c>
      <c r="E511" s="10" t="s">
        <v>995</v>
      </c>
      <c r="F511" s="10" t="s">
        <v>1782</v>
      </c>
      <c r="G511" s="10" t="s">
        <v>997</v>
      </c>
      <c r="H511" s="10" t="s">
        <v>1782</v>
      </c>
      <c r="J511" s="10" t="s">
        <v>287</v>
      </c>
      <c r="K511" s="10" t="s">
        <v>1782</v>
      </c>
      <c r="M511" s="10" t="s">
        <v>1726</v>
      </c>
      <c r="N511" s="10" t="s">
        <v>1817</v>
      </c>
      <c r="P511" s="10" t="s">
        <v>129</v>
      </c>
      <c r="Q511" s="10" t="s">
        <v>1782</v>
      </c>
      <c r="R511" s="10" t="s">
        <v>1832</v>
      </c>
      <c r="S511" s="10" t="s">
        <v>1825</v>
      </c>
      <c r="U511" s="10" t="s">
        <v>1826</v>
      </c>
      <c r="V511" s="10" t="s">
        <v>3</v>
      </c>
      <c r="W511" s="10" t="s">
        <v>19</v>
      </c>
      <c r="X511" s="10" t="s">
        <v>44</v>
      </c>
      <c r="Y511" s="10" t="s">
        <v>53</v>
      </c>
      <c r="Z511" s="10" t="s">
        <v>60</v>
      </c>
      <c r="AA511" s="10" t="s">
        <v>73</v>
      </c>
      <c r="AB511" s="10" t="s">
        <v>76</v>
      </c>
      <c r="AC511" s="10" t="s">
        <v>86</v>
      </c>
      <c r="AD511" s="10" t="s">
        <v>102</v>
      </c>
      <c r="AE511" s="10" t="s">
        <v>106</v>
      </c>
      <c r="AF511" s="10" t="s">
        <v>111</v>
      </c>
      <c r="AG511" s="10" t="s">
        <v>122</v>
      </c>
      <c r="AH511" s="10" t="s">
        <v>1827</v>
      </c>
    </row>
    <row r="512" spans="2:34">
      <c r="B512" s="19" t="s">
        <v>3</v>
      </c>
      <c r="C512" s="20">
        <f>COUNTIFS('Disciplinary Actions'!$D$4:$D$5003,"Jan",'Disciplinary Actions'!$F$4:$F$5003,dCrit)</f>
        <v>0</v>
      </c>
      <c r="E512" s="11" t="s">
        <v>942</v>
      </c>
      <c r="F512" s="20">
        <f>COUNTIFS('Disciplinary Actions'!$E$4:$E$5003,"PPE Violation",'Disciplinary Actions'!$D$4:$D$5003,mCrit,'Disciplinary Actions'!$F$4:$F$5003,dCrit)</f>
        <v>0</v>
      </c>
      <c r="G512" s="11" t="s">
        <v>939</v>
      </c>
      <c r="H512" s="20">
        <f>COUNTIFS('Disciplinary Actions'!$I$4:$I$5003,"1st Offense",'Disciplinary Actions'!$D$4:$D$5003,mCrit,'Disciplinary Actions'!$F$4:$F$5003,dCrit)</f>
        <v>0</v>
      </c>
      <c r="J512" s="11" t="s">
        <v>297</v>
      </c>
      <c r="K512" s="20">
        <f>COUNTIFS('Disciplinary Actions'!$K$4:$K$5003,"Open",'Disciplinary Actions'!$D$4:$D$5003,mCrit,'Disciplinary Actions'!$F$4:$F$5003,dCrit)</f>
        <v>0</v>
      </c>
      <c r="M512" s="11" t="s">
        <v>1821</v>
      </c>
      <c r="N512" s="20">
        <f>COUNTIFS('Disciplinary Actions'!$D$4:$D$5003,mCrit,'Disciplinary Actions'!$F$4:$F$5003,dCrit)</f>
        <v>0</v>
      </c>
      <c r="P512" s="11" t="s">
        <v>27</v>
      </c>
      <c r="Q512" s="20">
        <f>COUNTIFS('Disciplinary Actions'!$D$4:$D$5003,mCrit,'Disciplinary Actions'!$F$4:$F$5003,"Operations")</f>
        <v>0</v>
      </c>
      <c r="R512" s="21">
        <f>IFERROR((COUNTIFS('Disciplinary Actions'!$K$4:$K$5003,"Closed",'Disciplinary Actions'!$D$4:$D$5003,mCrit,'Disciplinary Actions'!$F$4:$F$5003,"Operations"))/COUNTIFS('Disciplinary Actions'!$D$4:$D$5003,mCrit,'Disciplinary Actions'!$F$4:$F$5003,"Operations")*100,0)</f>
        <v>0</v>
      </c>
      <c r="S512" s="20">
        <f>COUNTIFS('Disciplinary Actions'!$D$4:$D$5003,mCrit,'Disciplinary Actions'!$F$4:$F$5003,"Operations")</f>
        <v>0</v>
      </c>
      <c r="U512" s="11" t="s">
        <v>1825</v>
      </c>
      <c r="V512" s="20">
        <f>COUNTIFS('Disciplinary Actions'!$D$4:$D$5003,"Jan",'Disciplinary Actions'!$F$4:$F$5003,dCrit)</f>
        <v>0</v>
      </c>
      <c r="W512" s="20">
        <f>COUNTIFS('Disciplinary Actions'!$D$4:$D$5003,"Feb",'Disciplinary Actions'!$F$4:$F$5003,dCrit)</f>
        <v>0</v>
      </c>
      <c r="X512" s="20">
        <f>COUNTIFS('Disciplinary Actions'!$D$4:$D$5003,"Mar",'Disciplinary Actions'!$F$4:$F$5003,dCrit)</f>
        <v>0</v>
      </c>
      <c r="Y512" s="20">
        <f>COUNTIFS('Disciplinary Actions'!$D$4:$D$5003,"Apr",'Disciplinary Actions'!$F$4:$F$5003,dCrit)</f>
        <v>0</v>
      </c>
      <c r="Z512" s="20">
        <f>COUNTIFS('Disciplinary Actions'!$D$4:$D$5003,"May",'Disciplinary Actions'!$F$4:$F$5003,dCrit)</f>
        <v>0</v>
      </c>
      <c r="AA512" s="20">
        <f>COUNTIFS('Disciplinary Actions'!$D$4:$D$5003,"Jun",'Disciplinary Actions'!$F$4:$F$5003,dCrit)</f>
        <v>0</v>
      </c>
      <c r="AB512" s="20">
        <f>COUNTIFS('Disciplinary Actions'!$D$4:$D$5003,"Jul",'Disciplinary Actions'!$F$4:$F$5003,dCrit)</f>
        <v>0</v>
      </c>
      <c r="AC512" s="20">
        <f>COUNTIFS('Disciplinary Actions'!$D$4:$D$5003,"Aug",'Disciplinary Actions'!$F$4:$F$5003,dCrit)</f>
        <v>0</v>
      </c>
      <c r="AD512" s="20">
        <f>COUNTIFS('Disciplinary Actions'!$D$4:$D$5003,"Sep",'Disciplinary Actions'!$F$4:$F$5003,dCrit)</f>
        <v>0</v>
      </c>
      <c r="AE512" s="20">
        <f>COUNTIFS('Disciplinary Actions'!$D$4:$D$5003,"Oct",'Disciplinary Actions'!$F$4:$F$5003,dCrit)</f>
        <v>0</v>
      </c>
      <c r="AF512" s="20">
        <f>COUNTIFS('Disciplinary Actions'!$D$4:$D$5003,"Nov",'Disciplinary Actions'!$F$4:$F$5003,dCrit)</f>
        <v>0</v>
      </c>
      <c r="AG512" s="20">
        <f>COUNTIFS('Disciplinary Actions'!$D$4:$D$5003,"Dec",'Disciplinary Actions'!$F$4:$F$5003,dCrit)</f>
        <v>0</v>
      </c>
      <c r="AH512" s="20">
        <f>SUM(V512:AG512)</f>
        <v>0</v>
      </c>
    </row>
    <row r="513" spans="2:34">
      <c r="B513" s="19" t="s">
        <v>19</v>
      </c>
      <c r="C513" s="20">
        <f>COUNTIFS('Disciplinary Actions'!$D$4:$D$5003,"Feb",'Disciplinary Actions'!$F$4:$F$5003,dCrit)</f>
        <v>0</v>
      </c>
      <c r="E513" s="11" t="s">
        <v>951</v>
      </c>
      <c r="F513" s="20">
        <f>COUNTIFS('Disciplinary Actions'!$E$4:$E$5003,"Safety Rule Breach",'Disciplinary Actions'!$D$4:$D$5003,mCrit,'Disciplinary Actions'!$F$4:$F$5003,dCrit)</f>
        <v>0</v>
      </c>
      <c r="G513" s="11" t="s">
        <v>944</v>
      </c>
      <c r="H513" s="20">
        <f>COUNTIFS('Disciplinary Actions'!$I$4:$I$5003,"2nd Offense",'Disciplinary Actions'!$D$4:$D$5003,mCrit,'Disciplinary Actions'!$F$4:$F$5003,dCrit)</f>
        <v>0</v>
      </c>
      <c r="J513" s="11" t="s">
        <v>293</v>
      </c>
      <c r="K513" s="20">
        <f>COUNTIFS('Disciplinary Actions'!$K$4:$K$5003,"Closed",'Disciplinary Actions'!$D$4:$D$5003,mCrit,'Disciplinary Actions'!$F$4:$F$5003,dCrit)</f>
        <v>0</v>
      </c>
      <c r="M513" s="11" t="s">
        <v>1829</v>
      </c>
      <c r="N513" s="21">
        <f>IFERROR((COUNTIFS('Disciplinary Actions'!$K$4:$K$5003,"Closed",'Disciplinary Actions'!$D$4:$D$5003,mCrit,'Disciplinary Actions'!$F$4:$F$5003,dCrit))/COUNTIFS('Disciplinary Actions'!$D$4:$D$5003,mCrit,'Disciplinary Actions'!$F$4:$F$5003,dCrit)*100,0)</f>
        <v>0</v>
      </c>
      <c r="P513" s="11" t="s">
        <v>92</v>
      </c>
      <c r="Q513" s="20">
        <f>COUNTIFS('Disciplinary Actions'!$D$4:$D$5003,mCrit,'Disciplinary Actions'!$F$4:$F$5003,"Maintenance")</f>
        <v>0</v>
      </c>
      <c r="R513" s="21">
        <f>IFERROR((COUNTIFS('Disciplinary Actions'!$K$4:$K$5003,"Closed",'Disciplinary Actions'!$D$4:$D$5003,mCrit,'Disciplinary Actions'!$F$4:$F$5003,"Maintenance"))/COUNTIFS('Disciplinary Actions'!$D$4:$D$5003,mCrit,'Disciplinary Actions'!$F$4:$F$5003,"Maintenance")*100,0)</f>
        <v>0</v>
      </c>
      <c r="S513" s="20">
        <f>COUNTIFS('Disciplinary Actions'!$D$4:$D$5003,mCrit,'Disciplinary Actions'!$F$4:$F$5003,"Maintenance")</f>
        <v>0</v>
      </c>
      <c r="U513" s="11" t="s">
        <v>1833</v>
      </c>
      <c r="V513" s="21">
        <f>IFERROR((COUNTIFS('Disciplinary Actions'!$K$4:$K$5003,"Closed",'Disciplinary Actions'!$D$4:$D$5003,"Jan",'Disciplinary Actions'!$F$4:$F$5003,dCrit))/COUNTIFS('Disciplinary Actions'!$D$4:$D$5003,"Jan",'Disciplinary Actions'!$F$4:$F$5003,dCrit)*100,0)</f>
        <v>0</v>
      </c>
      <c r="W513" s="21">
        <f>IFERROR((COUNTIFS('Disciplinary Actions'!$K$4:$K$5003,"Closed",'Disciplinary Actions'!$D$4:$D$5003,"Feb",'Disciplinary Actions'!$F$4:$F$5003,dCrit))/COUNTIFS('Disciplinary Actions'!$D$4:$D$5003,"Feb",'Disciplinary Actions'!$F$4:$F$5003,dCrit)*100,0)</f>
        <v>0</v>
      </c>
      <c r="X513" s="21">
        <f>IFERROR((COUNTIFS('Disciplinary Actions'!$K$4:$K$5003,"Closed",'Disciplinary Actions'!$D$4:$D$5003,"Mar",'Disciplinary Actions'!$F$4:$F$5003,dCrit))/COUNTIFS('Disciplinary Actions'!$D$4:$D$5003,"Mar",'Disciplinary Actions'!$F$4:$F$5003,dCrit)*100,0)</f>
        <v>0</v>
      </c>
      <c r="Y513" s="21">
        <f>IFERROR((COUNTIFS('Disciplinary Actions'!$K$4:$K$5003,"Closed",'Disciplinary Actions'!$D$4:$D$5003,"Apr",'Disciplinary Actions'!$F$4:$F$5003,dCrit))/COUNTIFS('Disciplinary Actions'!$D$4:$D$5003,"Apr",'Disciplinary Actions'!$F$4:$F$5003,dCrit)*100,0)</f>
        <v>0</v>
      </c>
      <c r="Z513" s="21">
        <f>IFERROR((COUNTIFS('Disciplinary Actions'!$K$4:$K$5003,"Closed",'Disciplinary Actions'!$D$4:$D$5003,"May",'Disciplinary Actions'!$F$4:$F$5003,dCrit))/COUNTIFS('Disciplinary Actions'!$D$4:$D$5003,"May",'Disciplinary Actions'!$F$4:$F$5003,dCrit)*100,0)</f>
        <v>0</v>
      </c>
      <c r="AA513" s="21">
        <f>IFERROR((COUNTIFS('Disciplinary Actions'!$K$4:$K$5003,"Closed",'Disciplinary Actions'!$D$4:$D$5003,"Jun",'Disciplinary Actions'!$F$4:$F$5003,dCrit))/COUNTIFS('Disciplinary Actions'!$D$4:$D$5003,"Jun",'Disciplinary Actions'!$F$4:$F$5003,dCrit)*100,0)</f>
        <v>0</v>
      </c>
      <c r="AB513" s="21">
        <f>IFERROR((COUNTIFS('Disciplinary Actions'!$K$4:$K$5003,"Closed",'Disciplinary Actions'!$D$4:$D$5003,"Jul",'Disciplinary Actions'!$F$4:$F$5003,dCrit))/COUNTIFS('Disciplinary Actions'!$D$4:$D$5003,"Jul",'Disciplinary Actions'!$F$4:$F$5003,dCrit)*100,0)</f>
        <v>0</v>
      </c>
      <c r="AC513" s="21">
        <f>IFERROR((COUNTIFS('Disciplinary Actions'!$K$4:$K$5003,"Closed",'Disciplinary Actions'!$D$4:$D$5003,"Aug",'Disciplinary Actions'!$F$4:$F$5003,dCrit))/COUNTIFS('Disciplinary Actions'!$D$4:$D$5003,"Aug",'Disciplinary Actions'!$F$4:$F$5003,dCrit)*100,0)</f>
        <v>0</v>
      </c>
      <c r="AD513" s="21">
        <f>IFERROR((COUNTIFS('Disciplinary Actions'!$K$4:$K$5003,"Closed",'Disciplinary Actions'!$D$4:$D$5003,"Sep",'Disciplinary Actions'!$F$4:$F$5003,dCrit))/COUNTIFS('Disciplinary Actions'!$D$4:$D$5003,"Sep",'Disciplinary Actions'!$F$4:$F$5003,dCrit)*100,0)</f>
        <v>0</v>
      </c>
      <c r="AE513" s="21">
        <f>IFERROR((COUNTIFS('Disciplinary Actions'!$K$4:$K$5003,"Closed",'Disciplinary Actions'!$D$4:$D$5003,"Oct",'Disciplinary Actions'!$F$4:$F$5003,dCrit))/COUNTIFS('Disciplinary Actions'!$D$4:$D$5003,"Oct",'Disciplinary Actions'!$F$4:$F$5003,dCrit)*100,0)</f>
        <v>0</v>
      </c>
      <c r="AF513" s="21">
        <f>IFERROR((COUNTIFS('Disciplinary Actions'!$K$4:$K$5003,"Closed",'Disciplinary Actions'!$D$4:$D$5003,"Nov",'Disciplinary Actions'!$F$4:$F$5003,dCrit))/COUNTIFS('Disciplinary Actions'!$D$4:$D$5003,"Nov",'Disciplinary Actions'!$F$4:$F$5003,dCrit)*100,0)</f>
        <v>0</v>
      </c>
      <c r="AG513" s="21">
        <f>IFERROR((COUNTIFS('Disciplinary Actions'!$K$4:$K$5003,"Closed",'Disciplinary Actions'!$D$4:$D$5003,"Dec",'Disciplinary Actions'!$F$4:$F$5003,dCrit))/COUNTIFS('Disciplinary Actions'!$D$4:$D$5003,"Dec",'Disciplinary Actions'!$F$4:$F$5003,dCrit)*100,0)</f>
        <v>0</v>
      </c>
      <c r="AH513" s="21">
        <f>IFERROR(AVERAGE(V513:AG513),0)</f>
        <v>0</v>
      </c>
    </row>
    <row r="514" spans="2:34">
      <c r="B514" s="19" t="s">
        <v>44</v>
      </c>
      <c r="C514" s="20">
        <f>COUNTIFS('Disciplinary Actions'!$D$4:$D$5003,"Mar",'Disciplinary Actions'!$F$4:$F$5003,dCrit)</f>
        <v>0</v>
      </c>
      <c r="E514" s="11" t="s">
        <v>938</v>
      </c>
      <c r="F514" s="20">
        <f>COUNTIFS('Disciplinary Actions'!$E$4:$E$5003,"Permit Violation",'Disciplinary Actions'!$D$4:$D$5003,mCrit,'Disciplinary Actions'!$F$4:$F$5003,dCrit)</f>
        <v>0</v>
      </c>
      <c r="G514" s="11" t="s">
        <v>947</v>
      </c>
      <c r="H514" s="20">
        <f>COUNTIFS('Disciplinary Actions'!$I$4:$I$5003,"3rd Offense",'Disciplinary Actions'!$D$4:$D$5003,mCrit,'Disciplinary Actions'!$F$4:$F$5003,dCrit)</f>
        <v>0</v>
      </c>
      <c r="J514" s="11" t="s">
        <v>254</v>
      </c>
      <c r="K514" s="20">
        <f>COUNTIFS('Disciplinary Actions'!$K$4:$K$5003,"In Progress",'Disciplinary Actions'!$D$4:$D$5003,mCrit,'Disciplinary Actions'!$F$4:$F$5003,dCrit)</f>
        <v>0</v>
      </c>
      <c r="M514" s="11" t="s">
        <v>1830</v>
      </c>
      <c r="N514" s="20">
        <f>COUNTIFS('Disciplinary Actions'!$K$4:$K$5003,"Open",'Disciplinary Actions'!$D$4:$D$5003,mCrit,'Disciplinary Actions'!$F$4:$F$5003,dCrit)+COUNTIFS('Disciplinary Actions'!$K$4:$K$5003,"In Progress",'Disciplinary Actions'!$D$4:$D$5003,mCrit,'Disciplinary Actions'!$F$4:$F$5003,dCrit)+COUNTIFS('Disciplinary Actions'!$K$4:$K$5003,"Overdue",'Disciplinary Actions'!$D$4:$D$5003,mCrit,'Disciplinary Actions'!$F$4:$F$5003,dCrit)</f>
        <v>0</v>
      </c>
      <c r="P514" s="11" t="s">
        <v>39</v>
      </c>
      <c r="Q514" s="20">
        <f>COUNTIFS('Disciplinary Actions'!$D$4:$D$5003,mCrit,'Disciplinary Actions'!$F$4:$F$5003,"Engineering")</f>
        <v>0</v>
      </c>
      <c r="R514" s="21">
        <f>IFERROR((COUNTIFS('Disciplinary Actions'!$K$4:$K$5003,"Closed",'Disciplinary Actions'!$D$4:$D$5003,mCrit,'Disciplinary Actions'!$F$4:$F$5003,"Engineering"))/COUNTIFS('Disciplinary Actions'!$D$4:$D$5003,mCrit,'Disciplinary Actions'!$F$4:$F$5003,"Engineering")*100,0)</f>
        <v>0</v>
      </c>
      <c r="S514" s="20">
        <f>COUNTIFS('Disciplinary Actions'!$D$4:$D$5003,mCrit,'Disciplinary Actions'!$F$4:$F$5003,"Engineering")</f>
        <v>0</v>
      </c>
    </row>
    <row r="515" spans="2:34">
      <c r="B515" s="19" t="s">
        <v>53</v>
      </c>
      <c r="C515" s="20">
        <f>COUNTIFS('Disciplinary Actions'!$D$4:$D$5003,"Apr",'Disciplinary Actions'!$F$4:$F$5003,dCrit)</f>
        <v>0</v>
      </c>
      <c r="E515" s="11" t="s">
        <v>958</v>
      </c>
      <c r="F515" s="20">
        <f>COUNTIFS('Disciplinary Actions'!$E$4:$E$5003,"Unauthorized Work",'Disciplinary Actions'!$D$4:$D$5003,mCrit,'Disciplinary Actions'!$F$4:$F$5003,dCrit)</f>
        <v>0</v>
      </c>
      <c r="J515" s="11" t="s">
        <v>238</v>
      </c>
      <c r="K515" s="20">
        <f>COUNTIFS('Disciplinary Actions'!$K$4:$K$5003,"Overdue",'Disciplinary Actions'!$D$4:$D$5003,mCrit,'Disciplinary Actions'!$F$4:$F$5003,dCrit)</f>
        <v>0</v>
      </c>
      <c r="M515" s="11" t="s">
        <v>238</v>
      </c>
      <c r="N515" s="20">
        <f>COUNTIFS('Disciplinary Actions'!$K$4:$K$5003,"Overdue",'Disciplinary Actions'!$D$4:$D$5003,mCrit,'Disciplinary Actions'!$F$4:$F$5003,dCrit)</f>
        <v>0</v>
      </c>
      <c r="P515" s="11" t="s">
        <v>89</v>
      </c>
      <c r="Q515" s="20">
        <f>COUNTIFS('Disciplinary Actions'!$D$4:$D$5003,mCrit,'Disciplinary Actions'!$F$4:$F$5003,"Construction")</f>
        <v>0</v>
      </c>
      <c r="R515" s="21">
        <f>IFERROR((COUNTIFS('Disciplinary Actions'!$K$4:$K$5003,"Closed",'Disciplinary Actions'!$D$4:$D$5003,mCrit,'Disciplinary Actions'!$F$4:$F$5003,"Construction"))/COUNTIFS('Disciplinary Actions'!$D$4:$D$5003,mCrit,'Disciplinary Actions'!$F$4:$F$5003,"Construction")*100,0)</f>
        <v>0</v>
      </c>
      <c r="S515" s="20">
        <f>COUNTIFS('Disciplinary Actions'!$D$4:$D$5003,mCrit,'Disciplinary Actions'!$F$4:$F$5003,"Construction")</f>
        <v>0</v>
      </c>
    </row>
    <row r="516" spans="2:34">
      <c r="B516" s="19" t="s">
        <v>60</v>
      </c>
      <c r="C516" s="20">
        <f>COUNTIFS('Disciplinary Actions'!$D$4:$D$5003,"May",'Disciplinary Actions'!$F$4:$F$5003,dCrit)</f>
        <v>0</v>
      </c>
      <c r="E516" s="11" t="s">
        <v>946</v>
      </c>
      <c r="F516" s="20">
        <f>COUNTIFS('Disciplinary Actions'!$E$4:$E$5003,"Reckless Behavior",'Disciplinary Actions'!$D$4:$D$5003,mCrit,'Disciplinary Actions'!$F$4:$F$5003,dCrit)</f>
        <v>0</v>
      </c>
      <c r="M516" s="11" t="s">
        <v>947</v>
      </c>
      <c r="N516" s="20">
        <f>COUNTIFS('Disciplinary Actions'!$I$4:$I$5003,"3rd Offense",'Disciplinary Actions'!$D$4:$D$5003,mCrit,'Disciplinary Actions'!$F$4:$F$5003,dCrit)</f>
        <v>0</v>
      </c>
      <c r="P516" s="11" t="s">
        <v>65</v>
      </c>
      <c r="Q516" s="20">
        <f>COUNTIFS('Disciplinary Actions'!$D$4:$D$5003,mCrit,'Disciplinary Actions'!$F$4:$F$5003,"Safety")</f>
        <v>0</v>
      </c>
      <c r="R516" s="21">
        <f>IFERROR((COUNTIFS('Disciplinary Actions'!$K$4:$K$5003,"Closed",'Disciplinary Actions'!$D$4:$D$5003,mCrit,'Disciplinary Actions'!$F$4:$F$5003,"Safety"))/COUNTIFS('Disciplinary Actions'!$D$4:$D$5003,mCrit,'Disciplinary Actions'!$F$4:$F$5003,"Safety")*100,0)</f>
        <v>0</v>
      </c>
      <c r="S516" s="20">
        <f>COUNTIFS('Disciplinary Actions'!$D$4:$D$5003,mCrit,'Disciplinary Actions'!$F$4:$F$5003,"Safety")</f>
        <v>0</v>
      </c>
    </row>
    <row r="517" spans="2:34">
      <c r="B517" s="19" t="s">
        <v>73</v>
      </c>
      <c r="C517" s="20">
        <f>COUNTIFS('Disciplinary Actions'!$D$4:$D$5003,"Jun",'Disciplinary Actions'!$F$4:$F$5003,dCrit)</f>
        <v>0</v>
      </c>
      <c r="E517" s="11" t="s">
        <v>954</v>
      </c>
      <c r="F517" s="20">
        <f>COUNTIFS('Disciplinary Actions'!$E$4:$E$5003,"Substance Abuse",'Disciplinary Actions'!$D$4:$D$5003,mCrit,'Disciplinary Actions'!$F$4:$F$5003,dCrit)</f>
        <v>0</v>
      </c>
      <c r="M517" s="11" t="s">
        <v>1859</v>
      </c>
      <c r="N517" s="20">
        <f>COUNTIFS('Disciplinary Actions'!$H$4:$H$5003,"Suspension",'Disciplinary Actions'!$D$4:$D$5003,mCrit,'Disciplinary Actions'!$F$4:$F$5003,dCrit)+COUNTIFS('Disciplinary Actions'!$H$4:$H$5003,"Termination",'Disciplinary Actions'!$D$4:$D$5003,mCrit,'Disciplinary Actions'!$F$4:$F$5003,dCrit)</f>
        <v>0</v>
      </c>
      <c r="P517" s="11" t="s">
        <v>5</v>
      </c>
      <c r="Q517" s="20">
        <f>COUNTIFS('Disciplinary Actions'!$D$4:$D$5003,mCrit,'Disciplinary Actions'!$F$4:$F$5003,"Logistics")</f>
        <v>0</v>
      </c>
      <c r="R517" s="21">
        <f>IFERROR((COUNTIFS('Disciplinary Actions'!$K$4:$K$5003,"Closed",'Disciplinary Actions'!$D$4:$D$5003,mCrit,'Disciplinary Actions'!$F$4:$F$5003,"Logistics"))/COUNTIFS('Disciplinary Actions'!$D$4:$D$5003,mCrit,'Disciplinary Actions'!$F$4:$F$5003,"Logistics")*100,0)</f>
        <v>0</v>
      </c>
      <c r="S517" s="20">
        <f>COUNTIFS('Disciplinary Actions'!$D$4:$D$5003,mCrit,'Disciplinary Actions'!$F$4:$F$5003,"Logistics")</f>
        <v>0</v>
      </c>
    </row>
    <row r="518" spans="2:34">
      <c r="B518" s="19" t="s">
        <v>76</v>
      </c>
      <c r="C518" s="20">
        <f>COUNTIFS('Disciplinary Actions'!$D$4:$D$5003,"Jul",'Disciplinary Actions'!$F$4:$F$5003,dCrit)</f>
        <v>0</v>
      </c>
      <c r="P518" s="11" t="s">
        <v>50</v>
      </c>
      <c r="Q518" s="20">
        <f>COUNTIFS('Disciplinary Actions'!$D$4:$D$5003,mCrit,'Disciplinary Actions'!$F$4:$F$5003,"Quality")</f>
        <v>0</v>
      </c>
      <c r="R518" s="21">
        <f>IFERROR((COUNTIFS('Disciplinary Actions'!$K$4:$K$5003,"Closed",'Disciplinary Actions'!$D$4:$D$5003,mCrit,'Disciplinary Actions'!$F$4:$F$5003,"Quality"))/COUNTIFS('Disciplinary Actions'!$D$4:$D$5003,mCrit,'Disciplinary Actions'!$F$4:$F$5003,"Quality")*100,0)</f>
        <v>0</v>
      </c>
      <c r="S518" s="20">
        <f>COUNTIFS('Disciplinary Actions'!$D$4:$D$5003,mCrit,'Disciplinary Actions'!$F$4:$F$5003,"Quality")</f>
        <v>0</v>
      </c>
    </row>
    <row r="519" spans="2:34">
      <c r="B519" s="19" t="s">
        <v>86</v>
      </c>
      <c r="C519" s="20">
        <f>COUNTIFS('Disciplinary Actions'!$D$4:$D$5003,"Aug",'Disciplinary Actions'!$F$4:$F$5003,dCrit)</f>
        <v>0</v>
      </c>
      <c r="P519" s="11" t="s">
        <v>46</v>
      </c>
      <c r="Q519" s="20">
        <f>COUNTIFS('Disciplinary Actions'!$D$4:$D$5003,mCrit,'Disciplinary Actions'!$F$4:$F$5003,"Admin")</f>
        <v>0</v>
      </c>
      <c r="R519" s="21">
        <f>IFERROR((COUNTIFS('Disciplinary Actions'!$K$4:$K$5003,"Closed",'Disciplinary Actions'!$D$4:$D$5003,mCrit,'Disciplinary Actions'!$F$4:$F$5003,"Admin"))/COUNTIFS('Disciplinary Actions'!$D$4:$D$5003,mCrit,'Disciplinary Actions'!$F$4:$F$5003,"Admin")*100,0)</f>
        <v>0</v>
      </c>
      <c r="S519" s="20">
        <f>COUNTIFS('Disciplinary Actions'!$D$4:$D$5003,mCrit,'Disciplinary Actions'!$F$4:$F$5003,"Admin")</f>
        <v>0</v>
      </c>
    </row>
    <row r="520" spans="2:34">
      <c r="B520" s="19" t="s">
        <v>102</v>
      </c>
      <c r="C520" s="20">
        <f>COUNTIFS('Disciplinary Actions'!$D$4:$D$5003,"Sep",'Disciplinary Actions'!$F$4:$F$5003,dCrit)</f>
        <v>0</v>
      </c>
      <c r="P520" s="11" t="s">
        <v>13</v>
      </c>
      <c r="Q520" s="20">
        <f>COUNTIFS('Disciplinary Actions'!$D$4:$D$5003,mCrit,'Disciplinary Actions'!$F$4:$F$5003,"Projects")</f>
        <v>0</v>
      </c>
      <c r="R520" s="21">
        <f>IFERROR((COUNTIFS('Disciplinary Actions'!$K$4:$K$5003,"Closed",'Disciplinary Actions'!$D$4:$D$5003,mCrit,'Disciplinary Actions'!$F$4:$F$5003,"Projects"))/COUNTIFS('Disciplinary Actions'!$D$4:$D$5003,mCrit,'Disciplinary Actions'!$F$4:$F$5003,"Projects")*100,0)</f>
        <v>0</v>
      </c>
      <c r="S520" s="20">
        <f>COUNTIFS('Disciplinary Actions'!$D$4:$D$5003,mCrit,'Disciplinary Actions'!$F$4:$F$5003,"Projects")</f>
        <v>0</v>
      </c>
    </row>
    <row r="521" spans="2:34">
      <c r="B521" s="19" t="s">
        <v>106</v>
      </c>
      <c r="C521" s="20">
        <f>COUNTIFS('Disciplinary Actions'!$D$4:$D$5003,"Oct",'Disciplinary Actions'!$F$4:$F$5003,dCrit)</f>
        <v>0</v>
      </c>
      <c r="P521" s="11" t="s">
        <v>58</v>
      </c>
      <c r="Q521" s="20">
        <f>COUNTIFS('Disciplinary Actions'!$D$4:$D$5003,mCrit,'Disciplinary Actions'!$F$4:$F$5003,"Contractor")</f>
        <v>0</v>
      </c>
      <c r="R521" s="21">
        <f>IFERROR((COUNTIFS('Disciplinary Actions'!$K$4:$K$5003,"Closed",'Disciplinary Actions'!$D$4:$D$5003,mCrit,'Disciplinary Actions'!$F$4:$F$5003,"Contractor"))/COUNTIFS('Disciplinary Actions'!$D$4:$D$5003,mCrit,'Disciplinary Actions'!$F$4:$F$5003,"Contractor")*100,0)</f>
        <v>0</v>
      </c>
      <c r="S521" s="20">
        <f>COUNTIFS('Disciplinary Actions'!$D$4:$D$5003,mCrit,'Disciplinary Actions'!$F$4:$F$5003,"Contractor")</f>
        <v>0</v>
      </c>
    </row>
    <row r="522" spans="2:34">
      <c r="B522" s="19" t="s">
        <v>111</v>
      </c>
      <c r="C522" s="20">
        <f>COUNTIFS('Disciplinary Actions'!$D$4:$D$5003,"Nov",'Disciplinary Actions'!$F$4:$F$5003,dCrit)</f>
        <v>0</v>
      </c>
    </row>
    <row r="523" spans="2:34">
      <c r="B523" s="19" t="s">
        <v>122</v>
      </c>
      <c r="C523" s="20">
        <f>COUNTIFS('Disciplinary Actions'!$D$4:$D$5003,"Dec",'Disciplinary Actions'!$F$4:$F$5003,dCrit)</f>
        <v>0</v>
      </c>
    </row>
    <row r="536" spans="2:34">
      <c r="B536" s="17" t="s">
        <v>1860</v>
      </c>
    </row>
    <row r="537" spans="2:34">
      <c r="B537" s="10" t="s">
        <v>127</v>
      </c>
      <c r="C537" s="10" t="s">
        <v>1782</v>
      </c>
      <c r="E537" s="10" t="s">
        <v>1059</v>
      </c>
      <c r="F537" s="10" t="s">
        <v>1782</v>
      </c>
      <c r="G537" s="10" t="s">
        <v>1061</v>
      </c>
      <c r="H537" s="10" t="s">
        <v>1782</v>
      </c>
      <c r="J537" s="10" t="s">
        <v>287</v>
      </c>
      <c r="K537" s="10" t="s">
        <v>1782</v>
      </c>
      <c r="M537" s="10" t="s">
        <v>1726</v>
      </c>
      <c r="N537" s="10" t="s">
        <v>1817</v>
      </c>
      <c r="P537" s="10" t="s">
        <v>129</v>
      </c>
      <c r="Q537" s="10" t="s">
        <v>1782</v>
      </c>
      <c r="R537" s="10" t="s">
        <v>1832</v>
      </c>
      <c r="S537" s="10" t="s">
        <v>1825</v>
      </c>
      <c r="U537" s="10" t="s">
        <v>1826</v>
      </c>
      <c r="V537" s="10" t="s">
        <v>3</v>
      </c>
      <c r="W537" s="10" t="s">
        <v>19</v>
      </c>
      <c r="X537" s="10" t="s">
        <v>44</v>
      </c>
      <c r="Y537" s="10" t="s">
        <v>53</v>
      </c>
      <c r="Z537" s="10" t="s">
        <v>60</v>
      </c>
      <c r="AA537" s="10" t="s">
        <v>73</v>
      </c>
      <c r="AB537" s="10" t="s">
        <v>76</v>
      </c>
      <c r="AC537" s="10" t="s">
        <v>86</v>
      </c>
      <c r="AD537" s="10" t="s">
        <v>102</v>
      </c>
      <c r="AE537" s="10" t="s">
        <v>106</v>
      </c>
      <c r="AF537" s="10" t="s">
        <v>111</v>
      </c>
      <c r="AG537" s="10" t="s">
        <v>122</v>
      </c>
      <c r="AH537" s="10" t="s">
        <v>1827</v>
      </c>
    </row>
    <row r="538" spans="2:34">
      <c r="B538" s="19" t="s">
        <v>3</v>
      </c>
      <c r="C538" s="20">
        <f>COUNTIFS('Safety Awards'!$D$4:$D$5003,"Jan",'Safety Awards'!$F$4:$F$5003,dCrit)</f>
        <v>0</v>
      </c>
      <c r="E538" s="11" t="s">
        <v>1006</v>
      </c>
      <c r="F538" s="20">
        <f>COUNTIFS('Safety Awards'!$E$4:$E$5003,"Safe Worker of Month",'Safety Awards'!$D$4:$D$5003,mCrit,'Safety Awards'!$F$4:$F$5003,dCrit)</f>
        <v>0</v>
      </c>
      <c r="G538" s="11" t="s">
        <v>1022</v>
      </c>
      <c r="H538" s="20">
        <f>COUNTIFS('Safety Awards'!$H$4:$H$5003,"Certificate",'Safety Awards'!$D$4:$D$5003,mCrit,'Safety Awards'!$F$4:$F$5003,dCrit)</f>
        <v>0</v>
      </c>
      <c r="J538" s="11" t="s">
        <v>254</v>
      </c>
      <c r="K538" s="20">
        <f>COUNTIFS('Safety Awards'!$J$4:$J$5003,"In Progress",'Safety Awards'!$D$4:$D$5003,mCrit,'Safety Awards'!$F$4:$F$5003,dCrit)</f>
        <v>0</v>
      </c>
      <c r="M538" s="11" t="s">
        <v>1821</v>
      </c>
      <c r="N538" s="20">
        <f>COUNTIFS('Safety Awards'!$D$4:$D$5003,mCrit,'Safety Awards'!$F$4:$F$5003,dCrit)</f>
        <v>0</v>
      </c>
      <c r="P538" s="11" t="s">
        <v>27</v>
      </c>
      <c r="Q538" s="20">
        <f>COUNTIFS('Safety Awards'!$D$4:$D$5003,mCrit,'Safety Awards'!$F$4:$F$5003,"Operations")</f>
        <v>0</v>
      </c>
      <c r="R538" s="21">
        <f>IFERROR((COUNTIFS('Safety Awards'!$J$4:$J$5003,"Closed",'Safety Awards'!$D$4:$D$5003,mCrit,'Safety Awards'!$F$4:$F$5003,"Operations"))/COUNTIFS('Safety Awards'!$D$4:$D$5003,mCrit,'Safety Awards'!$F$4:$F$5003,"Operations")*100,0)</f>
        <v>0</v>
      </c>
      <c r="S538" s="20">
        <f>COUNTIFS('Safety Awards'!$D$4:$D$5003,mCrit,'Safety Awards'!$F$4:$F$5003,"Operations")</f>
        <v>0</v>
      </c>
      <c r="U538" s="11" t="s">
        <v>1825</v>
      </c>
      <c r="V538" s="20">
        <f>COUNTIFS('Safety Awards'!$D$4:$D$5003,"Jan",'Safety Awards'!$F$4:$F$5003,dCrit)</f>
        <v>0</v>
      </c>
      <c r="W538" s="20">
        <f>COUNTIFS('Safety Awards'!$D$4:$D$5003,"Feb",'Safety Awards'!$F$4:$F$5003,dCrit)</f>
        <v>0</v>
      </c>
      <c r="X538" s="20">
        <f>COUNTIFS('Safety Awards'!$D$4:$D$5003,"Mar",'Safety Awards'!$F$4:$F$5003,dCrit)</f>
        <v>0</v>
      </c>
      <c r="Y538" s="20">
        <f>COUNTIFS('Safety Awards'!$D$4:$D$5003,"Apr",'Safety Awards'!$F$4:$F$5003,dCrit)</f>
        <v>0</v>
      </c>
      <c r="Z538" s="20">
        <f>COUNTIFS('Safety Awards'!$D$4:$D$5003,"May",'Safety Awards'!$F$4:$F$5003,dCrit)</f>
        <v>0</v>
      </c>
      <c r="AA538" s="20">
        <f>COUNTIFS('Safety Awards'!$D$4:$D$5003,"Jun",'Safety Awards'!$F$4:$F$5003,dCrit)</f>
        <v>0</v>
      </c>
      <c r="AB538" s="20">
        <f>COUNTIFS('Safety Awards'!$D$4:$D$5003,"Jul",'Safety Awards'!$F$4:$F$5003,dCrit)</f>
        <v>0</v>
      </c>
      <c r="AC538" s="20">
        <f>COUNTIFS('Safety Awards'!$D$4:$D$5003,"Aug",'Safety Awards'!$F$4:$F$5003,dCrit)</f>
        <v>0</v>
      </c>
      <c r="AD538" s="20">
        <f>COUNTIFS('Safety Awards'!$D$4:$D$5003,"Sep",'Safety Awards'!$F$4:$F$5003,dCrit)</f>
        <v>0</v>
      </c>
      <c r="AE538" s="20">
        <f>COUNTIFS('Safety Awards'!$D$4:$D$5003,"Oct",'Safety Awards'!$F$4:$F$5003,dCrit)</f>
        <v>0</v>
      </c>
      <c r="AF538" s="20">
        <f>COUNTIFS('Safety Awards'!$D$4:$D$5003,"Nov",'Safety Awards'!$F$4:$F$5003,dCrit)</f>
        <v>0</v>
      </c>
      <c r="AG538" s="20">
        <f>COUNTIFS('Safety Awards'!$D$4:$D$5003,"Dec",'Safety Awards'!$F$4:$F$5003,dCrit)</f>
        <v>0</v>
      </c>
      <c r="AH538" s="20">
        <f>SUM(V538:AG538)</f>
        <v>0</v>
      </c>
    </row>
    <row r="539" spans="2:34">
      <c r="B539" s="19" t="s">
        <v>19</v>
      </c>
      <c r="C539" s="20">
        <f>COUNTIFS('Safety Awards'!$D$4:$D$5003,"Feb",'Safety Awards'!$F$4:$F$5003,dCrit)</f>
        <v>0</v>
      </c>
      <c r="E539" s="11" t="s">
        <v>1019</v>
      </c>
      <c r="F539" s="20">
        <f>COUNTIFS('Safety Awards'!$E$4:$E$5003,"Best Safety Suggestion",'Safety Awards'!$D$4:$D$5003,mCrit,'Safety Awards'!$F$4:$F$5003,dCrit)</f>
        <v>0</v>
      </c>
      <c r="G539" s="11" t="s">
        <v>1004</v>
      </c>
      <c r="H539" s="20">
        <f>COUNTIFS('Safety Awards'!$H$4:$H$5003,"Trophy",'Safety Awards'!$D$4:$D$5003,mCrit,'Safety Awards'!$F$4:$F$5003,dCrit)</f>
        <v>0</v>
      </c>
      <c r="J539" s="11" t="s">
        <v>293</v>
      </c>
      <c r="K539" s="20">
        <f>COUNTIFS('Safety Awards'!$J$4:$J$5003,"Closed",'Safety Awards'!$D$4:$D$5003,mCrit,'Safety Awards'!$F$4:$F$5003,dCrit)</f>
        <v>0</v>
      </c>
      <c r="M539" s="11" t="s">
        <v>1829</v>
      </c>
      <c r="N539" s="21">
        <f>IFERROR((COUNTIFS('Safety Awards'!$J$4:$J$5003,"Closed",'Safety Awards'!$D$4:$D$5003,mCrit,'Safety Awards'!$F$4:$F$5003,dCrit))/COUNTIFS('Safety Awards'!$D$4:$D$5003,mCrit,'Safety Awards'!$F$4:$F$5003,dCrit)*100,0)</f>
        <v>0</v>
      </c>
      <c r="P539" s="11" t="s">
        <v>92</v>
      </c>
      <c r="Q539" s="20">
        <f>COUNTIFS('Safety Awards'!$D$4:$D$5003,mCrit,'Safety Awards'!$F$4:$F$5003,"Maintenance")</f>
        <v>0</v>
      </c>
      <c r="R539" s="21">
        <f>IFERROR((COUNTIFS('Safety Awards'!$J$4:$J$5003,"Closed",'Safety Awards'!$D$4:$D$5003,mCrit,'Safety Awards'!$F$4:$F$5003,"Maintenance"))/COUNTIFS('Safety Awards'!$D$4:$D$5003,mCrit,'Safety Awards'!$F$4:$F$5003,"Maintenance")*100,0)</f>
        <v>0</v>
      </c>
      <c r="S539" s="20">
        <f>COUNTIFS('Safety Awards'!$D$4:$D$5003,mCrit,'Safety Awards'!$F$4:$F$5003,"Maintenance")</f>
        <v>0</v>
      </c>
      <c r="U539" s="11" t="s">
        <v>1833</v>
      </c>
      <c r="V539" s="21">
        <f>IFERROR((COUNTIFS('Safety Awards'!$J$4:$J$5003,"Closed",'Safety Awards'!$D$4:$D$5003,"Jan",'Safety Awards'!$F$4:$F$5003,dCrit))/COUNTIFS('Safety Awards'!$D$4:$D$5003,"Jan",'Safety Awards'!$F$4:$F$5003,dCrit)*100,0)</f>
        <v>0</v>
      </c>
      <c r="W539" s="21">
        <f>IFERROR((COUNTIFS('Safety Awards'!$J$4:$J$5003,"Closed",'Safety Awards'!$D$4:$D$5003,"Feb",'Safety Awards'!$F$4:$F$5003,dCrit))/COUNTIFS('Safety Awards'!$D$4:$D$5003,"Feb",'Safety Awards'!$F$4:$F$5003,dCrit)*100,0)</f>
        <v>0</v>
      </c>
      <c r="X539" s="21">
        <f>IFERROR((COUNTIFS('Safety Awards'!$J$4:$J$5003,"Closed",'Safety Awards'!$D$4:$D$5003,"Mar",'Safety Awards'!$F$4:$F$5003,dCrit))/COUNTIFS('Safety Awards'!$D$4:$D$5003,"Mar",'Safety Awards'!$F$4:$F$5003,dCrit)*100,0)</f>
        <v>0</v>
      </c>
      <c r="Y539" s="21">
        <f>IFERROR((COUNTIFS('Safety Awards'!$J$4:$J$5003,"Closed",'Safety Awards'!$D$4:$D$5003,"Apr",'Safety Awards'!$F$4:$F$5003,dCrit))/COUNTIFS('Safety Awards'!$D$4:$D$5003,"Apr",'Safety Awards'!$F$4:$F$5003,dCrit)*100,0)</f>
        <v>0</v>
      </c>
      <c r="Z539" s="21">
        <f>IFERROR((COUNTIFS('Safety Awards'!$J$4:$J$5003,"Closed",'Safety Awards'!$D$4:$D$5003,"May",'Safety Awards'!$F$4:$F$5003,dCrit))/COUNTIFS('Safety Awards'!$D$4:$D$5003,"May",'Safety Awards'!$F$4:$F$5003,dCrit)*100,0)</f>
        <v>0</v>
      </c>
      <c r="AA539" s="21">
        <f>IFERROR((COUNTIFS('Safety Awards'!$J$4:$J$5003,"Closed",'Safety Awards'!$D$4:$D$5003,"Jun",'Safety Awards'!$F$4:$F$5003,dCrit))/COUNTIFS('Safety Awards'!$D$4:$D$5003,"Jun",'Safety Awards'!$F$4:$F$5003,dCrit)*100,0)</f>
        <v>0</v>
      </c>
      <c r="AB539" s="21">
        <f>IFERROR((COUNTIFS('Safety Awards'!$J$4:$J$5003,"Closed",'Safety Awards'!$D$4:$D$5003,"Jul",'Safety Awards'!$F$4:$F$5003,dCrit))/COUNTIFS('Safety Awards'!$D$4:$D$5003,"Jul",'Safety Awards'!$F$4:$F$5003,dCrit)*100,0)</f>
        <v>0</v>
      </c>
      <c r="AC539" s="21">
        <f>IFERROR((COUNTIFS('Safety Awards'!$J$4:$J$5003,"Closed",'Safety Awards'!$D$4:$D$5003,"Aug",'Safety Awards'!$F$4:$F$5003,dCrit))/COUNTIFS('Safety Awards'!$D$4:$D$5003,"Aug",'Safety Awards'!$F$4:$F$5003,dCrit)*100,0)</f>
        <v>0</v>
      </c>
      <c r="AD539" s="21">
        <f>IFERROR((COUNTIFS('Safety Awards'!$J$4:$J$5003,"Closed",'Safety Awards'!$D$4:$D$5003,"Sep",'Safety Awards'!$F$4:$F$5003,dCrit))/COUNTIFS('Safety Awards'!$D$4:$D$5003,"Sep",'Safety Awards'!$F$4:$F$5003,dCrit)*100,0)</f>
        <v>0</v>
      </c>
      <c r="AE539" s="21">
        <f>IFERROR((COUNTIFS('Safety Awards'!$J$4:$J$5003,"Closed",'Safety Awards'!$D$4:$D$5003,"Oct",'Safety Awards'!$F$4:$F$5003,dCrit))/COUNTIFS('Safety Awards'!$D$4:$D$5003,"Oct",'Safety Awards'!$F$4:$F$5003,dCrit)*100,0)</f>
        <v>0</v>
      </c>
      <c r="AF539" s="21">
        <f>IFERROR((COUNTIFS('Safety Awards'!$J$4:$J$5003,"Closed",'Safety Awards'!$D$4:$D$5003,"Nov",'Safety Awards'!$F$4:$F$5003,dCrit))/COUNTIFS('Safety Awards'!$D$4:$D$5003,"Nov",'Safety Awards'!$F$4:$F$5003,dCrit)*100,0)</f>
        <v>0</v>
      </c>
      <c r="AG539" s="21">
        <f>IFERROR((COUNTIFS('Safety Awards'!$J$4:$J$5003,"Closed",'Safety Awards'!$D$4:$D$5003,"Dec",'Safety Awards'!$F$4:$F$5003,dCrit))/COUNTIFS('Safety Awards'!$D$4:$D$5003,"Dec",'Safety Awards'!$F$4:$F$5003,dCrit)*100,0)</f>
        <v>0</v>
      </c>
      <c r="AH539" s="21">
        <f>IFERROR(AVERAGE(V539:AG539),0)</f>
        <v>0</v>
      </c>
    </row>
    <row r="540" spans="2:34">
      <c r="B540" s="19" t="s">
        <v>44</v>
      </c>
      <c r="C540" s="20">
        <f>COUNTIFS('Safety Awards'!$D$4:$D$5003,"Mar",'Safety Awards'!$F$4:$F$5003,dCrit)</f>
        <v>0</v>
      </c>
      <c r="E540" s="11" t="s">
        <v>1003</v>
      </c>
      <c r="F540" s="20">
        <f>COUNTIFS('Safety Awards'!$E$4:$E$5003,"Zero Incident Award",'Safety Awards'!$D$4:$D$5003,mCrit,'Safety Awards'!$F$4:$F$5003,dCrit)</f>
        <v>0</v>
      </c>
      <c r="G540" s="11" t="s">
        <v>1007</v>
      </c>
      <c r="H540" s="20">
        <f>COUNTIFS('Safety Awards'!$H$4:$H$5003,"Cash Bonus",'Safety Awards'!$D$4:$D$5003,mCrit,'Safety Awards'!$F$4:$F$5003,dCrit)</f>
        <v>0</v>
      </c>
      <c r="J540" s="11" t="s">
        <v>238</v>
      </c>
      <c r="K540" s="20">
        <f>COUNTIFS('Safety Awards'!$J$4:$J$5003,"Overdue",'Safety Awards'!$D$4:$D$5003,mCrit,'Safety Awards'!$F$4:$F$5003,dCrit)</f>
        <v>0</v>
      </c>
      <c r="M540" s="11" t="s">
        <v>1830</v>
      </c>
      <c r="N540" s="20">
        <f>COUNTIFS('Safety Awards'!$J$4:$J$5003,"Open",'Safety Awards'!$D$4:$D$5003,mCrit,'Safety Awards'!$F$4:$F$5003,dCrit)+COUNTIFS('Safety Awards'!$J$4:$J$5003,"In Progress",'Safety Awards'!$D$4:$D$5003,mCrit,'Safety Awards'!$F$4:$F$5003,dCrit)+COUNTIFS('Safety Awards'!$J$4:$J$5003,"Overdue",'Safety Awards'!$D$4:$D$5003,mCrit,'Safety Awards'!$F$4:$F$5003,dCrit)</f>
        <v>0</v>
      </c>
      <c r="P540" s="11" t="s">
        <v>39</v>
      </c>
      <c r="Q540" s="20">
        <f>COUNTIFS('Safety Awards'!$D$4:$D$5003,mCrit,'Safety Awards'!$F$4:$F$5003,"Engineering")</f>
        <v>0</v>
      </c>
      <c r="R540" s="21">
        <f>IFERROR((COUNTIFS('Safety Awards'!$J$4:$J$5003,"Closed",'Safety Awards'!$D$4:$D$5003,mCrit,'Safety Awards'!$F$4:$F$5003,"Engineering"))/COUNTIFS('Safety Awards'!$D$4:$D$5003,mCrit,'Safety Awards'!$F$4:$F$5003,"Engineering")*100,0)</f>
        <v>0</v>
      </c>
      <c r="S540" s="20">
        <f>COUNTIFS('Safety Awards'!$D$4:$D$5003,mCrit,'Safety Awards'!$F$4:$F$5003,"Engineering")</f>
        <v>0</v>
      </c>
    </row>
    <row r="541" spans="2:34">
      <c r="B541" s="19" t="s">
        <v>53</v>
      </c>
      <c r="C541" s="20">
        <f>COUNTIFS('Safety Awards'!$D$4:$D$5003,"Apr",'Safety Awards'!$F$4:$F$5003,dCrit)</f>
        <v>0</v>
      </c>
      <c r="E541" s="11" t="s">
        <v>1009</v>
      </c>
      <c r="F541" s="20">
        <f>COUNTIFS('Safety Awards'!$E$4:$E$5003,"HSE Champion",'Safety Awards'!$D$4:$D$5003,mCrit,'Safety Awards'!$F$4:$F$5003,dCrit)</f>
        <v>0</v>
      </c>
      <c r="G541" s="11" t="s">
        <v>1001</v>
      </c>
      <c r="H541" s="20">
        <f>COUNTIFS('Safety Awards'!$H$4:$H$5003,"Gift Voucher",'Safety Awards'!$D$4:$D$5003,mCrit,'Safety Awards'!$F$4:$F$5003,dCrit)</f>
        <v>0</v>
      </c>
      <c r="J541" s="11" t="s">
        <v>297</v>
      </c>
      <c r="K541" s="20">
        <f>COUNTIFS('Safety Awards'!$J$4:$J$5003,"Open",'Safety Awards'!$D$4:$D$5003,mCrit,'Safety Awards'!$F$4:$F$5003,dCrit)</f>
        <v>0</v>
      </c>
      <c r="M541" s="11" t="s">
        <v>238</v>
      </c>
      <c r="N541" s="20">
        <f>COUNTIFS('Safety Awards'!$J$4:$J$5003,"Overdue",'Safety Awards'!$D$4:$D$5003,mCrit,'Safety Awards'!$F$4:$F$5003,dCrit)</f>
        <v>0</v>
      </c>
      <c r="P541" s="11" t="s">
        <v>89</v>
      </c>
      <c r="Q541" s="20">
        <f>COUNTIFS('Safety Awards'!$D$4:$D$5003,mCrit,'Safety Awards'!$F$4:$F$5003,"Construction")</f>
        <v>0</v>
      </c>
      <c r="R541" s="21">
        <f>IFERROR((COUNTIFS('Safety Awards'!$J$4:$J$5003,"Closed",'Safety Awards'!$D$4:$D$5003,mCrit,'Safety Awards'!$F$4:$F$5003,"Construction"))/COUNTIFS('Safety Awards'!$D$4:$D$5003,mCrit,'Safety Awards'!$F$4:$F$5003,"Construction")*100,0)</f>
        <v>0</v>
      </c>
      <c r="S541" s="20">
        <f>COUNTIFS('Safety Awards'!$D$4:$D$5003,mCrit,'Safety Awards'!$F$4:$F$5003,"Construction")</f>
        <v>0</v>
      </c>
    </row>
    <row r="542" spans="2:34">
      <c r="B542" s="19" t="s">
        <v>60</v>
      </c>
      <c r="C542" s="20">
        <f>COUNTIFS('Safety Awards'!$D$4:$D$5003,"May",'Safety Awards'!$F$4:$F$5003,dCrit)</f>
        <v>0</v>
      </c>
      <c r="E542" s="11" t="s">
        <v>1000</v>
      </c>
      <c r="F542" s="20">
        <f>COUNTIFS('Safety Awards'!$E$4:$E$5003,"Safety Innovation",'Safety Awards'!$D$4:$D$5003,mCrit,'Safety Awards'!$F$4:$F$5003,dCrit)</f>
        <v>0</v>
      </c>
      <c r="G542" s="11" t="s">
        <v>1010</v>
      </c>
      <c r="H542" s="20">
        <f>COUNTIFS('Safety Awards'!$H$4:$H$5003,"Recognition Letter",'Safety Awards'!$D$4:$D$5003,mCrit,'Safety Awards'!$F$4:$F$5003,dCrit)</f>
        <v>0</v>
      </c>
      <c r="M542" s="11" t="s">
        <v>1861</v>
      </c>
      <c r="N542" s="20">
        <f>COUNTIFS('Safety Awards'!$J$4:$J$5003,"Presented",'Safety Awards'!$D$4:$D$5003,mCrit,'Safety Awards'!$F$4:$F$5003,dCrit)</f>
        <v>0</v>
      </c>
      <c r="P542" s="11" t="s">
        <v>65</v>
      </c>
      <c r="Q542" s="20">
        <f>COUNTIFS('Safety Awards'!$D$4:$D$5003,mCrit,'Safety Awards'!$F$4:$F$5003,"Safety")</f>
        <v>0</v>
      </c>
      <c r="R542" s="21">
        <f>IFERROR((COUNTIFS('Safety Awards'!$J$4:$J$5003,"Closed",'Safety Awards'!$D$4:$D$5003,mCrit,'Safety Awards'!$F$4:$F$5003,"Safety"))/COUNTIFS('Safety Awards'!$D$4:$D$5003,mCrit,'Safety Awards'!$F$4:$F$5003,"Safety")*100,0)</f>
        <v>0</v>
      </c>
      <c r="S542" s="20">
        <f>COUNTIFS('Safety Awards'!$D$4:$D$5003,mCrit,'Safety Awards'!$F$4:$F$5003,"Safety")</f>
        <v>0</v>
      </c>
    </row>
    <row r="543" spans="2:34">
      <c r="B543" s="19" t="s">
        <v>73</v>
      </c>
      <c r="C543" s="20">
        <f>COUNTIFS('Safety Awards'!$D$4:$D$5003,"Jun",'Safety Awards'!$F$4:$F$5003,dCrit)</f>
        <v>0</v>
      </c>
      <c r="E543" s="11" t="s">
        <v>1015</v>
      </c>
      <c r="F543" s="20">
        <f>COUNTIFS('Safety Awards'!$E$4:$E$5003,"Best Department",'Safety Awards'!$D$4:$D$5003,mCrit,'Safety Awards'!$F$4:$F$5003,dCrit)</f>
        <v>0</v>
      </c>
      <c r="P543" s="11" t="s">
        <v>5</v>
      </c>
      <c r="Q543" s="20">
        <f>COUNTIFS('Safety Awards'!$D$4:$D$5003,mCrit,'Safety Awards'!$F$4:$F$5003,"Logistics")</f>
        <v>0</v>
      </c>
      <c r="R543" s="21">
        <f>IFERROR((COUNTIFS('Safety Awards'!$J$4:$J$5003,"Closed",'Safety Awards'!$D$4:$D$5003,mCrit,'Safety Awards'!$F$4:$F$5003,"Logistics"))/COUNTIFS('Safety Awards'!$D$4:$D$5003,mCrit,'Safety Awards'!$F$4:$F$5003,"Logistics")*100,0)</f>
        <v>0</v>
      </c>
      <c r="S543" s="20">
        <f>COUNTIFS('Safety Awards'!$D$4:$D$5003,mCrit,'Safety Awards'!$F$4:$F$5003,"Logistics")</f>
        <v>0</v>
      </c>
    </row>
    <row r="544" spans="2:34">
      <c r="B544" s="19" t="s">
        <v>76</v>
      </c>
      <c r="C544" s="20">
        <f>COUNTIFS('Safety Awards'!$D$4:$D$5003,"Jul",'Safety Awards'!$F$4:$F$5003,dCrit)</f>
        <v>0</v>
      </c>
      <c r="P544" s="11" t="s">
        <v>50</v>
      </c>
      <c r="Q544" s="20">
        <f>COUNTIFS('Safety Awards'!$D$4:$D$5003,mCrit,'Safety Awards'!$F$4:$F$5003,"Quality")</f>
        <v>0</v>
      </c>
      <c r="R544" s="21">
        <f>IFERROR((COUNTIFS('Safety Awards'!$J$4:$J$5003,"Closed",'Safety Awards'!$D$4:$D$5003,mCrit,'Safety Awards'!$F$4:$F$5003,"Quality"))/COUNTIFS('Safety Awards'!$D$4:$D$5003,mCrit,'Safety Awards'!$F$4:$F$5003,"Quality")*100,0)</f>
        <v>0</v>
      </c>
      <c r="S544" s="20">
        <f>COUNTIFS('Safety Awards'!$D$4:$D$5003,mCrit,'Safety Awards'!$F$4:$F$5003,"Quality")</f>
        <v>0</v>
      </c>
    </row>
    <row r="545" spans="2:19">
      <c r="B545" s="19" t="s">
        <v>86</v>
      </c>
      <c r="C545" s="20">
        <f>COUNTIFS('Safety Awards'!$D$4:$D$5003,"Aug",'Safety Awards'!$F$4:$F$5003,dCrit)</f>
        <v>0</v>
      </c>
      <c r="P545" s="11" t="s">
        <v>46</v>
      </c>
      <c r="Q545" s="20">
        <f>COUNTIFS('Safety Awards'!$D$4:$D$5003,mCrit,'Safety Awards'!$F$4:$F$5003,"Admin")</f>
        <v>0</v>
      </c>
      <c r="R545" s="21">
        <f>IFERROR((COUNTIFS('Safety Awards'!$J$4:$J$5003,"Closed",'Safety Awards'!$D$4:$D$5003,mCrit,'Safety Awards'!$F$4:$F$5003,"Admin"))/COUNTIFS('Safety Awards'!$D$4:$D$5003,mCrit,'Safety Awards'!$F$4:$F$5003,"Admin")*100,0)</f>
        <v>0</v>
      </c>
      <c r="S545" s="20">
        <f>COUNTIFS('Safety Awards'!$D$4:$D$5003,mCrit,'Safety Awards'!$F$4:$F$5003,"Admin")</f>
        <v>0</v>
      </c>
    </row>
    <row r="546" spans="2:19">
      <c r="B546" s="19" t="s">
        <v>102</v>
      </c>
      <c r="C546" s="20">
        <f>COUNTIFS('Safety Awards'!$D$4:$D$5003,"Sep",'Safety Awards'!$F$4:$F$5003,dCrit)</f>
        <v>0</v>
      </c>
      <c r="P546" s="11" t="s">
        <v>13</v>
      </c>
      <c r="Q546" s="20">
        <f>COUNTIFS('Safety Awards'!$D$4:$D$5003,mCrit,'Safety Awards'!$F$4:$F$5003,"Projects")</f>
        <v>0</v>
      </c>
      <c r="R546" s="21">
        <f>IFERROR((COUNTIFS('Safety Awards'!$J$4:$J$5003,"Closed",'Safety Awards'!$D$4:$D$5003,mCrit,'Safety Awards'!$F$4:$F$5003,"Projects"))/COUNTIFS('Safety Awards'!$D$4:$D$5003,mCrit,'Safety Awards'!$F$4:$F$5003,"Projects")*100,0)</f>
        <v>0</v>
      </c>
      <c r="S546" s="20">
        <f>COUNTIFS('Safety Awards'!$D$4:$D$5003,mCrit,'Safety Awards'!$F$4:$F$5003,"Projects")</f>
        <v>0</v>
      </c>
    </row>
    <row r="547" spans="2:19">
      <c r="B547" s="19" t="s">
        <v>106</v>
      </c>
      <c r="C547" s="20">
        <f>COUNTIFS('Safety Awards'!$D$4:$D$5003,"Oct",'Safety Awards'!$F$4:$F$5003,dCrit)</f>
        <v>0</v>
      </c>
      <c r="P547" s="11" t="s">
        <v>58</v>
      </c>
      <c r="Q547" s="20">
        <f>COUNTIFS('Safety Awards'!$D$4:$D$5003,mCrit,'Safety Awards'!$F$4:$F$5003,"Contractor")</f>
        <v>0</v>
      </c>
      <c r="R547" s="21">
        <f>IFERROR((COUNTIFS('Safety Awards'!$J$4:$J$5003,"Closed",'Safety Awards'!$D$4:$D$5003,mCrit,'Safety Awards'!$F$4:$F$5003,"Contractor"))/COUNTIFS('Safety Awards'!$D$4:$D$5003,mCrit,'Safety Awards'!$F$4:$F$5003,"Contractor")*100,0)</f>
        <v>0</v>
      </c>
      <c r="S547" s="20">
        <f>COUNTIFS('Safety Awards'!$D$4:$D$5003,mCrit,'Safety Awards'!$F$4:$F$5003,"Contractor")</f>
        <v>0</v>
      </c>
    </row>
    <row r="548" spans="2:19">
      <c r="B548" s="19" t="s">
        <v>111</v>
      </c>
      <c r="C548" s="20">
        <f>COUNTIFS('Safety Awards'!$D$4:$D$5003,"Nov",'Safety Awards'!$F$4:$F$5003,dCrit)</f>
        <v>0</v>
      </c>
    </row>
    <row r="549" spans="2:19">
      <c r="B549" s="19" t="s">
        <v>122</v>
      </c>
      <c r="C549" s="20">
        <f>COUNTIFS('Safety Awards'!$D$4:$D$5003,"Dec",'Safety Awards'!$F$4:$F$5003,dCrit)</f>
        <v>0</v>
      </c>
    </row>
    <row r="562" spans="2:34">
      <c r="B562" s="17" t="s">
        <v>1862</v>
      </c>
    </row>
    <row r="563" spans="2:34">
      <c r="B563" s="10" t="s">
        <v>127</v>
      </c>
      <c r="C563" s="10" t="s">
        <v>1782</v>
      </c>
      <c r="E563" s="10" t="s">
        <v>1120</v>
      </c>
      <c r="F563" s="10" t="s">
        <v>1782</v>
      </c>
      <c r="G563" s="10" t="s">
        <v>1121</v>
      </c>
      <c r="H563" s="10" t="s">
        <v>1782</v>
      </c>
      <c r="M563" s="10" t="s">
        <v>1726</v>
      </c>
      <c r="N563" s="10" t="s">
        <v>1817</v>
      </c>
      <c r="P563" s="10" t="s">
        <v>129</v>
      </c>
      <c r="Q563" s="10" t="s">
        <v>1782</v>
      </c>
      <c r="R563" s="10" t="s">
        <v>1825</v>
      </c>
      <c r="S563" s="10" t="s">
        <v>1825</v>
      </c>
      <c r="U563" s="10" t="s">
        <v>1826</v>
      </c>
      <c r="V563" s="10" t="s">
        <v>3</v>
      </c>
      <c r="W563" s="10" t="s">
        <v>19</v>
      </c>
      <c r="X563" s="10" t="s">
        <v>44</v>
      </c>
      <c r="Y563" s="10" t="s">
        <v>53</v>
      </c>
      <c r="Z563" s="10" t="s">
        <v>60</v>
      </c>
      <c r="AA563" s="10" t="s">
        <v>73</v>
      </c>
      <c r="AB563" s="10" t="s">
        <v>76</v>
      </c>
      <c r="AC563" s="10" t="s">
        <v>86</v>
      </c>
      <c r="AD563" s="10" t="s">
        <v>102</v>
      </c>
      <c r="AE563" s="10" t="s">
        <v>106</v>
      </c>
      <c r="AF563" s="10" t="s">
        <v>111</v>
      </c>
      <c r="AG563" s="10" t="s">
        <v>122</v>
      </c>
      <c r="AH563" s="10" t="s">
        <v>1827</v>
      </c>
    </row>
    <row r="564" spans="2:34">
      <c r="B564" s="19" t="s">
        <v>3</v>
      </c>
      <c r="C564" s="20">
        <f>COUNTIFS('Stop Work Authority'!$D$4:$D$5003,"Jan",'Stop Work Authority'!$F$4:$F$5003,dCrit)</f>
        <v>0</v>
      </c>
      <c r="E564" s="11" t="s">
        <v>162</v>
      </c>
      <c r="F564" s="20">
        <f>COUNTIFS('Stop Work Authority'!$K$4:$K$5003,"Critical",'Stop Work Authority'!$D$4:$D$5003,mCrit,'Stop Work Authority'!$F$4:$F$5003,dCrit)</f>
        <v>0</v>
      </c>
      <c r="G564" s="11" t="s">
        <v>1070</v>
      </c>
      <c r="H564" s="20">
        <f>COUNTIFS('Stop Work Authority'!$L$4:$L$5003,"Resolved",'Stop Work Authority'!$D$4:$D$5003,mCrit,'Stop Work Authority'!$F$4:$F$5003,dCrit)</f>
        <v>0</v>
      </c>
      <c r="M564" s="11" t="s">
        <v>1821</v>
      </c>
      <c r="N564" s="20">
        <f>COUNTIFS('Stop Work Authority'!$D$4:$D$5003,mCrit,'Stop Work Authority'!$F$4:$F$5003,dCrit)</f>
        <v>0</v>
      </c>
      <c r="P564" s="11" t="s">
        <v>27</v>
      </c>
      <c r="Q564" s="20">
        <f>COUNTIFS('Stop Work Authority'!$D$4:$D$5003,mCrit,'Stop Work Authority'!$F$4:$F$5003,"Operations")</f>
        <v>0</v>
      </c>
      <c r="R564" s="20">
        <f>COUNTIFS('Stop Work Authority'!$D$4:$D$5003,mCrit,'Stop Work Authority'!$F$4:$F$5003,"Operations")</f>
        <v>0</v>
      </c>
      <c r="S564" s="20">
        <f>COUNTIFS('Stop Work Authority'!$D$4:$D$5003,mCrit,'Stop Work Authority'!$F$4:$F$5003,"Operations")</f>
        <v>0</v>
      </c>
      <c r="U564" s="11" t="s">
        <v>1825</v>
      </c>
      <c r="V564" s="20">
        <f>COUNTIFS('Stop Work Authority'!$D$4:$D$5003,"Jan",'Stop Work Authority'!$F$4:$F$5003,dCrit)</f>
        <v>0</v>
      </c>
      <c r="W564" s="20">
        <f>COUNTIFS('Stop Work Authority'!$D$4:$D$5003,"Feb",'Stop Work Authority'!$F$4:$F$5003,dCrit)</f>
        <v>0</v>
      </c>
      <c r="X564" s="20">
        <f>COUNTIFS('Stop Work Authority'!$D$4:$D$5003,"Mar",'Stop Work Authority'!$F$4:$F$5003,dCrit)</f>
        <v>0</v>
      </c>
      <c r="Y564" s="20">
        <f>COUNTIFS('Stop Work Authority'!$D$4:$D$5003,"Apr",'Stop Work Authority'!$F$4:$F$5003,dCrit)</f>
        <v>0</v>
      </c>
      <c r="Z564" s="20">
        <f>COUNTIFS('Stop Work Authority'!$D$4:$D$5003,"May",'Stop Work Authority'!$F$4:$F$5003,dCrit)</f>
        <v>0</v>
      </c>
      <c r="AA564" s="20">
        <f>COUNTIFS('Stop Work Authority'!$D$4:$D$5003,"Jun",'Stop Work Authority'!$F$4:$F$5003,dCrit)</f>
        <v>0</v>
      </c>
      <c r="AB564" s="20">
        <f>COUNTIFS('Stop Work Authority'!$D$4:$D$5003,"Jul",'Stop Work Authority'!$F$4:$F$5003,dCrit)</f>
        <v>0</v>
      </c>
      <c r="AC564" s="20">
        <f>COUNTIFS('Stop Work Authority'!$D$4:$D$5003,"Aug",'Stop Work Authority'!$F$4:$F$5003,dCrit)</f>
        <v>0</v>
      </c>
      <c r="AD564" s="20">
        <f>COUNTIFS('Stop Work Authority'!$D$4:$D$5003,"Sep",'Stop Work Authority'!$F$4:$F$5003,dCrit)</f>
        <v>0</v>
      </c>
      <c r="AE564" s="20">
        <f>COUNTIFS('Stop Work Authority'!$D$4:$D$5003,"Oct",'Stop Work Authority'!$F$4:$F$5003,dCrit)</f>
        <v>0</v>
      </c>
      <c r="AF564" s="20">
        <f>COUNTIFS('Stop Work Authority'!$D$4:$D$5003,"Nov",'Stop Work Authority'!$F$4:$F$5003,dCrit)</f>
        <v>0</v>
      </c>
      <c r="AG564" s="20">
        <f>COUNTIFS('Stop Work Authority'!$D$4:$D$5003,"Dec",'Stop Work Authority'!$F$4:$F$5003,dCrit)</f>
        <v>0</v>
      </c>
      <c r="AH564" s="20">
        <f>SUM(V564:AG564)</f>
        <v>0</v>
      </c>
    </row>
    <row r="565" spans="2:34">
      <c r="B565" s="19" t="s">
        <v>19</v>
      </c>
      <c r="C565" s="20">
        <f>COUNTIFS('Stop Work Authority'!$D$4:$D$5003,"Feb",'Stop Work Authority'!$F$4:$F$5003,dCrit)</f>
        <v>0</v>
      </c>
      <c r="E565" s="11" t="s">
        <v>159</v>
      </c>
      <c r="F565" s="20">
        <f>COUNTIFS('Stop Work Authority'!$K$4:$K$5003,"High",'Stop Work Authority'!$D$4:$D$5003,mCrit,'Stop Work Authority'!$F$4:$F$5003,dCrit)</f>
        <v>0</v>
      </c>
      <c r="G565" s="11" t="s">
        <v>1065</v>
      </c>
      <c r="H565" s="20">
        <f>COUNTIFS('Stop Work Authority'!$L$4:$L$5003,"Under Investigation",'Stop Work Authority'!$D$4:$D$5003,mCrit,'Stop Work Authority'!$F$4:$F$5003,dCrit)</f>
        <v>0</v>
      </c>
      <c r="M565" s="11" t="s">
        <v>1863</v>
      </c>
      <c r="N565" s="20">
        <f>IFERROR(AVERAGEIFS('Stop Work Authority'!$J$4:$J$5003,'Stop Work Authority'!$D$4:$D$5003,mCrit,'Stop Work Authority'!$F$4:$F$5003,dCrit),0)</f>
        <v>0</v>
      </c>
      <c r="P565" s="11" t="s">
        <v>92</v>
      </c>
      <c r="Q565" s="20">
        <f>COUNTIFS('Stop Work Authority'!$D$4:$D$5003,mCrit,'Stop Work Authority'!$F$4:$F$5003,"Maintenance")</f>
        <v>0</v>
      </c>
      <c r="R565" s="20">
        <f>COUNTIFS('Stop Work Authority'!$D$4:$D$5003,mCrit,'Stop Work Authority'!$F$4:$F$5003,"Maintenance")</f>
        <v>0</v>
      </c>
      <c r="S565" s="20">
        <f>COUNTIFS('Stop Work Authority'!$D$4:$D$5003,mCrit,'Stop Work Authority'!$F$4:$F$5003,"Maintenance")</f>
        <v>0</v>
      </c>
    </row>
    <row r="566" spans="2:34">
      <c r="B566" s="19" t="s">
        <v>44</v>
      </c>
      <c r="C566" s="20">
        <f>COUNTIFS('Stop Work Authority'!$D$4:$D$5003,"Mar",'Stop Work Authority'!$F$4:$F$5003,dCrit)</f>
        <v>0</v>
      </c>
      <c r="E566" s="11" t="s">
        <v>142</v>
      </c>
      <c r="F566" s="20">
        <f>COUNTIFS('Stop Work Authority'!$K$4:$K$5003,"Medium",'Stop Work Authority'!$D$4:$D$5003,mCrit,'Stop Work Authority'!$F$4:$F$5003,dCrit)</f>
        <v>0</v>
      </c>
      <c r="G566" s="11" t="s">
        <v>1067</v>
      </c>
      <c r="H566" s="20">
        <f>COUNTIFS('Stop Work Authority'!$L$4:$L$5003,"Permanent Fix Applied",'Stop Work Authority'!$D$4:$D$5003,mCrit,'Stop Work Authority'!$F$4:$F$5003,dCrit)</f>
        <v>0</v>
      </c>
      <c r="M566" s="11" t="s">
        <v>1864</v>
      </c>
      <c r="N566" s="20">
        <f>COUNTIFS('Stop Work Authority'!$K$4:$K$5003,"Critical",'Stop Work Authority'!$D$4:$D$5003,mCrit,'Stop Work Authority'!$F$4:$F$5003,dCrit)+COUNTIFS('Stop Work Authority'!$K$4:$K$5003,"High",'Stop Work Authority'!$D$4:$D$5003,mCrit,'Stop Work Authority'!$F$4:$F$5003,dCrit)</f>
        <v>0</v>
      </c>
      <c r="P566" s="11" t="s">
        <v>39</v>
      </c>
      <c r="Q566" s="20">
        <f>COUNTIFS('Stop Work Authority'!$D$4:$D$5003,mCrit,'Stop Work Authority'!$F$4:$F$5003,"Engineering")</f>
        <v>0</v>
      </c>
      <c r="R566" s="20">
        <f>COUNTIFS('Stop Work Authority'!$D$4:$D$5003,mCrit,'Stop Work Authority'!$F$4:$F$5003,"Engineering")</f>
        <v>0</v>
      </c>
      <c r="S566" s="20">
        <f>COUNTIFS('Stop Work Authority'!$D$4:$D$5003,mCrit,'Stop Work Authority'!$F$4:$F$5003,"Engineering")</f>
        <v>0</v>
      </c>
    </row>
    <row r="567" spans="2:34">
      <c r="B567" s="19" t="s">
        <v>53</v>
      </c>
      <c r="C567" s="20">
        <f>COUNTIFS('Stop Work Authority'!$D$4:$D$5003,"Apr",'Stop Work Authority'!$F$4:$F$5003,dCrit)</f>
        <v>0</v>
      </c>
      <c r="E567" s="11" t="s">
        <v>154</v>
      </c>
      <c r="F567" s="20">
        <f>COUNTIFS('Stop Work Authority'!$K$4:$K$5003,"Low",'Stop Work Authority'!$D$4:$D$5003,mCrit,'Stop Work Authority'!$F$4:$F$5003,dCrit)</f>
        <v>0</v>
      </c>
      <c r="M567" s="11" t="s">
        <v>1865</v>
      </c>
      <c r="N567" s="20">
        <f>COUNTIFS('Stop Work Authority'!$M$4:$M$5003,"Yes",'Stop Work Authority'!$D$4:$D$5003,mCrit,'Stop Work Authority'!$F$4:$F$5003,dCrit)</f>
        <v>0</v>
      </c>
      <c r="P567" s="11" t="s">
        <v>89</v>
      </c>
      <c r="Q567" s="20">
        <f>COUNTIFS('Stop Work Authority'!$D$4:$D$5003,mCrit,'Stop Work Authority'!$F$4:$F$5003,"Construction")</f>
        <v>0</v>
      </c>
      <c r="R567" s="20">
        <f>COUNTIFS('Stop Work Authority'!$D$4:$D$5003,mCrit,'Stop Work Authority'!$F$4:$F$5003,"Construction")</f>
        <v>0</v>
      </c>
      <c r="S567" s="20">
        <f>COUNTIFS('Stop Work Authority'!$D$4:$D$5003,mCrit,'Stop Work Authority'!$F$4:$F$5003,"Construction")</f>
        <v>0</v>
      </c>
    </row>
    <row r="568" spans="2:34">
      <c r="B568" s="19" t="s">
        <v>60</v>
      </c>
      <c r="C568" s="20">
        <f>COUNTIFS('Stop Work Authority'!$D$4:$D$5003,"May",'Stop Work Authority'!$F$4:$F$5003,dCrit)</f>
        <v>0</v>
      </c>
      <c r="P568" s="11" t="s">
        <v>65</v>
      </c>
      <c r="Q568" s="20">
        <f>COUNTIFS('Stop Work Authority'!$D$4:$D$5003,mCrit,'Stop Work Authority'!$F$4:$F$5003,"Safety")</f>
        <v>0</v>
      </c>
      <c r="R568" s="20">
        <f>COUNTIFS('Stop Work Authority'!$D$4:$D$5003,mCrit,'Stop Work Authority'!$F$4:$F$5003,"Safety")</f>
        <v>0</v>
      </c>
      <c r="S568" s="20">
        <f>COUNTIFS('Stop Work Authority'!$D$4:$D$5003,mCrit,'Stop Work Authority'!$F$4:$F$5003,"Safety")</f>
        <v>0</v>
      </c>
    </row>
    <row r="569" spans="2:34">
      <c r="B569" s="19" t="s">
        <v>73</v>
      </c>
      <c r="C569" s="20">
        <f>COUNTIFS('Stop Work Authority'!$D$4:$D$5003,"Jun",'Stop Work Authority'!$F$4:$F$5003,dCrit)</f>
        <v>0</v>
      </c>
      <c r="P569" s="11" t="s">
        <v>5</v>
      </c>
      <c r="Q569" s="20">
        <f>COUNTIFS('Stop Work Authority'!$D$4:$D$5003,mCrit,'Stop Work Authority'!$F$4:$F$5003,"Logistics")</f>
        <v>0</v>
      </c>
      <c r="R569" s="20">
        <f>COUNTIFS('Stop Work Authority'!$D$4:$D$5003,mCrit,'Stop Work Authority'!$F$4:$F$5003,"Logistics")</f>
        <v>0</v>
      </c>
      <c r="S569" s="20">
        <f>COUNTIFS('Stop Work Authority'!$D$4:$D$5003,mCrit,'Stop Work Authority'!$F$4:$F$5003,"Logistics")</f>
        <v>0</v>
      </c>
    </row>
    <row r="570" spans="2:34">
      <c r="B570" s="19" t="s">
        <v>76</v>
      </c>
      <c r="C570" s="20">
        <f>COUNTIFS('Stop Work Authority'!$D$4:$D$5003,"Jul",'Stop Work Authority'!$F$4:$F$5003,dCrit)</f>
        <v>0</v>
      </c>
      <c r="P570" s="11" t="s">
        <v>50</v>
      </c>
      <c r="Q570" s="20">
        <f>COUNTIFS('Stop Work Authority'!$D$4:$D$5003,mCrit,'Stop Work Authority'!$F$4:$F$5003,"Quality")</f>
        <v>0</v>
      </c>
      <c r="R570" s="20">
        <f>COUNTIFS('Stop Work Authority'!$D$4:$D$5003,mCrit,'Stop Work Authority'!$F$4:$F$5003,"Quality")</f>
        <v>0</v>
      </c>
      <c r="S570" s="20">
        <f>COUNTIFS('Stop Work Authority'!$D$4:$D$5003,mCrit,'Stop Work Authority'!$F$4:$F$5003,"Quality")</f>
        <v>0</v>
      </c>
    </row>
    <row r="571" spans="2:34">
      <c r="B571" s="19" t="s">
        <v>86</v>
      </c>
      <c r="C571" s="20">
        <f>COUNTIFS('Stop Work Authority'!$D$4:$D$5003,"Aug",'Stop Work Authority'!$F$4:$F$5003,dCrit)</f>
        <v>0</v>
      </c>
      <c r="P571" s="11" t="s">
        <v>46</v>
      </c>
      <c r="Q571" s="20">
        <f>COUNTIFS('Stop Work Authority'!$D$4:$D$5003,mCrit,'Stop Work Authority'!$F$4:$F$5003,"Admin")</f>
        <v>0</v>
      </c>
      <c r="R571" s="20">
        <f>COUNTIFS('Stop Work Authority'!$D$4:$D$5003,mCrit,'Stop Work Authority'!$F$4:$F$5003,"Admin")</f>
        <v>0</v>
      </c>
      <c r="S571" s="20">
        <f>COUNTIFS('Stop Work Authority'!$D$4:$D$5003,mCrit,'Stop Work Authority'!$F$4:$F$5003,"Admin")</f>
        <v>0</v>
      </c>
    </row>
    <row r="572" spans="2:34">
      <c r="B572" s="19" t="s">
        <v>102</v>
      </c>
      <c r="C572" s="20">
        <f>COUNTIFS('Stop Work Authority'!$D$4:$D$5003,"Sep",'Stop Work Authority'!$F$4:$F$5003,dCrit)</f>
        <v>0</v>
      </c>
      <c r="P572" s="11" t="s">
        <v>13</v>
      </c>
      <c r="Q572" s="20">
        <f>COUNTIFS('Stop Work Authority'!$D$4:$D$5003,mCrit,'Stop Work Authority'!$F$4:$F$5003,"Projects")</f>
        <v>0</v>
      </c>
      <c r="R572" s="20">
        <f>COUNTIFS('Stop Work Authority'!$D$4:$D$5003,mCrit,'Stop Work Authority'!$F$4:$F$5003,"Projects")</f>
        <v>0</v>
      </c>
      <c r="S572" s="20">
        <f>COUNTIFS('Stop Work Authority'!$D$4:$D$5003,mCrit,'Stop Work Authority'!$F$4:$F$5003,"Projects")</f>
        <v>0</v>
      </c>
    </row>
    <row r="573" spans="2:34">
      <c r="B573" s="19" t="s">
        <v>106</v>
      </c>
      <c r="C573" s="20">
        <f>COUNTIFS('Stop Work Authority'!$D$4:$D$5003,"Oct",'Stop Work Authority'!$F$4:$F$5003,dCrit)</f>
        <v>0</v>
      </c>
      <c r="P573" s="11" t="s">
        <v>58</v>
      </c>
      <c r="Q573" s="20">
        <f>COUNTIFS('Stop Work Authority'!$D$4:$D$5003,mCrit,'Stop Work Authority'!$F$4:$F$5003,"Contractor")</f>
        <v>0</v>
      </c>
      <c r="R573" s="20">
        <f>COUNTIFS('Stop Work Authority'!$D$4:$D$5003,mCrit,'Stop Work Authority'!$F$4:$F$5003,"Contractor")</f>
        <v>0</v>
      </c>
      <c r="S573" s="20">
        <f>COUNTIFS('Stop Work Authority'!$D$4:$D$5003,mCrit,'Stop Work Authority'!$F$4:$F$5003,"Contractor")</f>
        <v>0</v>
      </c>
    </row>
    <row r="574" spans="2:34">
      <c r="B574" s="19" t="s">
        <v>111</v>
      </c>
      <c r="C574" s="20">
        <f>COUNTIFS('Stop Work Authority'!$D$4:$D$5003,"Nov",'Stop Work Authority'!$F$4:$F$5003,dCrit)</f>
        <v>0</v>
      </c>
    </row>
    <row r="575" spans="2:34">
      <c r="B575" s="19" t="s">
        <v>122</v>
      </c>
      <c r="C575" s="20">
        <f>COUNTIFS('Stop Work Authority'!$D$4:$D$5003,"Dec",'Stop Work Authority'!$F$4:$F$5003,dCrit)</f>
        <v>0</v>
      </c>
    </row>
    <row r="588" spans="2:34">
      <c r="B588" s="17" t="s">
        <v>1866</v>
      </c>
    </row>
    <row r="589" spans="2:34">
      <c r="B589" s="10" t="s">
        <v>127</v>
      </c>
      <c r="C589" s="10" t="s">
        <v>1782</v>
      </c>
      <c r="E589" s="10" t="s">
        <v>1180</v>
      </c>
      <c r="F589" s="10" t="s">
        <v>1782</v>
      </c>
      <c r="G589" s="10" t="s">
        <v>1181</v>
      </c>
      <c r="H589" s="10" t="s">
        <v>1782</v>
      </c>
      <c r="J589" s="10" t="s">
        <v>287</v>
      </c>
      <c r="K589" s="10" t="s">
        <v>1782</v>
      </c>
      <c r="M589" s="10" t="s">
        <v>1726</v>
      </c>
      <c r="N589" s="10" t="s">
        <v>1817</v>
      </c>
      <c r="P589" s="10" t="s">
        <v>129</v>
      </c>
      <c r="Q589" s="10" t="s">
        <v>1782</v>
      </c>
      <c r="R589" s="10" t="s">
        <v>1832</v>
      </c>
      <c r="S589" s="10" t="s">
        <v>1825</v>
      </c>
      <c r="U589" s="10" t="s">
        <v>1826</v>
      </c>
      <c r="V589" s="10" t="s">
        <v>3</v>
      </c>
      <c r="W589" s="10" t="s">
        <v>19</v>
      </c>
      <c r="X589" s="10" t="s">
        <v>44</v>
      </c>
      <c r="Y589" s="10" t="s">
        <v>53</v>
      </c>
      <c r="Z589" s="10" t="s">
        <v>60</v>
      </c>
      <c r="AA589" s="10" t="s">
        <v>73</v>
      </c>
      <c r="AB589" s="10" t="s">
        <v>76</v>
      </c>
      <c r="AC589" s="10" t="s">
        <v>86</v>
      </c>
      <c r="AD589" s="10" t="s">
        <v>102</v>
      </c>
      <c r="AE589" s="10" t="s">
        <v>106</v>
      </c>
      <c r="AF589" s="10" t="s">
        <v>111</v>
      </c>
      <c r="AG589" s="10" t="s">
        <v>122</v>
      </c>
      <c r="AH589" s="10" t="s">
        <v>1827</v>
      </c>
    </row>
    <row r="590" spans="2:34">
      <c r="B590" s="19" t="s">
        <v>3</v>
      </c>
      <c r="C590" s="20">
        <f>COUNTIFS('Alcohol Tests'!$D$4:$D$5003,"Jan",'Alcohol Tests'!$E$4:$E$5003,dCrit)</f>
        <v>0</v>
      </c>
      <c r="E590" s="11" t="s">
        <v>1135</v>
      </c>
      <c r="F590" s="20">
        <f>COUNTIFS('Alcohol Tests'!$G$4:$G$5003,"Pre-Shift",'Alcohol Tests'!$D$4:$D$5003,mCrit,'Alcohol Tests'!$E$4:$E$5003,dCrit)</f>
        <v>0</v>
      </c>
      <c r="G590" s="11" t="s">
        <v>1126</v>
      </c>
      <c r="H590" s="20">
        <f>COUNTIFS('Alcohol Tests'!$H$4:$H$5003,"Negative",'Alcohol Tests'!$D$4:$D$5003,mCrit,'Alcohol Tests'!$E$4:$E$5003,dCrit)</f>
        <v>0</v>
      </c>
      <c r="J590" s="11" t="s">
        <v>254</v>
      </c>
      <c r="K590" s="20">
        <f>COUNTIFS('Alcohol Tests'!$J$4:$J$5003,"In Progress",'Alcohol Tests'!$D$4:$D$5003,mCrit,'Alcohol Tests'!$E$4:$E$5003,dCrit)</f>
        <v>0</v>
      </c>
      <c r="M590" s="11" t="s">
        <v>1821</v>
      </c>
      <c r="N590" s="20">
        <f>COUNTIFS('Alcohol Tests'!$D$4:$D$5003,mCrit,'Alcohol Tests'!$E$4:$E$5003,dCrit)</f>
        <v>0</v>
      </c>
      <c r="P590" s="11" t="s">
        <v>27</v>
      </c>
      <c r="Q590" s="20">
        <f>COUNTIFS('Alcohol Tests'!$D$4:$D$5003,mCrit,'Alcohol Tests'!$E$4:$E$5003,"Operations")</f>
        <v>0</v>
      </c>
      <c r="R590" s="21">
        <f>IFERROR((COUNTIFS('Alcohol Tests'!$J$4:$J$5003,"Closed",'Alcohol Tests'!$D$4:$D$5003,mCrit,'Alcohol Tests'!$E$4:$E$5003,"Operations"))/COUNTIFS('Alcohol Tests'!$D$4:$D$5003,mCrit,'Alcohol Tests'!$E$4:$E$5003,"Operations")*100,0)</f>
        <v>0</v>
      </c>
      <c r="S590" s="20">
        <f>COUNTIFS('Alcohol Tests'!$D$4:$D$5003,mCrit,'Alcohol Tests'!$E$4:$E$5003,"Operations")</f>
        <v>0</v>
      </c>
      <c r="U590" s="11" t="s">
        <v>1825</v>
      </c>
      <c r="V590" s="20">
        <f>COUNTIFS('Alcohol Tests'!$D$4:$D$5003,"Jan",'Alcohol Tests'!$E$4:$E$5003,dCrit)</f>
        <v>0</v>
      </c>
      <c r="W590" s="20">
        <f>COUNTIFS('Alcohol Tests'!$D$4:$D$5003,"Feb",'Alcohol Tests'!$E$4:$E$5003,dCrit)</f>
        <v>0</v>
      </c>
      <c r="X590" s="20">
        <f>COUNTIFS('Alcohol Tests'!$D$4:$D$5003,"Mar",'Alcohol Tests'!$E$4:$E$5003,dCrit)</f>
        <v>0</v>
      </c>
      <c r="Y590" s="20">
        <f>COUNTIFS('Alcohol Tests'!$D$4:$D$5003,"Apr",'Alcohol Tests'!$E$4:$E$5003,dCrit)</f>
        <v>0</v>
      </c>
      <c r="Z590" s="20">
        <f>COUNTIFS('Alcohol Tests'!$D$4:$D$5003,"May",'Alcohol Tests'!$E$4:$E$5003,dCrit)</f>
        <v>0</v>
      </c>
      <c r="AA590" s="20">
        <f>COUNTIFS('Alcohol Tests'!$D$4:$D$5003,"Jun",'Alcohol Tests'!$E$4:$E$5003,dCrit)</f>
        <v>0</v>
      </c>
      <c r="AB590" s="20">
        <f>COUNTIFS('Alcohol Tests'!$D$4:$D$5003,"Jul",'Alcohol Tests'!$E$4:$E$5003,dCrit)</f>
        <v>0</v>
      </c>
      <c r="AC590" s="20">
        <f>COUNTIFS('Alcohol Tests'!$D$4:$D$5003,"Aug",'Alcohol Tests'!$E$4:$E$5003,dCrit)</f>
        <v>0</v>
      </c>
      <c r="AD590" s="20">
        <f>COUNTIFS('Alcohol Tests'!$D$4:$D$5003,"Sep",'Alcohol Tests'!$E$4:$E$5003,dCrit)</f>
        <v>0</v>
      </c>
      <c r="AE590" s="20">
        <f>COUNTIFS('Alcohol Tests'!$D$4:$D$5003,"Oct",'Alcohol Tests'!$E$4:$E$5003,dCrit)</f>
        <v>0</v>
      </c>
      <c r="AF590" s="20">
        <f>COUNTIFS('Alcohol Tests'!$D$4:$D$5003,"Nov",'Alcohol Tests'!$E$4:$E$5003,dCrit)</f>
        <v>0</v>
      </c>
      <c r="AG590" s="20">
        <f>COUNTIFS('Alcohol Tests'!$D$4:$D$5003,"Dec",'Alcohol Tests'!$E$4:$E$5003,dCrit)</f>
        <v>0</v>
      </c>
      <c r="AH590" s="20">
        <f>SUM(V590:AG590)</f>
        <v>0</v>
      </c>
    </row>
    <row r="591" spans="2:34">
      <c r="B591" s="19" t="s">
        <v>19</v>
      </c>
      <c r="C591" s="20">
        <f>COUNTIFS('Alcohol Tests'!$D$4:$D$5003,"Feb",'Alcohol Tests'!$E$4:$E$5003,dCrit)</f>
        <v>0</v>
      </c>
      <c r="E591" s="11" t="s">
        <v>1130</v>
      </c>
      <c r="F591" s="20">
        <f>COUNTIFS('Alcohol Tests'!$G$4:$G$5003,"Random",'Alcohol Tests'!$D$4:$D$5003,mCrit,'Alcohol Tests'!$E$4:$E$5003,dCrit)</f>
        <v>0</v>
      </c>
      <c r="G591" s="11" t="s">
        <v>1128</v>
      </c>
      <c r="H591" s="20">
        <f>COUNTIFS('Alcohol Tests'!$H$4:$H$5003,"Positive",'Alcohol Tests'!$D$4:$D$5003,mCrit,'Alcohol Tests'!$E$4:$E$5003,dCrit)</f>
        <v>0</v>
      </c>
      <c r="J591" s="11" t="s">
        <v>293</v>
      </c>
      <c r="K591" s="20">
        <f>COUNTIFS('Alcohol Tests'!$J$4:$J$5003,"Closed",'Alcohol Tests'!$D$4:$D$5003,mCrit,'Alcohol Tests'!$E$4:$E$5003,dCrit)</f>
        <v>0</v>
      </c>
      <c r="M591" s="11" t="s">
        <v>1829</v>
      </c>
      <c r="N591" s="21">
        <f>IFERROR((COUNTIFS('Alcohol Tests'!$J$4:$J$5003,"Closed",'Alcohol Tests'!$D$4:$D$5003,mCrit,'Alcohol Tests'!$E$4:$E$5003,dCrit))/COUNTIFS('Alcohol Tests'!$D$4:$D$5003,mCrit,'Alcohol Tests'!$E$4:$E$5003,dCrit)*100,0)</f>
        <v>0</v>
      </c>
      <c r="P591" s="11" t="s">
        <v>92</v>
      </c>
      <c r="Q591" s="20">
        <f>COUNTIFS('Alcohol Tests'!$D$4:$D$5003,mCrit,'Alcohol Tests'!$E$4:$E$5003,"Maintenance")</f>
        <v>0</v>
      </c>
      <c r="R591" s="21">
        <f>IFERROR((COUNTIFS('Alcohol Tests'!$J$4:$J$5003,"Closed",'Alcohol Tests'!$D$4:$D$5003,mCrit,'Alcohol Tests'!$E$4:$E$5003,"Maintenance"))/COUNTIFS('Alcohol Tests'!$D$4:$D$5003,mCrit,'Alcohol Tests'!$E$4:$E$5003,"Maintenance")*100,0)</f>
        <v>0</v>
      </c>
      <c r="S591" s="20">
        <f>COUNTIFS('Alcohol Tests'!$D$4:$D$5003,mCrit,'Alcohol Tests'!$E$4:$E$5003,"Maintenance")</f>
        <v>0</v>
      </c>
      <c r="U591" s="11" t="s">
        <v>1833</v>
      </c>
      <c r="V591" s="21">
        <f>IFERROR((COUNTIFS('Alcohol Tests'!$J$4:$J$5003,"Closed",'Alcohol Tests'!$D$4:$D$5003,"Jan",'Alcohol Tests'!$E$4:$E$5003,dCrit))/COUNTIFS('Alcohol Tests'!$D$4:$D$5003,"Jan",'Alcohol Tests'!$E$4:$E$5003,dCrit)*100,0)</f>
        <v>0</v>
      </c>
      <c r="W591" s="21">
        <f>IFERROR((COUNTIFS('Alcohol Tests'!$J$4:$J$5003,"Closed",'Alcohol Tests'!$D$4:$D$5003,"Feb",'Alcohol Tests'!$E$4:$E$5003,dCrit))/COUNTIFS('Alcohol Tests'!$D$4:$D$5003,"Feb",'Alcohol Tests'!$E$4:$E$5003,dCrit)*100,0)</f>
        <v>0</v>
      </c>
      <c r="X591" s="21">
        <f>IFERROR((COUNTIFS('Alcohol Tests'!$J$4:$J$5003,"Closed",'Alcohol Tests'!$D$4:$D$5003,"Mar",'Alcohol Tests'!$E$4:$E$5003,dCrit))/COUNTIFS('Alcohol Tests'!$D$4:$D$5003,"Mar",'Alcohol Tests'!$E$4:$E$5003,dCrit)*100,0)</f>
        <v>0</v>
      </c>
      <c r="Y591" s="21">
        <f>IFERROR((COUNTIFS('Alcohol Tests'!$J$4:$J$5003,"Closed",'Alcohol Tests'!$D$4:$D$5003,"Apr",'Alcohol Tests'!$E$4:$E$5003,dCrit))/COUNTIFS('Alcohol Tests'!$D$4:$D$5003,"Apr",'Alcohol Tests'!$E$4:$E$5003,dCrit)*100,0)</f>
        <v>0</v>
      </c>
      <c r="Z591" s="21">
        <f>IFERROR((COUNTIFS('Alcohol Tests'!$J$4:$J$5003,"Closed",'Alcohol Tests'!$D$4:$D$5003,"May",'Alcohol Tests'!$E$4:$E$5003,dCrit))/COUNTIFS('Alcohol Tests'!$D$4:$D$5003,"May",'Alcohol Tests'!$E$4:$E$5003,dCrit)*100,0)</f>
        <v>0</v>
      </c>
      <c r="AA591" s="21">
        <f>IFERROR((COUNTIFS('Alcohol Tests'!$J$4:$J$5003,"Closed",'Alcohol Tests'!$D$4:$D$5003,"Jun",'Alcohol Tests'!$E$4:$E$5003,dCrit))/COUNTIFS('Alcohol Tests'!$D$4:$D$5003,"Jun",'Alcohol Tests'!$E$4:$E$5003,dCrit)*100,0)</f>
        <v>0</v>
      </c>
      <c r="AB591" s="21">
        <f>IFERROR((COUNTIFS('Alcohol Tests'!$J$4:$J$5003,"Closed",'Alcohol Tests'!$D$4:$D$5003,"Jul",'Alcohol Tests'!$E$4:$E$5003,dCrit))/COUNTIFS('Alcohol Tests'!$D$4:$D$5003,"Jul",'Alcohol Tests'!$E$4:$E$5003,dCrit)*100,0)</f>
        <v>0</v>
      </c>
      <c r="AC591" s="21">
        <f>IFERROR((COUNTIFS('Alcohol Tests'!$J$4:$J$5003,"Closed",'Alcohol Tests'!$D$4:$D$5003,"Aug",'Alcohol Tests'!$E$4:$E$5003,dCrit))/COUNTIFS('Alcohol Tests'!$D$4:$D$5003,"Aug",'Alcohol Tests'!$E$4:$E$5003,dCrit)*100,0)</f>
        <v>0</v>
      </c>
      <c r="AD591" s="21">
        <f>IFERROR((COUNTIFS('Alcohol Tests'!$J$4:$J$5003,"Closed",'Alcohol Tests'!$D$4:$D$5003,"Sep",'Alcohol Tests'!$E$4:$E$5003,dCrit))/COUNTIFS('Alcohol Tests'!$D$4:$D$5003,"Sep",'Alcohol Tests'!$E$4:$E$5003,dCrit)*100,0)</f>
        <v>0</v>
      </c>
      <c r="AE591" s="21">
        <f>IFERROR((COUNTIFS('Alcohol Tests'!$J$4:$J$5003,"Closed",'Alcohol Tests'!$D$4:$D$5003,"Oct",'Alcohol Tests'!$E$4:$E$5003,dCrit))/COUNTIFS('Alcohol Tests'!$D$4:$D$5003,"Oct",'Alcohol Tests'!$E$4:$E$5003,dCrit)*100,0)</f>
        <v>0</v>
      </c>
      <c r="AF591" s="21">
        <f>IFERROR((COUNTIFS('Alcohol Tests'!$J$4:$J$5003,"Closed",'Alcohol Tests'!$D$4:$D$5003,"Nov",'Alcohol Tests'!$E$4:$E$5003,dCrit))/COUNTIFS('Alcohol Tests'!$D$4:$D$5003,"Nov",'Alcohol Tests'!$E$4:$E$5003,dCrit)*100,0)</f>
        <v>0</v>
      </c>
      <c r="AG591" s="21">
        <f>IFERROR((COUNTIFS('Alcohol Tests'!$J$4:$J$5003,"Closed",'Alcohol Tests'!$D$4:$D$5003,"Dec",'Alcohol Tests'!$E$4:$E$5003,dCrit))/COUNTIFS('Alcohol Tests'!$D$4:$D$5003,"Dec",'Alcohol Tests'!$E$4:$E$5003,dCrit)*100,0)</f>
        <v>0</v>
      </c>
      <c r="AH591" s="21">
        <f>IFERROR(AVERAGE(V591:AG591),0)</f>
        <v>0</v>
      </c>
    </row>
    <row r="592" spans="2:34">
      <c r="B592" s="19" t="s">
        <v>44</v>
      </c>
      <c r="C592" s="20">
        <f>COUNTIFS('Alcohol Tests'!$D$4:$D$5003,"Mar",'Alcohol Tests'!$E$4:$E$5003,dCrit)</f>
        <v>0</v>
      </c>
      <c r="E592" s="11" t="s">
        <v>1133</v>
      </c>
      <c r="F592" s="20">
        <f>COUNTIFS('Alcohol Tests'!$G$4:$G$5003,"Post-Incident",'Alcohol Tests'!$D$4:$D$5003,mCrit,'Alcohol Tests'!$E$4:$E$5003,dCrit)</f>
        <v>0</v>
      </c>
      <c r="J592" s="11" t="s">
        <v>297</v>
      </c>
      <c r="K592" s="20">
        <f>COUNTIFS('Alcohol Tests'!$J$4:$J$5003,"Open",'Alcohol Tests'!$D$4:$D$5003,mCrit,'Alcohol Tests'!$E$4:$E$5003,dCrit)</f>
        <v>0</v>
      </c>
      <c r="M592" s="11" t="s">
        <v>1830</v>
      </c>
      <c r="N592" s="20">
        <f>COUNTIFS('Alcohol Tests'!$J$4:$J$5003,"Open",'Alcohol Tests'!$D$4:$D$5003,mCrit,'Alcohol Tests'!$E$4:$E$5003,dCrit)+COUNTIFS('Alcohol Tests'!$J$4:$J$5003,"In Progress",'Alcohol Tests'!$D$4:$D$5003,mCrit,'Alcohol Tests'!$E$4:$E$5003,dCrit)+COUNTIFS('Alcohol Tests'!$J$4:$J$5003,"Overdue",'Alcohol Tests'!$D$4:$D$5003,mCrit,'Alcohol Tests'!$E$4:$E$5003,dCrit)</f>
        <v>0</v>
      </c>
      <c r="P592" s="11" t="s">
        <v>39</v>
      </c>
      <c r="Q592" s="20">
        <f>COUNTIFS('Alcohol Tests'!$D$4:$D$5003,mCrit,'Alcohol Tests'!$E$4:$E$5003,"Engineering")</f>
        <v>0</v>
      </c>
      <c r="R592" s="21">
        <f>IFERROR((COUNTIFS('Alcohol Tests'!$J$4:$J$5003,"Closed",'Alcohol Tests'!$D$4:$D$5003,mCrit,'Alcohol Tests'!$E$4:$E$5003,"Engineering"))/COUNTIFS('Alcohol Tests'!$D$4:$D$5003,mCrit,'Alcohol Tests'!$E$4:$E$5003,"Engineering")*100,0)</f>
        <v>0</v>
      </c>
      <c r="S592" s="20">
        <f>COUNTIFS('Alcohol Tests'!$D$4:$D$5003,mCrit,'Alcohol Tests'!$E$4:$E$5003,"Engineering")</f>
        <v>0</v>
      </c>
    </row>
    <row r="593" spans="2:19">
      <c r="B593" s="19" t="s">
        <v>53</v>
      </c>
      <c r="C593" s="20">
        <f>COUNTIFS('Alcohol Tests'!$D$4:$D$5003,"Apr",'Alcohol Tests'!$E$4:$E$5003,dCrit)</f>
        <v>0</v>
      </c>
      <c r="E593" s="11" t="s">
        <v>1125</v>
      </c>
      <c r="F593" s="20">
        <f>COUNTIFS('Alcohol Tests'!$G$4:$G$5003,"Reasonable Suspicion",'Alcohol Tests'!$D$4:$D$5003,mCrit,'Alcohol Tests'!$E$4:$E$5003,dCrit)</f>
        <v>0</v>
      </c>
      <c r="J593" s="11" t="s">
        <v>238</v>
      </c>
      <c r="K593" s="20">
        <f>COUNTIFS('Alcohol Tests'!$J$4:$J$5003,"Overdue",'Alcohol Tests'!$D$4:$D$5003,mCrit,'Alcohol Tests'!$E$4:$E$5003,dCrit)</f>
        <v>0</v>
      </c>
      <c r="M593" s="11" t="s">
        <v>238</v>
      </c>
      <c r="N593" s="20">
        <f>COUNTIFS('Alcohol Tests'!$J$4:$J$5003,"Overdue",'Alcohol Tests'!$D$4:$D$5003,mCrit,'Alcohol Tests'!$E$4:$E$5003,dCrit)</f>
        <v>0</v>
      </c>
      <c r="P593" s="11" t="s">
        <v>89</v>
      </c>
      <c r="Q593" s="20">
        <f>COUNTIFS('Alcohol Tests'!$D$4:$D$5003,mCrit,'Alcohol Tests'!$E$4:$E$5003,"Construction")</f>
        <v>0</v>
      </c>
      <c r="R593" s="21">
        <f>IFERROR((COUNTIFS('Alcohol Tests'!$J$4:$J$5003,"Closed",'Alcohol Tests'!$D$4:$D$5003,mCrit,'Alcohol Tests'!$E$4:$E$5003,"Construction"))/COUNTIFS('Alcohol Tests'!$D$4:$D$5003,mCrit,'Alcohol Tests'!$E$4:$E$5003,"Construction")*100,0)</f>
        <v>0</v>
      </c>
      <c r="S593" s="20">
        <f>COUNTIFS('Alcohol Tests'!$D$4:$D$5003,mCrit,'Alcohol Tests'!$E$4:$E$5003,"Construction")</f>
        <v>0</v>
      </c>
    </row>
    <row r="594" spans="2:19">
      <c r="B594" s="19" t="s">
        <v>60</v>
      </c>
      <c r="C594" s="20">
        <f>COUNTIFS('Alcohol Tests'!$D$4:$D$5003,"May",'Alcohol Tests'!$E$4:$E$5003,dCrit)</f>
        <v>0</v>
      </c>
      <c r="M594" s="11" t="s">
        <v>1867</v>
      </c>
      <c r="N594" s="20">
        <f>COUNTIFS('Alcohol Tests'!$H$4:$H$5003,"Positive",'Alcohol Tests'!$D$4:$D$5003,mCrit,'Alcohol Tests'!$E$4:$E$5003,dCrit)</f>
        <v>0</v>
      </c>
      <c r="P594" s="11" t="s">
        <v>65</v>
      </c>
      <c r="Q594" s="20">
        <f>COUNTIFS('Alcohol Tests'!$D$4:$D$5003,mCrit,'Alcohol Tests'!$E$4:$E$5003,"Safety")</f>
        <v>0</v>
      </c>
      <c r="R594" s="21">
        <f>IFERROR((COUNTIFS('Alcohol Tests'!$J$4:$J$5003,"Closed",'Alcohol Tests'!$D$4:$D$5003,mCrit,'Alcohol Tests'!$E$4:$E$5003,"Safety"))/COUNTIFS('Alcohol Tests'!$D$4:$D$5003,mCrit,'Alcohol Tests'!$E$4:$E$5003,"Safety")*100,0)</f>
        <v>0</v>
      </c>
      <c r="S594" s="20">
        <f>COUNTIFS('Alcohol Tests'!$D$4:$D$5003,mCrit,'Alcohol Tests'!$E$4:$E$5003,"Safety")</f>
        <v>0</v>
      </c>
    </row>
    <row r="595" spans="2:19">
      <c r="B595" s="19" t="s">
        <v>73</v>
      </c>
      <c r="C595" s="20">
        <f>COUNTIFS('Alcohol Tests'!$D$4:$D$5003,"Jun",'Alcohol Tests'!$E$4:$E$5003,dCrit)</f>
        <v>0</v>
      </c>
      <c r="P595" s="11" t="s">
        <v>5</v>
      </c>
      <c r="Q595" s="20">
        <f>COUNTIFS('Alcohol Tests'!$D$4:$D$5003,mCrit,'Alcohol Tests'!$E$4:$E$5003,"Logistics")</f>
        <v>0</v>
      </c>
      <c r="R595" s="21">
        <f>IFERROR((COUNTIFS('Alcohol Tests'!$J$4:$J$5003,"Closed",'Alcohol Tests'!$D$4:$D$5003,mCrit,'Alcohol Tests'!$E$4:$E$5003,"Logistics"))/COUNTIFS('Alcohol Tests'!$D$4:$D$5003,mCrit,'Alcohol Tests'!$E$4:$E$5003,"Logistics")*100,0)</f>
        <v>0</v>
      </c>
      <c r="S595" s="20">
        <f>COUNTIFS('Alcohol Tests'!$D$4:$D$5003,mCrit,'Alcohol Tests'!$E$4:$E$5003,"Logistics")</f>
        <v>0</v>
      </c>
    </row>
    <row r="596" spans="2:19">
      <c r="B596" s="19" t="s">
        <v>76</v>
      </c>
      <c r="C596" s="20">
        <f>COUNTIFS('Alcohol Tests'!$D$4:$D$5003,"Jul",'Alcohol Tests'!$E$4:$E$5003,dCrit)</f>
        <v>0</v>
      </c>
      <c r="P596" s="11" t="s">
        <v>50</v>
      </c>
      <c r="Q596" s="20">
        <f>COUNTIFS('Alcohol Tests'!$D$4:$D$5003,mCrit,'Alcohol Tests'!$E$4:$E$5003,"Quality")</f>
        <v>0</v>
      </c>
      <c r="R596" s="21">
        <f>IFERROR((COUNTIFS('Alcohol Tests'!$J$4:$J$5003,"Closed",'Alcohol Tests'!$D$4:$D$5003,mCrit,'Alcohol Tests'!$E$4:$E$5003,"Quality"))/COUNTIFS('Alcohol Tests'!$D$4:$D$5003,mCrit,'Alcohol Tests'!$E$4:$E$5003,"Quality")*100,0)</f>
        <v>0</v>
      </c>
      <c r="S596" s="20">
        <f>COUNTIFS('Alcohol Tests'!$D$4:$D$5003,mCrit,'Alcohol Tests'!$E$4:$E$5003,"Quality")</f>
        <v>0</v>
      </c>
    </row>
    <row r="597" spans="2:19">
      <c r="B597" s="19" t="s">
        <v>86</v>
      </c>
      <c r="C597" s="20">
        <f>COUNTIFS('Alcohol Tests'!$D$4:$D$5003,"Aug",'Alcohol Tests'!$E$4:$E$5003,dCrit)</f>
        <v>0</v>
      </c>
      <c r="P597" s="11" t="s">
        <v>46</v>
      </c>
      <c r="Q597" s="20">
        <f>COUNTIFS('Alcohol Tests'!$D$4:$D$5003,mCrit,'Alcohol Tests'!$E$4:$E$5003,"Admin")</f>
        <v>0</v>
      </c>
      <c r="R597" s="21">
        <f>IFERROR((COUNTIFS('Alcohol Tests'!$J$4:$J$5003,"Closed",'Alcohol Tests'!$D$4:$D$5003,mCrit,'Alcohol Tests'!$E$4:$E$5003,"Admin"))/COUNTIFS('Alcohol Tests'!$D$4:$D$5003,mCrit,'Alcohol Tests'!$E$4:$E$5003,"Admin")*100,0)</f>
        <v>0</v>
      </c>
      <c r="S597" s="20">
        <f>COUNTIFS('Alcohol Tests'!$D$4:$D$5003,mCrit,'Alcohol Tests'!$E$4:$E$5003,"Admin")</f>
        <v>0</v>
      </c>
    </row>
    <row r="598" spans="2:19">
      <c r="B598" s="19" t="s">
        <v>102</v>
      </c>
      <c r="C598" s="20">
        <f>COUNTIFS('Alcohol Tests'!$D$4:$D$5003,"Sep",'Alcohol Tests'!$E$4:$E$5003,dCrit)</f>
        <v>0</v>
      </c>
      <c r="P598" s="11" t="s">
        <v>13</v>
      </c>
      <c r="Q598" s="20">
        <f>COUNTIFS('Alcohol Tests'!$D$4:$D$5003,mCrit,'Alcohol Tests'!$E$4:$E$5003,"Projects")</f>
        <v>0</v>
      </c>
      <c r="R598" s="21">
        <f>IFERROR((COUNTIFS('Alcohol Tests'!$J$4:$J$5003,"Closed",'Alcohol Tests'!$D$4:$D$5003,mCrit,'Alcohol Tests'!$E$4:$E$5003,"Projects"))/COUNTIFS('Alcohol Tests'!$D$4:$D$5003,mCrit,'Alcohol Tests'!$E$4:$E$5003,"Projects")*100,0)</f>
        <v>0</v>
      </c>
      <c r="S598" s="20">
        <f>COUNTIFS('Alcohol Tests'!$D$4:$D$5003,mCrit,'Alcohol Tests'!$E$4:$E$5003,"Projects")</f>
        <v>0</v>
      </c>
    </row>
    <row r="599" spans="2:19">
      <c r="B599" s="19" t="s">
        <v>106</v>
      </c>
      <c r="C599" s="20">
        <f>COUNTIFS('Alcohol Tests'!$D$4:$D$5003,"Oct",'Alcohol Tests'!$E$4:$E$5003,dCrit)</f>
        <v>0</v>
      </c>
      <c r="P599" s="11" t="s">
        <v>58</v>
      </c>
      <c r="Q599" s="20">
        <f>COUNTIFS('Alcohol Tests'!$D$4:$D$5003,mCrit,'Alcohol Tests'!$E$4:$E$5003,"Contractor")</f>
        <v>0</v>
      </c>
      <c r="R599" s="21">
        <f>IFERROR((COUNTIFS('Alcohol Tests'!$J$4:$J$5003,"Closed",'Alcohol Tests'!$D$4:$D$5003,mCrit,'Alcohol Tests'!$E$4:$E$5003,"Contractor"))/COUNTIFS('Alcohol Tests'!$D$4:$D$5003,mCrit,'Alcohol Tests'!$E$4:$E$5003,"Contractor")*100,0)</f>
        <v>0</v>
      </c>
      <c r="S599" s="20">
        <f>COUNTIFS('Alcohol Tests'!$D$4:$D$5003,mCrit,'Alcohol Tests'!$E$4:$E$5003,"Contractor")</f>
        <v>0</v>
      </c>
    </row>
    <row r="600" spans="2:19">
      <c r="B600" s="19" t="s">
        <v>111</v>
      </c>
      <c r="C600" s="20">
        <f>COUNTIFS('Alcohol Tests'!$D$4:$D$5003,"Nov",'Alcohol Tests'!$E$4:$E$5003,dCrit)</f>
        <v>0</v>
      </c>
    </row>
    <row r="601" spans="2:19">
      <c r="B601" s="19" t="s">
        <v>122</v>
      </c>
      <c r="C601" s="20">
        <f>COUNTIFS('Alcohol Tests'!$D$4:$D$5003,"Dec",'Alcohol Tests'!$E$4:$E$5003,dCrit)</f>
        <v>0</v>
      </c>
    </row>
    <row r="614" spans="2:34">
      <c r="B614" s="17" t="s">
        <v>1868</v>
      </c>
    </row>
    <row r="615" spans="2:34">
      <c r="B615" s="10" t="s">
        <v>127</v>
      </c>
      <c r="C615" s="10" t="s">
        <v>1782</v>
      </c>
      <c r="E615" s="10" t="s">
        <v>1237</v>
      </c>
      <c r="F615" s="10" t="s">
        <v>1782</v>
      </c>
      <c r="J615" s="10" t="s">
        <v>1243</v>
      </c>
      <c r="K615" s="10" t="s">
        <v>1782</v>
      </c>
      <c r="M615" s="10" t="s">
        <v>1726</v>
      </c>
      <c r="N615" s="10" t="s">
        <v>1817</v>
      </c>
      <c r="P615" s="10" t="s">
        <v>129</v>
      </c>
      <c r="Q615" s="10" t="s">
        <v>1782</v>
      </c>
      <c r="R615" s="10" t="s">
        <v>1832</v>
      </c>
      <c r="S615" s="10" t="s">
        <v>1869</v>
      </c>
      <c r="U615" s="10" t="s">
        <v>1826</v>
      </c>
      <c r="V615" s="10" t="s">
        <v>3</v>
      </c>
      <c r="W615" s="10" t="s">
        <v>19</v>
      </c>
      <c r="X615" s="10" t="s">
        <v>44</v>
      </c>
      <c r="Y615" s="10" t="s">
        <v>53</v>
      </c>
      <c r="Z615" s="10" t="s">
        <v>60</v>
      </c>
      <c r="AA615" s="10" t="s">
        <v>73</v>
      </c>
      <c r="AB615" s="10" t="s">
        <v>76</v>
      </c>
      <c r="AC615" s="10" t="s">
        <v>86</v>
      </c>
      <c r="AD615" s="10" t="s">
        <v>102</v>
      </c>
      <c r="AE615" s="10" t="s">
        <v>106</v>
      </c>
      <c r="AF615" s="10" t="s">
        <v>111</v>
      </c>
      <c r="AG615" s="10" t="s">
        <v>122</v>
      </c>
      <c r="AH615" s="10" t="s">
        <v>1827</v>
      </c>
    </row>
    <row r="616" spans="2:34">
      <c r="B616" s="19" t="s">
        <v>3</v>
      </c>
      <c r="C616" s="20">
        <f>COUNTIFS('PTW Audits'!$D$4:$D$5003,"Jan",'PTW Audits'!$F$4:$F$5003,dCrit)</f>
        <v>0</v>
      </c>
      <c r="E616" s="11" t="s">
        <v>30</v>
      </c>
      <c r="F616" s="20">
        <f>COUNTIFS('PTW Audits'!$E$4:$E$5003,"Hot Work",'PTW Audits'!$D$4:$D$5003,mCrit,'PTW Audits'!$F$4:$F$5003,dCrit)</f>
        <v>0</v>
      </c>
      <c r="J616" s="11" t="s">
        <v>165</v>
      </c>
      <c r="K616" s="20">
        <f>COUNTIFS('PTW Audits'!$M$4:$M$5003,"Compliant",'PTW Audits'!$D$4:$D$5003,mCrit,'PTW Audits'!$F$4:$F$5003,dCrit)</f>
        <v>0</v>
      </c>
      <c r="M616" s="11" t="s">
        <v>1821</v>
      </c>
      <c r="N616" s="20">
        <f>COUNTIFS('PTW Audits'!$D$4:$D$5003,mCrit,'PTW Audits'!$F$4:$F$5003,dCrit)</f>
        <v>0</v>
      </c>
      <c r="P616" s="11" t="s">
        <v>27</v>
      </c>
      <c r="Q616" s="20">
        <f>COUNTIFS('PTW Audits'!$D$4:$D$5003,mCrit,'PTW Audits'!$F$4:$F$5003,"Operations")</f>
        <v>0</v>
      </c>
      <c r="R616" s="21">
        <f>IFERROR((COUNTIFS('PTW Audits'!$M$4:$M$5003,"Compliant",'PTW Audits'!$D$4:$D$5003,mCrit,'PTW Audits'!$F$4:$F$5003,"Operations"))/COUNTIFS('PTW Audits'!$D$4:$D$5003,mCrit,'PTW Audits'!$F$4:$F$5003,"Operations")*100,0)</f>
        <v>0</v>
      </c>
      <c r="S616" s="21">
        <f>IFERROR(AVERAGEIFS('PTW Audits'!$L$4:$L$5003,'PTW Audits'!$D$4:$D$5003,mCrit,'PTW Audits'!$F$4:$F$5003,"Operations"),0)</f>
        <v>0</v>
      </c>
      <c r="U616" s="11" t="s">
        <v>1825</v>
      </c>
      <c r="V616" s="20">
        <f>COUNTIFS('PTW Audits'!$D$4:$D$5003,"Jan",'PTW Audits'!$F$4:$F$5003,dCrit)</f>
        <v>0</v>
      </c>
      <c r="W616" s="20">
        <f>COUNTIFS('PTW Audits'!$D$4:$D$5003,"Feb",'PTW Audits'!$F$4:$F$5003,dCrit)</f>
        <v>0</v>
      </c>
      <c r="X616" s="20">
        <f>COUNTIFS('PTW Audits'!$D$4:$D$5003,"Mar",'PTW Audits'!$F$4:$F$5003,dCrit)</f>
        <v>0</v>
      </c>
      <c r="Y616" s="20">
        <f>COUNTIFS('PTW Audits'!$D$4:$D$5003,"Apr",'PTW Audits'!$F$4:$F$5003,dCrit)</f>
        <v>0</v>
      </c>
      <c r="Z616" s="20">
        <f>COUNTIFS('PTW Audits'!$D$4:$D$5003,"May",'PTW Audits'!$F$4:$F$5003,dCrit)</f>
        <v>0</v>
      </c>
      <c r="AA616" s="20">
        <f>COUNTIFS('PTW Audits'!$D$4:$D$5003,"Jun",'PTW Audits'!$F$4:$F$5003,dCrit)</f>
        <v>0</v>
      </c>
      <c r="AB616" s="20">
        <f>COUNTIFS('PTW Audits'!$D$4:$D$5003,"Jul",'PTW Audits'!$F$4:$F$5003,dCrit)</f>
        <v>0</v>
      </c>
      <c r="AC616" s="20">
        <f>COUNTIFS('PTW Audits'!$D$4:$D$5003,"Aug",'PTW Audits'!$F$4:$F$5003,dCrit)</f>
        <v>0</v>
      </c>
      <c r="AD616" s="20">
        <f>COUNTIFS('PTW Audits'!$D$4:$D$5003,"Sep",'PTW Audits'!$F$4:$F$5003,dCrit)</f>
        <v>0</v>
      </c>
      <c r="AE616" s="20">
        <f>COUNTIFS('PTW Audits'!$D$4:$D$5003,"Oct",'PTW Audits'!$F$4:$F$5003,dCrit)</f>
        <v>0</v>
      </c>
      <c r="AF616" s="20">
        <f>COUNTIFS('PTW Audits'!$D$4:$D$5003,"Nov",'PTW Audits'!$F$4:$F$5003,dCrit)</f>
        <v>0</v>
      </c>
      <c r="AG616" s="20">
        <f>COUNTIFS('PTW Audits'!$D$4:$D$5003,"Dec",'PTW Audits'!$F$4:$F$5003,dCrit)</f>
        <v>0</v>
      </c>
      <c r="AH616" s="20">
        <f>SUM(V616:AG616)</f>
        <v>0</v>
      </c>
    </row>
    <row r="617" spans="2:34">
      <c r="B617" s="19" t="s">
        <v>19</v>
      </c>
      <c r="C617" s="20">
        <f>COUNTIFS('PTW Audits'!$D$4:$D$5003,"Feb",'PTW Audits'!$F$4:$F$5003,dCrit)</f>
        <v>0</v>
      </c>
      <c r="E617" s="11" t="s">
        <v>61</v>
      </c>
      <c r="F617" s="20">
        <f>COUNTIFS('PTW Audits'!$E$4:$E$5003,"Confined Space",'PTW Audits'!$D$4:$D$5003,mCrit,'PTW Audits'!$F$4:$F$5003,dCrit)</f>
        <v>0</v>
      </c>
      <c r="J617" s="11" t="s">
        <v>145</v>
      </c>
      <c r="K617" s="20">
        <f>COUNTIFS('PTW Audits'!$M$4:$M$5003,"Non-Compliant",'PTW Audits'!$D$4:$D$5003,mCrit,'PTW Audits'!$F$4:$F$5003,dCrit)</f>
        <v>0</v>
      </c>
      <c r="M617" s="11" t="s">
        <v>1829</v>
      </c>
      <c r="N617" s="21">
        <f>IFERROR((COUNTIFS('PTW Audits'!$M$4:$M$5003,"Compliant",'PTW Audits'!$D$4:$D$5003,mCrit,'PTW Audits'!$F$4:$F$5003,dCrit))/COUNTIFS('PTW Audits'!$D$4:$D$5003,mCrit,'PTW Audits'!$F$4:$F$5003,dCrit)*100,0)</f>
        <v>0</v>
      </c>
      <c r="P617" s="11" t="s">
        <v>92</v>
      </c>
      <c r="Q617" s="20">
        <f>COUNTIFS('PTW Audits'!$D$4:$D$5003,mCrit,'PTW Audits'!$F$4:$F$5003,"Maintenance")</f>
        <v>0</v>
      </c>
      <c r="R617" s="21">
        <f>IFERROR((COUNTIFS('PTW Audits'!$M$4:$M$5003,"Compliant",'PTW Audits'!$D$4:$D$5003,mCrit,'PTW Audits'!$F$4:$F$5003,"Maintenance"))/COUNTIFS('PTW Audits'!$D$4:$D$5003,mCrit,'PTW Audits'!$F$4:$F$5003,"Maintenance")*100,0)</f>
        <v>0</v>
      </c>
      <c r="S617" s="21">
        <f>IFERROR(AVERAGEIFS('PTW Audits'!$L$4:$L$5003,'PTW Audits'!$D$4:$D$5003,mCrit,'PTW Audits'!$F$4:$F$5003,"Maintenance"),0)</f>
        <v>0</v>
      </c>
      <c r="U617" s="11" t="s">
        <v>1833</v>
      </c>
      <c r="V617" s="21">
        <f>IFERROR((COUNTIFS('PTW Audits'!$M$4:$M$5003,"Compliant",'PTW Audits'!$D$4:$D$5003,"Jan",'PTW Audits'!$F$4:$F$5003,dCrit))/COUNTIFS('PTW Audits'!$D$4:$D$5003,"Jan",'PTW Audits'!$F$4:$F$5003,dCrit)*100,0)</f>
        <v>0</v>
      </c>
      <c r="W617" s="21">
        <f>IFERROR((COUNTIFS('PTW Audits'!$M$4:$M$5003,"Compliant",'PTW Audits'!$D$4:$D$5003,"Feb",'PTW Audits'!$F$4:$F$5003,dCrit))/COUNTIFS('PTW Audits'!$D$4:$D$5003,"Feb",'PTW Audits'!$F$4:$F$5003,dCrit)*100,0)</f>
        <v>0</v>
      </c>
      <c r="X617" s="21">
        <f>IFERROR((COUNTIFS('PTW Audits'!$M$4:$M$5003,"Compliant",'PTW Audits'!$D$4:$D$5003,"Mar",'PTW Audits'!$F$4:$F$5003,dCrit))/COUNTIFS('PTW Audits'!$D$4:$D$5003,"Mar",'PTW Audits'!$F$4:$F$5003,dCrit)*100,0)</f>
        <v>0</v>
      </c>
      <c r="Y617" s="21">
        <f>IFERROR((COUNTIFS('PTW Audits'!$M$4:$M$5003,"Compliant",'PTW Audits'!$D$4:$D$5003,"Apr",'PTW Audits'!$F$4:$F$5003,dCrit))/COUNTIFS('PTW Audits'!$D$4:$D$5003,"Apr",'PTW Audits'!$F$4:$F$5003,dCrit)*100,0)</f>
        <v>0</v>
      </c>
      <c r="Z617" s="21">
        <f>IFERROR((COUNTIFS('PTW Audits'!$M$4:$M$5003,"Compliant",'PTW Audits'!$D$4:$D$5003,"May",'PTW Audits'!$F$4:$F$5003,dCrit))/COUNTIFS('PTW Audits'!$D$4:$D$5003,"May",'PTW Audits'!$F$4:$F$5003,dCrit)*100,0)</f>
        <v>0</v>
      </c>
      <c r="AA617" s="21">
        <f>IFERROR((COUNTIFS('PTW Audits'!$M$4:$M$5003,"Compliant",'PTW Audits'!$D$4:$D$5003,"Jun",'PTW Audits'!$F$4:$F$5003,dCrit))/COUNTIFS('PTW Audits'!$D$4:$D$5003,"Jun",'PTW Audits'!$F$4:$F$5003,dCrit)*100,0)</f>
        <v>0</v>
      </c>
      <c r="AB617" s="21">
        <f>IFERROR((COUNTIFS('PTW Audits'!$M$4:$M$5003,"Compliant",'PTW Audits'!$D$4:$D$5003,"Jul",'PTW Audits'!$F$4:$F$5003,dCrit))/COUNTIFS('PTW Audits'!$D$4:$D$5003,"Jul",'PTW Audits'!$F$4:$F$5003,dCrit)*100,0)</f>
        <v>0</v>
      </c>
      <c r="AC617" s="21">
        <f>IFERROR((COUNTIFS('PTW Audits'!$M$4:$M$5003,"Compliant",'PTW Audits'!$D$4:$D$5003,"Aug",'PTW Audits'!$F$4:$F$5003,dCrit))/COUNTIFS('PTW Audits'!$D$4:$D$5003,"Aug",'PTW Audits'!$F$4:$F$5003,dCrit)*100,0)</f>
        <v>0</v>
      </c>
      <c r="AD617" s="21">
        <f>IFERROR((COUNTIFS('PTW Audits'!$M$4:$M$5003,"Compliant",'PTW Audits'!$D$4:$D$5003,"Sep",'PTW Audits'!$F$4:$F$5003,dCrit))/COUNTIFS('PTW Audits'!$D$4:$D$5003,"Sep",'PTW Audits'!$F$4:$F$5003,dCrit)*100,0)</f>
        <v>0</v>
      </c>
      <c r="AE617" s="21">
        <f>IFERROR((COUNTIFS('PTW Audits'!$M$4:$M$5003,"Compliant",'PTW Audits'!$D$4:$D$5003,"Oct",'PTW Audits'!$F$4:$F$5003,dCrit))/COUNTIFS('PTW Audits'!$D$4:$D$5003,"Oct",'PTW Audits'!$F$4:$F$5003,dCrit)*100,0)</f>
        <v>0</v>
      </c>
      <c r="AF617" s="21">
        <f>IFERROR((COUNTIFS('PTW Audits'!$M$4:$M$5003,"Compliant",'PTW Audits'!$D$4:$D$5003,"Nov",'PTW Audits'!$F$4:$F$5003,dCrit))/COUNTIFS('PTW Audits'!$D$4:$D$5003,"Nov",'PTW Audits'!$F$4:$F$5003,dCrit)*100,0)</f>
        <v>0</v>
      </c>
      <c r="AG617" s="21">
        <f>IFERROR((COUNTIFS('PTW Audits'!$M$4:$M$5003,"Compliant",'PTW Audits'!$D$4:$D$5003,"Dec",'PTW Audits'!$F$4:$F$5003,dCrit))/COUNTIFS('PTW Audits'!$D$4:$D$5003,"Dec",'PTW Audits'!$F$4:$F$5003,dCrit)*100,0)</f>
        <v>0</v>
      </c>
      <c r="AH617" s="21">
        <f>IFERROR(AVERAGE(V617:AG617),0)</f>
        <v>0</v>
      </c>
    </row>
    <row r="618" spans="2:34">
      <c r="B618" s="19" t="s">
        <v>44</v>
      </c>
      <c r="C618" s="20">
        <f>COUNTIFS('PTW Audits'!$D$4:$D$5003,"Mar",'PTW Audits'!$F$4:$F$5003,dCrit)</f>
        <v>0</v>
      </c>
      <c r="E618" s="11" t="s">
        <v>1196</v>
      </c>
      <c r="F618" s="20">
        <f>COUNTIFS('PTW Audits'!$E$4:$E$5003,"Working at Height",'PTW Audits'!$D$4:$D$5003,mCrit,'PTW Audits'!$F$4:$F$5003,dCrit)</f>
        <v>0</v>
      </c>
      <c r="J618" s="11" t="s">
        <v>148</v>
      </c>
      <c r="K618" s="20">
        <f>COUNTIFS('PTW Audits'!$M$4:$M$5003,"Partially Compliant",'PTW Audits'!$D$4:$D$5003,mCrit,'PTW Audits'!$F$4:$F$5003,dCrit)</f>
        <v>0</v>
      </c>
      <c r="M618" s="11" t="s">
        <v>1869</v>
      </c>
      <c r="N618" s="21">
        <f>IFERROR(AVERAGEIFS('PTW Audits'!$L$4:$L$5003,'PTW Audits'!$D$4:$D$5003,mCrit,'PTW Audits'!$F$4:$F$5003,dCrit),0)</f>
        <v>0</v>
      </c>
      <c r="P618" s="11" t="s">
        <v>39</v>
      </c>
      <c r="Q618" s="20">
        <f>COUNTIFS('PTW Audits'!$D$4:$D$5003,mCrit,'PTW Audits'!$F$4:$F$5003,"Engineering")</f>
        <v>0</v>
      </c>
      <c r="R618" s="21">
        <f>IFERROR((COUNTIFS('PTW Audits'!$M$4:$M$5003,"Compliant",'PTW Audits'!$D$4:$D$5003,mCrit,'PTW Audits'!$F$4:$F$5003,"Engineering"))/COUNTIFS('PTW Audits'!$D$4:$D$5003,mCrit,'PTW Audits'!$F$4:$F$5003,"Engineering")*100,0)</f>
        <v>0</v>
      </c>
      <c r="S618" s="21">
        <f>IFERROR(AVERAGEIFS('PTW Audits'!$L$4:$L$5003,'PTW Audits'!$D$4:$D$5003,mCrit,'PTW Audits'!$F$4:$F$5003,"Engineering"),0)</f>
        <v>0</v>
      </c>
      <c r="U618" s="11" t="s">
        <v>1869</v>
      </c>
      <c r="V618" s="21">
        <f>IFERROR(AVERAGEIFS('PTW Audits'!$L$4:$L$5003,'PTW Audits'!$D$4:$D$5003,"Jan",'PTW Audits'!$F$4:$F$5003,dCrit),0)</f>
        <v>0</v>
      </c>
      <c r="W618" s="21">
        <f>IFERROR(AVERAGEIFS('PTW Audits'!$L$4:$L$5003,'PTW Audits'!$D$4:$D$5003,"Feb",'PTW Audits'!$F$4:$F$5003,dCrit),0)</f>
        <v>0</v>
      </c>
      <c r="X618" s="21">
        <f>IFERROR(AVERAGEIFS('PTW Audits'!$L$4:$L$5003,'PTW Audits'!$D$4:$D$5003,"Mar",'PTW Audits'!$F$4:$F$5003,dCrit),0)</f>
        <v>0</v>
      </c>
      <c r="Y618" s="21">
        <f>IFERROR(AVERAGEIFS('PTW Audits'!$L$4:$L$5003,'PTW Audits'!$D$4:$D$5003,"Apr",'PTW Audits'!$F$4:$F$5003,dCrit),0)</f>
        <v>0</v>
      </c>
      <c r="Z618" s="21">
        <f>IFERROR(AVERAGEIFS('PTW Audits'!$L$4:$L$5003,'PTW Audits'!$D$4:$D$5003,"May",'PTW Audits'!$F$4:$F$5003,dCrit),0)</f>
        <v>0</v>
      </c>
      <c r="AA618" s="21">
        <f>IFERROR(AVERAGEIFS('PTW Audits'!$L$4:$L$5003,'PTW Audits'!$D$4:$D$5003,"Jun",'PTW Audits'!$F$4:$F$5003,dCrit),0)</f>
        <v>0</v>
      </c>
      <c r="AB618" s="21">
        <f>IFERROR(AVERAGEIFS('PTW Audits'!$L$4:$L$5003,'PTW Audits'!$D$4:$D$5003,"Jul",'PTW Audits'!$F$4:$F$5003,dCrit),0)</f>
        <v>0</v>
      </c>
      <c r="AC618" s="21">
        <f>IFERROR(AVERAGEIFS('PTW Audits'!$L$4:$L$5003,'PTW Audits'!$D$4:$D$5003,"Aug",'PTW Audits'!$F$4:$F$5003,dCrit),0)</f>
        <v>0</v>
      </c>
      <c r="AD618" s="21">
        <f>IFERROR(AVERAGEIFS('PTW Audits'!$L$4:$L$5003,'PTW Audits'!$D$4:$D$5003,"Sep",'PTW Audits'!$F$4:$F$5003,dCrit),0)</f>
        <v>0</v>
      </c>
      <c r="AE618" s="21">
        <f>IFERROR(AVERAGEIFS('PTW Audits'!$L$4:$L$5003,'PTW Audits'!$D$4:$D$5003,"Oct",'PTW Audits'!$F$4:$F$5003,dCrit),0)</f>
        <v>0</v>
      </c>
      <c r="AF618" s="21">
        <f>IFERROR(AVERAGEIFS('PTW Audits'!$L$4:$L$5003,'PTW Audits'!$D$4:$D$5003,"Nov",'PTW Audits'!$F$4:$F$5003,dCrit),0)</f>
        <v>0</v>
      </c>
      <c r="AG618" s="21">
        <f>IFERROR(AVERAGEIFS('PTW Audits'!$L$4:$L$5003,'PTW Audits'!$D$4:$D$5003,"Dec",'PTW Audits'!$F$4:$F$5003,dCrit),0)</f>
        <v>0</v>
      </c>
      <c r="AH618" s="21">
        <f>IFERROR(AVERAGE(V618:AG618),0)</f>
        <v>0</v>
      </c>
    </row>
    <row r="619" spans="2:34">
      <c r="B619" s="19" t="s">
        <v>53</v>
      </c>
      <c r="C619" s="20">
        <f>COUNTIFS('PTW Audits'!$D$4:$D$5003,"Apr",'PTW Audits'!$F$4:$F$5003,dCrit)</f>
        <v>0</v>
      </c>
      <c r="E619" s="11" t="s">
        <v>1202</v>
      </c>
      <c r="F619" s="20">
        <f>COUNTIFS('PTW Audits'!$E$4:$E$5003,"Electrical",'PTW Audits'!$D$4:$D$5003,mCrit,'PTW Audits'!$F$4:$F$5003,dCrit)</f>
        <v>0</v>
      </c>
      <c r="M619" s="11" t="s">
        <v>1240</v>
      </c>
      <c r="N619" s="20">
        <f>SUMIFS('PTW Audits'!$J$4:$J$5003,'PTW Audits'!$D$4:$D$5003,mCrit,'PTW Audits'!$F$4:$F$5003,dCrit)</f>
        <v>0</v>
      </c>
      <c r="P619" s="11" t="s">
        <v>89</v>
      </c>
      <c r="Q619" s="20">
        <f>COUNTIFS('PTW Audits'!$D$4:$D$5003,mCrit,'PTW Audits'!$F$4:$F$5003,"Construction")</f>
        <v>0</v>
      </c>
      <c r="R619" s="21">
        <f>IFERROR((COUNTIFS('PTW Audits'!$M$4:$M$5003,"Compliant",'PTW Audits'!$D$4:$D$5003,mCrit,'PTW Audits'!$F$4:$F$5003,"Construction"))/COUNTIFS('PTW Audits'!$D$4:$D$5003,mCrit,'PTW Audits'!$F$4:$F$5003,"Construction")*100,0)</f>
        <v>0</v>
      </c>
      <c r="S619" s="21">
        <f>IFERROR(AVERAGEIFS('PTW Audits'!$L$4:$L$5003,'PTW Audits'!$D$4:$D$5003,mCrit,'PTW Audits'!$F$4:$F$5003,"Construction"),0)</f>
        <v>0</v>
      </c>
    </row>
    <row r="620" spans="2:34">
      <c r="B620" s="19" t="s">
        <v>60</v>
      </c>
      <c r="C620" s="20">
        <f>COUNTIFS('PTW Audits'!$D$4:$D$5003,"May",'PTW Audits'!$F$4:$F$5003,dCrit)</f>
        <v>0</v>
      </c>
      <c r="E620" s="11" t="s">
        <v>1185</v>
      </c>
      <c r="F620" s="20">
        <f>COUNTIFS('PTW Audits'!$E$4:$E$5003,"Cold Work",'PTW Audits'!$D$4:$D$5003,mCrit,'PTW Audits'!$F$4:$F$5003,dCrit)</f>
        <v>0</v>
      </c>
      <c r="P620" s="11" t="s">
        <v>65</v>
      </c>
      <c r="Q620" s="20">
        <f>COUNTIFS('PTW Audits'!$D$4:$D$5003,mCrit,'PTW Audits'!$F$4:$F$5003,"Safety")</f>
        <v>0</v>
      </c>
      <c r="R620" s="21">
        <f>IFERROR((COUNTIFS('PTW Audits'!$M$4:$M$5003,"Compliant",'PTW Audits'!$D$4:$D$5003,mCrit,'PTW Audits'!$F$4:$F$5003,"Safety"))/COUNTIFS('PTW Audits'!$D$4:$D$5003,mCrit,'PTW Audits'!$F$4:$F$5003,"Safety")*100,0)</f>
        <v>0</v>
      </c>
      <c r="S620" s="21">
        <f>IFERROR(AVERAGEIFS('PTW Audits'!$L$4:$L$5003,'PTW Audits'!$D$4:$D$5003,mCrit,'PTW Audits'!$F$4:$F$5003,"Safety"),0)</f>
        <v>0</v>
      </c>
    </row>
    <row r="621" spans="2:34">
      <c r="B621" s="19" t="s">
        <v>73</v>
      </c>
      <c r="C621" s="20">
        <f>COUNTIFS('PTW Audits'!$D$4:$D$5003,"Jun",'PTW Audits'!$F$4:$F$5003,dCrit)</f>
        <v>0</v>
      </c>
      <c r="E621" s="11" t="s">
        <v>1187</v>
      </c>
      <c r="F621" s="20">
        <f>COUNTIFS('PTW Audits'!$E$4:$E$5003,"Lifting",'PTW Audits'!$D$4:$D$5003,mCrit,'PTW Audits'!$F$4:$F$5003,dCrit)</f>
        <v>0</v>
      </c>
      <c r="P621" s="11" t="s">
        <v>5</v>
      </c>
      <c r="Q621" s="20">
        <f>COUNTIFS('PTW Audits'!$D$4:$D$5003,mCrit,'PTW Audits'!$F$4:$F$5003,"Logistics")</f>
        <v>0</v>
      </c>
      <c r="R621" s="21">
        <f>IFERROR((COUNTIFS('PTW Audits'!$M$4:$M$5003,"Compliant",'PTW Audits'!$D$4:$D$5003,mCrit,'PTW Audits'!$F$4:$F$5003,"Logistics"))/COUNTIFS('PTW Audits'!$D$4:$D$5003,mCrit,'PTW Audits'!$F$4:$F$5003,"Logistics")*100,0)</f>
        <v>0</v>
      </c>
      <c r="S621" s="21">
        <f>IFERROR(AVERAGEIFS('PTW Audits'!$L$4:$L$5003,'PTW Audits'!$D$4:$D$5003,mCrit,'PTW Audits'!$F$4:$F$5003,"Logistics"),0)</f>
        <v>0</v>
      </c>
    </row>
    <row r="622" spans="2:34">
      <c r="B622" s="19" t="s">
        <v>76</v>
      </c>
      <c r="C622" s="20">
        <f>COUNTIFS('PTW Audits'!$D$4:$D$5003,"Jul",'PTW Audits'!$F$4:$F$5003,dCrit)</f>
        <v>0</v>
      </c>
      <c r="E622" s="11" t="s">
        <v>1205</v>
      </c>
      <c r="F622" s="20">
        <f>COUNTIFS('PTW Audits'!$E$4:$E$5003,"Excavation",'PTW Audits'!$D$4:$D$5003,mCrit,'PTW Audits'!$F$4:$F$5003,dCrit)</f>
        <v>0</v>
      </c>
      <c r="P622" s="11" t="s">
        <v>50</v>
      </c>
      <c r="Q622" s="20">
        <f>COUNTIFS('PTW Audits'!$D$4:$D$5003,mCrit,'PTW Audits'!$F$4:$F$5003,"Quality")</f>
        <v>0</v>
      </c>
      <c r="R622" s="21">
        <f>IFERROR((COUNTIFS('PTW Audits'!$M$4:$M$5003,"Compliant",'PTW Audits'!$D$4:$D$5003,mCrit,'PTW Audits'!$F$4:$F$5003,"Quality"))/COUNTIFS('PTW Audits'!$D$4:$D$5003,mCrit,'PTW Audits'!$F$4:$F$5003,"Quality")*100,0)</f>
        <v>0</v>
      </c>
      <c r="S622" s="21">
        <f>IFERROR(AVERAGEIFS('PTW Audits'!$L$4:$L$5003,'PTW Audits'!$D$4:$D$5003,mCrit,'PTW Audits'!$F$4:$F$5003,"Quality"),0)</f>
        <v>0</v>
      </c>
    </row>
    <row r="623" spans="2:34">
      <c r="B623" s="19" t="s">
        <v>86</v>
      </c>
      <c r="C623" s="20">
        <f>COUNTIFS('PTW Audits'!$D$4:$D$5003,"Aug",'PTW Audits'!$F$4:$F$5003,dCrit)</f>
        <v>0</v>
      </c>
      <c r="P623" s="11" t="s">
        <v>46</v>
      </c>
      <c r="Q623" s="20">
        <f>COUNTIFS('PTW Audits'!$D$4:$D$5003,mCrit,'PTW Audits'!$F$4:$F$5003,"Admin")</f>
        <v>0</v>
      </c>
      <c r="R623" s="21">
        <f>IFERROR((COUNTIFS('PTW Audits'!$M$4:$M$5003,"Compliant",'PTW Audits'!$D$4:$D$5003,mCrit,'PTW Audits'!$F$4:$F$5003,"Admin"))/COUNTIFS('PTW Audits'!$D$4:$D$5003,mCrit,'PTW Audits'!$F$4:$F$5003,"Admin")*100,0)</f>
        <v>0</v>
      </c>
      <c r="S623" s="21">
        <f>IFERROR(AVERAGEIFS('PTW Audits'!$L$4:$L$5003,'PTW Audits'!$D$4:$D$5003,mCrit,'PTW Audits'!$F$4:$F$5003,"Admin"),0)</f>
        <v>0</v>
      </c>
    </row>
    <row r="624" spans="2:34">
      <c r="B624" s="19" t="s">
        <v>102</v>
      </c>
      <c r="C624" s="20">
        <f>COUNTIFS('PTW Audits'!$D$4:$D$5003,"Sep",'PTW Audits'!$F$4:$F$5003,dCrit)</f>
        <v>0</v>
      </c>
      <c r="P624" s="11" t="s">
        <v>13</v>
      </c>
      <c r="Q624" s="20">
        <f>COUNTIFS('PTW Audits'!$D$4:$D$5003,mCrit,'PTW Audits'!$F$4:$F$5003,"Projects")</f>
        <v>0</v>
      </c>
      <c r="R624" s="21">
        <f>IFERROR((COUNTIFS('PTW Audits'!$M$4:$M$5003,"Compliant",'PTW Audits'!$D$4:$D$5003,mCrit,'PTW Audits'!$F$4:$F$5003,"Projects"))/COUNTIFS('PTW Audits'!$D$4:$D$5003,mCrit,'PTW Audits'!$F$4:$F$5003,"Projects")*100,0)</f>
        <v>0</v>
      </c>
      <c r="S624" s="21">
        <f>IFERROR(AVERAGEIFS('PTW Audits'!$L$4:$L$5003,'PTW Audits'!$D$4:$D$5003,mCrit,'PTW Audits'!$F$4:$F$5003,"Projects"),0)</f>
        <v>0</v>
      </c>
    </row>
    <row r="625" spans="2:19">
      <c r="B625" s="19" t="s">
        <v>106</v>
      </c>
      <c r="C625" s="20">
        <f>COUNTIFS('PTW Audits'!$D$4:$D$5003,"Oct",'PTW Audits'!$F$4:$F$5003,dCrit)</f>
        <v>0</v>
      </c>
      <c r="P625" s="11" t="s">
        <v>58</v>
      </c>
      <c r="Q625" s="20">
        <f>COUNTIFS('PTW Audits'!$D$4:$D$5003,mCrit,'PTW Audits'!$F$4:$F$5003,"Contractor")</f>
        <v>0</v>
      </c>
      <c r="R625" s="21">
        <f>IFERROR((COUNTIFS('PTW Audits'!$M$4:$M$5003,"Compliant",'PTW Audits'!$D$4:$D$5003,mCrit,'PTW Audits'!$F$4:$F$5003,"Contractor"))/COUNTIFS('PTW Audits'!$D$4:$D$5003,mCrit,'PTW Audits'!$F$4:$F$5003,"Contractor")*100,0)</f>
        <v>0</v>
      </c>
      <c r="S625" s="21">
        <f>IFERROR(AVERAGEIFS('PTW Audits'!$L$4:$L$5003,'PTW Audits'!$D$4:$D$5003,mCrit,'PTW Audits'!$F$4:$F$5003,"Contractor"),0)</f>
        <v>0</v>
      </c>
    </row>
    <row r="626" spans="2:19">
      <c r="B626" s="19" t="s">
        <v>111</v>
      </c>
      <c r="C626" s="20">
        <f>COUNTIFS('PTW Audits'!$D$4:$D$5003,"Nov",'PTW Audits'!$F$4:$F$5003,dCrit)</f>
        <v>0</v>
      </c>
    </row>
    <row r="627" spans="2:19">
      <c r="B627" s="19" t="s">
        <v>122</v>
      </c>
      <c r="C627" s="20">
        <f>COUNTIFS('PTW Audits'!$D$4:$D$5003,"Dec",'PTW Audits'!$F$4:$F$5003,dCrit)</f>
        <v>0</v>
      </c>
    </row>
    <row r="640" spans="2:19">
      <c r="B640" s="17" t="s">
        <v>1870</v>
      </c>
    </row>
    <row r="641" spans="2:34">
      <c r="B641" s="10" t="s">
        <v>127</v>
      </c>
      <c r="C641" s="10" t="s">
        <v>1782</v>
      </c>
      <c r="E641" s="10" t="s">
        <v>1301</v>
      </c>
      <c r="F641" s="10" t="s">
        <v>1782</v>
      </c>
      <c r="G641" s="10" t="s">
        <v>641</v>
      </c>
      <c r="H641" s="10" t="s">
        <v>1782</v>
      </c>
      <c r="J641" s="10" t="s">
        <v>287</v>
      </c>
      <c r="K641" s="10" t="s">
        <v>1782</v>
      </c>
      <c r="M641" s="10" t="s">
        <v>1726</v>
      </c>
      <c r="N641" s="10" t="s">
        <v>1817</v>
      </c>
      <c r="P641" s="10" t="s">
        <v>129</v>
      </c>
      <c r="Q641" s="10" t="s">
        <v>1782</v>
      </c>
      <c r="R641" s="10" t="s">
        <v>1832</v>
      </c>
      <c r="S641" s="10" t="s">
        <v>1825</v>
      </c>
      <c r="U641" s="10" t="s">
        <v>1826</v>
      </c>
      <c r="V641" s="10" t="s">
        <v>3</v>
      </c>
      <c r="W641" s="10" t="s">
        <v>19</v>
      </c>
      <c r="X641" s="10" t="s">
        <v>44</v>
      </c>
      <c r="Y641" s="10" t="s">
        <v>53</v>
      </c>
      <c r="Z641" s="10" t="s">
        <v>60</v>
      </c>
      <c r="AA641" s="10" t="s">
        <v>73</v>
      </c>
      <c r="AB641" s="10" t="s">
        <v>76</v>
      </c>
      <c r="AC641" s="10" t="s">
        <v>86</v>
      </c>
      <c r="AD641" s="10" t="s">
        <v>102</v>
      </c>
      <c r="AE641" s="10" t="s">
        <v>106</v>
      </c>
      <c r="AF641" s="10" t="s">
        <v>111</v>
      </c>
      <c r="AG641" s="10" t="s">
        <v>122</v>
      </c>
      <c r="AH641" s="10" t="s">
        <v>1827</v>
      </c>
    </row>
    <row r="642" spans="2:34">
      <c r="B642" s="19" t="s">
        <v>3</v>
      </c>
      <c r="C642" s="20">
        <f>COUNTIFS('Corrective Actions'!$D$4:$D$5003,"Jan",'Corrective Actions'!$F$4:$F$5003,dCrit)</f>
        <v>0</v>
      </c>
      <c r="E642" s="11" t="s">
        <v>1252</v>
      </c>
      <c r="F642" s="20">
        <f>COUNTIFS('Corrective Actions'!$E$4:$E$5003,"Audit Finding",'Corrective Actions'!$D$4:$D$5003,mCrit,'Corrective Actions'!$F$4:$F$5003,dCrit)</f>
        <v>0</v>
      </c>
      <c r="G642" s="11" t="s">
        <v>162</v>
      </c>
      <c r="H642" s="20">
        <f>COUNTIFS('Corrective Actions'!$I$4:$I$5003,"Critical",'Corrective Actions'!$D$4:$D$5003,mCrit,'Corrective Actions'!$F$4:$F$5003,dCrit)</f>
        <v>0</v>
      </c>
      <c r="J642" s="11" t="s">
        <v>293</v>
      </c>
      <c r="K642" s="20">
        <f>COUNTIFS('Corrective Actions'!$N$4:$N$5003,"Closed",'Corrective Actions'!$D$4:$D$5003,mCrit,'Corrective Actions'!$F$4:$F$5003,dCrit)</f>
        <v>0</v>
      </c>
      <c r="M642" s="11" t="s">
        <v>1821</v>
      </c>
      <c r="N642" s="20">
        <f>COUNTIFS('Corrective Actions'!$D$4:$D$5003,mCrit,'Corrective Actions'!$F$4:$F$5003,dCrit)</f>
        <v>0</v>
      </c>
      <c r="P642" s="11" t="s">
        <v>27</v>
      </c>
      <c r="Q642" s="20">
        <f>COUNTIFS('Corrective Actions'!$D$4:$D$5003,mCrit,'Corrective Actions'!$F$4:$F$5003,"Operations")</f>
        <v>0</v>
      </c>
      <c r="R642" s="21">
        <f>IFERROR((COUNTIFS('Corrective Actions'!$N$4:$N$5003,"Closed",'Corrective Actions'!$D$4:$D$5003,mCrit,'Corrective Actions'!$F$4:$F$5003,"Operations"))/COUNTIFS('Corrective Actions'!$D$4:$D$5003,mCrit,'Corrective Actions'!$F$4:$F$5003,"Operations")*100,0)</f>
        <v>0</v>
      </c>
      <c r="S642" s="20">
        <f>COUNTIFS('Corrective Actions'!$D$4:$D$5003,mCrit,'Corrective Actions'!$F$4:$F$5003,"Operations")</f>
        <v>0</v>
      </c>
      <c r="U642" s="11" t="s">
        <v>1825</v>
      </c>
      <c r="V642" s="20">
        <f>COUNTIFS('Corrective Actions'!$D$4:$D$5003,"Jan",'Corrective Actions'!$F$4:$F$5003,dCrit)</f>
        <v>0</v>
      </c>
      <c r="W642" s="20">
        <f>COUNTIFS('Corrective Actions'!$D$4:$D$5003,"Feb",'Corrective Actions'!$F$4:$F$5003,dCrit)</f>
        <v>0</v>
      </c>
      <c r="X642" s="20">
        <f>COUNTIFS('Corrective Actions'!$D$4:$D$5003,"Mar",'Corrective Actions'!$F$4:$F$5003,dCrit)</f>
        <v>0</v>
      </c>
      <c r="Y642" s="20">
        <f>COUNTIFS('Corrective Actions'!$D$4:$D$5003,"Apr",'Corrective Actions'!$F$4:$F$5003,dCrit)</f>
        <v>0</v>
      </c>
      <c r="Z642" s="20">
        <f>COUNTIFS('Corrective Actions'!$D$4:$D$5003,"May",'Corrective Actions'!$F$4:$F$5003,dCrit)</f>
        <v>0</v>
      </c>
      <c r="AA642" s="20">
        <f>COUNTIFS('Corrective Actions'!$D$4:$D$5003,"Jun",'Corrective Actions'!$F$4:$F$5003,dCrit)</f>
        <v>0</v>
      </c>
      <c r="AB642" s="20">
        <f>COUNTIFS('Corrective Actions'!$D$4:$D$5003,"Jul",'Corrective Actions'!$F$4:$F$5003,dCrit)</f>
        <v>0</v>
      </c>
      <c r="AC642" s="20">
        <f>COUNTIFS('Corrective Actions'!$D$4:$D$5003,"Aug",'Corrective Actions'!$F$4:$F$5003,dCrit)</f>
        <v>0</v>
      </c>
      <c r="AD642" s="20">
        <f>COUNTIFS('Corrective Actions'!$D$4:$D$5003,"Sep",'Corrective Actions'!$F$4:$F$5003,dCrit)</f>
        <v>0</v>
      </c>
      <c r="AE642" s="20">
        <f>COUNTIFS('Corrective Actions'!$D$4:$D$5003,"Oct",'Corrective Actions'!$F$4:$F$5003,dCrit)</f>
        <v>0</v>
      </c>
      <c r="AF642" s="20">
        <f>COUNTIFS('Corrective Actions'!$D$4:$D$5003,"Nov",'Corrective Actions'!$F$4:$F$5003,dCrit)</f>
        <v>0</v>
      </c>
      <c r="AG642" s="20">
        <f>COUNTIFS('Corrective Actions'!$D$4:$D$5003,"Dec",'Corrective Actions'!$F$4:$F$5003,dCrit)</f>
        <v>0</v>
      </c>
      <c r="AH642" s="20">
        <f>SUM(V642:AG642)</f>
        <v>0</v>
      </c>
    </row>
    <row r="643" spans="2:34">
      <c r="B643" s="19" t="s">
        <v>19</v>
      </c>
      <c r="C643" s="20">
        <f>COUNTIFS('Corrective Actions'!$D$4:$D$5003,"Feb",'Corrective Actions'!$F$4:$F$5003,dCrit)</f>
        <v>0</v>
      </c>
      <c r="E643" s="11" t="s">
        <v>1254</v>
      </c>
      <c r="F643" s="20">
        <f>COUNTIFS('Corrective Actions'!$E$4:$E$5003,"Inspection Finding",'Corrective Actions'!$D$4:$D$5003,mCrit,'Corrective Actions'!$F$4:$F$5003,dCrit)</f>
        <v>0</v>
      </c>
      <c r="G643" s="11" t="s">
        <v>159</v>
      </c>
      <c r="H643" s="20">
        <f>COUNTIFS('Corrective Actions'!$I$4:$I$5003,"High",'Corrective Actions'!$D$4:$D$5003,mCrit,'Corrective Actions'!$F$4:$F$5003,dCrit)</f>
        <v>0</v>
      </c>
      <c r="J643" s="11" t="s">
        <v>254</v>
      </c>
      <c r="K643" s="20">
        <f>COUNTIFS('Corrective Actions'!$N$4:$N$5003,"In Progress",'Corrective Actions'!$D$4:$D$5003,mCrit,'Corrective Actions'!$F$4:$F$5003,dCrit)</f>
        <v>0</v>
      </c>
      <c r="M643" s="11" t="s">
        <v>1829</v>
      </c>
      <c r="N643" s="21">
        <f>IFERROR((COUNTIFS('Corrective Actions'!$N$4:$N$5003,"Closed",'Corrective Actions'!$D$4:$D$5003,mCrit,'Corrective Actions'!$F$4:$F$5003,dCrit))/COUNTIFS('Corrective Actions'!$D$4:$D$5003,mCrit,'Corrective Actions'!$F$4:$F$5003,dCrit)*100,0)</f>
        <v>0</v>
      </c>
      <c r="P643" s="11" t="s">
        <v>92</v>
      </c>
      <c r="Q643" s="20">
        <f>COUNTIFS('Corrective Actions'!$D$4:$D$5003,mCrit,'Corrective Actions'!$F$4:$F$5003,"Maintenance")</f>
        <v>0</v>
      </c>
      <c r="R643" s="21">
        <f>IFERROR((COUNTIFS('Corrective Actions'!$N$4:$N$5003,"Closed",'Corrective Actions'!$D$4:$D$5003,mCrit,'Corrective Actions'!$F$4:$F$5003,"Maintenance"))/COUNTIFS('Corrective Actions'!$D$4:$D$5003,mCrit,'Corrective Actions'!$F$4:$F$5003,"Maintenance")*100,0)</f>
        <v>0</v>
      </c>
      <c r="S643" s="20">
        <f>COUNTIFS('Corrective Actions'!$D$4:$D$5003,mCrit,'Corrective Actions'!$F$4:$F$5003,"Maintenance")</f>
        <v>0</v>
      </c>
      <c r="U643" s="11" t="s">
        <v>1833</v>
      </c>
      <c r="V643" s="21">
        <f>IFERROR((COUNTIFS('Corrective Actions'!$N$4:$N$5003,"Closed",'Corrective Actions'!$D$4:$D$5003,"Jan",'Corrective Actions'!$F$4:$F$5003,dCrit))/COUNTIFS('Corrective Actions'!$D$4:$D$5003,"Jan",'Corrective Actions'!$F$4:$F$5003,dCrit)*100,0)</f>
        <v>0</v>
      </c>
      <c r="W643" s="21">
        <f>IFERROR((COUNTIFS('Corrective Actions'!$N$4:$N$5003,"Closed",'Corrective Actions'!$D$4:$D$5003,"Feb",'Corrective Actions'!$F$4:$F$5003,dCrit))/COUNTIFS('Corrective Actions'!$D$4:$D$5003,"Feb",'Corrective Actions'!$F$4:$F$5003,dCrit)*100,0)</f>
        <v>0</v>
      </c>
      <c r="X643" s="21">
        <f>IFERROR((COUNTIFS('Corrective Actions'!$N$4:$N$5003,"Closed",'Corrective Actions'!$D$4:$D$5003,"Mar",'Corrective Actions'!$F$4:$F$5003,dCrit))/COUNTIFS('Corrective Actions'!$D$4:$D$5003,"Mar",'Corrective Actions'!$F$4:$F$5003,dCrit)*100,0)</f>
        <v>0</v>
      </c>
      <c r="Y643" s="21">
        <f>IFERROR((COUNTIFS('Corrective Actions'!$N$4:$N$5003,"Closed",'Corrective Actions'!$D$4:$D$5003,"Apr",'Corrective Actions'!$F$4:$F$5003,dCrit))/COUNTIFS('Corrective Actions'!$D$4:$D$5003,"Apr",'Corrective Actions'!$F$4:$F$5003,dCrit)*100,0)</f>
        <v>0</v>
      </c>
      <c r="Z643" s="21">
        <f>IFERROR((COUNTIFS('Corrective Actions'!$N$4:$N$5003,"Closed",'Corrective Actions'!$D$4:$D$5003,"May",'Corrective Actions'!$F$4:$F$5003,dCrit))/COUNTIFS('Corrective Actions'!$D$4:$D$5003,"May",'Corrective Actions'!$F$4:$F$5003,dCrit)*100,0)</f>
        <v>0</v>
      </c>
      <c r="AA643" s="21">
        <f>IFERROR((COUNTIFS('Corrective Actions'!$N$4:$N$5003,"Closed",'Corrective Actions'!$D$4:$D$5003,"Jun",'Corrective Actions'!$F$4:$F$5003,dCrit))/COUNTIFS('Corrective Actions'!$D$4:$D$5003,"Jun",'Corrective Actions'!$F$4:$F$5003,dCrit)*100,0)</f>
        <v>0</v>
      </c>
      <c r="AB643" s="21">
        <f>IFERROR((COUNTIFS('Corrective Actions'!$N$4:$N$5003,"Closed",'Corrective Actions'!$D$4:$D$5003,"Jul",'Corrective Actions'!$F$4:$F$5003,dCrit))/COUNTIFS('Corrective Actions'!$D$4:$D$5003,"Jul",'Corrective Actions'!$F$4:$F$5003,dCrit)*100,0)</f>
        <v>0</v>
      </c>
      <c r="AC643" s="21">
        <f>IFERROR((COUNTIFS('Corrective Actions'!$N$4:$N$5003,"Closed",'Corrective Actions'!$D$4:$D$5003,"Aug",'Corrective Actions'!$F$4:$F$5003,dCrit))/COUNTIFS('Corrective Actions'!$D$4:$D$5003,"Aug",'Corrective Actions'!$F$4:$F$5003,dCrit)*100,0)</f>
        <v>0</v>
      </c>
      <c r="AD643" s="21">
        <f>IFERROR((COUNTIFS('Corrective Actions'!$N$4:$N$5003,"Closed",'Corrective Actions'!$D$4:$D$5003,"Sep",'Corrective Actions'!$F$4:$F$5003,dCrit))/COUNTIFS('Corrective Actions'!$D$4:$D$5003,"Sep",'Corrective Actions'!$F$4:$F$5003,dCrit)*100,0)</f>
        <v>0</v>
      </c>
      <c r="AE643" s="21">
        <f>IFERROR((COUNTIFS('Corrective Actions'!$N$4:$N$5003,"Closed",'Corrective Actions'!$D$4:$D$5003,"Oct",'Corrective Actions'!$F$4:$F$5003,dCrit))/COUNTIFS('Corrective Actions'!$D$4:$D$5003,"Oct",'Corrective Actions'!$F$4:$F$5003,dCrit)*100,0)</f>
        <v>0</v>
      </c>
      <c r="AF643" s="21">
        <f>IFERROR((COUNTIFS('Corrective Actions'!$N$4:$N$5003,"Closed",'Corrective Actions'!$D$4:$D$5003,"Nov",'Corrective Actions'!$F$4:$F$5003,dCrit))/COUNTIFS('Corrective Actions'!$D$4:$D$5003,"Nov",'Corrective Actions'!$F$4:$F$5003,dCrit)*100,0)</f>
        <v>0</v>
      </c>
      <c r="AG643" s="21">
        <f>IFERROR((COUNTIFS('Corrective Actions'!$N$4:$N$5003,"Closed",'Corrective Actions'!$D$4:$D$5003,"Dec",'Corrective Actions'!$F$4:$F$5003,dCrit))/COUNTIFS('Corrective Actions'!$D$4:$D$5003,"Dec",'Corrective Actions'!$F$4:$F$5003,dCrit)*100,0)</f>
        <v>0</v>
      </c>
      <c r="AH643" s="21">
        <f>IFERROR(AVERAGE(V643:AG643),0)</f>
        <v>0</v>
      </c>
    </row>
    <row r="644" spans="2:34">
      <c r="B644" s="19" t="s">
        <v>44</v>
      </c>
      <c r="C644" s="20">
        <f>COUNTIFS('Corrective Actions'!$D$4:$D$5003,"Mar",'Corrective Actions'!$F$4:$F$5003,dCrit)</f>
        <v>0</v>
      </c>
      <c r="E644" s="11" t="s">
        <v>1257</v>
      </c>
      <c r="F644" s="20">
        <f>COUNTIFS('Corrective Actions'!$E$4:$E$5003,"Incident Follow-up",'Corrective Actions'!$D$4:$D$5003,mCrit,'Corrective Actions'!$F$4:$F$5003,dCrit)</f>
        <v>0</v>
      </c>
      <c r="G644" s="11" t="s">
        <v>142</v>
      </c>
      <c r="H644" s="20">
        <f>COUNTIFS('Corrective Actions'!$I$4:$I$5003,"Medium",'Corrective Actions'!$D$4:$D$5003,mCrit,'Corrective Actions'!$F$4:$F$5003,dCrit)</f>
        <v>0</v>
      </c>
      <c r="J644" s="11" t="s">
        <v>238</v>
      </c>
      <c r="K644" s="20">
        <f>COUNTIFS('Corrective Actions'!$N$4:$N$5003,"Overdue",'Corrective Actions'!$D$4:$D$5003,mCrit,'Corrective Actions'!$F$4:$F$5003,dCrit)</f>
        <v>0</v>
      </c>
      <c r="M644" s="11" t="s">
        <v>1830</v>
      </c>
      <c r="N644" s="20">
        <f>COUNTIFS('Corrective Actions'!$N$4:$N$5003,"Open",'Corrective Actions'!$D$4:$D$5003,mCrit,'Corrective Actions'!$F$4:$F$5003,dCrit)+COUNTIFS('Corrective Actions'!$N$4:$N$5003,"In Progress",'Corrective Actions'!$D$4:$D$5003,mCrit,'Corrective Actions'!$F$4:$F$5003,dCrit)+COUNTIFS('Corrective Actions'!$N$4:$N$5003,"Overdue",'Corrective Actions'!$D$4:$D$5003,mCrit,'Corrective Actions'!$F$4:$F$5003,dCrit)</f>
        <v>0</v>
      </c>
      <c r="P644" s="11" t="s">
        <v>39</v>
      </c>
      <c r="Q644" s="20">
        <f>COUNTIFS('Corrective Actions'!$D$4:$D$5003,mCrit,'Corrective Actions'!$F$4:$F$5003,"Engineering")</f>
        <v>0</v>
      </c>
      <c r="R644" s="21">
        <f>IFERROR((COUNTIFS('Corrective Actions'!$N$4:$N$5003,"Closed",'Corrective Actions'!$D$4:$D$5003,mCrit,'Corrective Actions'!$F$4:$F$5003,"Engineering"))/COUNTIFS('Corrective Actions'!$D$4:$D$5003,mCrit,'Corrective Actions'!$F$4:$F$5003,"Engineering")*100,0)</f>
        <v>0</v>
      </c>
      <c r="S644" s="20">
        <f>COUNTIFS('Corrective Actions'!$D$4:$D$5003,mCrit,'Corrective Actions'!$F$4:$F$5003,"Engineering")</f>
        <v>0</v>
      </c>
    </row>
    <row r="645" spans="2:34">
      <c r="B645" s="19" t="s">
        <v>53</v>
      </c>
      <c r="C645" s="20">
        <f>COUNTIFS('Corrective Actions'!$D$4:$D$5003,"Apr",'Corrective Actions'!$F$4:$F$5003,dCrit)</f>
        <v>0</v>
      </c>
      <c r="E645" s="11" t="s">
        <v>1246</v>
      </c>
      <c r="F645" s="20">
        <f>COUNTIFS('Corrective Actions'!$E$4:$E$5003,"Observation",'Corrective Actions'!$D$4:$D$5003,mCrit,'Corrective Actions'!$F$4:$F$5003,dCrit)</f>
        <v>0</v>
      </c>
      <c r="G645" s="11" t="s">
        <v>154</v>
      </c>
      <c r="H645" s="20">
        <f>COUNTIFS('Corrective Actions'!$I$4:$I$5003,"Low",'Corrective Actions'!$D$4:$D$5003,mCrit,'Corrective Actions'!$F$4:$F$5003,dCrit)</f>
        <v>0</v>
      </c>
      <c r="J645" s="11" t="s">
        <v>297</v>
      </c>
      <c r="K645" s="20">
        <f>COUNTIFS('Corrective Actions'!$N$4:$N$5003,"Open",'Corrective Actions'!$D$4:$D$5003,mCrit,'Corrective Actions'!$F$4:$F$5003,dCrit)</f>
        <v>0</v>
      </c>
      <c r="M645" s="11" t="s">
        <v>238</v>
      </c>
      <c r="N645" s="20">
        <f>COUNTIFS('Corrective Actions'!$N$4:$N$5003,"Overdue",'Corrective Actions'!$D$4:$D$5003,mCrit,'Corrective Actions'!$F$4:$F$5003,dCrit)</f>
        <v>0</v>
      </c>
      <c r="P645" s="11" t="s">
        <v>89</v>
      </c>
      <c r="Q645" s="20">
        <f>COUNTIFS('Corrective Actions'!$D$4:$D$5003,mCrit,'Corrective Actions'!$F$4:$F$5003,"Construction")</f>
        <v>0</v>
      </c>
      <c r="R645" s="21">
        <f>IFERROR((COUNTIFS('Corrective Actions'!$N$4:$N$5003,"Closed",'Corrective Actions'!$D$4:$D$5003,mCrit,'Corrective Actions'!$F$4:$F$5003,"Construction"))/COUNTIFS('Corrective Actions'!$D$4:$D$5003,mCrit,'Corrective Actions'!$F$4:$F$5003,"Construction")*100,0)</f>
        <v>0</v>
      </c>
      <c r="S645" s="20">
        <f>COUNTIFS('Corrective Actions'!$D$4:$D$5003,mCrit,'Corrective Actions'!$F$4:$F$5003,"Construction")</f>
        <v>0</v>
      </c>
    </row>
    <row r="646" spans="2:34">
      <c r="B646" s="19" t="s">
        <v>60</v>
      </c>
      <c r="C646" s="20">
        <f>COUNTIFS('Corrective Actions'!$D$4:$D$5003,"May",'Corrective Actions'!$F$4:$F$5003,dCrit)</f>
        <v>0</v>
      </c>
      <c r="E646" s="11" t="s">
        <v>1248</v>
      </c>
      <c r="F646" s="20">
        <f>COUNTIFS('Corrective Actions'!$E$4:$E$5003,"Drill Finding",'Corrective Actions'!$D$4:$D$5003,mCrit,'Corrective Actions'!$F$4:$F$5003,dCrit)</f>
        <v>0</v>
      </c>
      <c r="M646" s="11" t="s">
        <v>1871</v>
      </c>
      <c r="N646" s="20">
        <f>COUNTIFS('Corrective Actions'!$O$4:$O$5003,"On-Time",'Corrective Actions'!$D$4:$D$5003,mCrit,'Corrective Actions'!$F$4:$F$5003,dCrit)</f>
        <v>0</v>
      </c>
      <c r="P646" s="11" t="s">
        <v>65</v>
      </c>
      <c r="Q646" s="20">
        <f>COUNTIFS('Corrective Actions'!$D$4:$D$5003,mCrit,'Corrective Actions'!$F$4:$F$5003,"Safety")</f>
        <v>0</v>
      </c>
      <c r="R646" s="21">
        <f>IFERROR((COUNTIFS('Corrective Actions'!$N$4:$N$5003,"Closed",'Corrective Actions'!$D$4:$D$5003,mCrit,'Corrective Actions'!$F$4:$F$5003,"Safety"))/COUNTIFS('Corrective Actions'!$D$4:$D$5003,mCrit,'Corrective Actions'!$F$4:$F$5003,"Safety")*100,0)</f>
        <v>0</v>
      </c>
      <c r="S646" s="20">
        <f>COUNTIFS('Corrective Actions'!$D$4:$D$5003,mCrit,'Corrective Actions'!$F$4:$F$5003,"Safety")</f>
        <v>0</v>
      </c>
    </row>
    <row r="647" spans="2:34">
      <c r="B647" s="19" t="s">
        <v>73</v>
      </c>
      <c r="C647" s="20">
        <f>COUNTIFS('Corrective Actions'!$D$4:$D$5003,"Jun",'Corrective Actions'!$F$4:$F$5003,dCrit)</f>
        <v>0</v>
      </c>
      <c r="E647" s="11" t="s">
        <v>1250</v>
      </c>
      <c r="F647" s="20">
        <f>COUNTIFS('Corrective Actions'!$E$4:$E$5003,"Management Review",'Corrective Actions'!$D$4:$D$5003,mCrit,'Corrective Actions'!$F$4:$F$5003,dCrit)</f>
        <v>0</v>
      </c>
      <c r="M647" s="11" t="s">
        <v>1848</v>
      </c>
      <c r="N647" s="20">
        <f>COUNTIFS('Corrective Actions'!$I$4:$I$5003,"Critical",'Corrective Actions'!$D$4:$D$5003,mCrit,'Corrective Actions'!$F$4:$F$5003,dCrit)+COUNTIFS('Corrective Actions'!$I$4:$I$5003,"High",'Corrective Actions'!$D$4:$D$5003,mCrit,'Corrective Actions'!$F$4:$F$5003,dCrit)</f>
        <v>0</v>
      </c>
      <c r="P647" s="11" t="s">
        <v>5</v>
      </c>
      <c r="Q647" s="20">
        <f>COUNTIFS('Corrective Actions'!$D$4:$D$5003,mCrit,'Corrective Actions'!$F$4:$F$5003,"Logistics")</f>
        <v>0</v>
      </c>
      <c r="R647" s="21">
        <f>IFERROR((COUNTIFS('Corrective Actions'!$N$4:$N$5003,"Closed",'Corrective Actions'!$D$4:$D$5003,mCrit,'Corrective Actions'!$F$4:$F$5003,"Logistics"))/COUNTIFS('Corrective Actions'!$D$4:$D$5003,mCrit,'Corrective Actions'!$F$4:$F$5003,"Logistics")*100,0)</f>
        <v>0</v>
      </c>
      <c r="S647" s="20">
        <f>COUNTIFS('Corrective Actions'!$D$4:$D$5003,mCrit,'Corrective Actions'!$F$4:$F$5003,"Logistics")</f>
        <v>0</v>
      </c>
    </row>
    <row r="648" spans="2:34">
      <c r="B648" s="19" t="s">
        <v>76</v>
      </c>
      <c r="C648" s="20">
        <f>COUNTIFS('Corrective Actions'!$D$4:$D$5003,"Jul",'Corrective Actions'!$F$4:$F$5003,dCrit)</f>
        <v>0</v>
      </c>
      <c r="P648" s="11" t="s">
        <v>50</v>
      </c>
      <c r="Q648" s="20">
        <f>COUNTIFS('Corrective Actions'!$D$4:$D$5003,mCrit,'Corrective Actions'!$F$4:$F$5003,"Quality")</f>
        <v>0</v>
      </c>
      <c r="R648" s="21">
        <f>IFERROR((COUNTIFS('Corrective Actions'!$N$4:$N$5003,"Closed",'Corrective Actions'!$D$4:$D$5003,mCrit,'Corrective Actions'!$F$4:$F$5003,"Quality"))/COUNTIFS('Corrective Actions'!$D$4:$D$5003,mCrit,'Corrective Actions'!$F$4:$F$5003,"Quality")*100,0)</f>
        <v>0</v>
      </c>
      <c r="S648" s="20">
        <f>COUNTIFS('Corrective Actions'!$D$4:$D$5003,mCrit,'Corrective Actions'!$F$4:$F$5003,"Quality")</f>
        <v>0</v>
      </c>
    </row>
    <row r="649" spans="2:34">
      <c r="B649" s="19" t="s">
        <v>86</v>
      </c>
      <c r="C649" s="20">
        <f>COUNTIFS('Corrective Actions'!$D$4:$D$5003,"Aug",'Corrective Actions'!$F$4:$F$5003,dCrit)</f>
        <v>0</v>
      </c>
      <c r="P649" s="11" t="s">
        <v>46</v>
      </c>
      <c r="Q649" s="20">
        <f>COUNTIFS('Corrective Actions'!$D$4:$D$5003,mCrit,'Corrective Actions'!$F$4:$F$5003,"Admin")</f>
        <v>0</v>
      </c>
      <c r="R649" s="21">
        <f>IFERROR((COUNTIFS('Corrective Actions'!$N$4:$N$5003,"Closed",'Corrective Actions'!$D$4:$D$5003,mCrit,'Corrective Actions'!$F$4:$F$5003,"Admin"))/COUNTIFS('Corrective Actions'!$D$4:$D$5003,mCrit,'Corrective Actions'!$F$4:$F$5003,"Admin")*100,0)</f>
        <v>0</v>
      </c>
      <c r="S649" s="20">
        <f>COUNTIFS('Corrective Actions'!$D$4:$D$5003,mCrit,'Corrective Actions'!$F$4:$F$5003,"Admin")</f>
        <v>0</v>
      </c>
    </row>
    <row r="650" spans="2:34">
      <c r="B650" s="19" t="s">
        <v>102</v>
      </c>
      <c r="C650" s="20">
        <f>COUNTIFS('Corrective Actions'!$D$4:$D$5003,"Sep",'Corrective Actions'!$F$4:$F$5003,dCrit)</f>
        <v>0</v>
      </c>
      <c r="P650" s="11" t="s">
        <v>13</v>
      </c>
      <c r="Q650" s="20">
        <f>COUNTIFS('Corrective Actions'!$D$4:$D$5003,mCrit,'Corrective Actions'!$F$4:$F$5003,"Projects")</f>
        <v>0</v>
      </c>
      <c r="R650" s="21">
        <f>IFERROR((COUNTIFS('Corrective Actions'!$N$4:$N$5003,"Closed",'Corrective Actions'!$D$4:$D$5003,mCrit,'Corrective Actions'!$F$4:$F$5003,"Projects"))/COUNTIFS('Corrective Actions'!$D$4:$D$5003,mCrit,'Corrective Actions'!$F$4:$F$5003,"Projects")*100,0)</f>
        <v>0</v>
      </c>
      <c r="S650" s="20">
        <f>COUNTIFS('Corrective Actions'!$D$4:$D$5003,mCrit,'Corrective Actions'!$F$4:$F$5003,"Projects")</f>
        <v>0</v>
      </c>
    </row>
    <row r="651" spans="2:34">
      <c r="B651" s="19" t="s">
        <v>106</v>
      </c>
      <c r="C651" s="20">
        <f>COUNTIFS('Corrective Actions'!$D$4:$D$5003,"Oct",'Corrective Actions'!$F$4:$F$5003,dCrit)</f>
        <v>0</v>
      </c>
      <c r="P651" s="11" t="s">
        <v>58</v>
      </c>
      <c r="Q651" s="20">
        <f>COUNTIFS('Corrective Actions'!$D$4:$D$5003,mCrit,'Corrective Actions'!$F$4:$F$5003,"Contractor")</f>
        <v>0</v>
      </c>
      <c r="R651" s="21">
        <f>IFERROR((COUNTIFS('Corrective Actions'!$N$4:$N$5003,"Closed",'Corrective Actions'!$D$4:$D$5003,mCrit,'Corrective Actions'!$F$4:$F$5003,"Contractor"))/COUNTIFS('Corrective Actions'!$D$4:$D$5003,mCrit,'Corrective Actions'!$F$4:$F$5003,"Contractor")*100,0)</f>
        <v>0</v>
      </c>
      <c r="S651" s="20">
        <f>COUNTIFS('Corrective Actions'!$D$4:$D$5003,mCrit,'Corrective Actions'!$F$4:$F$5003,"Contractor")</f>
        <v>0</v>
      </c>
    </row>
    <row r="652" spans="2:34">
      <c r="B652" s="19" t="s">
        <v>111</v>
      </c>
      <c r="C652" s="20">
        <f>COUNTIFS('Corrective Actions'!$D$4:$D$5003,"Nov",'Corrective Actions'!$F$4:$F$5003,dCrit)</f>
        <v>0</v>
      </c>
    </row>
    <row r="653" spans="2:34">
      <c r="B653" s="19" t="s">
        <v>122</v>
      </c>
      <c r="C653" s="20">
        <f>COUNTIFS('Corrective Actions'!$D$4:$D$5003,"Dec",'Corrective Actions'!$F$4:$F$5003,dCrit)</f>
        <v>0</v>
      </c>
    </row>
    <row r="666" spans="2:34">
      <c r="B666" s="17" t="s">
        <v>1872</v>
      </c>
    </row>
    <row r="667" spans="2:34">
      <c r="B667" s="10" t="s">
        <v>127</v>
      </c>
      <c r="C667" s="10" t="s">
        <v>1782</v>
      </c>
      <c r="E667" s="10" t="s">
        <v>1120</v>
      </c>
      <c r="F667" s="10" t="s">
        <v>1782</v>
      </c>
      <c r="G667" s="10" t="s">
        <v>1301</v>
      </c>
      <c r="H667" s="10" t="s">
        <v>1782</v>
      </c>
      <c r="J667" s="10" t="s">
        <v>287</v>
      </c>
      <c r="K667" s="10" t="s">
        <v>1782</v>
      </c>
      <c r="M667" s="10" t="s">
        <v>1726</v>
      </c>
      <c r="N667" s="10" t="s">
        <v>1817</v>
      </c>
      <c r="P667" s="10" t="s">
        <v>129</v>
      </c>
      <c r="Q667" s="10" t="s">
        <v>1782</v>
      </c>
      <c r="R667" s="10" t="s">
        <v>1832</v>
      </c>
      <c r="S667" s="10" t="s">
        <v>1825</v>
      </c>
      <c r="U667" s="10" t="s">
        <v>1826</v>
      </c>
      <c r="V667" s="10" t="s">
        <v>3</v>
      </c>
      <c r="W667" s="10" t="s">
        <v>19</v>
      </c>
      <c r="X667" s="10" t="s">
        <v>44</v>
      </c>
      <c r="Y667" s="10" t="s">
        <v>53</v>
      </c>
      <c r="Z667" s="10" t="s">
        <v>60</v>
      </c>
      <c r="AA667" s="10" t="s">
        <v>73</v>
      </c>
      <c r="AB667" s="10" t="s">
        <v>76</v>
      </c>
      <c r="AC667" s="10" t="s">
        <v>86</v>
      </c>
      <c r="AD667" s="10" t="s">
        <v>102</v>
      </c>
      <c r="AE667" s="10" t="s">
        <v>106</v>
      </c>
      <c r="AF667" s="10" t="s">
        <v>111</v>
      </c>
      <c r="AG667" s="10" t="s">
        <v>122</v>
      </c>
      <c r="AH667" s="10" t="s">
        <v>1827</v>
      </c>
    </row>
    <row r="668" spans="2:34">
      <c r="B668" s="19" t="s">
        <v>3</v>
      </c>
      <c r="C668" s="20">
        <f>COUNTIFS('NC Management'!$D$4:$D$5003,"Jan",'NC Management'!$G$4:$G$5003,dCrit)</f>
        <v>0</v>
      </c>
      <c r="E668" s="11" t="s">
        <v>162</v>
      </c>
      <c r="F668" s="20">
        <f>COUNTIFS('NC Management'!$F$4:$F$5003,"Critical",'NC Management'!$D$4:$D$5003,mCrit,'NC Management'!$G$4:$G$5003,dCrit)</f>
        <v>0</v>
      </c>
      <c r="G668" s="11" t="s">
        <v>1252</v>
      </c>
      <c r="H668" s="20">
        <f>COUNTIFS('NC Management'!$E$4:$E$5003,"Audit Finding",'NC Management'!$D$4:$D$5003,mCrit,'NC Management'!$G$4:$G$5003,dCrit)</f>
        <v>0</v>
      </c>
      <c r="J668" s="11" t="s">
        <v>293</v>
      </c>
      <c r="K668" s="20">
        <f>COUNTIFS('NC Management'!$M$4:$M$5003,"Closed",'NC Management'!$D$4:$D$5003,mCrit,'NC Management'!$G$4:$G$5003,dCrit)</f>
        <v>0</v>
      </c>
      <c r="M668" s="11" t="s">
        <v>1821</v>
      </c>
      <c r="N668" s="20">
        <f>COUNTIFS('NC Management'!$D$4:$D$5003,mCrit,'NC Management'!$G$4:$G$5003,dCrit)</f>
        <v>0</v>
      </c>
      <c r="P668" s="11" t="s">
        <v>27</v>
      </c>
      <c r="Q668" s="20">
        <f>COUNTIFS('NC Management'!$D$4:$D$5003,mCrit,'NC Management'!$G$4:$G$5003,"Operations")</f>
        <v>0</v>
      </c>
      <c r="R668" s="21">
        <f>IFERROR((COUNTIFS('NC Management'!$M$4:$M$5003,"Closed",'NC Management'!$D$4:$D$5003,mCrit,'NC Management'!$G$4:$G$5003,"Operations"))/COUNTIFS('NC Management'!$D$4:$D$5003,mCrit,'NC Management'!$G$4:$G$5003,"Operations")*100,0)</f>
        <v>0</v>
      </c>
      <c r="S668" s="20">
        <f>COUNTIFS('NC Management'!$D$4:$D$5003,mCrit,'NC Management'!$G$4:$G$5003,"Operations")</f>
        <v>0</v>
      </c>
      <c r="U668" s="11" t="s">
        <v>1825</v>
      </c>
      <c r="V668" s="20">
        <f>COUNTIFS('NC Management'!$D$4:$D$5003,"Jan",'NC Management'!$G$4:$G$5003,dCrit)</f>
        <v>0</v>
      </c>
      <c r="W668" s="20">
        <f>COUNTIFS('NC Management'!$D$4:$D$5003,"Feb",'NC Management'!$G$4:$G$5003,dCrit)</f>
        <v>0</v>
      </c>
      <c r="X668" s="20">
        <f>COUNTIFS('NC Management'!$D$4:$D$5003,"Mar",'NC Management'!$G$4:$G$5003,dCrit)</f>
        <v>0</v>
      </c>
      <c r="Y668" s="20">
        <f>COUNTIFS('NC Management'!$D$4:$D$5003,"Apr",'NC Management'!$G$4:$G$5003,dCrit)</f>
        <v>0</v>
      </c>
      <c r="Z668" s="20">
        <f>COUNTIFS('NC Management'!$D$4:$D$5003,"May",'NC Management'!$G$4:$G$5003,dCrit)</f>
        <v>0</v>
      </c>
      <c r="AA668" s="20">
        <f>COUNTIFS('NC Management'!$D$4:$D$5003,"Jun",'NC Management'!$G$4:$G$5003,dCrit)</f>
        <v>0</v>
      </c>
      <c r="AB668" s="20">
        <f>COUNTIFS('NC Management'!$D$4:$D$5003,"Jul",'NC Management'!$G$4:$G$5003,dCrit)</f>
        <v>0</v>
      </c>
      <c r="AC668" s="20">
        <f>COUNTIFS('NC Management'!$D$4:$D$5003,"Aug",'NC Management'!$G$4:$G$5003,dCrit)</f>
        <v>0</v>
      </c>
      <c r="AD668" s="20">
        <f>COUNTIFS('NC Management'!$D$4:$D$5003,"Sep",'NC Management'!$G$4:$G$5003,dCrit)</f>
        <v>0</v>
      </c>
      <c r="AE668" s="20">
        <f>COUNTIFS('NC Management'!$D$4:$D$5003,"Oct",'NC Management'!$G$4:$G$5003,dCrit)</f>
        <v>0</v>
      </c>
      <c r="AF668" s="20">
        <f>COUNTIFS('NC Management'!$D$4:$D$5003,"Nov",'NC Management'!$G$4:$G$5003,dCrit)</f>
        <v>0</v>
      </c>
      <c r="AG668" s="20">
        <f>COUNTIFS('NC Management'!$D$4:$D$5003,"Dec",'NC Management'!$G$4:$G$5003,dCrit)</f>
        <v>0</v>
      </c>
      <c r="AH668" s="20">
        <f>SUM(V668:AG668)</f>
        <v>0</v>
      </c>
    </row>
    <row r="669" spans="2:34">
      <c r="B669" s="19" t="s">
        <v>19</v>
      </c>
      <c r="C669" s="20">
        <f>COUNTIFS('NC Management'!$D$4:$D$5003,"Feb",'NC Management'!$G$4:$G$5003,dCrit)</f>
        <v>0</v>
      </c>
      <c r="E669" s="11" t="s">
        <v>159</v>
      </c>
      <c r="F669" s="20">
        <f>COUNTIFS('NC Management'!$F$4:$F$5003,"High",'NC Management'!$D$4:$D$5003,mCrit,'NC Management'!$G$4:$G$5003,dCrit)</f>
        <v>0</v>
      </c>
      <c r="G669" s="11" t="s">
        <v>1254</v>
      </c>
      <c r="H669" s="20">
        <f>COUNTIFS('NC Management'!$E$4:$E$5003,"Inspection Finding",'NC Management'!$D$4:$D$5003,mCrit,'NC Management'!$G$4:$G$5003,dCrit)</f>
        <v>0</v>
      </c>
      <c r="J669" s="11" t="s">
        <v>254</v>
      </c>
      <c r="K669" s="20">
        <f>COUNTIFS('NC Management'!$M$4:$M$5003,"In Progress",'NC Management'!$D$4:$D$5003,mCrit,'NC Management'!$G$4:$G$5003,dCrit)</f>
        <v>0</v>
      </c>
      <c r="M669" s="11" t="s">
        <v>1829</v>
      </c>
      <c r="N669" s="21">
        <f>IFERROR((COUNTIFS('NC Management'!$M$4:$M$5003,"Closed",'NC Management'!$D$4:$D$5003,mCrit,'NC Management'!$G$4:$G$5003,dCrit))/COUNTIFS('NC Management'!$D$4:$D$5003,mCrit,'NC Management'!$G$4:$G$5003,dCrit)*100,0)</f>
        <v>0</v>
      </c>
      <c r="P669" s="11" t="s">
        <v>92</v>
      </c>
      <c r="Q669" s="20">
        <f>COUNTIFS('NC Management'!$D$4:$D$5003,mCrit,'NC Management'!$G$4:$G$5003,"Maintenance")</f>
        <v>0</v>
      </c>
      <c r="R669" s="21">
        <f>IFERROR((COUNTIFS('NC Management'!$M$4:$M$5003,"Closed",'NC Management'!$D$4:$D$5003,mCrit,'NC Management'!$G$4:$G$5003,"Maintenance"))/COUNTIFS('NC Management'!$D$4:$D$5003,mCrit,'NC Management'!$G$4:$G$5003,"Maintenance")*100,0)</f>
        <v>0</v>
      </c>
      <c r="S669" s="20">
        <f>COUNTIFS('NC Management'!$D$4:$D$5003,mCrit,'NC Management'!$G$4:$G$5003,"Maintenance")</f>
        <v>0</v>
      </c>
      <c r="U669" s="11" t="s">
        <v>1833</v>
      </c>
      <c r="V669" s="21">
        <f>IFERROR((COUNTIFS('NC Management'!$M$4:$M$5003,"Closed",'NC Management'!$D$4:$D$5003,"Jan",'NC Management'!$G$4:$G$5003,dCrit))/COUNTIFS('NC Management'!$D$4:$D$5003,"Jan",'NC Management'!$G$4:$G$5003,dCrit)*100,0)</f>
        <v>0</v>
      </c>
      <c r="W669" s="21">
        <f>IFERROR((COUNTIFS('NC Management'!$M$4:$M$5003,"Closed",'NC Management'!$D$4:$D$5003,"Feb",'NC Management'!$G$4:$G$5003,dCrit))/COUNTIFS('NC Management'!$D$4:$D$5003,"Feb",'NC Management'!$G$4:$G$5003,dCrit)*100,0)</f>
        <v>0</v>
      </c>
      <c r="X669" s="21">
        <f>IFERROR((COUNTIFS('NC Management'!$M$4:$M$5003,"Closed",'NC Management'!$D$4:$D$5003,"Mar",'NC Management'!$G$4:$G$5003,dCrit))/COUNTIFS('NC Management'!$D$4:$D$5003,"Mar",'NC Management'!$G$4:$G$5003,dCrit)*100,0)</f>
        <v>0</v>
      </c>
      <c r="Y669" s="21">
        <f>IFERROR((COUNTIFS('NC Management'!$M$4:$M$5003,"Closed",'NC Management'!$D$4:$D$5003,"Apr",'NC Management'!$G$4:$G$5003,dCrit))/COUNTIFS('NC Management'!$D$4:$D$5003,"Apr",'NC Management'!$G$4:$G$5003,dCrit)*100,0)</f>
        <v>0</v>
      </c>
      <c r="Z669" s="21">
        <f>IFERROR((COUNTIFS('NC Management'!$M$4:$M$5003,"Closed",'NC Management'!$D$4:$D$5003,"May",'NC Management'!$G$4:$G$5003,dCrit))/COUNTIFS('NC Management'!$D$4:$D$5003,"May",'NC Management'!$G$4:$G$5003,dCrit)*100,0)</f>
        <v>0</v>
      </c>
      <c r="AA669" s="21">
        <f>IFERROR((COUNTIFS('NC Management'!$M$4:$M$5003,"Closed",'NC Management'!$D$4:$D$5003,"Jun",'NC Management'!$G$4:$G$5003,dCrit))/COUNTIFS('NC Management'!$D$4:$D$5003,"Jun",'NC Management'!$G$4:$G$5003,dCrit)*100,0)</f>
        <v>0</v>
      </c>
      <c r="AB669" s="21">
        <f>IFERROR((COUNTIFS('NC Management'!$M$4:$M$5003,"Closed",'NC Management'!$D$4:$D$5003,"Jul",'NC Management'!$G$4:$G$5003,dCrit))/COUNTIFS('NC Management'!$D$4:$D$5003,"Jul",'NC Management'!$G$4:$G$5003,dCrit)*100,0)</f>
        <v>0</v>
      </c>
      <c r="AC669" s="21">
        <f>IFERROR((COUNTIFS('NC Management'!$M$4:$M$5003,"Closed",'NC Management'!$D$4:$D$5003,"Aug",'NC Management'!$G$4:$G$5003,dCrit))/COUNTIFS('NC Management'!$D$4:$D$5003,"Aug",'NC Management'!$G$4:$G$5003,dCrit)*100,0)</f>
        <v>0</v>
      </c>
      <c r="AD669" s="21">
        <f>IFERROR((COUNTIFS('NC Management'!$M$4:$M$5003,"Closed",'NC Management'!$D$4:$D$5003,"Sep",'NC Management'!$G$4:$G$5003,dCrit))/COUNTIFS('NC Management'!$D$4:$D$5003,"Sep",'NC Management'!$G$4:$G$5003,dCrit)*100,0)</f>
        <v>0</v>
      </c>
      <c r="AE669" s="21">
        <f>IFERROR((COUNTIFS('NC Management'!$M$4:$M$5003,"Closed",'NC Management'!$D$4:$D$5003,"Oct",'NC Management'!$G$4:$G$5003,dCrit))/COUNTIFS('NC Management'!$D$4:$D$5003,"Oct",'NC Management'!$G$4:$G$5003,dCrit)*100,0)</f>
        <v>0</v>
      </c>
      <c r="AF669" s="21">
        <f>IFERROR((COUNTIFS('NC Management'!$M$4:$M$5003,"Closed",'NC Management'!$D$4:$D$5003,"Nov",'NC Management'!$G$4:$G$5003,dCrit))/COUNTIFS('NC Management'!$D$4:$D$5003,"Nov",'NC Management'!$G$4:$G$5003,dCrit)*100,0)</f>
        <v>0</v>
      </c>
      <c r="AG669" s="21">
        <f>IFERROR((COUNTIFS('NC Management'!$M$4:$M$5003,"Closed",'NC Management'!$D$4:$D$5003,"Dec",'NC Management'!$G$4:$G$5003,dCrit))/COUNTIFS('NC Management'!$D$4:$D$5003,"Dec",'NC Management'!$G$4:$G$5003,dCrit)*100,0)</f>
        <v>0</v>
      </c>
      <c r="AH669" s="21">
        <f>IFERROR(AVERAGE(V669:AG669),0)</f>
        <v>0</v>
      </c>
    </row>
    <row r="670" spans="2:34">
      <c r="B670" s="19" t="s">
        <v>44</v>
      </c>
      <c r="C670" s="20">
        <f>COUNTIFS('NC Management'!$D$4:$D$5003,"Mar",'NC Management'!$G$4:$G$5003,dCrit)</f>
        <v>0</v>
      </c>
      <c r="E670" s="11" t="s">
        <v>142</v>
      </c>
      <c r="F670" s="20">
        <f>COUNTIFS('NC Management'!$F$4:$F$5003,"Medium",'NC Management'!$D$4:$D$5003,mCrit,'NC Management'!$G$4:$G$5003,dCrit)</f>
        <v>0</v>
      </c>
      <c r="G670" s="11" t="s">
        <v>1257</v>
      </c>
      <c r="H670" s="20">
        <f>COUNTIFS('NC Management'!$E$4:$E$5003,"Incident Follow-up",'NC Management'!$D$4:$D$5003,mCrit,'NC Management'!$G$4:$G$5003,dCrit)</f>
        <v>0</v>
      </c>
      <c r="J670" s="11" t="s">
        <v>297</v>
      </c>
      <c r="K670" s="20">
        <f>COUNTIFS('NC Management'!$M$4:$M$5003,"Open",'NC Management'!$D$4:$D$5003,mCrit,'NC Management'!$G$4:$G$5003,dCrit)</f>
        <v>0</v>
      </c>
      <c r="M670" s="11" t="s">
        <v>1830</v>
      </c>
      <c r="N670" s="20">
        <f>COUNTIFS('NC Management'!$M$4:$M$5003,"Open",'NC Management'!$D$4:$D$5003,mCrit,'NC Management'!$G$4:$G$5003,dCrit)+COUNTIFS('NC Management'!$M$4:$M$5003,"In Progress",'NC Management'!$D$4:$D$5003,mCrit,'NC Management'!$G$4:$G$5003,dCrit)+COUNTIFS('NC Management'!$M$4:$M$5003,"Overdue",'NC Management'!$D$4:$D$5003,mCrit,'NC Management'!$G$4:$G$5003,dCrit)</f>
        <v>0</v>
      </c>
      <c r="P670" s="11" t="s">
        <v>39</v>
      </c>
      <c r="Q670" s="20">
        <f>COUNTIFS('NC Management'!$D$4:$D$5003,mCrit,'NC Management'!$G$4:$G$5003,"Engineering")</f>
        <v>0</v>
      </c>
      <c r="R670" s="21">
        <f>IFERROR((COUNTIFS('NC Management'!$M$4:$M$5003,"Closed",'NC Management'!$D$4:$D$5003,mCrit,'NC Management'!$G$4:$G$5003,"Engineering"))/COUNTIFS('NC Management'!$D$4:$D$5003,mCrit,'NC Management'!$G$4:$G$5003,"Engineering")*100,0)</f>
        <v>0</v>
      </c>
      <c r="S670" s="20">
        <f>COUNTIFS('NC Management'!$D$4:$D$5003,mCrit,'NC Management'!$G$4:$G$5003,"Engineering")</f>
        <v>0</v>
      </c>
    </row>
    <row r="671" spans="2:34">
      <c r="B671" s="19" t="s">
        <v>53</v>
      </c>
      <c r="C671" s="20">
        <f>COUNTIFS('NC Management'!$D$4:$D$5003,"Apr",'NC Management'!$G$4:$G$5003,dCrit)</f>
        <v>0</v>
      </c>
      <c r="E671" s="11" t="s">
        <v>154</v>
      </c>
      <c r="F671" s="20">
        <f>COUNTIFS('NC Management'!$F$4:$F$5003,"Low",'NC Management'!$D$4:$D$5003,mCrit,'NC Management'!$G$4:$G$5003,dCrit)</f>
        <v>0</v>
      </c>
      <c r="G671" s="11" t="s">
        <v>1246</v>
      </c>
      <c r="H671" s="20">
        <f>COUNTIFS('NC Management'!$E$4:$E$5003,"Observation",'NC Management'!$D$4:$D$5003,mCrit,'NC Management'!$G$4:$G$5003,dCrit)</f>
        <v>0</v>
      </c>
      <c r="J671" s="11" t="s">
        <v>238</v>
      </c>
      <c r="K671" s="20">
        <f>COUNTIFS('NC Management'!$M$4:$M$5003,"Overdue",'NC Management'!$D$4:$D$5003,mCrit,'NC Management'!$G$4:$G$5003,dCrit)</f>
        <v>0</v>
      </c>
      <c r="M671" s="11" t="s">
        <v>238</v>
      </c>
      <c r="N671" s="20">
        <f>COUNTIFS('NC Management'!$M$4:$M$5003,"Overdue",'NC Management'!$D$4:$D$5003,mCrit,'NC Management'!$G$4:$G$5003,dCrit)</f>
        <v>0</v>
      </c>
      <c r="P671" s="11" t="s">
        <v>89</v>
      </c>
      <c r="Q671" s="20">
        <f>COUNTIFS('NC Management'!$D$4:$D$5003,mCrit,'NC Management'!$G$4:$G$5003,"Construction")</f>
        <v>0</v>
      </c>
      <c r="R671" s="21">
        <f>IFERROR((COUNTIFS('NC Management'!$M$4:$M$5003,"Closed",'NC Management'!$D$4:$D$5003,mCrit,'NC Management'!$G$4:$G$5003,"Construction"))/COUNTIFS('NC Management'!$D$4:$D$5003,mCrit,'NC Management'!$G$4:$G$5003,"Construction")*100,0)</f>
        <v>0</v>
      </c>
      <c r="S671" s="20">
        <f>COUNTIFS('NC Management'!$D$4:$D$5003,mCrit,'NC Management'!$G$4:$G$5003,"Construction")</f>
        <v>0</v>
      </c>
    </row>
    <row r="672" spans="2:34">
      <c r="B672" s="19" t="s">
        <v>60</v>
      </c>
      <c r="C672" s="20">
        <f>COUNTIFS('NC Management'!$D$4:$D$5003,"May",'NC Management'!$G$4:$G$5003,dCrit)</f>
        <v>0</v>
      </c>
      <c r="G672" s="11" t="s">
        <v>1248</v>
      </c>
      <c r="H672" s="20">
        <f>COUNTIFS('NC Management'!$E$4:$E$5003,"Drill Finding",'NC Management'!$D$4:$D$5003,mCrit,'NC Management'!$G$4:$G$5003,dCrit)</f>
        <v>0</v>
      </c>
      <c r="M672" s="11" t="s">
        <v>1864</v>
      </c>
      <c r="N672" s="20">
        <f>COUNTIFS('NC Management'!$F$4:$F$5003,"Critical",'NC Management'!$D$4:$D$5003,mCrit,'NC Management'!$G$4:$G$5003,dCrit)+COUNTIFS('NC Management'!$F$4:$F$5003,"High",'NC Management'!$D$4:$D$5003,mCrit,'NC Management'!$G$4:$G$5003,dCrit)</f>
        <v>0</v>
      </c>
      <c r="P672" s="11" t="s">
        <v>65</v>
      </c>
      <c r="Q672" s="20">
        <f>COUNTIFS('NC Management'!$D$4:$D$5003,mCrit,'NC Management'!$G$4:$G$5003,"Safety")</f>
        <v>0</v>
      </c>
      <c r="R672" s="21">
        <f>IFERROR((COUNTIFS('NC Management'!$M$4:$M$5003,"Closed",'NC Management'!$D$4:$D$5003,mCrit,'NC Management'!$G$4:$G$5003,"Safety"))/COUNTIFS('NC Management'!$D$4:$D$5003,mCrit,'NC Management'!$G$4:$G$5003,"Safety")*100,0)</f>
        <v>0</v>
      </c>
      <c r="S672" s="20">
        <f>COUNTIFS('NC Management'!$D$4:$D$5003,mCrit,'NC Management'!$G$4:$G$5003,"Safety")</f>
        <v>0</v>
      </c>
    </row>
    <row r="673" spans="2:19">
      <c r="B673" s="19" t="s">
        <v>73</v>
      </c>
      <c r="C673" s="20">
        <f>COUNTIFS('NC Management'!$D$4:$D$5003,"Jun",'NC Management'!$G$4:$G$5003,dCrit)</f>
        <v>0</v>
      </c>
      <c r="G673" s="11" t="s">
        <v>1250</v>
      </c>
      <c r="H673" s="20">
        <f>COUNTIFS('NC Management'!$E$4:$E$5003,"Management Review",'NC Management'!$D$4:$D$5003,mCrit,'NC Management'!$G$4:$G$5003,dCrit)</f>
        <v>0</v>
      </c>
      <c r="P673" s="11" t="s">
        <v>5</v>
      </c>
      <c r="Q673" s="20">
        <f>COUNTIFS('NC Management'!$D$4:$D$5003,mCrit,'NC Management'!$G$4:$G$5003,"Logistics")</f>
        <v>0</v>
      </c>
      <c r="R673" s="21">
        <f>IFERROR((COUNTIFS('NC Management'!$M$4:$M$5003,"Closed",'NC Management'!$D$4:$D$5003,mCrit,'NC Management'!$G$4:$G$5003,"Logistics"))/COUNTIFS('NC Management'!$D$4:$D$5003,mCrit,'NC Management'!$G$4:$G$5003,"Logistics")*100,0)</f>
        <v>0</v>
      </c>
      <c r="S673" s="20">
        <f>COUNTIFS('NC Management'!$D$4:$D$5003,mCrit,'NC Management'!$G$4:$G$5003,"Logistics")</f>
        <v>0</v>
      </c>
    </row>
    <row r="674" spans="2:19">
      <c r="B674" s="19" t="s">
        <v>76</v>
      </c>
      <c r="C674" s="20">
        <f>COUNTIFS('NC Management'!$D$4:$D$5003,"Jul",'NC Management'!$G$4:$G$5003,dCrit)</f>
        <v>0</v>
      </c>
      <c r="P674" s="11" t="s">
        <v>50</v>
      </c>
      <c r="Q674" s="20">
        <f>COUNTIFS('NC Management'!$D$4:$D$5003,mCrit,'NC Management'!$G$4:$G$5003,"Quality")</f>
        <v>0</v>
      </c>
      <c r="R674" s="21">
        <f>IFERROR((COUNTIFS('NC Management'!$M$4:$M$5003,"Closed",'NC Management'!$D$4:$D$5003,mCrit,'NC Management'!$G$4:$G$5003,"Quality"))/COUNTIFS('NC Management'!$D$4:$D$5003,mCrit,'NC Management'!$G$4:$G$5003,"Quality")*100,0)</f>
        <v>0</v>
      </c>
      <c r="S674" s="20">
        <f>COUNTIFS('NC Management'!$D$4:$D$5003,mCrit,'NC Management'!$G$4:$G$5003,"Quality")</f>
        <v>0</v>
      </c>
    </row>
    <row r="675" spans="2:19">
      <c r="B675" s="19" t="s">
        <v>86</v>
      </c>
      <c r="C675" s="20">
        <f>COUNTIFS('NC Management'!$D$4:$D$5003,"Aug",'NC Management'!$G$4:$G$5003,dCrit)</f>
        <v>0</v>
      </c>
      <c r="P675" s="11" t="s">
        <v>46</v>
      </c>
      <c r="Q675" s="20">
        <f>COUNTIFS('NC Management'!$D$4:$D$5003,mCrit,'NC Management'!$G$4:$G$5003,"Admin")</f>
        <v>0</v>
      </c>
      <c r="R675" s="21">
        <f>IFERROR((COUNTIFS('NC Management'!$M$4:$M$5003,"Closed",'NC Management'!$D$4:$D$5003,mCrit,'NC Management'!$G$4:$G$5003,"Admin"))/COUNTIFS('NC Management'!$D$4:$D$5003,mCrit,'NC Management'!$G$4:$G$5003,"Admin")*100,0)</f>
        <v>0</v>
      </c>
      <c r="S675" s="20">
        <f>COUNTIFS('NC Management'!$D$4:$D$5003,mCrit,'NC Management'!$G$4:$G$5003,"Admin")</f>
        <v>0</v>
      </c>
    </row>
    <row r="676" spans="2:19">
      <c r="B676" s="19" t="s">
        <v>102</v>
      </c>
      <c r="C676" s="20">
        <f>COUNTIFS('NC Management'!$D$4:$D$5003,"Sep",'NC Management'!$G$4:$G$5003,dCrit)</f>
        <v>0</v>
      </c>
      <c r="P676" s="11" t="s">
        <v>13</v>
      </c>
      <c r="Q676" s="20">
        <f>COUNTIFS('NC Management'!$D$4:$D$5003,mCrit,'NC Management'!$G$4:$G$5003,"Projects")</f>
        <v>0</v>
      </c>
      <c r="R676" s="21">
        <f>IFERROR((COUNTIFS('NC Management'!$M$4:$M$5003,"Closed",'NC Management'!$D$4:$D$5003,mCrit,'NC Management'!$G$4:$G$5003,"Projects"))/COUNTIFS('NC Management'!$D$4:$D$5003,mCrit,'NC Management'!$G$4:$G$5003,"Projects")*100,0)</f>
        <v>0</v>
      </c>
      <c r="S676" s="20">
        <f>COUNTIFS('NC Management'!$D$4:$D$5003,mCrit,'NC Management'!$G$4:$G$5003,"Projects")</f>
        <v>0</v>
      </c>
    </row>
    <row r="677" spans="2:19">
      <c r="B677" s="19" t="s">
        <v>106</v>
      </c>
      <c r="C677" s="20">
        <f>COUNTIFS('NC Management'!$D$4:$D$5003,"Oct",'NC Management'!$G$4:$G$5003,dCrit)</f>
        <v>0</v>
      </c>
      <c r="P677" s="11" t="s">
        <v>58</v>
      </c>
      <c r="Q677" s="20">
        <f>COUNTIFS('NC Management'!$D$4:$D$5003,mCrit,'NC Management'!$G$4:$G$5003,"Contractor")</f>
        <v>0</v>
      </c>
      <c r="R677" s="21">
        <f>IFERROR((COUNTIFS('NC Management'!$M$4:$M$5003,"Closed",'NC Management'!$D$4:$D$5003,mCrit,'NC Management'!$G$4:$G$5003,"Contractor"))/COUNTIFS('NC Management'!$D$4:$D$5003,mCrit,'NC Management'!$G$4:$G$5003,"Contractor")*100,0)</f>
        <v>0</v>
      </c>
      <c r="S677" s="20">
        <f>COUNTIFS('NC Management'!$D$4:$D$5003,mCrit,'NC Management'!$G$4:$G$5003,"Contractor")</f>
        <v>0</v>
      </c>
    </row>
    <row r="678" spans="2:19">
      <c r="B678" s="19" t="s">
        <v>111</v>
      </c>
      <c r="C678" s="20">
        <f>COUNTIFS('NC Management'!$D$4:$D$5003,"Nov",'NC Management'!$G$4:$G$5003,dCrit)</f>
        <v>0</v>
      </c>
    </row>
    <row r="679" spans="2:19">
      <c r="B679" s="19" t="s">
        <v>122</v>
      </c>
      <c r="C679" s="20">
        <f>COUNTIFS('NC Management'!$D$4:$D$5003,"Dec",'NC Management'!$G$4:$G$5003,dCrit)</f>
        <v>0</v>
      </c>
    </row>
    <row r="692" spans="2:34">
      <c r="B692" s="17" t="s">
        <v>1873</v>
      </c>
    </row>
    <row r="693" spans="2:34">
      <c r="B693" s="10" t="s">
        <v>127</v>
      </c>
      <c r="C693" s="10" t="s">
        <v>1782</v>
      </c>
      <c r="E693" s="10" t="s">
        <v>210</v>
      </c>
      <c r="F693" s="10" t="s">
        <v>1782</v>
      </c>
      <c r="G693" s="10" t="s">
        <v>352</v>
      </c>
      <c r="H693" s="10" t="s">
        <v>1782</v>
      </c>
      <c r="J693" s="10" t="s">
        <v>287</v>
      </c>
      <c r="K693" s="10" t="s">
        <v>1782</v>
      </c>
      <c r="M693" s="10" t="s">
        <v>1726</v>
      </c>
      <c r="N693" s="10" t="s">
        <v>1817</v>
      </c>
      <c r="P693" s="10" t="s">
        <v>129</v>
      </c>
      <c r="Q693" s="10" t="s">
        <v>1782</v>
      </c>
      <c r="R693" s="10" t="s">
        <v>1832</v>
      </c>
      <c r="S693" s="10" t="s">
        <v>1825</v>
      </c>
      <c r="U693" s="10" t="s">
        <v>1826</v>
      </c>
      <c r="V693" s="10" t="s">
        <v>3</v>
      </c>
      <c r="W693" s="10" t="s">
        <v>19</v>
      </c>
      <c r="X693" s="10" t="s">
        <v>44</v>
      </c>
      <c r="Y693" s="10" t="s">
        <v>53</v>
      </c>
      <c r="Z693" s="10" t="s">
        <v>60</v>
      </c>
      <c r="AA693" s="10" t="s">
        <v>73</v>
      </c>
      <c r="AB693" s="10" t="s">
        <v>76</v>
      </c>
      <c r="AC693" s="10" t="s">
        <v>86</v>
      </c>
      <c r="AD693" s="10" t="s">
        <v>102</v>
      </c>
      <c r="AE693" s="10" t="s">
        <v>106</v>
      </c>
      <c r="AF693" s="10" t="s">
        <v>111</v>
      </c>
      <c r="AG693" s="10" t="s">
        <v>122</v>
      </c>
      <c r="AH693" s="10" t="s">
        <v>1827</v>
      </c>
    </row>
    <row r="694" spans="2:34">
      <c r="B694" s="19" t="s">
        <v>3</v>
      </c>
      <c r="C694" s="20">
        <f>COUNTIFS('Unsafe Acts'!$D$4:$D$5003,"Jan",'Unsafe Acts'!$F$4:$F$5003,dCrit)</f>
        <v>0</v>
      </c>
      <c r="E694" s="11" t="s">
        <v>162</v>
      </c>
      <c r="F694" s="20">
        <f>COUNTIFS('Unsafe Acts'!$I$4:$I$5003,"Critical",'Unsafe Acts'!$D$4:$D$5003,mCrit,'Unsafe Acts'!$F$4:$F$5003,dCrit)</f>
        <v>0</v>
      </c>
      <c r="G694" s="11" t="s">
        <v>1368</v>
      </c>
      <c r="H694" s="20">
        <f>COUNTIFS('Unsafe Acts'!$E$4:$E$5003,"Operating Without Authorization",'Unsafe Acts'!$D$4:$D$5003,mCrit,'Unsafe Acts'!$F$4:$F$5003,dCrit)</f>
        <v>0</v>
      </c>
      <c r="J694" s="11" t="s">
        <v>293</v>
      </c>
      <c r="K694" s="20">
        <f>COUNTIFS('Unsafe Acts'!$M$4:$M$5003,"Closed",'Unsafe Acts'!$D$4:$D$5003,mCrit,'Unsafe Acts'!$F$4:$F$5003,dCrit)</f>
        <v>0</v>
      </c>
      <c r="M694" s="11" t="s">
        <v>1821</v>
      </c>
      <c r="N694" s="20">
        <f>COUNTIFS('Unsafe Acts'!$D$4:$D$5003,mCrit,'Unsafe Acts'!$F$4:$F$5003,dCrit)</f>
        <v>0</v>
      </c>
      <c r="P694" s="11" t="s">
        <v>27</v>
      </c>
      <c r="Q694" s="20">
        <f>COUNTIFS('Unsafe Acts'!$D$4:$D$5003,mCrit,'Unsafe Acts'!$F$4:$F$5003,"Operations")</f>
        <v>0</v>
      </c>
      <c r="R694" s="21">
        <f>IFERROR((COUNTIFS('Unsafe Acts'!$M$4:$M$5003,"Closed",'Unsafe Acts'!$D$4:$D$5003,mCrit,'Unsafe Acts'!$F$4:$F$5003,"Operations"))/COUNTIFS('Unsafe Acts'!$D$4:$D$5003,mCrit,'Unsafe Acts'!$F$4:$F$5003,"Operations")*100,0)</f>
        <v>0</v>
      </c>
      <c r="S694" s="20">
        <f>COUNTIFS('Unsafe Acts'!$D$4:$D$5003,mCrit,'Unsafe Acts'!$F$4:$F$5003,"Operations")</f>
        <v>0</v>
      </c>
      <c r="U694" s="11" t="s">
        <v>1825</v>
      </c>
      <c r="V694" s="20">
        <f>COUNTIFS('Unsafe Acts'!$D$4:$D$5003,"Jan",'Unsafe Acts'!$F$4:$F$5003,dCrit)</f>
        <v>0</v>
      </c>
      <c r="W694" s="20">
        <f>COUNTIFS('Unsafe Acts'!$D$4:$D$5003,"Feb",'Unsafe Acts'!$F$4:$F$5003,dCrit)</f>
        <v>0</v>
      </c>
      <c r="X694" s="20">
        <f>COUNTIFS('Unsafe Acts'!$D$4:$D$5003,"Mar",'Unsafe Acts'!$F$4:$F$5003,dCrit)</f>
        <v>0</v>
      </c>
      <c r="Y694" s="20">
        <f>COUNTIFS('Unsafe Acts'!$D$4:$D$5003,"Apr",'Unsafe Acts'!$F$4:$F$5003,dCrit)</f>
        <v>0</v>
      </c>
      <c r="Z694" s="20">
        <f>COUNTIFS('Unsafe Acts'!$D$4:$D$5003,"May",'Unsafe Acts'!$F$4:$F$5003,dCrit)</f>
        <v>0</v>
      </c>
      <c r="AA694" s="20">
        <f>COUNTIFS('Unsafe Acts'!$D$4:$D$5003,"Jun",'Unsafe Acts'!$F$4:$F$5003,dCrit)</f>
        <v>0</v>
      </c>
      <c r="AB694" s="20">
        <f>COUNTIFS('Unsafe Acts'!$D$4:$D$5003,"Jul",'Unsafe Acts'!$F$4:$F$5003,dCrit)</f>
        <v>0</v>
      </c>
      <c r="AC694" s="20">
        <f>COUNTIFS('Unsafe Acts'!$D$4:$D$5003,"Aug",'Unsafe Acts'!$F$4:$F$5003,dCrit)</f>
        <v>0</v>
      </c>
      <c r="AD694" s="20">
        <f>COUNTIFS('Unsafe Acts'!$D$4:$D$5003,"Sep",'Unsafe Acts'!$F$4:$F$5003,dCrit)</f>
        <v>0</v>
      </c>
      <c r="AE694" s="20">
        <f>COUNTIFS('Unsafe Acts'!$D$4:$D$5003,"Oct",'Unsafe Acts'!$F$4:$F$5003,dCrit)</f>
        <v>0</v>
      </c>
      <c r="AF694" s="20">
        <f>COUNTIFS('Unsafe Acts'!$D$4:$D$5003,"Nov",'Unsafe Acts'!$F$4:$F$5003,dCrit)</f>
        <v>0</v>
      </c>
      <c r="AG694" s="20">
        <f>COUNTIFS('Unsafe Acts'!$D$4:$D$5003,"Dec",'Unsafe Acts'!$F$4:$F$5003,dCrit)</f>
        <v>0</v>
      </c>
      <c r="AH694" s="20">
        <f>SUM(V694:AG694)</f>
        <v>0</v>
      </c>
    </row>
    <row r="695" spans="2:34">
      <c r="B695" s="19" t="s">
        <v>19</v>
      </c>
      <c r="C695" s="20">
        <f>COUNTIFS('Unsafe Acts'!$D$4:$D$5003,"Feb",'Unsafe Acts'!$F$4:$F$5003,dCrit)</f>
        <v>0</v>
      </c>
      <c r="E695" s="11" t="s">
        <v>159</v>
      </c>
      <c r="F695" s="20">
        <f>COUNTIFS('Unsafe Acts'!$I$4:$I$5003,"High",'Unsafe Acts'!$D$4:$D$5003,mCrit,'Unsafe Acts'!$F$4:$F$5003,dCrit)</f>
        <v>0</v>
      </c>
      <c r="G695" s="11" t="s">
        <v>1370</v>
      </c>
      <c r="H695" s="20">
        <f>COUNTIFS('Unsafe Acts'!$E$4:$E$5003,"Improper Lifting Technique",'Unsafe Acts'!$D$4:$D$5003,mCrit,'Unsafe Acts'!$F$4:$F$5003,dCrit)</f>
        <v>0</v>
      </c>
      <c r="J695" s="11" t="s">
        <v>254</v>
      </c>
      <c r="K695" s="20">
        <f>COUNTIFS('Unsafe Acts'!$M$4:$M$5003,"In Progress",'Unsafe Acts'!$D$4:$D$5003,mCrit,'Unsafe Acts'!$F$4:$F$5003,dCrit)</f>
        <v>0</v>
      </c>
      <c r="M695" s="11" t="s">
        <v>1829</v>
      </c>
      <c r="N695" s="21">
        <f>IFERROR((COUNTIFS('Unsafe Acts'!$M$4:$M$5003,"Closed",'Unsafe Acts'!$D$4:$D$5003,mCrit,'Unsafe Acts'!$F$4:$F$5003,dCrit))/COUNTIFS('Unsafe Acts'!$D$4:$D$5003,mCrit,'Unsafe Acts'!$F$4:$F$5003,dCrit)*100,0)</f>
        <v>0</v>
      </c>
      <c r="P695" s="11" t="s">
        <v>92</v>
      </c>
      <c r="Q695" s="20">
        <f>COUNTIFS('Unsafe Acts'!$D$4:$D$5003,mCrit,'Unsafe Acts'!$F$4:$F$5003,"Maintenance")</f>
        <v>0</v>
      </c>
      <c r="R695" s="21">
        <f>IFERROR((COUNTIFS('Unsafe Acts'!$M$4:$M$5003,"Closed",'Unsafe Acts'!$D$4:$D$5003,mCrit,'Unsafe Acts'!$F$4:$F$5003,"Maintenance"))/COUNTIFS('Unsafe Acts'!$D$4:$D$5003,mCrit,'Unsafe Acts'!$F$4:$F$5003,"Maintenance")*100,0)</f>
        <v>0</v>
      </c>
      <c r="S695" s="20">
        <f>COUNTIFS('Unsafe Acts'!$D$4:$D$5003,mCrit,'Unsafe Acts'!$F$4:$F$5003,"Maintenance")</f>
        <v>0</v>
      </c>
      <c r="U695" s="11" t="s">
        <v>1833</v>
      </c>
      <c r="V695" s="21">
        <f>IFERROR((COUNTIFS('Unsafe Acts'!$M$4:$M$5003,"Closed",'Unsafe Acts'!$D$4:$D$5003,"Jan",'Unsafe Acts'!$F$4:$F$5003,dCrit))/COUNTIFS('Unsafe Acts'!$D$4:$D$5003,"Jan",'Unsafe Acts'!$F$4:$F$5003,dCrit)*100,0)</f>
        <v>0</v>
      </c>
      <c r="W695" s="21">
        <f>IFERROR((COUNTIFS('Unsafe Acts'!$M$4:$M$5003,"Closed",'Unsafe Acts'!$D$4:$D$5003,"Feb",'Unsafe Acts'!$F$4:$F$5003,dCrit))/COUNTIFS('Unsafe Acts'!$D$4:$D$5003,"Feb",'Unsafe Acts'!$F$4:$F$5003,dCrit)*100,0)</f>
        <v>0</v>
      </c>
      <c r="X695" s="21">
        <f>IFERROR((COUNTIFS('Unsafe Acts'!$M$4:$M$5003,"Closed",'Unsafe Acts'!$D$4:$D$5003,"Mar",'Unsafe Acts'!$F$4:$F$5003,dCrit))/COUNTIFS('Unsafe Acts'!$D$4:$D$5003,"Mar",'Unsafe Acts'!$F$4:$F$5003,dCrit)*100,0)</f>
        <v>0</v>
      </c>
      <c r="Y695" s="21">
        <f>IFERROR((COUNTIFS('Unsafe Acts'!$M$4:$M$5003,"Closed",'Unsafe Acts'!$D$4:$D$5003,"Apr",'Unsafe Acts'!$F$4:$F$5003,dCrit))/COUNTIFS('Unsafe Acts'!$D$4:$D$5003,"Apr",'Unsafe Acts'!$F$4:$F$5003,dCrit)*100,0)</f>
        <v>0</v>
      </c>
      <c r="Z695" s="21">
        <f>IFERROR((COUNTIFS('Unsafe Acts'!$M$4:$M$5003,"Closed",'Unsafe Acts'!$D$4:$D$5003,"May",'Unsafe Acts'!$F$4:$F$5003,dCrit))/COUNTIFS('Unsafe Acts'!$D$4:$D$5003,"May",'Unsafe Acts'!$F$4:$F$5003,dCrit)*100,0)</f>
        <v>0</v>
      </c>
      <c r="AA695" s="21">
        <f>IFERROR((COUNTIFS('Unsafe Acts'!$M$4:$M$5003,"Closed",'Unsafe Acts'!$D$4:$D$5003,"Jun",'Unsafe Acts'!$F$4:$F$5003,dCrit))/COUNTIFS('Unsafe Acts'!$D$4:$D$5003,"Jun",'Unsafe Acts'!$F$4:$F$5003,dCrit)*100,0)</f>
        <v>0</v>
      </c>
      <c r="AB695" s="21">
        <f>IFERROR((COUNTIFS('Unsafe Acts'!$M$4:$M$5003,"Closed",'Unsafe Acts'!$D$4:$D$5003,"Jul",'Unsafe Acts'!$F$4:$F$5003,dCrit))/COUNTIFS('Unsafe Acts'!$D$4:$D$5003,"Jul",'Unsafe Acts'!$F$4:$F$5003,dCrit)*100,0)</f>
        <v>0</v>
      </c>
      <c r="AC695" s="21">
        <f>IFERROR((COUNTIFS('Unsafe Acts'!$M$4:$M$5003,"Closed",'Unsafe Acts'!$D$4:$D$5003,"Aug",'Unsafe Acts'!$F$4:$F$5003,dCrit))/COUNTIFS('Unsafe Acts'!$D$4:$D$5003,"Aug",'Unsafe Acts'!$F$4:$F$5003,dCrit)*100,0)</f>
        <v>0</v>
      </c>
      <c r="AD695" s="21">
        <f>IFERROR((COUNTIFS('Unsafe Acts'!$M$4:$M$5003,"Closed",'Unsafe Acts'!$D$4:$D$5003,"Sep",'Unsafe Acts'!$F$4:$F$5003,dCrit))/COUNTIFS('Unsafe Acts'!$D$4:$D$5003,"Sep",'Unsafe Acts'!$F$4:$F$5003,dCrit)*100,0)</f>
        <v>0</v>
      </c>
      <c r="AE695" s="21">
        <f>IFERROR((COUNTIFS('Unsafe Acts'!$M$4:$M$5003,"Closed",'Unsafe Acts'!$D$4:$D$5003,"Oct",'Unsafe Acts'!$F$4:$F$5003,dCrit))/COUNTIFS('Unsafe Acts'!$D$4:$D$5003,"Oct",'Unsafe Acts'!$F$4:$F$5003,dCrit)*100,0)</f>
        <v>0</v>
      </c>
      <c r="AF695" s="21">
        <f>IFERROR((COUNTIFS('Unsafe Acts'!$M$4:$M$5003,"Closed",'Unsafe Acts'!$D$4:$D$5003,"Nov",'Unsafe Acts'!$F$4:$F$5003,dCrit))/COUNTIFS('Unsafe Acts'!$D$4:$D$5003,"Nov",'Unsafe Acts'!$F$4:$F$5003,dCrit)*100,0)</f>
        <v>0</v>
      </c>
      <c r="AG695" s="21">
        <f>IFERROR((COUNTIFS('Unsafe Acts'!$M$4:$M$5003,"Closed",'Unsafe Acts'!$D$4:$D$5003,"Dec",'Unsafe Acts'!$F$4:$F$5003,dCrit))/COUNTIFS('Unsafe Acts'!$D$4:$D$5003,"Dec",'Unsafe Acts'!$F$4:$F$5003,dCrit)*100,0)</f>
        <v>0</v>
      </c>
      <c r="AH695" s="21">
        <f>IFERROR(AVERAGE(V695:AG695),0)</f>
        <v>0</v>
      </c>
    </row>
    <row r="696" spans="2:34">
      <c r="B696" s="19" t="s">
        <v>44</v>
      </c>
      <c r="C696" s="20">
        <f>COUNTIFS('Unsafe Acts'!$D$4:$D$5003,"Mar",'Unsafe Acts'!$F$4:$F$5003,dCrit)</f>
        <v>0</v>
      </c>
      <c r="E696" s="11" t="s">
        <v>142</v>
      </c>
      <c r="F696" s="20">
        <f>COUNTIFS('Unsafe Acts'!$I$4:$I$5003,"Medium",'Unsafe Acts'!$D$4:$D$5003,mCrit,'Unsafe Acts'!$F$4:$F$5003,dCrit)</f>
        <v>0</v>
      </c>
      <c r="G696" s="11" t="s">
        <v>1372</v>
      </c>
      <c r="H696" s="20">
        <f>COUNTIFS('Unsafe Acts'!$E$4:$E$5003,"Wrong Tool for the Job",'Unsafe Acts'!$D$4:$D$5003,mCrit,'Unsafe Acts'!$F$4:$F$5003,dCrit)</f>
        <v>0</v>
      </c>
      <c r="J696" s="11" t="s">
        <v>297</v>
      </c>
      <c r="K696" s="20">
        <f>COUNTIFS('Unsafe Acts'!$M$4:$M$5003,"Open",'Unsafe Acts'!$D$4:$D$5003,mCrit,'Unsafe Acts'!$F$4:$F$5003,dCrit)</f>
        <v>0</v>
      </c>
      <c r="M696" s="11" t="s">
        <v>1830</v>
      </c>
      <c r="N696" s="20">
        <f>COUNTIFS('Unsafe Acts'!$M$4:$M$5003,"Open",'Unsafe Acts'!$D$4:$D$5003,mCrit,'Unsafe Acts'!$F$4:$F$5003,dCrit)+COUNTIFS('Unsafe Acts'!$M$4:$M$5003,"In Progress",'Unsafe Acts'!$D$4:$D$5003,mCrit,'Unsafe Acts'!$F$4:$F$5003,dCrit)+COUNTIFS('Unsafe Acts'!$M$4:$M$5003,"Overdue",'Unsafe Acts'!$D$4:$D$5003,mCrit,'Unsafe Acts'!$F$4:$F$5003,dCrit)</f>
        <v>0</v>
      </c>
      <c r="P696" s="11" t="s">
        <v>39</v>
      </c>
      <c r="Q696" s="20">
        <f>COUNTIFS('Unsafe Acts'!$D$4:$D$5003,mCrit,'Unsafe Acts'!$F$4:$F$5003,"Engineering")</f>
        <v>0</v>
      </c>
      <c r="R696" s="21">
        <f>IFERROR((COUNTIFS('Unsafe Acts'!$M$4:$M$5003,"Closed",'Unsafe Acts'!$D$4:$D$5003,mCrit,'Unsafe Acts'!$F$4:$F$5003,"Engineering"))/COUNTIFS('Unsafe Acts'!$D$4:$D$5003,mCrit,'Unsafe Acts'!$F$4:$F$5003,"Engineering")*100,0)</f>
        <v>0</v>
      </c>
      <c r="S696" s="20">
        <f>COUNTIFS('Unsafe Acts'!$D$4:$D$5003,mCrit,'Unsafe Acts'!$F$4:$F$5003,"Engineering")</f>
        <v>0</v>
      </c>
    </row>
    <row r="697" spans="2:34">
      <c r="B697" s="19" t="s">
        <v>53</v>
      </c>
      <c r="C697" s="20">
        <f>COUNTIFS('Unsafe Acts'!$D$4:$D$5003,"Apr",'Unsafe Acts'!$F$4:$F$5003,dCrit)</f>
        <v>0</v>
      </c>
      <c r="E697" s="11" t="s">
        <v>154</v>
      </c>
      <c r="F697" s="20">
        <f>COUNTIFS('Unsafe Acts'!$I$4:$I$5003,"Low",'Unsafe Acts'!$D$4:$D$5003,mCrit,'Unsafe Acts'!$F$4:$F$5003,dCrit)</f>
        <v>0</v>
      </c>
      <c r="G697" s="11" t="s">
        <v>1375</v>
      </c>
      <c r="H697" s="20">
        <f>COUNTIFS('Unsafe Acts'!$E$4:$E$5003,"Horseplay",'Unsafe Acts'!$D$4:$D$5003,mCrit,'Unsafe Acts'!$F$4:$F$5003,dCrit)</f>
        <v>0</v>
      </c>
      <c r="J697" s="11" t="s">
        <v>238</v>
      </c>
      <c r="K697" s="20">
        <f>COUNTIFS('Unsafe Acts'!$M$4:$M$5003,"Overdue",'Unsafe Acts'!$D$4:$D$5003,mCrit,'Unsafe Acts'!$F$4:$F$5003,dCrit)</f>
        <v>0</v>
      </c>
      <c r="M697" s="11" t="s">
        <v>238</v>
      </c>
      <c r="N697" s="20">
        <f>COUNTIFS('Unsafe Acts'!$M$4:$M$5003,"Overdue",'Unsafe Acts'!$D$4:$D$5003,mCrit,'Unsafe Acts'!$F$4:$F$5003,dCrit)</f>
        <v>0</v>
      </c>
      <c r="P697" s="11" t="s">
        <v>89</v>
      </c>
      <c r="Q697" s="20">
        <f>COUNTIFS('Unsafe Acts'!$D$4:$D$5003,mCrit,'Unsafe Acts'!$F$4:$F$5003,"Construction")</f>
        <v>0</v>
      </c>
      <c r="R697" s="21">
        <f>IFERROR((COUNTIFS('Unsafe Acts'!$M$4:$M$5003,"Closed",'Unsafe Acts'!$D$4:$D$5003,mCrit,'Unsafe Acts'!$F$4:$F$5003,"Construction"))/COUNTIFS('Unsafe Acts'!$D$4:$D$5003,mCrit,'Unsafe Acts'!$F$4:$F$5003,"Construction")*100,0)</f>
        <v>0</v>
      </c>
      <c r="S697" s="20">
        <f>COUNTIFS('Unsafe Acts'!$D$4:$D$5003,mCrit,'Unsafe Acts'!$F$4:$F$5003,"Construction")</f>
        <v>0</v>
      </c>
    </row>
    <row r="698" spans="2:34">
      <c r="B698" s="19" t="s">
        <v>60</v>
      </c>
      <c r="C698" s="20">
        <f>COUNTIFS('Unsafe Acts'!$D$4:$D$5003,"May",'Unsafe Acts'!$F$4:$F$5003,dCrit)</f>
        <v>0</v>
      </c>
      <c r="G698" s="11" t="s">
        <v>1377</v>
      </c>
      <c r="H698" s="20">
        <f>COUNTIFS('Unsafe Acts'!$E$4:$E$5003,"Not Using PPE",'Unsafe Acts'!$D$4:$D$5003,mCrit,'Unsafe Acts'!$F$4:$F$5003,dCrit)</f>
        <v>0</v>
      </c>
      <c r="M698" s="11" t="s">
        <v>1839</v>
      </c>
      <c r="N698" s="20">
        <f>COUNTIFS('Unsafe Acts'!$I$4:$I$5003,"Critical",'Unsafe Acts'!$D$4:$D$5003,mCrit,'Unsafe Acts'!$F$4:$F$5003,dCrit)+COUNTIFS('Unsafe Acts'!$I$4:$I$5003,"High",'Unsafe Acts'!$D$4:$D$5003,mCrit,'Unsafe Acts'!$F$4:$F$5003,dCrit)</f>
        <v>0</v>
      </c>
      <c r="P698" s="11" t="s">
        <v>65</v>
      </c>
      <c r="Q698" s="20">
        <f>COUNTIFS('Unsafe Acts'!$D$4:$D$5003,mCrit,'Unsafe Acts'!$F$4:$F$5003,"Safety")</f>
        <v>0</v>
      </c>
      <c r="R698" s="21">
        <f>IFERROR((COUNTIFS('Unsafe Acts'!$M$4:$M$5003,"Closed",'Unsafe Acts'!$D$4:$D$5003,mCrit,'Unsafe Acts'!$F$4:$F$5003,"Safety"))/COUNTIFS('Unsafe Acts'!$D$4:$D$5003,mCrit,'Unsafe Acts'!$F$4:$F$5003,"Safety")*100,0)</f>
        <v>0</v>
      </c>
      <c r="S698" s="20">
        <f>COUNTIFS('Unsafe Acts'!$D$4:$D$5003,mCrit,'Unsafe Acts'!$F$4:$F$5003,"Safety")</f>
        <v>0</v>
      </c>
    </row>
    <row r="699" spans="2:34">
      <c r="B699" s="19" t="s">
        <v>73</v>
      </c>
      <c r="C699" s="20">
        <f>COUNTIFS('Unsafe Acts'!$D$4:$D$5003,"Jun",'Unsafe Acts'!$F$4:$F$5003,dCrit)</f>
        <v>0</v>
      </c>
      <c r="G699" s="11" t="s">
        <v>1379</v>
      </c>
      <c r="H699" s="20">
        <f>COUNTIFS('Unsafe Acts'!$E$4:$E$5003,"Bypassing Safety Device",'Unsafe Acts'!$D$4:$D$5003,mCrit,'Unsafe Acts'!$F$4:$F$5003,dCrit)</f>
        <v>0</v>
      </c>
      <c r="P699" s="11" t="s">
        <v>5</v>
      </c>
      <c r="Q699" s="20">
        <f>COUNTIFS('Unsafe Acts'!$D$4:$D$5003,mCrit,'Unsafe Acts'!$F$4:$F$5003,"Logistics")</f>
        <v>0</v>
      </c>
      <c r="R699" s="21">
        <f>IFERROR((COUNTIFS('Unsafe Acts'!$M$4:$M$5003,"Closed",'Unsafe Acts'!$D$4:$D$5003,mCrit,'Unsafe Acts'!$F$4:$F$5003,"Logistics"))/COUNTIFS('Unsafe Acts'!$D$4:$D$5003,mCrit,'Unsafe Acts'!$F$4:$F$5003,"Logistics")*100,0)</f>
        <v>0</v>
      </c>
      <c r="S699" s="20">
        <f>COUNTIFS('Unsafe Acts'!$D$4:$D$5003,mCrit,'Unsafe Acts'!$F$4:$F$5003,"Logistics")</f>
        <v>0</v>
      </c>
    </row>
    <row r="700" spans="2:34">
      <c r="B700" s="19" t="s">
        <v>76</v>
      </c>
      <c r="C700" s="20">
        <f>COUNTIFS('Unsafe Acts'!$D$4:$D$5003,"Jul",'Unsafe Acts'!$F$4:$F$5003,dCrit)</f>
        <v>0</v>
      </c>
      <c r="G700" s="11" t="s">
        <v>1381</v>
      </c>
      <c r="H700" s="20">
        <f>COUNTIFS('Unsafe Acts'!$E$4:$E$5003,"Using Defective Equipment",'Unsafe Acts'!$D$4:$D$5003,mCrit,'Unsafe Acts'!$F$4:$F$5003,dCrit)</f>
        <v>0</v>
      </c>
      <c r="P700" s="11" t="s">
        <v>50</v>
      </c>
      <c r="Q700" s="20">
        <f>COUNTIFS('Unsafe Acts'!$D$4:$D$5003,mCrit,'Unsafe Acts'!$F$4:$F$5003,"Quality")</f>
        <v>0</v>
      </c>
      <c r="R700" s="21">
        <f>IFERROR((COUNTIFS('Unsafe Acts'!$M$4:$M$5003,"Closed",'Unsafe Acts'!$D$4:$D$5003,mCrit,'Unsafe Acts'!$F$4:$F$5003,"Quality"))/COUNTIFS('Unsafe Acts'!$D$4:$D$5003,mCrit,'Unsafe Acts'!$F$4:$F$5003,"Quality")*100,0)</f>
        <v>0</v>
      </c>
      <c r="S700" s="20">
        <f>COUNTIFS('Unsafe Acts'!$D$4:$D$5003,mCrit,'Unsafe Acts'!$F$4:$F$5003,"Quality")</f>
        <v>0</v>
      </c>
    </row>
    <row r="701" spans="2:34">
      <c r="B701" s="19" t="s">
        <v>86</v>
      </c>
      <c r="C701" s="20">
        <f>COUNTIFS('Unsafe Acts'!$D$4:$D$5003,"Aug",'Unsafe Acts'!$F$4:$F$5003,dCrit)</f>
        <v>0</v>
      </c>
      <c r="G701" s="11" t="s">
        <v>1384</v>
      </c>
      <c r="H701" s="20">
        <f>COUNTIFS('Unsafe Acts'!$E$4:$E$5003,"Working Without Permit",'Unsafe Acts'!$D$4:$D$5003,mCrit,'Unsafe Acts'!$F$4:$F$5003,dCrit)</f>
        <v>0</v>
      </c>
      <c r="P701" s="11" t="s">
        <v>46</v>
      </c>
      <c r="Q701" s="20">
        <f>COUNTIFS('Unsafe Acts'!$D$4:$D$5003,mCrit,'Unsafe Acts'!$F$4:$F$5003,"Admin")</f>
        <v>0</v>
      </c>
      <c r="R701" s="21">
        <f>IFERROR((COUNTIFS('Unsafe Acts'!$M$4:$M$5003,"Closed",'Unsafe Acts'!$D$4:$D$5003,mCrit,'Unsafe Acts'!$F$4:$F$5003,"Admin"))/COUNTIFS('Unsafe Acts'!$D$4:$D$5003,mCrit,'Unsafe Acts'!$F$4:$F$5003,"Admin")*100,0)</f>
        <v>0</v>
      </c>
      <c r="S701" s="20">
        <f>COUNTIFS('Unsafe Acts'!$D$4:$D$5003,mCrit,'Unsafe Acts'!$F$4:$F$5003,"Admin")</f>
        <v>0</v>
      </c>
    </row>
    <row r="702" spans="2:34">
      <c r="B702" s="19" t="s">
        <v>102</v>
      </c>
      <c r="C702" s="20">
        <f>COUNTIFS('Unsafe Acts'!$D$4:$D$5003,"Sep",'Unsafe Acts'!$F$4:$F$5003,dCrit)</f>
        <v>0</v>
      </c>
      <c r="P702" s="11" t="s">
        <v>13</v>
      </c>
      <c r="Q702" s="20">
        <f>COUNTIFS('Unsafe Acts'!$D$4:$D$5003,mCrit,'Unsafe Acts'!$F$4:$F$5003,"Projects")</f>
        <v>0</v>
      </c>
      <c r="R702" s="21">
        <f>IFERROR((COUNTIFS('Unsafe Acts'!$M$4:$M$5003,"Closed",'Unsafe Acts'!$D$4:$D$5003,mCrit,'Unsafe Acts'!$F$4:$F$5003,"Projects"))/COUNTIFS('Unsafe Acts'!$D$4:$D$5003,mCrit,'Unsafe Acts'!$F$4:$F$5003,"Projects")*100,0)</f>
        <v>0</v>
      </c>
      <c r="S702" s="20">
        <f>COUNTIFS('Unsafe Acts'!$D$4:$D$5003,mCrit,'Unsafe Acts'!$F$4:$F$5003,"Projects")</f>
        <v>0</v>
      </c>
    </row>
    <row r="703" spans="2:34">
      <c r="B703" s="19" t="s">
        <v>106</v>
      </c>
      <c r="C703" s="20">
        <f>COUNTIFS('Unsafe Acts'!$D$4:$D$5003,"Oct",'Unsafe Acts'!$F$4:$F$5003,dCrit)</f>
        <v>0</v>
      </c>
      <c r="P703" s="11" t="s">
        <v>58</v>
      </c>
      <c r="Q703" s="20">
        <f>COUNTIFS('Unsafe Acts'!$D$4:$D$5003,mCrit,'Unsafe Acts'!$F$4:$F$5003,"Contractor")</f>
        <v>0</v>
      </c>
      <c r="R703" s="21">
        <f>IFERROR((COUNTIFS('Unsafe Acts'!$M$4:$M$5003,"Closed",'Unsafe Acts'!$D$4:$D$5003,mCrit,'Unsafe Acts'!$F$4:$F$5003,"Contractor"))/COUNTIFS('Unsafe Acts'!$D$4:$D$5003,mCrit,'Unsafe Acts'!$F$4:$F$5003,"Contractor")*100,0)</f>
        <v>0</v>
      </c>
      <c r="S703" s="20">
        <f>COUNTIFS('Unsafe Acts'!$D$4:$D$5003,mCrit,'Unsafe Acts'!$F$4:$F$5003,"Contractor")</f>
        <v>0</v>
      </c>
    </row>
    <row r="704" spans="2:34">
      <c r="B704" s="19" t="s">
        <v>111</v>
      </c>
      <c r="C704" s="20">
        <f>COUNTIFS('Unsafe Acts'!$D$4:$D$5003,"Nov",'Unsafe Acts'!$F$4:$F$5003,dCrit)</f>
        <v>0</v>
      </c>
    </row>
    <row r="705" spans="2:34">
      <c r="B705" s="19" t="s">
        <v>122</v>
      </c>
      <c r="C705" s="20">
        <f>COUNTIFS('Unsafe Acts'!$D$4:$D$5003,"Dec",'Unsafe Acts'!$F$4:$F$5003,dCrit)</f>
        <v>0</v>
      </c>
    </row>
    <row r="718" spans="2:34">
      <c r="B718" s="17" t="s">
        <v>1874</v>
      </c>
    </row>
    <row r="719" spans="2:34">
      <c r="B719" s="10" t="s">
        <v>127</v>
      </c>
      <c r="C719" s="10" t="s">
        <v>1782</v>
      </c>
      <c r="E719" s="10" t="s">
        <v>210</v>
      </c>
      <c r="F719" s="10" t="s">
        <v>1782</v>
      </c>
      <c r="G719" s="10" t="s">
        <v>352</v>
      </c>
      <c r="H719" s="10" t="s">
        <v>1782</v>
      </c>
      <c r="J719" s="10" t="s">
        <v>287</v>
      </c>
      <c r="K719" s="10" t="s">
        <v>1782</v>
      </c>
      <c r="M719" s="10" t="s">
        <v>1726</v>
      </c>
      <c r="N719" s="10" t="s">
        <v>1817</v>
      </c>
      <c r="P719" s="10" t="s">
        <v>129</v>
      </c>
      <c r="Q719" s="10" t="s">
        <v>1782</v>
      </c>
      <c r="R719" s="10" t="s">
        <v>1832</v>
      </c>
      <c r="S719" s="10" t="s">
        <v>1825</v>
      </c>
      <c r="U719" s="10" t="s">
        <v>1826</v>
      </c>
      <c r="V719" s="10" t="s">
        <v>3</v>
      </c>
      <c r="W719" s="10" t="s">
        <v>19</v>
      </c>
      <c r="X719" s="10" t="s">
        <v>44</v>
      </c>
      <c r="Y719" s="10" t="s">
        <v>53</v>
      </c>
      <c r="Z719" s="10" t="s">
        <v>60</v>
      </c>
      <c r="AA719" s="10" t="s">
        <v>73</v>
      </c>
      <c r="AB719" s="10" t="s">
        <v>76</v>
      </c>
      <c r="AC719" s="10" t="s">
        <v>86</v>
      </c>
      <c r="AD719" s="10" t="s">
        <v>102</v>
      </c>
      <c r="AE719" s="10" t="s">
        <v>106</v>
      </c>
      <c r="AF719" s="10" t="s">
        <v>111</v>
      </c>
      <c r="AG719" s="10" t="s">
        <v>122</v>
      </c>
      <c r="AH719" s="10" t="s">
        <v>1827</v>
      </c>
    </row>
    <row r="720" spans="2:34">
      <c r="B720" s="19" t="s">
        <v>3</v>
      </c>
      <c r="C720" s="20">
        <f>COUNTIFS('Unsafe Conditions'!$D$4:$D$5003,"Jan",'Unsafe Conditions'!$F$4:$F$5003,dCrit)</f>
        <v>0</v>
      </c>
      <c r="E720" s="11" t="s">
        <v>162</v>
      </c>
      <c r="F720" s="20">
        <f>COUNTIFS('Unsafe Conditions'!$I$4:$I$5003,"Critical",'Unsafe Conditions'!$D$4:$D$5003,mCrit,'Unsafe Conditions'!$F$4:$F$5003,dCrit)</f>
        <v>0</v>
      </c>
      <c r="G720" s="11" t="s">
        <v>1430</v>
      </c>
      <c r="H720" s="20">
        <f>COUNTIFS('Unsafe Conditions'!$E$4:$E$5003,"Chemical Leak",'Unsafe Conditions'!$D$4:$D$5003,mCrit,'Unsafe Conditions'!$F$4:$F$5003,dCrit)</f>
        <v>0</v>
      </c>
      <c r="J720" s="11" t="s">
        <v>293</v>
      </c>
      <c r="K720" s="20">
        <f>COUNTIFS('Unsafe Conditions'!$M$4:$M$5003,"Closed",'Unsafe Conditions'!$D$4:$D$5003,mCrit,'Unsafe Conditions'!$F$4:$F$5003,dCrit)</f>
        <v>0</v>
      </c>
      <c r="M720" s="11" t="s">
        <v>1821</v>
      </c>
      <c r="N720" s="20">
        <f>COUNTIFS('Unsafe Conditions'!$D$4:$D$5003,mCrit,'Unsafe Conditions'!$F$4:$F$5003,dCrit)</f>
        <v>0</v>
      </c>
      <c r="P720" s="11" t="s">
        <v>27</v>
      </c>
      <c r="Q720" s="20">
        <f>COUNTIFS('Unsafe Conditions'!$D$4:$D$5003,mCrit,'Unsafe Conditions'!$F$4:$F$5003,"Operations")</f>
        <v>0</v>
      </c>
      <c r="R720" s="21">
        <f>IFERROR((COUNTIFS('Unsafe Conditions'!$M$4:$M$5003,"Closed",'Unsafe Conditions'!$D$4:$D$5003,mCrit,'Unsafe Conditions'!$F$4:$F$5003,"Operations"))/COUNTIFS('Unsafe Conditions'!$D$4:$D$5003,mCrit,'Unsafe Conditions'!$F$4:$F$5003,"Operations")*100,0)</f>
        <v>0</v>
      </c>
      <c r="S720" s="20">
        <f>COUNTIFS('Unsafe Conditions'!$D$4:$D$5003,mCrit,'Unsafe Conditions'!$F$4:$F$5003,"Operations")</f>
        <v>0</v>
      </c>
      <c r="U720" s="11" t="s">
        <v>1825</v>
      </c>
      <c r="V720" s="20">
        <f>COUNTIFS('Unsafe Conditions'!$D$4:$D$5003,"Jan",'Unsafe Conditions'!$F$4:$F$5003,dCrit)</f>
        <v>0</v>
      </c>
      <c r="W720" s="20">
        <f>COUNTIFS('Unsafe Conditions'!$D$4:$D$5003,"Feb",'Unsafe Conditions'!$F$4:$F$5003,dCrit)</f>
        <v>0</v>
      </c>
      <c r="X720" s="20">
        <f>COUNTIFS('Unsafe Conditions'!$D$4:$D$5003,"Mar",'Unsafe Conditions'!$F$4:$F$5003,dCrit)</f>
        <v>0</v>
      </c>
      <c r="Y720" s="20">
        <f>COUNTIFS('Unsafe Conditions'!$D$4:$D$5003,"Apr",'Unsafe Conditions'!$F$4:$F$5003,dCrit)</f>
        <v>0</v>
      </c>
      <c r="Z720" s="20">
        <f>COUNTIFS('Unsafe Conditions'!$D$4:$D$5003,"May",'Unsafe Conditions'!$F$4:$F$5003,dCrit)</f>
        <v>0</v>
      </c>
      <c r="AA720" s="20">
        <f>COUNTIFS('Unsafe Conditions'!$D$4:$D$5003,"Jun",'Unsafe Conditions'!$F$4:$F$5003,dCrit)</f>
        <v>0</v>
      </c>
      <c r="AB720" s="20">
        <f>COUNTIFS('Unsafe Conditions'!$D$4:$D$5003,"Jul",'Unsafe Conditions'!$F$4:$F$5003,dCrit)</f>
        <v>0</v>
      </c>
      <c r="AC720" s="20">
        <f>COUNTIFS('Unsafe Conditions'!$D$4:$D$5003,"Aug",'Unsafe Conditions'!$F$4:$F$5003,dCrit)</f>
        <v>0</v>
      </c>
      <c r="AD720" s="20">
        <f>COUNTIFS('Unsafe Conditions'!$D$4:$D$5003,"Sep",'Unsafe Conditions'!$F$4:$F$5003,dCrit)</f>
        <v>0</v>
      </c>
      <c r="AE720" s="20">
        <f>COUNTIFS('Unsafe Conditions'!$D$4:$D$5003,"Oct",'Unsafe Conditions'!$F$4:$F$5003,dCrit)</f>
        <v>0</v>
      </c>
      <c r="AF720" s="20">
        <f>COUNTIFS('Unsafe Conditions'!$D$4:$D$5003,"Nov",'Unsafe Conditions'!$F$4:$F$5003,dCrit)</f>
        <v>0</v>
      </c>
      <c r="AG720" s="20">
        <f>COUNTIFS('Unsafe Conditions'!$D$4:$D$5003,"Dec",'Unsafe Conditions'!$F$4:$F$5003,dCrit)</f>
        <v>0</v>
      </c>
      <c r="AH720" s="20">
        <f>SUM(V720:AG720)</f>
        <v>0</v>
      </c>
    </row>
    <row r="721" spans="2:34">
      <c r="B721" s="19" t="s">
        <v>19</v>
      </c>
      <c r="C721" s="20">
        <f>COUNTIFS('Unsafe Conditions'!$D$4:$D$5003,"Feb",'Unsafe Conditions'!$F$4:$F$5003,dCrit)</f>
        <v>0</v>
      </c>
      <c r="E721" s="11" t="s">
        <v>159</v>
      </c>
      <c r="F721" s="20">
        <f>COUNTIFS('Unsafe Conditions'!$I$4:$I$5003,"High",'Unsafe Conditions'!$D$4:$D$5003,mCrit,'Unsafe Conditions'!$F$4:$F$5003,dCrit)</f>
        <v>0</v>
      </c>
      <c r="G721" s="11" t="s">
        <v>1432</v>
      </c>
      <c r="H721" s="20">
        <f>COUNTIFS('Unsafe Conditions'!$E$4:$E$5003,"Inadequate Lighting",'Unsafe Conditions'!$D$4:$D$5003,mCrit,'Unsafe Conditions'!$F$4:$F$5003,dCrit)</f>
        <v>0</v>
      </c>
      <c r="J721" s="11" t="s">
        <v>297</v>
      </c>
      <c r="K721" s="20">
        <f>COUNTIFS('Unsafe Conditions'!$M$4:$M$5003,"Open",'Unsafe Conditions'!$D$4:$D$5003,mCrit,'Unsafe Conditions'!$F$4:$F$5003,dCrit)</f>
        <v>0</v>
      </c>
      <c r="M721" s="11" t="s">
        <v>1829</v>
      </c>
      <c r="N721" s="21">
        <f>IFERROR((COUNTIFS('Unsafe Conditions'!$M$4:$M$5003,"Closed",'Unsafe Conditions'!$D$4:$D$5003,mCrit,'Unsafe Conditions'!$F$4:$F$5003,dCrit))/COUNTIFS('Unsafe Conditions'!$D$4:$D$5003,mCrit,'Unsafe Conditions'!$F$4:$F$5003,dCrit)*100,0)</f>
        <v>0</v>
      </c>
      <c r="P721" s="11" t="s">
        <v>92</v>
      </c>
      <c r="Q721" s="20">
        <f>COUNTIFS('Unsafe Conditions'!$D$4:$D$5003,mCrit,'Unsafe Conditions'!$F$4:$F$5003,"Maintenance")</f>
        <v>0</v>
      </c>
      <c r="R721" s="21">
        <f>IFERROR((COUNTIFS('Unsafe Conditions'!$M$4:$M$5003,"Closed",'Unsafe Conditions'!$D$4:$D$5003,mCrit,'Unsafe Conditions'!$F$4:$F$5003,"Maintenance"))/COUNTIFS('Unsafe Conditions'!$D$4:$D$5003,mCrit,'Unsafe Conditions'!$F$4:$F$5003,"Maintenance")*100,0)</f>
        <v>0</v>
      </c>
      <c r="S721" s="20">
        <f>COUNTIFS('Unsafe Conditions'!$D$4:$D$5003,mCrit,'Unsafe Conditions'!$F$4:$F$5003,"Maintenance")</f>
        <v>0</v>
      </c>
      <c r="U721" s="11" t="s">
        <v>1833</v>
      </c>
      <c r="V721" s="21">
        <f>IFERROR((COUNTIFS('Unsafe Conditions'!$M$4:$M$5003,"Closed",'Unsafe Conditions'!$D$4:$D$5003,"Jan",'Unsafe Conditions'!$F$4:$F$5003,dCrit))/COUNTIFS('Unsafe Conditions'!$D$4:$D$5003,"Jan",'Unsafe Conditions'!$F$4:$F$5003,dCrit)*100,0)</f>
        <v>0</v>
      </c>
      <c r="W721" s="21">
        <f>IFERROR((COUNTIFS('Unsafe Conditions'!$M$4:$M$5003,"Closed",'Unsafe Conditions'!$D$4:$D$5003,"Feb",'Unsafe Conditions'!$F$4:$F$5003,dCrit))/COUNTIFS('Unsafe Conditions'!$D$4:$D$5003,"Feb",'Unsafe Conditions'!$F$4:$F$5003,dCrit)*100,0)</f>
        <v>0</v>
      </c>
      <c r="X721" s="21">
        <f>IFERROR((COUNTIFS('Unsafe Conditions'!$M$4:$M$5003,"Closed",'Unsafe Conditions'!$D$4:$D$5003,"Mar",'Unsafe Conditions'!$F$4:$F$5003,dCrit))/COUNTIFS('Unsafe Conditions'!$D$4:$D$5003,"Mar",'Unsafe Conditions'!$F$4:$F$5003,dCrit)*100,0)</f>
        <v>0</v>
      </c>
      <c r="Y721" s="21">
        <f>IFERROR((COUNTIFS('Unsafe Conditions'!$M$4:$M$5003,"Closed",'Unsafe Conditions'!$D$4:$D$5003,"Apr",'Unsafe Conditions'!$F$4:$F$5003,dCrit))/COUNTIFS('Unsafe Conditions'!$D$4:$D$5003,"Apr",'Unsafe Conditions'!$F$4:$F$5003,dCrit)*100,0)</f>
        <v>0</v>
      </c>
      <c r="Z721" s="21">
        <f>IFERROR((COUNTIFS('Unsafe Conditions'!$M$4:$M$5003,"Closed",'Unsafe Conditions'!$D$4:$D$5003,"May",'Unsafe Conditions'!$F$4:$F$5003,dCrit))/COUNTIFS('Unsafe Conditions'!$D$4:$D$5003,"May",'Unsafe Conditions'!$F$4:$F$5003,dCrit)*100,0)</f>
        <v>0</v>
      </c>
      <c r="AA721" s="21">
        <f>IFERROR((COUNTIFS('Unsafe Conditions'!$M$4:$M$5003,"Closed",'Unsafe Conditions'!$D$4:$D$5003,"Jun",'Unsafe Conditions'!$F$4:$F$5003,dCrit))/COUNTIFS('Unsafe Conditions'!$D$4:$D$5003,"Jun",'Unsafe Conditions'!$F$4:$F$5003,dCrit)*100,0)</f>
        <v>0</v>
      </c>
      <c r="AB721" s="21">
        <f>IFERROR((COUNTIFS('Unsafe Conditions'!$M$4:$M$5003,"Closed",'Unsafe Conditions'!$D$4:$D$5003,"Jul",'Unsafe Conditions'!$F$4:$F$5003,dCrit))/COUNTIFS('Unsafe Conditions'!$D$4:$D$5003,"Jul",'Unsafe Conditions'!$F$4:$F$5003,dCrit)*100,0)</f>
        <v>0</v>
      </c>
      <c r="AC721" s="21">
        <f>IFERROR((COUNTIFS('Unsafe Conditions'!$M$4:$M$5003,"Closed",'Unsafe Conditions'!$D$4:$D$5003,"Aug",'Unsafe Conditions'!$F$4:$F$5003,dCrit))/COUNTIFS('Unsafe Conditions'!$D$4:$D$5003,"Aug",'Unsafe Conditions'!$F$4:$F$5003,dCrit)*100,0)</f>
        <v>0</v>
      </c>
      <c r="AD721" s="21">
        <f>IFERROR((COUNTIFS('Unsafe Conditions'!$M$4:$M$5003,"Closed",'Unsafe Conditions'!$D$4:$D$5003,"Sep",'Unsafe Conditions'!$F$4:$F$5003,dCrit))/COUNTIFS('Unsafe Conditions'!$D$4:$D$5003,"Sep",'Unsafe Conditions'!$F$4:$F$5003,dCrit)*100,0)</f>
        <v>0</v>
      </c>
      <c r="AE721" s="21">
        <f>IFERROR((COUNTIFS('Unsafe Conditions'!$M$4:$M$5003,"Closed",'Unsafe Conditions'!$D$4:$D$5003,"Oct",'Unsafe Conditions'!$F$4:$F$5003,dCrit))/COUNTIFS('Unsafe Conditions'!$D$4:$D$5003,"Oct",'Unsafe Conditions'!$F$4:$F$5003,dCrit)*100,0)</f>
        <v>0</v>
      </c>
      <c r="AF721" s="21">
        <f>IFERROR((COUNTIFS('Unsafe Conditions'!$M$4:$M$5003,"Closed",'Unsafe Conditions'!$D$4:$D$5003,"Nov",'Unsafe Conditions'!$F$4:$F$5003,dCrit))/COUNTIFS('Unsafe Conditions'!$D$4:$D$5003,"Nov",'Unsafe Conditions'!$F$4:$F$5003,dCrit)*100,0)</f>
        <v>0</v>
      </c>
      <c r="AG721" s="21">
        <f>IFERROR((COUNTIFS('Unsafe Conditions'!$M$4:$M$5003,"Closed",'Unsafe Conditions'!$D$4:$D$5003,"Dec",'Unsafe Conditions'!$F$4:$F$5003,dCrit))/COUNTIFS('Unsafe Conditions'!$D$4:$D$5003,"Dec",'Unsafe Conditions'!$F$4:$F$5003,dCrit)*100,0)</f>
        <v>0</v>
      </c>
      <c r="AH721" s="21">
        <f>IFERROR(AVERAGE(V721:AG721),0)</f>
        <v>0</v>
      </c>
    </row>
    <row r="722" spans="2:34">
      <c r="B722" s="19" t="s">
        <v>44</v>
      </c>
      <c r="C722" s="20">
        <f>COUNTIFS('Unsafe Conditions'!$D$4:$D$5003,"Mar",'Unsafe Conditions'!$F$4:$F$5003,dCrit)</f>
        <v>0</v>
      </c>
      <c r="E722" s="11" t="s">
        <v>142</v>
      </c>
      <c r="F722" s="20">
        <f>COUNTIFS('Unsafe Conditions'!$I$4:$I$5003,"Medium",'Unsafe Conditions'!$D$4:$D$5003,mCrit,'Unsafe Conditions'!$F$4:$F$5003,dCrit)</f>
        <v>0</v>
      </c>
      <c r="G722" s="11" t="s">
        <v>1434</v>
      </c>
      <c r="H722" s="20">
        <f>COUNTIFS('Unsafe Conditions'!$E$4:$E$5003,"Exposed Wiring",'Unsafe Conditions'!$D$4:$D$5003,mCrit,'Unsafe Conditions'!$F$4:$F$5003,dCrit)</f>
        <v>0</v>
      </c>
      <c r="J722" s="11" t="s">
        <v>254</v>
      </c>
      <c r="K722" s="20">
        <f>COUNTIFS('Unsafe Conditions'!$M$4:$M$5003,"In Progress",'Unsafe Conditions'!$D$4:$D$5003,mCrit,'Unsafe Conditions'!$F$4:$F$5003,dCrit)</f>
        <v>0</v>
      </c>
      <c r="M722" s="11" t="s">
        <v>1830</v>
      </c>
      <c r="N722" s="20">
        <f>COUNTIFS('Unsafe Conditions'!$M$4:$M$5003,"Open",'Unsafe Conditions'!$D$4:$D$5003,mCrit,'Unsafe Conditions'!$F$4:$F$5003,dCrit)+COUNTIFS('Unsafe Conditions'!$M$4:$M$5003,"In Progress",'Unsafe Conditions'!$D$4:$D$5003,mCrit,'Unsafe Conditions'!$F$4:$F$5003,dCrit)+COUNTIFS('Unsafe Conditions'!$M$4:$M$5003,"Overdue",'Unsafe Conditions'!$D$4:$D$5003,mCrit,'Unsafe Conditions'!$F$4:$F$5003,dCrit)</f>
        <v>0</v>
      </c>
      <c r="P722" s="11" t="s">
        <v>39</v>
      </c>
      <c r="Q722" s="20">
        <f>COUNTIFS('Unsafe Conditions'!$D$4:$D$5003,mCrit,'Unsafe Conditions'!$F$4:$F$5003,"Engineering")</f>
        <v>0</v>
      </c>
      <c r="R722" s="21">
        <f>IFERROR((COUNTIFS('Unsafe Conditions'!$M$4:$M$5003,"Closed",'Unsafe Conditions'!$D$4:$D$5003,mCrit,'Unsafe Conditions'!$F$4:$F$5003,"Engineering"))/COUNTIFS('Unsafe Conditions'!$D$4:$D$5003,mCrit,'Unsafe Conditions'!$F$4:$F$5003,"Engineering")*100,0)</f>
        <v>0</v>
      </c>
      <c r="S722" s="20">
        <f>COUNTIFS('Unsafe Conditions'!$D$4:$D$5003,mCrit,'Unsafe Conditions'!$F$4:$F$5003,"Engineering")</f>
        <v>0</v>
      </c>
    </row>
    <row r="723" spans="2:34">
      <c r="B723" s="19" t="s">
        <v>53</v>
      </c>
      <c r="C723" s="20">
        <f>COUNTIFS('Unsafe Conditions'!$D$4:$D$5003,"Apr",'Unsafe Conditions'!$F$4:$F$5003,dCrit)</f>
        <v>0</v>
      </c>
      <c r="E723" s="11" t="s">
        <v>154</v>
      </c>
      <c r="F723" s="20">
        <f>COUNTIFS('Unsafe Conditions'!$I$4:$I$5003,"Low",'Unsafe Conditions'!$D$4:$D$5003,mCrit,'Unsafe Conditions'!$F$4:$F$5003,dCrit)</f>
        <v>0</v>
      </c>
      <c r="G723" s="11" t="s">
        <v>1437</v>
      </c>
      <c r="H723" s="20">
        <f>COUNTIFS('Unsafe Conditions'!$E$4:$E$5003,"Missing Signage",'Unsafe Conditions'!$D$4:$D$5003,mCrit,'Unsafe Conditions'!$F$4:$F$5003,dCrit)</f>
        <v>0</v>
      </c>
      <c r="J723" s="11" t="s">
        <v>238</v>
      </c>
      <c r="K723" s="20">
        <f>COUNTIFS('Unsafe Conditions'!$M$4:$M$5003,"Overdue",'Unsafe Conditions'!$D$4:$D$5003,mCrit,'Unsafe Conditions'!$F$4:$F$5003,dCrit)</f>
        <v>0</v>
      </c>
      <c r="M723" s="11" t="s">
        <v>238</v>
      </c>
      <c r="N723" s="20">
        <f>COUNTIFS('Unsafe Conditions'!$M$4:$M$5003,"Overdue",'Unsafe Conditions'!$D$4:$D$5003,mCrit,'Unsafe Conditions'!$F$4:$F$5003,dCrit)</f>
        <v>0</v>
      </c>
      <c r="P723" s="11" t="s">
        <v>89</v>
      </c>
      <c r="Q723" s="20">
        <f>COUNTIFS('Unsafe Conditions'!$D$4:$D$5003,mCrit,'Unsafe Conditions'!$F$4:$F$5003,"Construction")</f>
        <v>0</v>
      </c>
      <c r="R723" s="21">
        <f>IFERROR((COUNTIFS('Unsafe Conditions'!$M$4:$M$5003,"Closed",'Unsafe Conditions'!$D$4:$D$5003,mCrit,'Unsafe Conditions'!$F$4:$F$5003,"Construction"))/COUNTIFS('Unsafe Conditions'!$D$4:$D$5003,mCrit,'Unsafe Conditions'!$F$4:$F$5003,"Construction")*100,0)</f>
        <v>0</v>
      </c>
      <c r="S723" s="20">
        <f>COUNTIFS('Unsafe Conditions'!$D$4:$D$5003,mCrit,'Unsafe Conditions'!$F$4:$F$5003,"Construction")</f>
        <v>0</v>
      </c>
    </row>
    <row r="724" spans="2:34">
      <c r="B724" s="19" t="s">
        <v>60</v>
      </c>
      <c r="C724" s="20">
        <f>COUNTIFS('Unsafe Conditions'!$D$4:$D$5003,"May",'Unsafe Conditions'!$F$4:$F$5003,dCrit)</f>
        <v>0</v>
      </c>
      <c r="G724" s="11" t="s">
        <v>1439</v>
      </c>
      <c r="H724" s="20">
        <f>COUNTIFS('Unsafe Conditions'!$E$4:$E$5003,"Slippery Floor",'Unsafe Conditions'!$D$4:$D$5003,mCrit,'Unsafe Conditions'!$F$4:$F$5003,dCrit)</f>
        <v>0</v>
      </c>
      <c r="M724" s="11" t="s">
        <v>1839</v>
      </c>
      <c r="N724" s="20">
        <f>COUNTIFS('Unsafe Conditions'!$I$4:$I$5003,"Critical",'Unsafe Conditions'!$D$4:$D$5003,mCrit,'Unsafe Conditions'!$F$4:$F$5003,dCrit)+COUNTIFS('Unsafe Conditions'!$I$4:$I$5003,"High",'Unsafe Conditions'!$D$4:$D$5003,mCrit,'Unsafe Conditions'!$F$4:$F$5003,dCrit)</f>
        <v>0</v>
      </c>
      <c r="P724" s="11" t="s">
        <v>65</v>
      </c>
      <c r="Q724" s="20">
        <f>COUNTIFS('Unsafe Conditions'!$D$4:$D$5003,mCrit,'Unsafe Conditions'!$F$4:$F$5003,"Safety")</f>
        <v>0</v>
      </c>
      <c r="R724" s="21">
        <f>IFERROR((COUNTIFS('Unsafe Conditions'!$M$4:$M$5003,"Closed",'Unsafe Conditions'!$D$4:$D$5003,mCrit,'Unsafe Conditions'!$F$4:$F$5003,"Safety"))/COUNTIFS('Unsafe Conditions'!$D$4:$D$5003,mCrit,'Unsafe Conditions'!$F$4:$F$5003,"Safety")*100,0)</f>
        <v>0</v>
      </c>
      <c r="S724" s="20">
        <f>COUNTIFS('Unsafe Conditions'!$D$4:$D$5003,mCrit,'Unsafe Conditions'!$F$4:$F$5003,"Safety")</f>
        <v>0</v>
      </c>
    </row>
    <row r="725" spans="2:34">
      <c r="B725" s="19" t="s">
        <v>73</v>
      </c>
      <c r="C725" s="20">
        <f>COUNTIFS('Unsafe Conditions'!$D$4:$D$5003,"Jun",'Unsafe Conditions'!$F$4:$F$5003,dCrit)</f>
        <v>0</v>
      </c>
      <c r="G725" s="11" t="s">
        <v>1312</v>
      </c>
      <c r="H725" s="20">
        <f>COUNTIFS('Unsafe Conditions'!$E$4:$E$5003,"Poor Housekeeping",'Unsafe Conditions'!$D$4:$D$5003,mCrit,'Unsafe Conditions'!$F$4:$F$5003,dCrit)</f>
        <v>0</v>
      </c>
      <c r="P725" s="11" t="s">
        <v>5</v>
      </c>
      <c r="Q725" s="20">
        <f>COUNTIFS('Unsafe Conditions'!$D$4:$D$5003,mCrit,'Unsafe Conditions'!$F$4:$F$5003,"Logistics")</f>
        <v>0</v>
      </c>
      <c r="R725" s="21">
        <f>IFERROR((COUNTIFS('Unsafe Conditions'!$M$4:$M$5003,"Closed",'Unsafe Conditions'!$D$4:$D$5003,mCrit,'Unsafe Conditions'!$F$4:$F$5003,"Logistics"))/COUNTIFS('Unsafe Conditions'!$D$4:$D$5003,mCrit,'Unsafe Conditions'!$F$4:$F$5003,"Logistics")*100,0)</f>
        <v>0</v>
      </c>
      <c r="S725" s="20">
        <f>COUNTIFS('Unsafe Conditions'!$D$4:$D$5003,mCrit,'Unsafe Conditions'!$F$4:$F$5003,"Logistics")</f>
        <v>0</v>
      </c>
    </row>
    <row r="726" spans="2:34">
      <c r="B726" s="19" t="s">
        <v>76</v>
      </c>
      <c r="C726" s="20">
        <f>COUNTIFS('Unsafe Conditions'!$D$4:$D$5003,"Jul",'Unsafe Conditions'!$F$4:$F$5003,dCrit)</f>
        <v>0</v>
      </c>
      <c r="G726" s="11" t="s">
        <v>1445</v>
      </c>
      <c r="H726" s="20">
        <f>COUNTIFS('Unsafe Conditions'!$E$4:$E$5003,"Blocked Walkway/Aisle",'Unsafe Conditions'!$D$4:$D$5003,mCrit,'Unsafe Conditions'!$F$4:$F$5003,dCrit)</f>
        <v>0</v>
      </c>
      <c r="P726" s="11" t="s">
        <v>50</v>
      </c>
      <c r="Q726" s="20">
        <f>COUNTIFS('Unsafe Conditions'!$D$4:$D$5003,mCrit,'Unsafe Conditions'!$F$4:$F$5003,"Quality")</f>
        <v>0</v>
      </c>
      <c r="R726" s="21">
        <f>IFERROR((COUNTIFS('Unsafe Conditions'!$M$4:$M$5003,"Closed",'Unsafe Conditions'!$D$4:$D$5003,mCrit,'Unsafe Conditions'!$F$4:$F$5003,"Quality"))/COUNTIFS('Unsafe Conditions'!$D$4:$D$5003,mCrit,'Unsafe Conditions'!$F$4:$F$5003,"Quality")*100,0)</f>
        <v>0</v>
      </c>
      <c r="S726" s="20">
        <f>COUNTIFS('Unsafe Conditions'!$D$4:$D$5003,mCrit,'Unsafe Conditions'!$F$4:$F$5003,"Quality")</f>
        <v>0</v>
      </c>
    </row>
    <row r="727" spans="2:34">
      <c r="B727" s="19" t="s">
        <v>86</v>
      </c>
      <c r="C727" s="20">
        <f>COUNTIFS('Unsafe Conditions'!$D$4:$D$5003,"Aug",'Unsafe Conditions'!$F$4:$F$5003,dCrit)</f>
        <v>0</v>
      </c>
      <c r="G727" s="11" t="s">
        <v>1447</v>
      </c>
      <c r="H727" s="20">
        <f>COUNTIFS('Unsafe Conditions'!$E$4:$E$5003,"Faulty Ladder/Scaffold",'Unsafe Conditions'!$D$4:$D$5003,mCrit,'Unsafe Conditions'!$F$4:$F$5003,dCrit)</f>
        <v>0</v>
      </c>
      <c r="P727" s="11" t="s">
        <v>46</v>
      </c>
      <c r="Q727" s="20">
        <f>COUNTIFS('Unsafe Conditions'!$D$4:$D$5003,mCrit,'Unsafe Conditions'!$F$4:$F$5003,"Admin")</f>
        <v>0</v>
      </c>
      <c r="R727" s="21">
        <f>IFERROR((COUNTIFS('Unsafe Conditions'!$M$4:$M$5003,"Closed",'Unsafe Conditions'!$D$4:$D$5003,mCrit,'Unsafe Conditions'!$F$4:$F$5003,"Admin"))/COUNTIFS('Unsafe Conditions'!$D$4:$D$5003,mCrit,'Unsafe Conditions'!$F$4:$F$5003,"Admin")*100,0)</f>
        <v>0</v>
      </c>
      <c r="S727" s="20">
        <f>COUNTIFS('Unsafe Conditions'!$D$4:$D$5003,mCrit,'Unsafe Conditions'!$F$4:$F$5003,"Admin")</f>
        <v>0</v>
      </c>
    </row>
    <row r="728" spans="2:34">
      <c r="B728" s="19" t="s">
        <v>102</v>
      </c>
      <c r="C728" s="20">
        <f>COUNTIFS('Unsafe Conditions'!$D$4:$D$5003,"Sep",'Unsafe Conditions'!$F$4:$F$5003,dCrit)</f>
        <v>0</v>
      </c>
      <c r="P728" s="11" t="s">
        <v>13</v>
      </c>
      <c r="Q728" s="20">
        <f>COUNTIFS('Unsafe Conditions'!$D$4:$D$5003,mCrit,'Unsafe Conditions'!$F$4:$F$5003,"Projects")</f>
        <v>0</v>
      </c>
      <c r="R728" s="21">
        <f>IFERROR((COUNTIFS('Unsafe Conditions'!$M$4:$M$5003,"Closed",'Unsafe Conditions'!$D$4:$D$5003,mCrit,'Unsafe Conditions'!$F$4:$F$5003,"Projects"))/COUNTIFS('Unsafe Conditions'!$D$4:$D$5003,mCrit,'Unsafe Conditions'!$F$4:$F$5003,"Projects")*100,0)</f>
        <v>0</v>
      </c>
      <c r="S728" s="20">
        <f>COUNTIFS('Unsafe Conditions'!$D$4:$D$5003,mCrit,'Unsafe Conditions'!$F$4:$F$5003,"Projects")</f>
        <v>0</v>
      </c>
    </row>
    <row r="729" spans="2:34">
      <c r="B729" s="19" t="s">
        <v>106</v>
      </c>
      <c r="C729" s="20">
        <f>COUNTIFS('Unsafe Conditions'!$D$4:$D$5003,"Oct",'Unsafe Conditions'!$F$4:$F$5003,dCrit)</f>
        <v>0</v>
      </c>
      <c r="P729" s="11" t="s">
        <v>58</v>
      </c>
      <c r="Q729" s="20">
        <f>COUNTIFS('Unsafe Conditions'!$D$4:$D$5003,mCrit,'Unsafe Conditions'!$F$4:$F$5003,"Contractor")</f>
        <v>0</v>
      </c>
      <c r="R729" s="21">
        <f>IFERROR((COUNTIFS('Unsafe Conditions'!$M$4:$M$5003,"Closed",'Unsafe Conditions'!$D$4:$D$5003,mCrit,'Unsafe Conditions'!$F$4:$F$5003,"Contractor"))/COUNTIFS('Unsafe Conditions'!$D$4:$D$5003,mCrit,'Unsafe Conditions'!$F$4:$F$5003,"Contractor")*100,0)</f>
        <v>0</v>
      </c>
      <c r="S729" s="20">
        <f>COUNTIFS('Unsafe Conditions'!$D$4:$D$5003,mCrit,'Unsafe Conditions'!$F$4:$F$5003,"Contractor")</f>
        <v>0</v>
      </c>
    </row>
    <row r="730" spans="2:34">
      <c r="B730" s="19" t="s">
        <v>111</v>
      </c>
      <c r="C730" s="20">
        <f>COUNTIFS('Unsafe Conditions'!$D$4:$D$5003,"Nov",'Unsafe Conditions'!$F$4:$F$5003,dCrit)</f>
        <v>0</v>
      </c>
    </row>
    <row r="731" spans="2:34">
      <c r="B731" s="19" t="s">
        <v>122</v>
      </c>
      <c r="C731" s="20">
        <f>COUNTIFS('Unsafe Conditions'!$D$4:$D$5003,"Dec",'Unsafe Conditions'!$F$4:$F$5003,dCrit)</f>
        <v>0</v>
      </c>
    </row>
    <row r="744" spans="2:34">
      <c r="B744" s="17" t="s">
        <v>1875</v>
      </c>
    </row>
    <row r="745" spans="2:34">
      <c r="B745" s="10" t="s">
        <v>127</v>
      </c>
      <c r="C745" s="10" t="s">
        <v>1782</v>
      </c>
      <c r="E745" s="10" t="s">
        <v>1583</v>
      </c>
      <c r="F745" s="10" t="s">
        <v>1782</v>
      </c>
      <c r="G745" s="10" t="s">
        <v>1582</v>
      </c>
      <c r="H745" s="10" t="s">
        <v>1782</v>
      </c>
      <c r="J745" s="10" t="s">
        <v>287</v>
      </c>
      <c r="K745" s="10" t="s">
        <v>1782</v>
      </c>
      <c r="M745" s="10" t="s">
        <v>1726</v>
      </c>
      <c r="N745" s="10" t="s">
        <v>1817</v>
      </c>
      <c r="P745" s="10" t="s">
        <v>129</v>
      </c>
      <c r="Q745" s="10" t="s">
        <v>1782</v>
      </c>
      <c r="R745" s="10" t="s">
        <v>1832</v>
      </c>
      <c r="S745" s="10" t="s">
        <v>1825</v>
      </c>
      <c r="U745" s="10" t="s">
        <v>1826</v>
      </c>
      <c r="V745" s="10" t="s">
        <v>3</v>
      </c>
      <c r="W745" s="10" t="s">
        <v>19</v>
      </c>
      <c r="X745" s="10" t="s">
        <v>44</v>
      </c>
      <c r="Y745" s="10" t="s">
        <v>53</v>
      </c>
      <c r="Z745" s="10" t="s">
        <v>60</v>
      </c>
      <c r="AA745" s="10" t="s">
        <v>73</v>
      </c>
      <c r="AB745" s="10" t="s">
        <v>76</v>
      </c>
      <c r="AC745" s="10" t="s">
        <v>86</v>
      </c>
      <c r="AD745" s="10" t="s">
        <v>102</v>
      </c>
      <c r="AE745" s="10" t="s">
        <v>106</v>
      </c>
      <c r="AF745" s="10" t="s">
        <v>111</v>
      </c>
      <c r="AG745" s="10" t="s">
        <v>122</v>
      </c>
      <c r="AH745" s="10" t="s">
        <v>1827</v>
      </c>
    </row>
    <row r="746" spans="2:34">
      <c r="B746" s="19" t="s">
        <v>3</v>
      </c>
      <c r="C746" s="20">
        <f>COUNTIFS('Incident'!$D$4:$D$5003,"Jan",'Incident'!$H$4:$H$5003,dCrit)</f>
        <v>0</v>
      </c>
      <c r="E746" s="11" t="s">
        <v>1494</v>
      </c>
      <c r="F746" s="20">
        <f>COUNTIFS('Incident'!$N$4:$N$5003,"Near Miss",'Incident'!$D$4:$D$5003,mCrit,'Incident'!$H$4:$H$5003,dCrit)</f>
        <v>0</v>
      </c>
      <c r="G746" s="11" t="s">
        <v>1506</v>
      </c>
      <c r="H746" s="20">
        <f>COUNTIFS('Incident'!$M$4:$M$5003,"Injury/Illness",'Incident'!$D$4:$D$5003,mCrit,'Incident'!$H$4:$H$5003,dCrit)</f>
        <v>0</v>
      </c>
      <c r="J746" s="11" t="s">
        <v>293</v>
      </c>
      <c r="K746" s="20">
        <f>COUNTIFS('Incident'!$AB$4:$AB$5003,"Closed",'Incident'!$D$4:$D$5003,mCrit,'Incident'!$H$4:$H$5003,dCrit)</f>
        <v>0</v>
      </c>
      <c r="M746" s="11" t="s">
        <v>1821</v>
      </c>
      <c r="N746" s="20">
        <f>COUNTIFS('Incident'!$D$4:$D$5003,mCrit,'Incident'!$H$4:$H$5003,dCrit)</f>
        <v>0</v>
      </c>
      <c r="P746" s="11" t="s">
        <v>27</v>
      </c>
      <c r="Q746" s="20">
        <f>COUNTIFS('Incident'!$D$4:$D$5003,mCrit,'Incident'!$H$4:$H$5003,"Operations")</f>
        <v>0</v>
      </c>
      <c r="R746" s="21">
        <f>IFERROR((COUNTIFS('Incident'!$AB$4:$AB$5003,"Closed",'Incident'!$D$4:$D$5003,mCrit,'Incident'!$H$4:$H$5003,"Operations"))/COUNTIFS('Incident'!$D$4:$D$5003,mCrit,'Incident'!$H$4:$H$5003,"Operations")*100,0)</f>
        <v>0</v>
      </c>
      <c r="S746" s="20">
        <f>COUNTIFS('Incident'!$D$4:$D$5003,mCrit,'Incident'!$H$4:$H$5003,"Operations")</f>
        <v>0</v>
      </c>
      <c r="U746" s="11" t="s">
        <v>1825</v>
      </c>
      <c r="V746" s="20">
        <f>COUNTIFS('Incident'!$D$4:$D$5003,"Jan",'Incident'!$H$4:$H$5003,dCrit)</f>
        <v>0</v>
      </c>
      <c r="W746" s="20">
        <f>COUNTIFS('Incident'!$D$4:$D$5003,"Feb",'Incident'!$H$4:$H$5003,dCrit)</f>
        <v>0</v>
      </c>
      <c r="X746" s="20">
        <f>COUNTIFS('Incident'!$D$4:$D$5003,"Mar",'Incident'!$H$4:$H$5003,dCrit)</f>
        <v>0</v>
      </c>
      <c r="Y746" s="20">
        <f>COUNTIFS('Incident'!$D$4:$D$5003,"Apr",'Incident'!$H$4:$H$5003,dCrit)</f>
        <v>0</v>
      </c>
      <c r="Z746" s="20">
        <f>COUNTIFS('Incident'!$D$4:$D$5003,"May",'Incident'!$H$4:$H$5003,dCrit)</f>
        <v>0</v>
      </c>
      <c r="AA746" s="20">
        <f>COUNTIFS('Incident'!$D$4:$D$5003,"Jun",'Incident'!$H$4:$H$5003,dCrit)</f>
        <v>0</v>
      </c>
      <c r="AB746" s="20">
        <f>COUNTIFS('Incident'!$D$4:$D$5003,"Jul",'Incident'!$H$4:$H$5003,dCrit)</f>
        <v>0</v>
      </c>
      <c r="AC746" s="20">
        <f>COUNTIFS('Incident'!$D$4:$D$5003,"Aug",'Incident'!$H$4:$H$5003,dCrit)</f>
        <v>0</v>
      </c>
      <c r="AD746" s="20">
        <f>COUNTIFS('Incident'!$D$4:$D$5003,"Sep",'Incident'!$H$4:$H$5003,dCrit)</f>
        <v>0</v>
      </c>
      <c r="AE746" s="20">
        <f>COUNTIFS('Incident'!$D$4:$D$5003,"Oct",'Incident'!$H$4:$H$5003,dCrit)</f>
        <v>0</v>
      </c>
      <c r="AF746" s="20">
        <f>COUNTIFS('Incident'!$D$4:$D$5003,"Nov",'Incident'!$H$4:$H$5003,dCrit)</f>
        <v>0</v>
      </c>
      <c r="AG746" s="20">
        <f>COUNTIFS('Incident'!$D$4:$D$5003,"Dec",'Incident'!$H$4:$H$5003,dCrit)</f>
        <v>0</v>
      </c>
      <c r="AH746" s="20">
        <f>SUM(V746:AG746)</f>
        <v>0</v>
      </c>
    </row>
    <row r="747" spans="2:34">
      <c r="B747" s="19" t="s">
        <v>19</v>
      </c>
      <c r="C747" s="20">
        <f>COUNTIFS('Incident'!$D$4:$D$5003,"Feb",'Incident'!$H$4:$H$5003,dCrit)</f>
        <v>0</v>
      </c>
      <c r="E747" s="11" t="s">
        <v>1507</v>
      </c>
      <c r="F747" s="20">
        <f>COUNTIFS('Incident'!$N$4:$N$5003,"First Aid",'Incident'!$D$4:$D$5003,mCrit,'Incident'!$H$4:$H$5003,dCrit)</f>
        <v>0</v>
      </c>
      <c r="G747" s="11" t="s">
        <v>1515</v>
      </c>
      <c r="H747" s="20">
        <f>COUNTIFS('Incident'!$M$4:$M$5003,"Property Damage",'Incident'!$D$4:$D$5003,mCrit,'Incident'!$H$4:$H$5003,dCrit)</f>
        <v>0</v>
      </c>
      <c r="J747" s="11" t="s">
        <v>297</v>
      </c>
      <c r="K747" s="20">
        <f>COUNTIFS('Incident'!$AB$4:$AB$5003,"Open",'Incident'!$D$4:$D$5003,mCrit,'Incident'!$H$4:$H$5003,dCrit)</f>
        <v>0</v>
      </c>
      <c r="M747" s="11" t="s">
        <v>1829</v>
      </c>
      <c r="N747" s="21">
        <f>IFERROR((COUNTIFS('Incident'!$AB$4:$AB$5003,"Closed",'Incident'!$D$4:$D$5003,mCrit,'Incident'!$H$4:$H$5003,dCrit))/COUNTIFS('Incident'!$D$4:$D$5003,mCrit,'Incident'!$H$4:$H$5003,dCrit)*100,0)</f>
        <v>0</v>
      </c>
      <c r="P747" s="11" t="s">
        <v>92</v>
      </c>
      <c r="Q747" s="20">
        <f>COUNTIFS('Incident'!$D$4:$D$5003,mCrit,'Incident'!$H$4:$H$5003,"Maintenance")</f>
        <v>0</v>
      </c>
      <c r="R747" s="21">
        <f>IFERROR((COUNTIFS('Incident'!$AB$4:$AB$5003,"Closed",'Incident'!$D$4:$D$5003,mCrit,'Incident'!$H$4:$H$5003,"Maintenance"))/COUNTIFS('Incident'!$D$4:$D$5003,mCrit,'Incident'!$H$4:$H$5003,"Maintenance")*100,0)</f>
        <v>0</v>
      </c>
      <c r="S747" s="20">
        <f>COUNTIFS('Incident'!$D$4:$D$5003,mCrit,'Incident'!$H$4:$H$5003,"Maintenance")</f>
        <v>0</v>
      </c>
      <c r="U747" s="11" t="s">
        <v>1833</v>
      </c>
      <c r="V747" s="21">
        <f>IFERROR((COUNTIFS('Incident'!$AB$4:$AB$5003,"Closed",'Incident'!$D$4:$D$5003,"Jan",'Incident'!$H$4:$H$5003,dCrit))/COUNTIFS('Incident'!$D$4:$D$5003,"Jan",'Incident'!$H$4:$H$5003,dCrit)*100,0)</f>
        <v>0</v>
      </c>
      <c r="W747" s="21">
        <f>IFERROR((COUNTIFS('Incident'!$AB$4:$AB$5003,"Closed",'Incident'!$D$4:$D$5003,"Feb",'Incident'!$H$4:$H$5003,dCrit))/COUNTIFS('Incident'!$D$4:$D$5003,"Feb",'Incident'!$H$4:$H$5003,dCrit)*100,0)</f>
        <v>0</v>
      </c>
      <c r="X747" s="21">
        <f>IFERROR((COUNTIFS('Incident'!$AB$4:$AB$5003,"Closed",'Incident'!$D$4:$D$5003,"Mar",'Incident'!$H$4:$H$5003,dCrit))/COUNTIFS('Incident'!$D$4:$D$5003,"Mar",'Incident'!$H$4:$H$5003,dCrit)*100,0)</f>
        <v>0</v>
      </c>
      <c r="Y747" s="21">
        <f>IFERROR((COUNTIFS('Incident'!$AB$4:$AB$5003,"Closed",'Incident'!$D$4:$D$5003,"Apr",'Incident'!$H$4:$H$5003,dCrit))/COUNTIFS('Incident'!$D$4:$D$5003,"Apr",'Incident'!$H$4:$H$5003,dCrit)*100,0)</f>
        <v>0</v>
      </c>
      <c r="Z747" s="21">
        <f>IFERROR((COUNTIFS('Incident'!$AB$4:$AB$5003,"Closed",'Incident'!$D$4:$D$5003,"May",'Incident'!$H$4:$H$5003,dCrit))/COUNTIFS('Incident'!$D$4:$D$5003,"May",'Incident'!$H$4:$H$5003,dCrit)*100,0)</f>
        <v>0</v>
      </c>
      <c r="AA747" s="21">
        <f>IFERROR((COUNTIFS('Incident'!$AB$4:$AB$5003,"Closed",'Incident'!$D$4:$D$5003,"Jun",'Incident'!$H$4:$H$5003,dCrit))/COUNTIFS('Incident'!$D$4:$D$5003,"Jun",'Incident'!$H$4:$H$5003,dCrit)*100,0)</f>
        <v>0</v>
      </c>
      <c r="AB747" s="21">
        <f>IFERROR((COUNTIFS('Incident'!$AB$4:$AB$5003,"Closed",'Incident'!$D$4:$D$5003,"Jul",'Incident'!$H$4:$H$5003,dCrit))/COUNTIFS('Incident'!$D$4:$D$5003,"Jul",'Incident'!$H$4:$H$5003,dCrit)*100,0)</f>
        <v>0</v>
      </c>
      <c r="AC747" s="21">
        <f>IFERROR((COUNTIFS('Incident'!$AB$4:$AB$5003,"Closed",'Incident'!$D$4:$D$5003,"Aug",'Incident'!$H$4:$H$5003,dCrit))/COUNTIFS('Incident'!$D$4:$D$5003,"Aug",'Incident'!$H$4:$H$5003,dCrit)*100,0)</f>
        <v>0</v>
      </c>
      <c r="AD747" s="21">
        <f>IFERROR((COUNTIFS('Incident'!$AB$4:$AB$5003,"Closed",'Incident'!$D$4:$D$5003,"Sep",'Incident'!$H$4:$H$5003,dCrit))/COUNTIFS('Incident'!$D$4:$D$5003,"Sep",'Incident'!$H$4:$H$5003,dCrit)*100,0)</f>
        <v>0</v>
      </c>
      <c r="AE747" s="21">
        <f>IFERROR((COUNTIFS('Incident'!$AB$4:$AB$5003,"Closed",'Incident'!$D$4:$D$5003,"Oct",'Incident'!$H$4:$H$5003,dCrit))/COUNTIFS('Incident'!$D$4:$D$5003,"Oct",'Incident'!$H$4:$H$5003,dCrit)*100,0)</f>
        <v>0</v>
      </c>
      <c r="AF747" s="21">
        <f>IFERROR((COUNTIFS('Incident'!$AB$4:$AB$5003,"Closed",'Incident'!$D$4:$D$5003,"Nov",'Incident'!$H$4:$H$5003,dCrit))/COUNTIFS('Incident'!$D$4:$D$5003,"Nov",'Incident'!$H$4:$H$5003,dCrit)*100,0)</f>
        <v>0</v>
      </c>
      <c r="AG747" s="21">
        <f>IFERROR((COUNTIFS('Incident'!$AB$4:$AB$5003,"Closed",'Incident'!$D$4:$D$5003,"Dec",'Incident'!$H$4:$H$5003,dCrit))/COUNTIFS('Incident'!$D$4:$D$5003,"Dec",'Incident'!$H$4:$H$5003,dCrit)*100,0)</f>
        <v>0</v>
      </c>
      <c r="AH747" s="21">
        <f>IFERROR(AVERAGE(V747:AG747),0)</f>
        <v>0</v>
      </c>
    </row>
    <row r="748" spans="2:34">
      <c r="B748" s="19" t="s">
        <v>44</v>
      </c>
      <c r="C748" s="20">
        <f>COUNTIFS('Incident'!$D$4:$D$5003,"Mar",'Incident'!$H$4:$H$5003,dCrit)</f>
        <v>0</v>
      </c>
      <c r="E748" s="11" t="s">
        <v>1531</v>
      </c>
      <c r="F748" s="20">
        <f>COUNTIFS('Incident'!$N$4:$N$5003,"Medical Treatment",'Incident'!$D$4:$D$5003,mCrit,'Incident'!$H$4:$H$5003,dCrit)</f>
        <v>0</v>
      </c>
      <c r="G748" s="11" t="s">
        <v>1500</v>
      </c>
      <c r="H748" s="20">
        <f>COUNTIFS('Incident'!$M$4:$M$5003,"Environmental",'Incident'!$D$4:$D$5003,mCrit,'Incident'!$H$4:$H$5003,dCrit)</f>
        <v>0</v>
      </c>
      <c r="J748" s="11" t="s">
        <v>254</v>
      </c>
      <c r="K748" s="20">
        <f>COUNTIFS('Incident'!$AB$4:$AB$5003,"In Progress",'Incident'!$D$4:$D$5003,mCrit,'Incident'!$H$4:$H$5003,dCrit)</f>
        <v>0</v>
      </c>
      <c r="M748" s="11" t="s">
        <v>1830</v>
      </c>
      <c r="N748" s="20">
        <f>COUNTIFS('Incident'!$AB$4:$AB$5003,"Open",'Incident'!$D$4:$D$5003,mCrit,'Incident'!$H$4:$H$5003,dCrit)+COUNTIFS('Incident'!$AB$4:$AB$5003,"In Progress",'Incident'!$D$4:$D$5003,mCrit,'Incident'!$H$4:$H$5003,dCrit)+COUNTIFS('Incident'!$AB$4:$AB$5003,"Overdue",'Incident'!$D$4:$D$5003,mCrit,'Incident'!$H$4:$H$5003,dCrit)</f>
        <v>0</v>
      </c>
      <c r="P748" s="11" t="s">
        <v>39</v>
      </c>
      <c r="Q748" s="20">
        <f>COUNTIFS('Incident'!$D$4:$D$5003,mCrit,'Incident'!$H$4:$H$5003,"Engineering")</f>
        <v>0</v>
      </c>
      <c r="R748" s="21">
        <f>IFERROR((COUNTIFS('Incident'!$AB$4:$AB$5003,"Closed",'Incident'!$D$4:$D$5003,mCrit,'Incident'!$H$4:$H$5003,"Engineering"))/COUNTIFS('Incident'!$D$4:$D$5003,mCrit,'Incident'!$H$4:$H$5003,"Engineering")*100,0)</f>
        <v>0</v>
      </c>
      <c r="S748" s="20">
        <f>COUNTIFS('Incident'!$D$4:$D$5003,mCrit,'Incident'!$H$4:$H$5003,"Engineering")</f>
        <v>0</v>
      </c>
      <c r="U748" s="11" t="s">
        <v>1590</v>
      </c>
      <c r="V748" s="20">
        <f>SUMIFS('Incident'!$V$4:$V$5003,'Incident'!$D$4:$D$5003,"Jan",'Incident'!$H$4:$H$5003,dCrit)</f>
        <v>0</v>
      </c>
      <c r="W748" s="20">
        <f>SUMIFS('Incident'!$V$4:$V$5003,'Incident'!$D$4:$D$5003,"Feb",'Incident'!$H$4:$H$5003,dCrit)</f>
        <v>0</v>
      </c>
      <c r="X748" s="20">
        <f>SUMIFS('Incident'!$V$4:$V$5003,'Incident'!$D$4:$D$5003,"Mar",'Incident'!$H$4:$H$5003,dCrit)</f>
        <v>0</v>
      </c>
      <c r="Y748" s="20">
        <f>SUMIFS('Incident'!$V$4:$V$5003,'Incident'!$D$4:$D$5003,"Apr",'Incident'!$H$4:$H$5003,dCrit)</f>
        <v>0</v>
      </c>
      <c r="Z748" s="20">
        <f>SUMIFS('Incident'!$V$4:$V$5003,'Incident'!$D$4:$D$5003,"May",'Incident'!$H$4:$H$5003,dCrit)</f>
        <v>0</v>
      </c>
      <c r="AA748" s="20">
        <f>SUMIFS('Incident'!$V$4:$V$5003,'Incident'!$D$4:$D$5003,"Jun",'Incident'!$H$4:$H$5003,dCrit)</f>
        <v>0</v>
      </c>
      <c r="AB748" s="20">
        <f>SUMIFS('Incident'!$V$4:$V$5003,'Incident'!$D$4:$D$5003,"Jul",'Incident'!$H$4:$H$5003,dCrit)</f>
        <v>0</v>
      </c>
      <c r="AC748" s="20">
        <f>SUMIFS('Incident'!$V$4:$V$5003,'Incident'!$D$4:$D$5003,"Aug",'Incident'!$H$4:$H$5003,dCrit)</f>
        <v>0</v>
      </c>
      <c r="AD748" s="20">
        <f>SUMIFS('Incident'!$V$4:$V$5003,'Incident'!$D$4:$D$5003,"Sep",'Incident'!$H$4:$H$5003,dCrit)</f>
        <v>0</v>
      </c>
      <c r="AE748" s="20">
        <f>SUMIFS('Incident'!$V$4:$V$5003,'Incident'!$D$4:$D$5003,"Oct",'Incident'!$H$4:$H$5003,dCrit)</f>
        <v>0</v>
      </c>
      <c r="AF748" s="20">
        <f>SUMIFS('Incident'!$V$4:$V$5003,'Incident'!$D$4:$D$5003,"Nov",'Incident'!$H$4:$H$5003,dCrit)</f>
        <v>0</v>
      </c>
      <c r="AG748" s="20">
        <f>SUMIFS('Incident'!$V$4:$V$5003,'Incident'!$D$4:$D$5003,"Dec",'Incident'!$H$4:$H$5003,dCrit)</f>
        <v>0</v>
      </c>
      <c r="AH748" s="20">
        <f>SUM(V748:AG748)</f>
        <v>0</v>
      </c>
    </row>
    <row r="749" spans="2:34">
      <c r="B749" s="19" t="s">
        <v>53</v>
      </c>
      <c r="C749" s="20">
        <f>COUNTIFS('Incident'!$D$4:$D$5003,"Apr",'Incident'!$H$4:$H$5003,dCrit)</f>
        <v>0</v>
      </c>
      <c r="E749" s="11" t="s">
        <v>1536</v>
      </c>
      <c r="F749" s="20">
        <f>COUNTIFS('Incident'!$N$4:$N$5003,"Restricted Work",'Incident'!$D$4:$D$5003,mCrit,'Incident'!$H$4:$H$5003,dCrit)</f>
        <v>0</v>
      </c>
      <c r="G749" s="11" t="s">
        <v>1512</v>
      </c>
      <c r="H749" s="20">
        <f>COUNTIFS('Incident'!$M$4:$M$5003,"Fire",'Incident'!$D$4:$D$5003,mCrit,'Incident'!$H$4:$H$5003,dCrit)</f>
        <v>0</v>
      </c>
      <c r="J749" s="11" t="s">
        <v>238</v>
      </c>
      <c r="K749" s="20">
        <f>COUNTIFS('Incident'!$AB$4:$AB$5003,"Overdue",'Incident'!$D$4:$D$5003,mCrit,'Incident'!$H$4:$H$5003,dCrit)</f>
        <v>0</v>
      </c>
      <c r="M749" s="11" t="s">
        <v>238</v>
      </c>
      <c r="N749" s="20">
        <f>COUNTIFS('Incident'!$AB$4:$AB$5003,"Overdue",'Incident'!$D$4:$D$5003,mCrit,'Incident'!$H$4:$H$5003,dCrit)</f>
        <v>0</v>
      </c>
      <c r="P749" s="11" t="s">
        <v>89</v>
      </c>
      <c r="Q749" s="20">
        <f>COUNTIFS('Incident'!$D$4:$D$5003,mCrit,'Incident'!$H$4:$H$5003,"Construction")</f>
        <v>0</v>
      </c>
      <c r="R749" s="21">
        <f>IFERROR((COUNTIFS('Incident'!$AB$4:$AB$5003,"Closed",'Incident'!$D$4:$D$5003,mCrit,'Incident'!$H$4:$H$5003,"Construction"))/COUNTIFS('Incident'!$D$4:$D$5003,mCrit,'Incident'!$H$4:$H$5003,"Construction")*100,0)</f>
        <v>0</v>
      </c>
      <c r="S749" s="20">
        <f>COUNTIFS('Incident'!$D$4:$D$5003,mCrit,'Incident'!$H$4:$H$5003,"Construction")</f>
        <v>0</v>
      </c>
    </row>
    <row r="750" spans="2:34">
      <c r="B750" s="19" t="s">
        <v>60</v>
      </c>
      <c r="C750" s="20">
        <f>COUNTIFS('Incident'!$D$4:$D$5003,"May",'Incident'!$H$4:$H$5003,dCrit)</f>
        <v>0</v>
      </c>
      <c r="E750" s="11" t="s">
        <v>1573</v>
      </c>
      <c r="F750" s="20">
        <f>COUNTIFS('Incident'!$N$4:$N$5003,"Lost Time Injury",'Incident'!$D$4:$D$5003,mCrit,'Incident'!$H$4:$H$5003,dCrit)</f>
        <v>0</v>
      </c>
      <c r="G750" s="11" t="s">
        <v>1493</v>
      </c>
      <c r="H750" s="20">
        <f>COUNTIFS('Incident'!$M$4:$M$5003,"Vehicle",'Incident'!$D$4:$D$5003,mCrit,'Incident'!$H$4:$H$5003,dCrit)</f>
        <v>0</v>
      </c>
      <c r="M750" s="11" t="s">
        <v>1876</v>
      </c>
      <c r="N750" s="20">
        <f>SUMIFS('Incident'!$V$4:$V$5003,'Incident'!$D$4:$D$5003,mCrit,'Incident'!$H$4:$H$5003,dCrit)</f>
        <v>0</v>
      </c>
      <c r="P750" s="11" t="s">
        <v>65</v>
      </c>
      <c r="Q750" s="20">
        <f>COUNTIFS('Incident'!$D$4:$D$5003,mCrit,'Incident'!$H$4:$H$5003,"Safety")</f>
        <v>0</v>
      </c>
      <c r="R750" s="21">
        <f>IFERROR((COUNTIFS('Incident'!$AB$4:$AB$5003,"Closed",'Incident'!$D$4:$D$5003,mCrit,'Incident'!$H$4:$H$5003,"Safety"))/COUNTIFS('Incident'!$D$4:$D$5003,mCrit,'Incident'!$H$4:$H$5003,"Safety")*100,0)</f>
        <v>0</v>
      </c>
      <c r="S750" s="20">
        <f>COUNTIFS('Incident'!$D$4:$D$5003,mCrit,'Incident'!$H$4:$H$5003,"Safety")</f>
        <v>0</v>
      </c>
    </row>
    <row r="751" spans="2:34">
      <c r="B751" s="19" t="s">
        <v>73</v>
      </c>
      <c r="C751" s="20">
        <f>COUNTIFS('Incident'!$D$4:$D$5003,"Jun",'Incident'!$H$4:$H$5003,dCrit)</f>
        <v>0</v>
      </c>
      <c r="E751" s="11" t="s">
        <v>1544</v>
      </c>
      <c r="F751" s="20">
        <f>COUNTIFS('Incident'!$N$4:$N$5003,"Fatality",'Incident'!$D$4:$D$5003,mCrit,'Incident'!$H$4:$H$5003,dCrit)</f>
        <v>0</v>
      </c>
      <c r="M751" s="11" t="s">
        <v>1731</v>
      </c>
      <c r="N751" s="20">
        <f>COUNTIFS('Incident'!$N$4:$N$5003,"Lost Time Injury",'Incident'!$D$4:$D$5003,mCrit,'Incident'!$H$4:$H$5003,dCrit)+COUNTIFS('Incident'!$N$4:$N$5003,"Medical Treatment",'Incident'!$D$4:$D$5003,mCrit,'Incident'!$H$4:$H$5003,dCrit)+COUNTIFS('Incident'!$N$4:$N$5003,"Restricted Work",'Incident'!$D$4:$D$5003,mCrit,'Incident'!$H$4:$H$5003,dCrit)+COUNTIFS('Incident'!$N$4:$N$5003,"Fatality",'Incident'!$D$4:$D$5003,mCrit,'Incident'!$H$4:$H$5003,dCrit)</f>
        <v>0</v>
      </c>
      <c r="P751" s="11" t="s">
        <v>5</v>
      </c>
      <c r="Q751" s="20">
        <f>COUNTIFS('Incident'!$D$4:$D$5003,mCrit,'Incident'!$H$4:$H$5003,"Logistics")</f>
        <v>0</v>
      </c>
      <c r="R751" s="21">
        <f>IFERROR((COUNTIFS('Incident'!$AB$4:$AB$5003,"Closed",'Incident'!$D$4:$D$5003,mCrit,'Incident'!$H$4:$H$5003,"Logistics"))/COUNTIFS('Incident'!$D$4:$D$5003,mCrit,'Incident'!$H$4:$H$5003,"Logistics")*100,0)</f>
        <v>0</v>
      </c>
      <c r="S751" s="20">
        <f>COUNTIFS('Incident'!$D$4:$D$5003,mCrit,'Incident'!$H$4:$H$5003,"Logistics")</f>
        <v>0</v>
      </c>
    </row>
    <row r="752" spans="2:34">
      <c r="B752" s="19" t="s">
        <v>76</v>
      </c>
      <c r="C752" s="20">
        <f>COUNTIFS('Incident'!$D$4:$D$5003,"Jul",'Incident'!$H$4:$H$5003,dCrit)</f>
        <v>0</v>
      </c>
      <c r="P752" s="11" t="s">
        <v>50</v>
      </c>
      <c r="Q752" s="20">
        <f>COUNTIFS('Incident'!$D$4:$D$5003,mCrit,'Incident'!$H$4:$H$5003,"Quality")</f>
        <v>0</v>
      </c>
      <c r="R752" s="21">
        <f>IFERROR((COUNTIFS('Incident'!$AB$4:$AB$5003,"Closed",'Incident'!$D$4:$D$5003,mCrit,'Incident'!$H$4:$H$5003,"Quality"))/COUNTIFS('Incident'!$D$4:$D$5003,mCrit,'Incident'!$H$4:$H$5003,"Quality")*100,0)</f>
        <v>0</v>
      </c>
      <c r="S752" s="20">
        <f>COUNTIFS('Incident'!$D$4:$D$5003,mCrit,'Incident'!$H$4:$H$5003,"Quality")</f>
        <v>0</v>
      </c>
    </row>
    <row r="753" spans="2:19">
      <c r="B753" s="19" t="s">
        <v>86</v>
      </c>
      <c r="C753" s="20">
        <f>COUNTIFS('Incident'!$D$4:$D$5003,"Aug",'Incident'!$H$4:$H$5003,dCrit)</f>
        <v>0</v>
      </c>
      <c r="P753" s="11" t="s">
        <v>46</v>
      </c>
      <c r="Q753" s="20">
        <f>COUNTIFS('Incident'!$D$4:$D$5003,mCrit,'Incident'!$H$4:$H$5003,"Admin")</f>
        <v>0</v>
      </c>
      <c r="R753" s="21">
        <f>IFERROR((COUNTIFS('Incident'!$AB$4:$AB$5003,"Closed",'Incident'!$D$4:$D$5003,mCrit,'Incident'!$H$4:$H$5003,"Admin"))/COUNTIFS('Incident'!$D$4:$D$5003,mCrit,'Incident'!$H$4:$H$5003,"Admin")*100,0)</f>
        <v>0</v>
      </c>
      <c r="S753" s="20">
        <f>COUNTIFS('Incident'!$D$4:$D$5003,mCrit,'Incident'!$H$4:$H$5003,"Admin")</f>
        <v>0</v>
      </c>
    </row>
    <row r="754" spans="2:19">
      <c r="B754" s="19" t="s">
        <v>102</v>
      </c>
      <c r="C754" s="20">
        <f>COUNTIFS('Incident'!$D$4:$D$5003,"Sep",'Incident'!$H$4:$H$5003,dCrit)</f>
        <v>0</v>
      </c>
      <c r="P754" s="11" t="s">
        <v>13</v>
      </c>
      <c r="Q754" s="20">
        <f>COUNTIFS('Incident'!$D$4:$D$5003,mCrit,'Incident'!$H$4:$H$5003,"Projects")</f>
        <v>0</v>
      </c>
      <c r="R754" s="21">
        <f>IFERROR((COUNTIFS('Incident'!$AB$4:$AB$5003,"Closed",'Incident'!$D$4:$D$5003,mCrit,'Incident'!$H$4:$H$5003,"Projects"))/COUNTIFS('Incident'!$D$4:$D$5003,mCrit,'Incident'!$H$4:$H$5003,"Projects")*100,0)</f>
        <v>0</v>
      </c>
      <c r="S754" s="20">
        <f>COUNTIFS('Incident'!$D$4:$D$5003,mCrit,'Incident'!$H$4:$H$5003,"Projects")</f>
        <v>0</v>
      </c>
    </row>
    <row r="755" spans="2:19">
      <c r="B755" s="19" t="s">
        <v>106</v>
      </c>
      <c r="C755" s="20">
        <f>COUNTIFS('Incident'!$D$4:$D$5003,"Oct",'Incident'!$H$4:$H$5003,dCrit)</f>
        <v>0</v>
      </c>
      <c r="P755" s="11" t="s">
        <v>58</v>
      </c>
      <c r="Q755" s="20">
        <f>COUNTIFS('Incident'!$D$4:$D$5003,mCrit,'Incident'!$H$4:$H$5003,"Contractor")</f>
        <v>0</v>
      </c>
      <c r="R755" s="21">
        <f>IFERROR((COUNTIFS('Incident'!$AB$4:$AB$5003,"Closed",'Incident'!$D$4:$D$5003,mCrit,'Incident'!$H$4:$H$5003,"Contractor"))/COUNTIFS('Incident'!$D$4:$D$5003,mCrit,'Incident'!$H$4:$H$5003,"Contractor")*100,0)</f>
        <v>0</v>
      </c>
      <c r="S755" s="20">
        <f>COUNTIFS('Incident'!$D$4:$D$5003,mCrit,'Incident'!$H$4:$H$5003,"Contractor")</f>
        <v>0</v>
      </c>
    </row>
    <row r="756" spans="2:19">
      <c r="B756" s="19" t="s">
        <v>111</v>
      </c>
      <c r="C756" s="20">
        <f>COUNTIFS('Incident'!$D$4:$D$5003,"Nov",'Incident'!$H$4:$H$5003,dCrit)</f>
        <v>0</v>
      </c>
    </row>
    <row r="757" spans="2:19">
      <c r="B757" s="19" t="s">
        <v>122</v>
      </c>
      <c r="C757" s="20">
        <f>COUNTIFS('Incident'!$D$4:$D$5003,"Dec",'Incident'!$H$4:$H$5003,dCrit)</f>
        <v>0</v>
      </c>
    </row>
  </sheetData>
  <mergeCells count="2">
    <mergeCell ref="B2:H2"/>
    <mergeCell ref="B74:K74"/>
  </mergeCells>
  <conditionalFormatting sqref="C98:H101">
    <cfRule type="colorScale" priority="1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0F3D6E"/>
  </sheetPr>
  <dimension ref="A2:R36"/>
  <sheetViews>
    <sheetView showGridLines="0" workbookViewId="0"/>
  </sheetViews>
  <sheetFormatPr defaultRowHeight="15"/>
  <cols>
    <col min="1" max="1" width="2.7109375" customWidth="1"/>
    <col min="2" max="13" width="11.7109375" customWidth="1"/>
  </cols>
  <sheetData>
    <row r="2" spans="2:13" ht="8" customHeight="1"/>
    <row r="3" spans="2:13">
      <c r="B3" s="24" t="s">
        <v>1877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2:1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2:13"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</row>
    <row r="6" spans="2:13">
      <c r="B6" s="25" t="s">
        <v>1878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</row>
    <row r="7" spans="2:13"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</row>
    <row r="8" spans="2:13" ht="4" customHeight="1"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</row>
    <row r="10" spans="2:13">
      <c r="I10" s="27" t="s">
        <v>1879</v>
      </c>
      <c r="K10" s="28">
        <v>46215.29922144652</v>
      </c>
    </row>
    <row r="11" spans="2:13">
      <c r="B11" s="9" t="s">
        <v>1880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</row>
    <row r="12" spans="2:13">
      <c r="B12" s="29" t="s">
        <v>1881</v>
      </c>
      <c r="C12" s="29"/>
      <c r="D12" s="29"/>
      <c r="E12" s="29"/>
      <c r="F12" s="29"/>
      <c r="H12" s="30" t="s">
        <v>1882</v>
      </c>
      <c r="I12" s="30"/>
      <c r="J12" s="30"/>
      <c r="K12" s="30"/>
      <c r="L12" s="30"/>
      <c r="M12" s="30"/>
    </row>
    <row r="13" spans="2:13">
      <c r="B13" s="29"/>
      <c r="C13" s="29"/>
      <c r="D13" s="29"/>
      <c r="E13" s="29"/>
      <c r="F13" s="29"/>
      <c r="H13" s="30"/>
      <c r="I13" s="30"/>
      <c r="J13" s="30"/>
      <c r="K13" s="30"/>
      <c r="L13" s="30"/>
      <c r="M13" s="30"/>
    </row>
    <row r="15" spans="2:13">
      <c r="B15" s="9" t="s">
        <v>1883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</row>
    <row r="17" spans="2:18">
      <c r="B17" s="31" t="s">
        <v>1884</v>
      </c>
      <c r="C17" s="31"/>
      <c r="D17" s="31"/>
      <c r="E17" s="31"/>
      <c r="F17" s="32" t="s">
        <v>1885</v>
      </c>
      <c r="G17" s="32"/>
      <c r="H17" s="32" t="s">
        <v>1886</v>
      </c>
      <c r="I17" s="32"/>
      <c r="K17" s="31" t="s">
        <v>1887</v>
      </c>
      <c r="L17" s="31"/>
      <c r="M17" s="31"/>
      <c r="N17" s="31"/>
      <c r="O17" s="32" t="s">
        <v>1885</v>
      </c>
      <c r="P17" s="32"/>
      <c r="Q17" s="32" t="s">
        <v>1886</v>
      </c>
      <c r="R17" s="32"/>
    </row>
    <row r="18" spans="2:18">
      <c r="B18" s="31" t="s">
        <v>1888</v>
      </c>
      <c r="C18" s="31"/>
      <c r="D18" s="31"/>
      <c r="E18" s="31"/>
      <c r="F18" s="32" t="s">
        <v>1885</v>
      </c>
      <c r="G18" s="32"/>
      <c r="H18" s="32" t="s">
        <v>1886</v>
      </c>
      <c r="I18" s="32"/>
      <c r="K18" s="31" t="s">
        <v>1889</v>
      </c>
      <c r="L18" s="31"/>
      <c r="M18" s="31"/>
      <c r="N18" s="31"/>
      <c r="O18" s="32" t="s">
        <v>1885</v>
      </c>
      <c r="P18" s="32"/>
      <c r="Q18" s="32" t="s">
        <v>1886</v>
      </c>
      <c r="R18" s="32"/>
    </row>
    <row r="19" spans="2:18">
      <c r="B19" s="31" t="s">
        <v>1890</v>
      </c>
      <c r="C19" s="31"/>
      <c r="D19" s="31"/>
      <c r="E19" s="31"/>
      <c r="F19" s="32" t="s">
        <v>1885</v>
      </c>
      <c r="G19" s="32"/>
      <c r="H19" s="32" t="s">
        <v>1886</v>
      </c>
      <c r="I19" s="32"/>
      <c r="K19" s="31" t="s">
        <v>1891</v>
      </c>
      <c r="L19" s="31"/>
      <c r="M19" s="31"/>
      <c r="N19" s="31"/>
      <c r="O19" s="32" t="s">
        <v>1885</v>
      </c>
      <c r="P19" s="32"/>
      <c r="Q19" s="32" t="s">
        <v>1886</v>
      </c>
      <c r="R19" s="32"/>
    </row>
    <row r="20" spans="2:18">
      <c r="B20" s="31" t="s">
        <v>1892</v>
      </c>
      <c r="C20" s="31"/>
      <c r="D20" s="31"/>
      <c r="E20" s="31"/>
      <c r="F20" s="32" t="s">
        <v>1885</v>
      </c>
      <c r="G20" s="32"/>
      <c r="H20" s="32" t="s">
        <v>1886</v>
      </c>
      <c r="I20" s="32"/>
      <c r="K20" s="31" t="s">
        <v>1893</v>
      </c>
      <c r="L20" s="31"/>
      <c r="M20" s="31"/>
      <c r="N20" s="31"/>
      <c r="O20" s="32" t="s">
        <v>1885</v>
      </c>
      <c r="P20" s="32"/>
      <c r="Q20" s="32" t="s">
        <v>1886</v>
      </c>
      <c r="R20" s="32"/>
    </row>
    <row r="21" spans="2:18">
      <c r="B21" s="31" t="s">
        <v>1894</v>
      </c>
      <c r="C21" s="31"/>
      <c r="D21" s="31"/>
      <c r="E21" s="31"/>
      <c r="F21" s="32" t="s">
        <v>1885</v>
      </c>
      <c r="G21" s="32"/>
      <c r="H21" s="32" t="s">
        <v>1886</v>
      </c>
      <c r="I21" s="32"/>
      <c r="K21" s="31" t="s">
        <v>1895</v>
      </c>
      <c r="L21" s="31"/>
      <c r="M21" s="31"/>
      <c r="N21" s="31"/>
      <c r="O21" s="32" t="s">
        <v>1885</v>
      </c>
      <c r="P21" s="32"/>
      <c r="Q21" s="32" t="s">
        <v>1886</v>
      </c>
      <c r="R21" s="32"/>
    </row>
    <row r="22" spans="2:18">
      <c r="B22" s="31" t="s">
        <v>1896</v>
      </c>
      <c r="C22" s="31"/>
      <c r="D22" s="31"/>
      <c r="E22" s="31"/>
      <c r="F22" s="32" t="s">
        <v>1885</v>
      </c>
      <c r="G22" s="32"/>
      <c r="H22" s="32" t="s">
        <v>1886</v>
      </c>
      <c r="I22" s="32"/>
      <c r="K22" s="31" t="s">
        <v>1897</v>
      </c>
      <c r="L22" s="31"/>
      <c r="M22" s="31"/>
      <c r="N22" s="31"/>
      <c r="O22" s="32" t="s">
        <v>1885</v>
      </c>
      <c r="P22" s="32"/>
      <c r="Q22" s="32" t="s">
        <v>1886</v>
      </c>
      <c r="R22" s="32"/>
    </row>
    <row r="23" spans="2:18">
      <c r="B23" s="31" t="s">
        <v>1898</v>
      </c>
      <c r="C23" s="31"/>
      <c r="D23" s="31"/>
      <c r="E23" s="31"/>
      <c r="F23" s="32" t="s">
        <v>1885</v>
      </c>
      <c r="G23" s="32"/>
      <c r="H23" s="32" t="s">
        <v>1886</v>
      </c>
      <c r="I23" s="32"/>
      <c r="K23" s="31" t="s">
        <v>1899</v>
      </c>
      <c r="L23" s="31"/>
      <c r="M23" s="31"/>
      <c r="N23" s="31"/>
      <c r="O23" s="32" t="s">
        <v>1885</v>
      </c>
      <c r="P23" s="32"/>
      <c r="Q23" s="32" t="s">
        <v>1886</v>
      </c>
      <c r="R23" s="32"/>
    </row>
    <row r="24" spans="2:18">
      <c r="B24" s="31" t="s">
        <v>1900</v>
      </c>
      <c r="C24" s="31"/>
      <c r="D24" s="31"/>
      <c r="E24" s="31"/>
      <c r="F24" s="32" t="s">
        <v>1885</v>
      </c>
      <c r="G24" s="32"/>
      <c r="H24" s="32" t="s">
        <v>1886</v>
      </c>
      <c r="I24" s="32"/>
      <c r="K24" s="31" t="s">
        <v>1901</v>
      </c>
      <c r="L24" s="31"/>
      <c r="M24" s="31"/>
      <c r="N24" s="31"/>
      <c r="O24" s="32" t="s">
        <v>1885</v>
      </c>
      <c r="P24" s="32"/>
      <c r="Q24" s="32" t="s">
        <v>1886</v>
      </c>
      <c r="R24" s="32"/>
    </row>
    <row r="25" spans="2:18">
      <c r="B25" s="31" t="s">
        <v>1902</v>
      </c>
      <c r="C25" s="31"/>
      <c r="D25" s="31"/>
      <c r="E25" s="31"/>
      <c r="F25" s="32" t="s">
        <v>1885</v>
      </c>
      <c r="G25" s="32"/>
      <c r="H25" s="32" t="s">
        <v>1886</v>
      </c>
      <c r="I25" s="32"/>
      <c r="K25" s="31" t="s">
        <v>1903</v>
      </c>
      <c r="L25" s="31"/>
      <c r="M25" s="31"/>
      <c r="N25" s="31"/>
      <c r="O25" s="32" t="s">
        <v>1885</v>
      </c>
      <c r="P25" s="32"/>
      <c r="Q25" s="32" t="s">
        <v>1886</v>
      </c>
      <c r="R25" s="32"/>
    </row>
    <row r="26" spans="2:18">
      <c r="B26" s="31" t="s">
        <v>1904</v>
      </c>
      <c r="C26" s="31"/>
      <c r="D26" s="31"/>
      <c r="E26" s="31"/>
      <c r="F26" s="32" t="s">
        <v>1885</v>
      </c>
      <c r="G26" s="32"/>
      <c r="H26" s="32" t="s">
        <v>1886</v>
      </c>
      <c r="I26" s="32"/>
      <c r="K26" s="31" t="s">
        <v>1905</v>
      </c>
      <c r="L26" s="31"/>
      <c r="M26" s="31"/>
      <c r="N26" s="31"/>
      <c r="O26" s="32" t="s">
        <v>1885</v>
      </c>
      <c r="P26" s="32"/>
      <c r="Q26" s="32" t="s">
        <v>1886</v>
      </c>
      <c r="R26" s="32"/>
    </row>
    <row r="27" spans="2:18">
      <c r="B27" s="31" t="s">
        <v>1906</v>
      </c>
      <c r="C27" s="31"/>
      <c r="D27" s="31"/>
      <c r="E27" s="31"/>
      <c r="F27" s="32" t="s">
        <v>1885</v>
      </c>
      <c r="G27" s="32"/>
      <c r="H27" s="32" t="s">
        <v>1886</v>
      </c>
      <c r="I27" s="32"/>
      <c r="K27" s="31" t="s">
        <v>1907</v>
      </c>
      <c r="L27" s="31"/>
      <c r="M27" s="31"/>
      <c r="N27" s="31"/>
      <c r="O27" s="32" t="s">
        <v>1885</v>
      </c>
      <c r="P27" s="32"/>
      <c r="Q27" s="32" t="s">
        <v>1886</v>
      </c>
      <c r="R27" s="32"/>
    </row>
    <row r="28" spans="2:18">
      <c r="B28" s="31" t="s">
        <v>1908</v>
      </c>
      <c r="C28" s="31"/>
      <c r="D28" s="31"/>
      <c r="E28" s="31"/>
      <c r="F28" s="32" t="s">
        <v>1885</v>
      </c>
      <c r="G28" s="32"/>
      <c r="H28" s="32" t="s">
        <v>1886</v>
      </c>
      <c r="I28" s="32"/>
      <c r="K28" s="31" t="s">
        <v>1909</v>
      </c>
      <c r="L28" s="31"/>
      <c r="M28" s="31"/>
      <c r="N28" s="31"/>
      <c r="O28" s="32" t="s">
        <v>1885</v>
      </c>
      <c r="P28" s="32"/>
      <c r="Q28" s="32" t="s">
        <v>1886</v>
      </c>
      <c r="R28" s="32"/>
    </row>
    <row r="30" spans="2:18">
      <c r="B30" s="9" t="s">
        <v>1910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</row>
    <row r="31" spans="2:18">
      <c r="B31" s="33" t="s">
        <v>1911</v>
      </c>
      <c r="C31" s="33"/>
      <c r="D31" s="33"/>
      <c r="E31" s="33"/>
      <c r="F31" s="33" t="s">
        <v>1912</v>
      </c>
      <c r="G31" s="33"/>
      <c r="H31" s="33"/>
      <c r="I31" s="33"/>
      <c r="J31" s="33" t="s">
        <v>1913</v>
      </c>
      <c r="K31" s="33"/>
      <c r="L31" s="33"/>
      <c r="M31" s="33"/>
    </row>
    <row r="32" spans="2:18">
      <c r="B32" s="33" t="s">
        <v>1914</v>
      </c>
      <c r="C32" s="33"/>
      <c r="D32" s="33"/>
      <c r="E32" s="33"/>
      <c r="F32" s="33" t="s">
        <v>1915</v>
      </c>
      <c r="G32" s="33"/>
      <c r="H32" s="33"/>
      <c r="I32" s="33"/>
      <c r="J32" s="33" t="s">
        <v>1770</v>
      </c>
      <c r="K32" s="33"/>
      <c r="L32" s="33"/>
      <c r="M32" s="33"/>
    </row>
    <row r="34" spans="2:13">
      <c r="B34" s="8" t="s">
        <v>1916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2:13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2:13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</sheetData>
  <mergeCells count="87">
    <mergeCell ref="B3:M5"/>
    <mergeCell ref="B6:M7"/>
    <mergeCell ref="B8:M8"/>
    <mergeCell ref="B11:M11"/>
    <mergeCell ref="B12:F13"/>
    <mergeCell ref="H12:M13"/>
    <mergeCell ref="B15:M15"/>
    <mergeCell ref="B17:E17"/>
    <mergeCell ref="F17:G17"/>
    <mergeCell ref="H17:I17"/>
    <mergeCell ref="K17:N17"/>
    <mergeCell ref="O17:P17"/>
    <mergeCell ref="Q17:R17"/>
    <mergeCell ref="B18:E18"/>
    <mergeCell ref="F18:G18"/>
    <mergeCell ref="H18:I18"/>
    <mergeCell ref="K18:N18"/>
    <mergeCell ref="O18:P18"/>
    <mergeCell ref="Q18:R18"/>
    <mergeCell ref="B19:E19"/>
    <mergeCell ref="F19:G19"/>
    <mergeCell ref="H19:I19"/>
    <mergeCell ref="K19:N19"/>
    <mergeCell ref="O19:P19"/>
    <mergeCell ref="Q19:R19"/>
    <mergeCell ref="B20:E20"/>
    <mergeCell ref="F20:G20"/>
    <mergeCell ref="H20:I20"/>
    <mergeCell ref="K20:N20"/>
    <mergeCell ref="O20:P20"/>
    <mergeCell ref="Q20:R20"/>
    <mergeCell ref="B21:E21"/>
    <mergeCell ref="F21:G21"/>
    <mergeCell ref="H21:I21"/>
    <mergeCell ref="K21:N21"/>
    <mergeCell ref="O21:P21"/>
    <mergeCell ref="Q21:R21"/>
    <mergeCell ref="B22:E22"/>
    <mergeCell ref="F22:G22"/>
    <mergeCell ref="H22:I22"/>
    <mergeCell ref="K22:N22"/>
    <mergeCell ref="O22:P22"/>
    <mergeCell ref="Q22:R22"/>
    <mergeCell ref="B23:E23"/>
    <mergeCell ref="F23:G23"/>
    <mergeCell ref="H23:I23"/>
    <mergeCell ref="K23:N23"/>
    <mergeCell ref="O23:P23"/>
    <mergeCell ref="Q23:R23"/>
    <mergeCell ref="B24:E24"/>
    <mergeCell ref="F24:G24"/>
    <mergeCell ref="H24:I24"/>
    <mergeCell ref="K24:N24"/>
    <mergeCell ref="O24:P24"/>
    <mergeCell ref="Q24:R24"/>
    <mergeCell ref="B25:E25"/>
    <mergeCell ref="F25:G25"/>
    <mergeCell ref="H25:I25"/>
    <mergeCell ref="K25:N25"/>
    <mergeCell ref="O25:P25"/>
    <mergeCell ref="Q25:R25"/>
    <mergeCell ref="B26:E26"/>
    <mergeCell ref="F26:G26"/>
    <mergeCell ref="H26:I26"/>
    <mergeCell ref="K26:N26"/>
    <mergeCell ref="O26:P26"/>
    <mergeCell ref="Q26:R26"/>
    <mergeCell ref="B27:E27"/>
    <mergeCell ref="F27:G27"/>
    <mergeCell ref="H27:I27"/>
    <mergeCell ref="K27:N27"/>
    <mergeCell ref="O27:P27"/>
    <mergeCell ref="Q27:R27"/>
    <mergeCell ref="B28:E28"/>
    <mergeCell ref="F28:G28"/>
    <mergeCell ref="H28:I28"/>
    <mergeCell ref="K28:N28"/>
    <mergeCell ref="O28:P28"/>
    <mergeCell ref="Q28:R28"/>
    <mergeCell ref="B30:M30"/>
    <mergeCell ref="B31:E31"/>
    <mergeCell ref="F31:I31"/>
    <mergeCell ref="J31:M31"/>
    <mergeCell ref="B32:E32"/>
    <mergeCell ref="F32:I32"/>
    <mergeCell ref="J32:M32"/>
    <mergeCell ref="B34:M36"/>
  </mergeCells>
  <hyperlinks>
    <hyperlink ref="B12" location="'Executive Dashboard'!A1" display="🏆  EXECUTIVE DASHBOARD"/>
    <hyperlink ref="H12" location="'Leadership Review'!A1" display="🧭  LEADERSHIP REVIEW"/>
    <hyperlink ref="F17" location="'Toolbox Talks'!A1" display="Register"/>
    <hyperlink ref="H17" location="'Dash · Toolbox Talks'!A1" display="Dashboard"/>
    <hyperlink ref="O17" location="'JSA Risk Assessment'!A1" display="Register"/>
    <hyperlink ref="Q17" location="'Dash · JSA Risk Assessment'!A1" display="Dashboard"/>
    <hyperlink ref="F18" location="'Training'!A1" display="Register"/>
    <hyperlink ref="H18" location="'Dash · Training'!A1" display="Dashboard"/>
    <hyperlink ref="O18" location="'HSE Observations'!A1" display="Register"/>
    <hyperlink ref="Q18" location="'Dash · HSE Observations'!A1" display="Dashboard"/>
    <hyperlink ref="F19" location="'Workplace Inspections'!A1" display="Register"/>
    <hyperlink ref="H19" location="'Dash · Workplace Inspections'!A1" display="Dashboard"/>
    <hyperlink ref="O19" location="'Equipment Inspections'!A1" display="Register"/>
    <hyperlink ref="Q19" location="'Dash · Equipment Inspections'!A1" display="Dashboard"/>
    <hyperlink ref="F20" location="'Safety Walkthroughs'!A1" display="Register"/>
    <hyperlink ref="H20" location="'Dash · Safety Walkthroughs'!A1" display="Dashboard"/>
    <hyperlink ref="O20" location="'Safety Meetings'!A1" display="Register"/>
    <hyperlink ref="Q20" location="'Dash · Safety Meetings'!A1" display="Dashboard"/>
    <hyperlink ref="F21" location="'Safety Bulletins'!A1" display="Register"/>
    <hyperlink ref="H21" location="'Dash · Safety Bulletins'!A1" display="Dashboard"/>
    <hyperlink ref="O21" location="'Emergency Drills'!A1" display="Register"/>
    <hyperlink ref="Q21" location="'Dash · Emergency Drills'!A1" display="Dashboard"/>
    <hyperlink ref="F22" location="'Internal Audits'!A1" display="Register"/>
    <hyperlink ref="H22" location="'Dash · Internal Audits'!A1" display="Dashboard"/>
    <hyperlink ref="O22" location="'External Audits'!A1" display="Register"/>
    <hyperlink ref="Q22" location="'Dash · External Audits'!A1" display="Dashboard"/>
    <hyperlink ref="F23" location="'Management Visits'!A1" display="Register"/>
    <hyperlink ref="H23" location="'Dash · Management Visits'!A1" display="Dashboard"/>
    <hyperlink ref="O23" location="'Management Reviews'!A1" display="Register"/>
    <hyperlink ref="Q23" location="'Dash · Management Reviews'!A1" display="Dashboard"/>
    <hyperlink ref="F24" location="'Disciplinary Actions'!A1" display="Register"/>
    <hyperlink ref="H24" location="'Dash · Disciplinary Actions'!A1" display="Dashboard"/>
    <hyperlink ref="O24" location="'Safety Awards'!A1" display="Register"/>
    <hyperlink ref="Q24" location="'Dash · Safety Awards'!A1" display="Dashboard"/>
    <hyperlink ref="F25" location="'Stop Work Authority'!A1" display="Register"/>
    <hyperlink ref="H25" location="'Dash · Stop Work Authority'!A1" display="Dashboard"/>
    <hyperlink ref="O25" location="'Alcohol Tests'!A1" display="Register"/>
    <hyperlink ref="Q25" location="'Dash · Alcohol Tests'!A1" display="Dashboard"/>
    <hyperlink ref="F26" location="'PTW Audits'!A1" display="Register"/>
    <hyperlink ref="H26" location="'Dash · PTW Audits'!A1" display="Dashboard"/>
    <hyperlink ref="O26" location="'Corrective Actions'!A1" display="Register"/>
    <hyperlink ref="Q26" location="'Dash · Corrective Actions'!A1" display="Dashboard"/>
    <hyperlink ref="F27" location="'NC Management'!A1" display="Register"/>
    <hyperlink ref="H27" location="'Dash · NC Management'!A1" display="Dashboard"/>
    <hyperlink ref="O27" location="'Unsafe Acts'!A1" display="Register"/>
    <hyperlink ref="Q27" location="'Dash · Unsafe Acts'!A1" display="Dashboard"/>
    <hyperlink ref="F28" location="'Unsafe Conditions'!A1" display="Register"/>
    <hyperlink ref="H28" location="'Dash · Unsafe Conditions'!A1" display="Dashboard"/>
    <hyperlink ref="O28" location="'Incident'!A1" display="Register"/>
    <hyperlink ref="Q28" location="'Dash · Incident'!A1" display="Dashboard"/>
    <hyperlink ref="B31" location="'Master Data'!A1" display="Master Data"/>
    <hyperlink ref="F31" location="'Settings'!A1" display="Settings"/>
    <hyperlink ref="J31" location="'Help'!A1" display="Help"/>
    <hyperlink ref="B32" location="'Calculations'!A1" display="Calculations"/>
    <hyperlink ref="F32" location="'Incident'!A1" display="Incident Register"/>
    <hyperlink ref="J32" location="'Corrective Actions'!A1" display="Corrective Actions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0F3D6E"/>
  </sheetPr>
  <dimension ref="A1:S188"/>
  <sheetViews>
    <sheetView showGridLines="0" zoomScale="75" zoomScaleNormal="7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1917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1918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</row>
    <row r="11" spans="2:19">
      <c r="B11" s="9" t="s">
        <v>1923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>
      <c r="B12" s="10" t="s">
        <v>1924</v>
      </c>
      <c r="C12" s="14" t="s">
        <v>73</v>
      </c>
      <c r="D12" s="14"/>
      <c r="F12" s="10" t="s">
        <v>129</v>
      </c>
      <c r="G12" s="14" t="s">
        <v>1600</v>
      </c>
      <c r="H12" s="14"/>
      <c r="J12" s="10" t="s">
        <v>1925</v>
      </c>
      <c r="K12" s="14" t="s">
        <v>1600</v>
      </c>
      <c r="L12" s="14"/>
      <c r="N12" s="8" t="s">
        <v>1926</v>
      </c>
      <c r="O12" s="8"/>
      <c r="P12" s="8"/>
      <c r="Q12" s="8"/>
      <c r="R12" s="8"/>
      <c r="S12" s="8"/>
    </row>
    <row r="14" spans="2:19" ht="20" customHeight="1">
      <c r="B14" s="38" t="s">
        <v>1927</v>
      </c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</row>
    <row r="15" spans="2:19" ht="4" customHeight="1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</row>
    <row r="16" spans="2:19">
      <c r="B16" s="40" t="s">
        <v>1639</v>
      </c>
      <c r="C16" s="40"/>
      <c r="D16" s="40"/>
      <c r="E16" s="40" t="s">
        <v>1641</v>
      </c>
      <c r="F16" s="40"/>
      <c r="G16" s="40"/>
      <c r="H16" s="40" t="s">
        <v>1928</v>
      </c>
      <c r="I16" s="40"/>
      <c r="J16" s="40"/>
      <c r="K16" s="40" t="s">
        <v>1929</v>
      </c>
      <c r="L16" s="40"/>
      <c r="M16" s="40"/>
      <c r="N16" s="40" t="s">
        <v>1930</v>
      </c>
      <c r="O16" s="40"/>
      <c r="P16" s="40"/>
      <c r="Q16" s="40" t="s">
        <v>1931</v>
      </c>
      <c r="R16" s="40"/>
      <c r="S16" s="40"/>
    </row>
    <row r="17" spans="2:19">
      <c r="B17" s="41">
        <f>Calculations!$BX$12</f>
        <v>0</v>
      </c>
      <c r="C17" s="41"/>
      <c r="D17" s="41"/>
      <c r="E17" s="41">
        <f>Calculations!$BX$13</f>
        <v>0</v>
      </c>
      <c r="F17" s="41"/>
      <c r="G17" s="41"/>
      <c r="H17" s="42">
        <f>Calculations!$BX$14</f>
        <v>0</v>
      </c>
      <c r="I17" s="42"/>
      <c r="J17" s="42"/>
      <c r="K17" s="42">
        <f>Calculations!$BX$15</f>
        <v>0</v>
      </c>
      <c r="L17" s="42"/>
      <c r="M17" s="42"/>
      <c r="N17" s="42">
        <f>Calculations!$BX$16</f>
        <v>0</v>
      </c>
      <c r="O17" s="42"/>
      <c r="P17" s="42"/>
      <c r="Q17" s="42">
        <f>Calculations!$BX$17</f>
        <v>0</v>
      </c>
      <c r="R17" s="42"/>
      <c r="S17" s="42"/>
    </row>
    <row r="18" spans="2:19">
      <c r="B18" s="41"/>
      <c r="C18" s="41"/>
      <c r="D18" s="41"/>
      <c r="E18" s="41"/>
      <c r="F18" s="41"/>
      <c r="G18" s="41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</row>
    <row r="19" spans="2:19">
      <c r="B19" s="43">
        <f>IF(Calculations!$BY$12=0,IF(Calculations!$BX$12&gt;0,"▲ new","● flat"),IF(Calculations!$BX$12=Calculations!$BY$12,"● flat",(IF(Calculations!$BX$12&gt;Calculations!$BY$12,"▲ ","▼ "))&amp;TEXT(ABS(Calculations!$BZ$12),"0.0%")&amp;" vs prior"))</f>
        <v>0</v>
      </c>
      <c r="C19" s="43"/>
      <c r="D19" s="43"/>
      <c r="E19" s="43">
        <f>IF(Calculations!$BY$13=0,IF(Calculations!$BX$13&gt;0,"▲ new","● flat"),IF(Calculations!$BX$13=Calculations!$BY$13,"● flat",(IF(Calculations!$BX$13&gt;Calculations!$BY$13,"▲ ","▼ "))&amp;TEXT(ABS(Calculations!$BZ$13),"0.0%")&amp;" vs prior"))</f>
        <v>0</v>
      </c>
      <c r="F19" s="43"/>
      <c r="G19" s="43"/>
      <c r="H19" s="43">
        <f>IF(Calculations!$BY$14=0,IF(Calculations!$BX$14&gt;0,"▲ new","● flat"),IF(Calculations!$BX$14=Calculations!$BY$14,"● flat",(IF(Calculations!$BX$14&gt;Calculations!$BY$14,"▲ ","▼ "))&amp;TEXT(ABS(Calculations!$BZ$14),"0.0%")&amp;" vs prior"))</f>
        <v>0</v>
      </c>
      <c r="I19" s="43"/>
      <c r="J19" s="43"/>
      <c r="K19" s="43">
        <f>IF(Calculations!$BY$15=0,IF(Calculations!$BX$15&gt;0,"▲ new","● flat"),IF(Calculations!$BX$15=Calculations!$BY$15,"● flat",(IF(Calculations!$BX$15&gt;Calculations!$BY$15,"▲ ","▼ "))&amp;TEXT(ABS(Calculations!$BZ$15),"0.0%")&amp;" vs prior"))</f>
        <v>0</v>
      </c>
      <c r="L19" s="43"/>
      <c r="M19" s="43"/>
      <c r="N19" s="43">
        <f>IF(Calculations!$BY$16=0,IF(Calculations!$BX$16&gt;0,"▲ new","● flat"),IF(Calculations!$BX$16=Calculations!$BY$16,"● flat",(IF(Calculations!$BX$16&gt;Calculations!$BY$16,"▲ ","▼ "))&amp;TEXT(ABS(Calculations!$BZ$16),"0.0%")&amp;" vs prior"))</f>
        <v>0</v>
      </c>
      <c r="O19" s="43"/>
      <c r="P19" s="43"/>
      <c r="Q19" s="43">
        <f>IF(Calculations!$BY$17=0,IF(Calculations!$BX$17&gt;0,"▲ new","● flat"),IF(Calculations!$BX$17=Calculations!$BY$17,"● flat",(IF(Calculations!$BX$17&gt;Calculations!$BY$17,"▲ ","▼ "))&amp;TEXT(ABS(Calculations!$BZ$17),"0.0%")&amp;" vs prior"))</f>
        <v>0</v>
      </c>
      <c r="R19" s="43"/>
      <c r="S19" s="43"/>
    </row>
    <row r="21" spans="2:19" ht="4" customHeight="1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</row>
    <row r="22" spans="2:19">
      <c r="B22" s="40" t="s">
        <v>1932</v>
      </c>
      <c r="C22" s="40"/>
      <c r="D22" s="40"/>
      <c r="E22" s="40" t="s">
        <v>1933</v>
      </c>
      <c r="F22" s="40"/>
      <c r="G22" s="40"/>
      <c r="H22" s="40" t="s">
        <v>1934</v>
      </c>
      <c r="I22" s="40"/>
      <c r="J22" s="40"/>
      <c r="K22" s="40" t="s">
        <v>1935</v>
      </c>
      <c r="L22" s="40"/>
      <c r="M22" s="40"/>
      <c r="N22" s="40" t="s">
        <v>1936</v>
      </c>
      <c r="O22" s="40"/>
      <c r="P22" s="40"/>
      <c r="Q22" s="40" t="s">
        <v>1937</v>
      </c>
      <c r="R22" s="40"/>
      <c r="S22" s="40"/>
    </row>
    <row r="23" spans="2:19">
      <c r="B23" s="42">
        <f>Calculations!$BX$18</f>
        <v>0</v>
      </c>
      <c r="C23" s="42"/>
      <c r="D23" s="42"/>
      <c r="E23" s="42">
        <f>Calculations!$BX$19</f>
        <v>0</v>
      </c>
      <c r="F23" s="42"/>
      <c r="G23" s="42"/>
      <c r="H23" s="42">
        <f>Calculations!$BX$20</f>
        <v>0</v>
      </c>
      <c r="I23" s="42"/>
      <c r="J23" s="42"/>
      <c r="K23" s="42">
        <f>Calculations!$BX$21</f>
        <v>0</v>
      </c>
      <c r="L23" s="42"/>
      <c r="M23" s="42"/>
      <c r="N23" s="44">
        <f>Calculations!$BX$22</f>
        <v>0</v>
      </c>
      <c r="O23" s="44"/>
      <c r="P23" s="44"/>
      <c r="Q23" s="44">
        <f>Calculations!$BX$23</f>
        <v>0</v>
      </c>
      <c r="R23" s="44"/>
      <c r="S23" s="44"/>
    </row>
    <row r="24" spans="2:19"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4"/>
      <c r="O24" s="44"/>
      <c r="P24" s="44"/>
      <c r="Q24" s="44"/>
      <c r="R24" s="44"/>
      <c r="S24" s="44"/>
    </row>
    <row r="25" spans="2:19">
      <c r="B25" s="43">
        <f>IF(Calculations!$BY$18=0,IF(Calculations!$BX$18&gt;0,"▲ new","● flat"),IF(Calculations!$BX$18=Calculations!$BY$18,"● flat",(IF(Calculations!$BX$18&gt;Calculations!$BY$18,"▲ ","▼ "))&amp;TEXT(ABS(Calculations!$BZ$18),"0.0%")&amp;" vs prior"))</f>
        <v>0</v>
      </c>
      <c r="C25" s="43"/>
      <c r="D25" s="43"/>
      <c r="E25" s="43">
        <f>IF(Calculations!$BY$19=0,IF(Calculations!$BX$19&gt;0,"▲ new","● flat"),IF(Calculations!$BX$19=Calculations!$BY$19,"● flat",(IF(Calculations!$BX$19&gt;Calculations!$BY$19,"▲ ","▼ "))&amp;TEXT(ABS(Calculations!$BZ$19),"0.0%")&amp;" vs prior"))</f>
        <v>0</v>
      </c>
      <c r="F25" s="43"/>
      <c r="G25" s="43"/>
      <c r="H25" s="43">
        <f>IF(Calculations!$BY$20=0,IF(Calculations!$BX$20&gt;0,"▲ new","● flat"),IF(Calculations!$BX$20=Calculations!$BY$20,"● flat",(IF(Calculations!$BX$20&gt;Calculations!$BY$20,"▲ ","▼ "))&amp;TEXT(ABS(Calculations!$BZ$20),"0.0%")&amp;" vs prior"))</f>
        <v>0</v>
      </c>
      <c r="I25" s="43"/>
      <c r="J25" s="43"/>
      <c r="K25" s="43">
        <f>IF(Calculations!$BY$21=0,IF(Calculations!$BX$21&gt;0,"▲ new","● flat"),IF(Calculations!$BX$21=Calculations!$BY$21,"● flat",(IF(Calculations!$BX$21&gt;Calculations!$BY$21,"▲ ","▼ "))&amp;TEXT(ABS(Calculations!$BZ$21),"0.0%")&amp;" vs prior"))</f>
        <v>0</v>
      </c>
      <c r="L25" s="43"/>
      <c r="M25" s="43"/>
      <c r="N25" s="43">
        <f>IF(Calculations!$BY$22=0,IF(Calculations!$BX$22&gt;0,"▲ new","● flat"),IF(Calculations!$BX$22=Calculations!$BY$22,"● flat",(IF(Calculations!$BX$22&gt;Calculations!$BY$22,"▲ ","▼ "))&amp;TEXT(ABS(Calculations!$BZ$22),"0.0%")&amp;" vs prior"))</f>
        <v>0</v>
      </c>
      <c r="O25" s="43"/>
      <c r="P25" s="43"/>
      <c r="Q25" s="43">
        <f>IF(Calculations!$BY$23=0,IF(Calculations!$BX$23&gt;0,"▲ new","● flat"),IF(Calculations!$BX$23=Calculations!$BY$23,"● flat",(IF(Calculations!$BX$23&gt;Calculations!$BY$23,"▲ ","▼ "))&amp;TEXT(ABS(Calculations!$BZ$23),"0.0%")&amp;" vs prior"))</f>
        <v>0</v>
      </c>
      <c r="R25" s="43"/>
      <c r="S25" s="43"/>
    </row>
    <row r="28" spans="2:19" ht="20" customHeight="1">
      <c r="B28" s="45" t="s">
        <v>1938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</row>
    <row r="29" spans="2:19" ht="4" customHeight="1"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</row>
    <row r="30" spans="2:19">
      <c r="B30" s="40" t="s">
        <v>1939</v>
      </c>
      <c r="C30" s="40"/>
      <c r="D30" s="40"/>
      <c r="E30" s="40" t="s">
        <v>1940</v>
      </c>
      <c r="F30" s="40"/>
      <c r="G30" s="40"/>
      <c r="H30" s="40" t="s">
        <v>1941</v>
      </c>
      <c r="I30" s="40"/>
      <c r="J30" s="40"/>
      <c r="K30" s="40" t="s">
        <v>1942</v>
      </c>
      <c r="L30" s="40"/>
      <c r="M30" s="40"/>
      <c r="N30" s="40" t="s">
        <v>1943</v>
      </c>
      <c r="O30" s="40"/>
      <c r="P30" s="40"/>
      <c r="Q30" s="40" t="s">
        <v>1944</v>
      </c>
      <c r="R30" s="40"/>
      <c r="S30" s="40"/>
    </row>
    <row r="31" spans="2:19">
      <c r="B31" s="42">
        <f>Calculations!$BX$24</f>
        <v>0</v>
      </c>
      <c r="C31" s="42"/>
      <c r="D31" s="42"/>
      <c r="E31" s="44">
        <f>Calculations!$BX$25</f>
        <v>0</v>
      </c>
      <c r="F31" s="44"/>
      <c r="G31" s="44"/>
      <c r="H31" s="42">
        <f>Calculations!$BX$26</f>
        <v>0</v>
      </c>
      <c r="I31" s="42"/>
      <c r="J31" s="42"/>
      <c r="K31" s="44">
        <f>Calculations!$BX$27</f>
        <v>0</v>
      </c>
      <c r="L31" s="44"/>
      <c r="M31" s="44"/>
      <c r="N31" s="42">
        <f>Calculations!$BX$28</f>
        <v>0</v>
      </c>
      <c r="O31" s="42"/>
      <c r="P31" s="42"/>
      <c r="Q31" s="44">
        <f>Calculations!$BX$29</f>
        <v>0</v>
      </c>
      <c r="R31" s="44"/>
      <c r="S31" s="44"/>
    </row>
    <row r="32" spans="2:19">
      <c r="B32" s="42"/>
      <c r="C32" s="42"/>
      <c r="D32" s="42"/>
      <c r="E32" s="44"/>
      <c r="F32" s="44"/>
      <c r="G32" s="44"/>
      <c r="H32" s="42"/>
      <c r="I32" s="42"/>
      <c r="J32" s="42"/>
      <c r="K32" s="44"/>
      <c r="L32" s="44"/>
      <c r="M32" s="44"/>
      <c r="N32" s="42"/>
      <c r="O32" s="42"/>
      <c r="P32" s="42"/>
      <c r="Q32" s="44"/>
      <c r="R32" s="44"/>
      <c r="S32" s="44"/>
    </row>
    <row r="33" spans="2:19">
      <c r="B33" s="43">
        <f>IF(Calculations!$BY$24=0,IF(Calculations!$BX$24&gt;0,"▲ new","● flat"),IF(Calculations!$BX$24=Calculations!$BY$24,"● flat",(IF(Calculations!$BX$24&gt;Calculations!$BY$24,"▲ ","▼ "))&amp;TEXT(ABS(Calculations!$BZ$24),"0.0%")&amp;" vs prior"))</f>
        <v>0</v>
      </c>
      <c r="C33" s="43"/>
      <c r="D33" s="43"/>
      <c r="E33" s="43">
        <f>IF(Calculations!$BY$25=0,IF(Calculations!$BX$25&gt;0,"▲ new","● flat"),IF(Calculations!$BX$25=Calculations!$BY$25,"● flat",(IF(Calculations!$BX$25&gt;Calculations!$BY$25,"▲ ","▼ "))&amp;TEXT(ABS(Calculations!$BZ$25),"0.0%")&amp;" vs prior"))</f>
        <v>0</v>
      </c>
      <c r="F33" s="43"/>
      <c r="G33" s="43"/>
      <c r="H33" s="43">
        <f>IF(Calculations!$BY$26=0,IF(Calculations!$BX$26&gt;0,"▲ new","● flat"),IF(Calculations!$BX$26=Calculations!$BY$26,"● flat",(IF(Calculations!$BX$26&gt;Calculations!$BY$26,"▲ ","▼ "))&amp;TEXT(ABS(Calculations!$BZ$26),"0.0%")&amp;" vs prior"))</f>
        <v>0</v>
      </c>
      <c r="I33" s="43"/>
      <c r="J33" s="43"/>
      <c r="K33" s="43">
        <f>IF(Calculations!$BY$27=0,IF(Calculations!$BX$27&gt;0,"▲ new","● flat"),IF(Calculations!$BX$27=Calculations!$BY$27,"● flat",(IF(Calculations!$BX$27&gt;Calculations!$BY$27,"▲ ","▼ "))&amp;TEXT(ABS(Calculations!$BZ$27),"0.0%")&amp;" vs prior"))</f>
        <v>0</v>
      </c>
      <c r="L33" s="43"/>
      <c r="M33" s="43"/>
      <c r="N33" s="43">
        <f>IF(Calculations!$BY$28=0,IF(Calculations!$BX$28&gt;0,"▲ new","● flat"),IF(Calculations!$BX$28=Calculations!$BY$28,"● flat",(IF(Calculations!$BX$28&gt;Calculations!$BY$28,"▲ ","▼ "))&amp;TEXT(ABS(Calculations!$BZ$28),"0.0%")&amp;" vs prior"))</f>
        <v>0</v>
      </c>
      <c r="O33" s="43"/>
      <c r="P33" s="43"/>
      <c r="Q33" s="43">
        <f>IF(Calculations!$BY$29=0,IF(Calculations!$BX$29&gt;0,"▲ new","● flat"),IF(Calculations!$BX$29=Calculations!$BY$29,"● flat",(IF(Calculations!$BX$29&gt;Calculations!$BY$29,"▲ ","▼ "))&amp;TEXT(ABS(Calculations!$BZ$29),"0.0%")&amp;" vs prior"))</f>
        <v>0</v>
      </c>
      <c r="R33" s="43"/>
      <c r="S33" s="43"/>
    </row>
    <row r="35" spans="2:19" ht="4" customHeight="1"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</row>
    <row r="36" spans="2:19">
      <c r="B36" s="40" t="s">
        <v>1945</v>
      </c>
      <c r="C36" s="40"/>
      <c r="D36" s="40"/>
      <c r="E36" s="40" t="s">
        <v>1946</v>
      </c>
      <c r="F36" s="40"/>
      <c r="G36" s="40"/>
      <c r="H36" s="40" t="s">
        <v>1947</v>
      </c>
      <c r="I36" s="40"/>
      <c r="J36" s="40"/>
      <c r="K36" s="40" t="s">
        <v>1948</v>
      </c>
      <c r="L36" s="40"/>
      <c r="M36" s="40"/>
      <c r="N36" s="40" t="s">
        <v>1949</v>
      </c>
      <c r="O36" s="40"/>
      <c r="P36" s="40"/>
      <c r="Q36" s="40" t="s">
        <v>1950</v>
      </c>
      <c r="R36" s="40"/>
      <c r="S36" s="40"/>
    </row>
    <row r="37" spans="2:19">
      <c r="B37" s="42">
        <f>Calculations!$BX$30</f>
        <v>0</v>
      </c>
      <c r="C37" s="42"/>
      <c r="D37" s="42"/>
      <c r="E37" s="44">
        <f>Calculations!$BX$31</f>
        <v>0</v>
      </c>
      <c r="F37" s="44"/>
      <c r="G37" s="44"/>
      <c r="H37" s="42">
        <f>Calculations!$BX$32</f>
        <v>0</v>
      </c>
      <c r="I37" s="42"/>
      <c r="J37" s="42"/>
      <c r="K37" s="44">
        <f>Calculations!$BX$33</f>
        <v>0</v>
      </c>
      <c r="L37" s="44"/>
      <c r="M37" s="44"/>
      <c r="N37" s="42">
        <f>Calculations!$BX$34</f>
        <v>0</v>
      </c>
      <c r="O37" s="42"/>
      <c r="P37" s="42"/>
      <c r="Q37" s="42">
        <f>Calculations!$BX$35</f>
        <v>0</v>
      </c>
      <c r="R37" s="42"/>
      <c r="S37" s="42"/>
    </row>
    <row r="38" spans="2:19">
      <c r="B38" s="42"/>
      <c r="C38" s="42"/>
      <c r="D38" s="42"/>
      <c r="E38" s="44"/>
      <c r="F38" s="44"/>
      <c r="G38" s="44"/>
      <c r="H38" s="42"/>
      <c r="I38" s="42"/>
      <c r="J38" s="42"/>
      <c r="K38" s="44"/>
      <c r="L38" s="44"/>
      <c r="M38" s="44"/>
      <c r="N38" s="42"/>
      <c r="O38" s="42"/>
      <c r="P38" s="42"/>
      <c r="Q38" s="42"/>
      <c r="R38" s="42"/>
      <c r="S38" s="42"/>
    </row>
    <row r="39" spans="2:19">
      <c r="B39" s="43">
        <f>IF(Calculations!$BY$30=0,IF(Calculations!$BX$30&gt;0,"▲ new","● flat"),IF(Calculations!$BX$30=Calculations!$BY$30,"● flat",(IF(Calculations!$BX$30&gt;Calculations!$BY$30,"▲ ","▼ "))&amp;TEXT(ABS(Calculations!$BZ$30),"0.0%")&amp;" vs prior"))</f>
        <v>0</v>
      </c>
      <c r="C39" s="43"/>
      <c r="D39" s="43"/>
      <c r="E39" s="43">
        <f>IF(Calculations!$BY$31=0,IF(Calculations!$BX$31&gt;0,"▲ new","● flat"),IF(Calculations!$BX$31=Calculations!$BY$31,"● flat",(IF(Calculations!$BX$31&gt;Calculations!$BY$31,"▲ ","▼ "))&amp;TEXT(ABS(Calculations!$BZ$31),"0.0%")&amp;" vs prior"))</f>
        <v>0</v>
      </c>
      <c r="F39" s="43"/>
      <c r="G39" s="43"/>
      <c r="H39" s="43">
        <f>IF(Calculations!$BY$32=0,IF(Calculations!$BX$32&gt;0,"▲ new","● flat"),IF(Calculations!$BX$32=Calculations!$BY$32,"● flat",(IF(Calculations!$BX$32&gt;Calculations!$BY$32,"▲ ","▼ "))&amp;TEXT(ABS(Calculations!$BZ$32),"0.0%")&amp;" vs prior"))</f>
        <v>0</v>
      </c>
      <c r="I39" s="43"/>
      <c r="J39" s="43"/>
      <c r="K39" s="43">
        <f>IF(Calculations!$BY$33=0,IF(Calculations!$BX$33&gt;0,"▲ new","● flat"),IF(Calculations!$BX$33=Calculations!$BY$33,"● flat",(IF(Calculations!$BX$33&gt;Calculations!$BY$33,"▲ ","▼ "))&amp;TEXT(ABS(Calculations!$BZ$33),"0.0%")&amp;" vs prior"))</f>
        <v>0</v>
      </c>
      <c r="L39" s="43"/>
      <c r="M39" s="43"/>
      <c r="N39" s="43">
        <f>IF(Calculations!$BY$34=0,IF(Calculations!$BX$34&gt;0,"▲ new","● flat"),IF(Calculations!$BX$34=Calculations!$BY$34,"● flat",(IF(Calculations!$BX$34&gt;Calculations!$BY$34,"▲ ","▼ "))&amp;TEXT(ABS(Calculations!$BZ$34),"0.0%")&amp;" vs prior"))</f>
        <v>0</v>
      </c>
      <c r="O39" s="43"/>
      <c r="P39" s="43"/>
      <c r="Q39" s="43">
        <f>IF(Calculations!$BY$35=0,IF(Calculations!$BX$35&gt;0,"▲ new","● flat"),IF(Calculations!$BX$35=Calculations!$BY$35,"● flat",(IF(Calculations!$BX$35&gt;Calculations!$BY$35,"▲ ","▼ "))&amp;TEXT(ABS(Calculations!$BZ$35),"0.0%")&amp;" vs prior"))</f>
        <v>0</v>
      </c>
      <c r="R39" s="43"/>
      <c r="S39" s="43"/>
    </row>
    <row r="41" spans="2:19" ht="4" customHeight="1"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</row>
    <row r="42" spans="2:19">
      <c r="B42" s="40" t="s">
        <v>1951</v>
      </c>
      <c r="C42" s="40"/>
      <c r="D42" s="40"/>
      <c r="E42" s="40" t="s">
        <v>1952</v>
      </c>
      <c r="F42" s="40"/>
      <c r="G42" s="40"/>
      <c r="H42" s="40" t="s">
        <v>1953</v>
      </c>
      <c r="I42" s="40"/>
      <c r="J42" s="40"/>
      <c r="K42" s="40" t="s">
        <v>1954</v>
      </c>
      <c r="L42" s="40"/>
      <c r="M42" s="40"/>
      <c r="N42" s="40" t="s">
        <v>1955</v>
      </c>
      <c r="O42" s="40"/>
      <c r="P42" s="40"/>
      <c r="Q42" s="40" t="s">
        <v>1956</v>
      </c>
      <c r="R42" s="40"/>
      <c r="S42" s="40"/>
    </row>
    <row r="43" spans="2:19">
      <c r="B43" s="42">
        <f>Calculations!$BX$36</f>
        <v>0</v>
      </c>
      <c r="C43" s="42"/>
      <c r="D43" s="42"/>
      <c r="E43" s="42">
        <f>Calculations!$BX$37</f>
        <v>0</v>
      </c>
      <c r="F43" s="42"/>
      <c r="G43" s="42"/>
      <c r="H43" s="44">
        <f>Calculations!$BX$38</f>
        <v>0</v>
      </c>
      <c r="I43" s="44"/>
      <c r="J43" s="44"/>
      <c r="K43" s="42">
        <f>Calculations!$BX$39</f>
        <v>0</v>
      </c>
      <c r="L43" s="42"/>
      <c r="M43" s="42"/>
      <c r="N43" s="44">
        <f>Calculations!$BX$40</f>
        <v>0</v>
      </c>
      <c r="O43" s="44"/>
      <c r="P43" s="44"/>
      <c r="Q43" s="42">
        <f>Calculations!$BX$41</f>
        <v>0</v>
      </c>
      <c r="R43" s="42"/>
      <c r="S43" s="42"/>
    </row>
    <row r="44" spans="2:19">
      <c r="B44" s="42"/>
      <c r="C44" s="42"/>
      <c r="D44" s="42"/>
      <c r="E44" s="42"/>
      <c r="F44" s="42"/>
      <c r="G44" s="42"/>
      <c r="H44" s="44"/>
      <c r="I44" s="44"/>
      <c r="J44" s="44"/>
      <c r="K44" s="42"/>
      <c r="L44" s="42"/>
      <c r="M44" s="42"/>
      <c r="N44" s="44"/>
      <c r="O44" s="44"/>
      <c r="P44" s="44"/>
      <c r="Q44" s="42"/>
      <c r="R44" s="42"/>
      <c r="S44" s="42"/>
    </row>
    <row r="45" spans="2:19">
      <c r="B45" s="43">
        <f>IF(Calculations!$BY$36=0,IF(Calculations!$BX$36&gt;0,"▲ new","● flat"),IF(Calculations!$BX$36=Calculations!$BY$36,"● flat",(IF(Calculations!$BX$36&gt;Calculations!$BY$36,"▲ ","▼ "))&amp;TEXT(ABS(Calculations!$BZ$36),"0.0%")&amp;" vs prior"))</f>
        <v>0</v>
      </c>
      <c r="C45" s="43"/>
      <c r="D45" s="43"/>
      <c r="E45" s="43">
        <f>IF(Calculations!$BY$37=0,IF(Calculations!$BX$37&gt;0,"▲ new","● flat"),IF(Calculations!$BX$37=Calculations!$BY$37,"● flat",(IF(Calculations!$BX$37&gt;Calculations!$BY$37,"▲ ","▼ "))&amp;TEXT(ABS(Calculations!$BZ$37),"0.0%")&amp;" vs prior"))</f>
        <v>0</v>
      </c>
      <c r="F45" s="43"/>
      <c r="G45" s="43"/>
      <c r="H45" s="43">
        <f>IF(Calculations!$BY$38=0,IF(Calculations!$BX$38&gt;0,"▲ new","● flat"),IF(Calculations!$BX$38=Calculations!$BY$38,"● flat",(IF(Calculations!$BX$38&gt;Calculations!$BY$38,"▲ ","▼ "))&amp;TEXT(ABS(Calculations!$BZ$38),"0.0%")&amp;" vs prior"))</f>
        <v>0</v>
      </c>
      <c r="I45" s="43"/>
      <c r="J45" s="43"/>
      <c r="K45" s="43">
        <f>IF(Calculations!$BY$39=0,IF(Calculations!$BX$39&gt;0,"▲ new","● flat"),IF(Calculations!$BX$39=Calculations!$BY$39,"● flat",(IF(Calculations!$BX$39&gt;Calculations!$BY$39,"▲ ","▼ "))&amp;TEXT(ABS(Calculations!$BZ$39),"0.0%")&amp;" vs prior"))</f>
        <v>0</v>
      </c>
      <c r="L45" s="43"/>
      <c r="M45" s="43"/>
      <c r="N45" s="43">
        <f>IF(Calculations!$BY$40=0,IF(Calculations!$BX$40&gt;0,"▲ new","● flat"),IF(Calculations!$BX$40=Calculations!$BY$40,"● flat",(IF(Calculations!$BX$40&gt;Calculations!$BY$40,"▲ ","▼ "))&amp;TEXT(ABS(Calculations!$BZ$40),"0.0%")&amp;" vs prior"))</f>
        <v>0</v>
      </c>
      <c r="O45" s="43"/>
      <c r="P45" s="43"/>
      <c r="Q45" s="43">
        <f>IF(Calculations!$BY$41=0,IF(Calculations!$BX$41&gt;0,"▲ new","● flat"),IF(Calculations!$BX$41=Calculations!$BY$41,"● flat",(IF(Calculations!$BX$41&gt;Calculations!$BY$41,"▲ ","▼ "))&amp;TEXT(ABS(Calculations!$BZ$41),"0.0%")&amp;" vs prior"))</f>
        <v>0</v>
      </c>
      <c r="R45" s="43"/>
      <c r="S45" s="43"/>
    </row>
    <row r="47" spans="2:19" ht="4" customHeight="1"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</row>
    <row r="48" spans="2:19">
      <c r="B48" s="40" t="s">
        <v>1957</v>
      </c>
      <c r="C48" s="40"/>
      <c r="D48" s="40"/>
      <c r="E48" s="40" t="s">
        <v>1958</v>
      </c>
      <c r="F48" s="40"/>
      <c r="G48" s="40"/>
      <c r="H48" s="40" t="s">
        <v>1959</v>
      </c>
      <c r="I48" s="40"/>
      <c r="J48" s="40"/>
      <c r="K48" s="40" t="s">
        <v>1960</v>
      </c>
      <c r="L48" s="40"/>
      <c r="M48" s="40"/>
      <c r="N48" s="40" t="s">
        <v>1961</v>
      </c>
      <c r="O48" s="40"/>
      <c r="P48" s="40"/>
      <c r="Q48" s="40" t="s">
        <v>1962</v>
      </c>
      <c r="R48" s="40"/>
      <c r="S48" s="40"/>
    </row>
    <row r="49" spans="2:19">
      <c r="B49" s="44">
        <f>Calculations!$BX$42</f>
        <v>0</v>
      </c>
      <c r="C49" s="44"/>
      <c r="D49" s="44"/>
      <c r="E49" s="42">
        <f>Calculations!$BX$43</f>
        <v>0</v>
      </c>
      <c r="F49" s="42"/>
      <c r="G49" s="42"/>
      <c r="H49" s="42">
        <f>Calculations!$BX$44</f>
        <v>0</v>
      </c>
      <c r="I49" s="42"/>
      <c r="J49" s="42"/>
      <c r="K49" s="42">
        <f>Calculations!$BX$45</f>
        <v>0</v>
      </c>
      <c r="L49" s="42"/>
      <c r="M49" s="42"/>
      <c r="N49" s="42">
        <f>Calculations!$BX$46</f>
        <v>0</v>
      </c>
      <c r="O49" s="42"/>
      <c r="P49" s="42"/>
      <c r="Q49" s="42">
        <f>Calculations!$BX$47</f>
        <v>0</v>
      </c>
      <c r="R49" s="42"/>
      <c r="S49" s="42"/>
    </row>
    <row r="50" spans="2:19">
      <c r="B50" s="44"/>
      <c r="C50" s="44"/>
      <c r="D50" s="44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</row>
    <row r="51" spans="2:19">
      <c r="B51" s="43">
        <f>IF(Calculations!$BY$42=0,IF(Calculations!$BX$42&gt;0,"▲ new","● flat"),IF(Calculations!$BX$42=Calculations!$BY$42,"● flat",(IF(Calculations!$BX$42&gt;Calculations!$BY$42,"▲ ","▼ "))&amp;TEXT(ABS(Calculations!$BZ$42),"0.0%")&amp;" vs prior"))</f>
        <v>0</v>
      </c>
      <c r="C51" s="43"/>
      <c r="D51" s="43"/>
      <c r="E51" s="43">
        <f>IF(Calculations!$BY$43=0,IF(Calculations!$BX$43&gt;0,"▲ new","● flat"),IF(Calculations!$BX$43=Calculations!$BY$43,"● flat",(IF(Calculations!$BX$43&gt;Calculations!$BY$43,"▲ ","▼ "))&amp;TEXT(ABS(Calculations!$BZ$43),"0.0%")&amp;" vs prior"))</f>
        <v>0</v>
      </c>
      <c r="F51" s="43"/>
      <c r="G51" s="43"/>
      <c r="H51" s="43">
        <f>IF(Calculations!$BY$44=0,IF(Calculations!$BX$44&gt;0,"▲ new","● flat"),IF(Calculations!$BX$44=Calculations!$BY$44,"● flat",(IF(Calculations!$BX$44&gt;Calculations!$BY$44,"▲ ","▼ "))&amp;TEXT(ABS(Calculations!$BZ$44),"0.0%")&amp;" vs prior"))</f>
        <v>0</v>
      </c>
      <c r="I51" s="43"/>
      <c r="J51" s="43"/>
      <c r="K51" s="43">
        <f>IF(Calculations!$BY$45=0,IF(Calculations!$BX$45&gt;0,"▲ new","● flat"),IF(Calculations!$BX$45=Calculations!$BY$45,"● flat",(IF(Calculations!$BX$45&gt;Calculations!$BY$45,"▲ ","▼ "))&amp;TEXT(ABS(Calculations!$BZ$45),"0.0%")&amp;" vs prior"))</f>
        <v>0</v>
      </c>
      <c r="L51" s="43"/>
      <c r="M51" s="43"/>
      <c r="N51" s="43">
        <f>IF(Calculations!$BY$46=0,IF(Calculations!$BX$46&gt;0,"▲ new","● flat"),IF(Calculations!$BX$46=Calculations!$BY$46,"● flat",(IF(Calculations!$BX$46&gt;Calculations!$BY$46,"▲ ","▼ "))&amp;TEXT(ABS(Calculations!$BZ$46),"0.0%")&amp;" vs prior"))</f>
        <v>0</v>
      </c>
      <c r="O51" s="43"/>
      <c r="P51" s="43"/>
      <c r="Q51" s="43">
        <f>IF(Calculations!$BY$47=0,IF(Calculations!$BX$47&gt;0,"▲ new","● flat"),IF(Calculations!$BX$47=Calculations!$BY$47,"● flat",(IF(Calculations!$BX$47&gt;Calculations!$BY$47,"▲ ","▼ "))&amp;TEXT(ABS(Calculations!$BZ$47),"0.0%")&amp;" vs prior"))</f>
        <v>0</v>
      </c>
      <c r="R51" s="43"/>
      <c r="S51" s="43"/>
    </row>
    <row r="53" spans="2:19" ht="4" customHeight="1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</row>
    <row r="54" spans="2:19">
      <c r="B54" s="40" t="s">
        <v>1963</v>
      </c>
      <c r="C54" s="40"/>
      <c r="D54" s="40"/>
      <c r="E54" s="40" t="s">
        <v>1964</v>
      </c>
      <c r="F54" s="40"/>
      <c r="G54" s="40"/>
      <c r="H54" s="40" t="s">
        <v>1965</v>
      </c>
      <c r="I54" s="40"/>
      <c r="J54" s="40"/>
      <c r="K54" s="40" t="s">
        <v>1966</v>
      </c>
      <c r="L54" s="40"/>
      <c r="M54" s="40"/>
      <c r="N54" s="40" t="s">
        <v>1967</v>
      </c>
      <c r="O54" s="40"/>
      <c r="P54" s="40"/>
      <c r="Q54" s="40" t="s">
        <v>1968</v>
      </c>
      <c r="R54" s="40"/>
      <c r="S54" s="40"/>
    </row>
    <row r="55" spans="2:19">
      <c r="B55" s="44">
        <f>Calculations!$BX$48</f>
        <v>0</v>
      </c>
      <c r="C55" s="44"/>
      <c r="D55" s="44"/>
      <c r="E55" s="42">
        <f>Calculations!$BX$49</f>
        <v>0</v>
      </c>
      <c r="F55" s="42"/>
      <c r="G55" s="42"/>
      <c r="H55" s="44">
        <f>Calculations!$BX$50</f>
        <v>0</v>
      </c>
      <c r="I55" s="44"/>
      <c r="J55" s="44"/>
      <c r="K55" s="42">
        <f>Calculations!$BX$51</f>
        <v>0</v>
      </c>
      <c r="L55" s="42"/>
      <c r="M55" s="42"/>
      <c r="N55" s="42">
        <f>Calculations!$BX$52</f>
        <v>0</v>
      </c>
      <c r="O55" s="42"/>
      <c r="P55" s="42"/>
      <c r="Q55" s="42">
        <f>Calculations!$BX$53</f>
        <v>0</v>
      </c>
      <c r="R55" s="42"/>
      <c r="S55" s="42"/>
    </row>
    <row r="56" spans="2:19">
      <c r="B56" s="44"/>
      <c r="C56" s="44"/>
      <c r="D56" s="44"/>
      <c r="E56" s="42"/>
      <c r="F56" s="42"/>
      <c r="G56" s="42"/>
      <c r="H56" s="44"/>
      <c r="I56" s="44"/>
      <c r="J56" s="44"/>
      <c r="K56" s="42"/>
      <c r="L56" s="42"/>
      <c r="M56" s="42"/>
      <c r="N56" s="42"/>
      <c r="O56" s="42"/>
      <c r="P56" s="42"/>
      <c r="Q56" s="42"/>
      <c r="R56" s="42"/>
      <c r="S56" s="42"/>
    </row>
    <row r="57" spans="2:19">
      <c r="B57" s="43">
        <f>IF(Calculations!$BY$48=0,IF(Calculations!$BX$48&gt;0,"▲ new","● flat"),IF(Calculations!$BX$48=Calculations!$BY$48,"● flat",(IF(Calculations!$BX$48&gt;Calculations!$BY$48,"▲ ","▼ "))&amp;TEXT(ABS(Calculations!$BZ$48),"0.0%")&amp;" vs prior"))</f>
        <v>0</v>
      </c>
      <c r="C57" s="43"/>
      <c r="D57" s="43"/>
      <c r="E57" s="43">
        <f>IF(Calculations!$BY$49=0,IF(Calculations!$BX$49&gt;0,"▲ new","● flat"),IF(Calculations!$BX$49=Calculations!$BY$49,"● flat",(IF(Calculations!$BX$49&gt;Calculations!$BY$49,"▲ ","▼ "))&amp;TEXT(ABS(Calculations!$BZ$49),"0.0%")&amp;" vs prior"))</f>
        <v>0</v>
      </c>
      <c r="F57" s="43"/>
      <c r="G57" s="43"/>
      <c r="H57" s="43">
        <f>IF(Calculations!$BY$50=0,IF(Calculations!$BX$50&gt;0,"▲ new","● flat"),IF(Calculations!$BX$50=Calculations!$BY$50,"● flat",(IF(Calculations!$BX$50&gt;Calculations!$BY$50,"▲ ","▼ "))&amp;TEXT(ABS(Calculations!$BZ$50),"0.0%")&amp;" vs prior"))</f>
        <v>0</v>
      </c>
      <c r="I57" s="43"/>
      <c r="J57" s="43"/>
      <c r="K57" s="43">
        <f>IF(Calculations!$BY$51=0,IF(Calculations!$BX$51&gt;0,"▲ new","● flat"),IF(Calculations!$BX$51=Calculations!$BY$51,"● flat",(IF(Calculations!$BX$51&gt;Calculations!$BY$51,"▲ ","▼ "))&amp;TEXT(ABS(Calculations!$BZ$51),"0.0%")&amp;" vs prior"))</f>
        <v>0</v>
      </c>
      <c r="L57" s="43"/>
      <c r="M57" s="43"/>
      <c r="N57" s="43">
        <f>IF(Calculations!$BY$52=0,IF(Calculations!$BX$52&gt;0,"▲ new","● flat"),IF(Calculations!$BX$52=Calculations!$BY$52,"● flat",(IF(Calculations!$BX$52&gt;Calculations!$BY$52,"▲ ","▼ "))&amp;TEXT(ABS(Calculations!$BZ$52),"0.0%")&amp;" vs prior"))</f>
        <v>0</v>
      </c>
      <c r="O57" s="43"/>
      <c r="P57" s="43"/>
      <c r="Q57" s="43">
        <f>IF(Calculations!$BY$53=0,IF(Calculations!$BX$53&gt;0,"▲ new","● flat"),IF(Calculations!$BX$53=Calculations!$BY$53,"● flat",(IF(Calculations!$BX$53&gt;Calculations!$BY$53,"▲ ","▼ "))&amp;TEXT(ABS(Calculations!$BZ$53),"0.0%")&amp;" vs prior"))</f>
        <v>0</v>
      </c>
      <c r="R57" s="43"/>
      <c r="S57" s="43"/>
    </row>
    <row r="59" spans="2:19" ht="4" customHeight="1"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</row>
    <row r="60" spans="2:19">
      <c r="B60" s="40" t="s">
        <v>1969</v>
      </c>
      <c r="C60" s="40"/>
      <c r="D60" s="40"/>
      <c r="E60" s="40" t="s">
        <v>1970</v>
      </c>
      <c r="F60" s="40"/>
      <c r="G60" s="40"/>
      <c r="H60" s="40" t="s">
        <v>1971</v>
      </c>
      <c r="I60" s="40"/>
      <c r="J60" s="40"/>
      <c r="K60" s="40" t="s">
        <v>1972</v>
      </c>
      <c r="L60" s="40"/>
      <c r="M60" s="40"/>
      <c r="N60" s="40" t="s">
        <v>1973</v>
      </c>
      <c r="O60" s="40"/>
      <c r="P60" s="40"/>
      <c r="Q60" s="40" t="s">
        <v>1974</v>
      </c>
      <c r="R60" s="40"/>
      <c r="S60" s="40"/>
    </row>
    <row r="61" spans="2:19">
      <c r="B61" s="42">
        <f>Calculations!$BX$54</f>
        <v>0</v>
      </c>
      <c r="C61" s="42"/>
      <c r="D61" s="42"/>
      <c r="E61" s="44">
        <f>Calculations!$BX$55</f>
        <v>0</v>
      </c>
      <c r="F61" s="44"/>
      <c r="G61" s="44"/>
      <c r="H61" s="42">
        <f>Calculations!$BX$56</f>
        <v>0</v>
      </c>
      <c r="I61" s="42"/>
      <c r="J61" s="42"/>
      <c r="K61" s="44">
        <f>Calculations!$BX$57</f>
        <v>0</v>
      </c>
      <c r="L61" s="44"/>
      <c r="M61" s="44"/>
      <c r="N61" s="42">
        <f>Calculations!$BX$58</f>
        <v>0</v>
      </c>
      <c r="O61" s="42"/>
      <c r="P61" s="42"/>
      <c r="Q61" s="44">
        <f>Calculations!$BX$59</f>
        <v>0</v>
      </c>
      <c r="R61" s="44"/>
      <c r="S61" s="44"/>
    </row>
    <row r="62" spans="2:19">
      <c r="B62" s="42"/>
      <c r="C62" s="42"/>
      <c r="D62" s="42"/>
      <c r="E62" s="44"/>
      <c r="F62" s="44"/>
      <c r="G62" s="44"/>
      <c r="H62" s="42"/>
      <c r="I62" s="42"/>
      <c r="J62" s="42"/>
      <c r="K62" s="44"/>
      <c r="L62" s="44"/>
      <c r="M62" s="44"/>
      <c r="N62" s="42"/>
      <c r="O62" s="42"/>
      <c r="P62" s="42"/>
      <c r="Q62" s="44"/>
      <c r="R62" s="44"/>
      <c r="S62" s="44"/>
    </row>
    <row r="63" spans="2:19">
      <c r="B63" s="43">
        <f>IF(Calculations!$BY$54=0,IF(Calculations!$BX$54&gt;0,"▲ new","● flat"),IF(Calculations!$BX$54=Calculations!$BY$54,"● flat",(IF(Calculations!$BX$54&gt;Calculations!$BY$54,"▲ ","▼ "))&amp;TEXT(ABS(Calculations!$BZ$54),"0.0%")&amp;" vs prior"))</f>
        <v>0</v>
      </c>
      <c r="C63" s="43"/>
      <c r="D63" s="43"/>
      <c r="E63" s="43">
        <f>IF(Calculations!$BY$55=0,IF(Calculations!$BX$55&gt;0,"▲ new","● flat"),IF(Calculations!$BX$55=Calculations!$BY$55,"● flat",(IF(Calculations!$BX$55&gt;Calculations!$BY$55,"▲ ","▼ "))&amp;TEXT(ABS(Calculations!$BZ$55),"0.0%")&amp;" vs prior"))</f>
        <v>0</v>
      </c>
      <c r="F63" s="43"/>
      <c r="G63" s="43"/>
      <c r="H63" s="43">
        <f>IF(Calculations!$BY$56=0,IF(Calculations!$BX$56&gt;0,"▲ new","● flat"),IF(Calculations!$BX$56=Calculations!$BY$56,"● flat",(IF(Calculations!$BX$56&gt;Calculations!$BY$56,"▲ ","▼ "))&amp;TEXT(ABS(Calculations!$BZ$56),"0.0%")&amp;" vs prior"))</f>
        <v>0</v>
      </c>
      <c r="I63" s="43"/>
      <c r="J63" s="43"/>
      <c r="K63" s="43">
        <f>IF(Calculations!$BY$57=0,IF(Calculations!$BX$57&gt;0,"▲ new","● flat"),IF(Calculations!$BX$57=Calculations!$BY$57,"● flat",(IF(Calculations!$BX$57&gt;Calculations!$BY$57,"▲ ","▼ "))&amp;TEXT(ABS(Calculations!$BZ$57),"0.0%")&amp;" vs prior"))</f>
        <v>0</v>
      </c>
      <c r="L63" s="43"/>
      <c r="M63" s="43"/>
      <c r="N63" s="43">
        <f>IF(Calculations!$BY$58=0,IF(Calculations!$BX$58&gt;0,"▲ new","● flat"),IF(Calculations!$BX$58=Calculations!$BY$58,"● flat",(IF(Calculations!$BX$58&gt;Calculations!$BY$58,"▲ ","▼ "))&amp;TEXT(ABS(Calculations!$BZ$58),"0.0%")&amp;" vs prior"))</f>
        <v>0</v>
      </c>
      <c r="O63" s="43"/>
      <c r="P63" s="43"/>
      <c r="Q63" s="43">
        <f>IF(Calculations!$BY$59=0,IF(Calculations!$BX$59&gt;0,"▲ new","● flat"),IF(Calculations!$BX$59=Calculations!$BY$59,"● flat",(IF(Calculations!$BX$59&gt;Calculations!$BY$59,"▲ ","▼ "))&amp;TEXT(ABS(Calculations!$BZ$59),"0.0%")&amp;" vs prior"))</f>
        <v>0</v>
      </c>
      <c r="R63" s="43"/>
      <c r="S63" s="43"/>
    </row>
    <row r="65" spans="2:19" ht="4" customHeight="1">
      <c r="B65" s="46"/>
      <c r="C65" s="46"/>
      <c r="D65" s="46"/>
      <c r="E65" s="46"/>
      <c r="F65" s="46"/>
      <c r="G65" s="46"/>
    </row>
    <row r="66" spans="2:19">
      <c r="B66" s="40" t="s">
        <v>1975</v>
      </c>
      <c r="C66" s="40"/>
      <c r="D66" s="40"/>
      <c r="E66" s="40" t="s">
        <v>1976</v>
      </c>
      <c r="F66" s="40"/>
      <c r="G66" s="40"/>
    </row>
    <row r="67" spans="2:19">
      <c r="B67" s="42">
        <f>Calculations!$BX$60</f>
        <v>0</v>
      </c>
      <c r="C67" s="42"/>
      <c r="D67" s="42"/>
      <c r="E67" s="44">
        <f>Calculations!$BX$61</f>
        <v>0</v>
      </c>
      <c r="F67" s="44"/>
      <c r="G67" s="44"/>
    </row>
    <row r="68" spans="2:19">
      <c r="B68" s="42"/>
      <c r="C68" s="42"/>
      <c r="D68" s="42"/>
      <c r="E68" s="44"/>
      <c r="F68" s="44"/>
      <c r="G68" s="44"/>
    </row>
    <row r="69" spans="2:19">
      <c r="B69" s="43">
        <f>IF(Calculations!$BY$60=0,IF(Calculations!$BX$60&gt;0,"▲ new","● flat"),IF(Calculations!$BX$60=Calculations!$BY$60,"● flat",(IF(Calculations!$BX$60&gt;Calculations!$BY$60,"▲ ","▼ "))&amp;TEXT(ABS(Calculations!$BZ$60),"0.0%")&amp;" vs prior"))</f>
        <v>0</v>
      </c>
      <c r="C69" s="43"/>
      <c r="D69" s="43"/>
      <c r="E69" s="43">
        <f>IF(Calculations!$BY$61=0,IF(Calculations!$BX$61&gt;0,"▲ new","● flat"),IF(Calculations!$BX$61=Calculations!$BY$61,"● flat",(IF(Calculations!$BX$61&gt;Calculations!$BY$61,"▲ ","▼ "))&amp;TEXT(ABS(Calculations!$BZ$61),"0.0%")&amp;" vs prior"))</f>
        <v>0</v>
      </c>
      <c r="F69" s="43"/>
      <c r="G69" s="43"/>
    </row>
    <row r="72" spans="2:19">
      <c r="B72" s="9" t="s">
        <v>1977</v>
      </c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</row>
    <row r="118" spans="2:19">
      <c r="B118" s="9" t="s">
        <v>1978</v>
      </c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</row>
    <row r="136" spans="8:19">
      <c r="H136" s="8" t="s">
        <v>1979</v>
      </c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</row>
    <row r="137" spans="8:19"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</row>
    <row r="153" spans="2:19">
      <c r="B153" s="9" t="s">
        <v>1980</v>
      </c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</row>
    <row r="162" spans="2:19">
      <c r="B162" s="47">
        <f>Calculations!$BX$29</f>
        <v>0</v>
      </c>
      <c r="C162" s="47"/>
      <c r="D162" s="47"/>
      <c r="E162" s="47">
        <f>Calculations!$BX$55</f>
        <v>0</v>
      </c>
      <c r="F162" s="47"/>
      <c r="G162" s="47"/>
      <c r="H162" s="47">
        <f>Calculations!$BX$31</f>
        <v>0</v>
      </c>
      <c r="I162" s="47"/>
      <c r="J162" s="47"/>
      <c r="K162" s="47">
        <f>Calculations!$BX$57</f>
        <v>0</v>
      </c>
      <c r="L162" s="47"/>
      <c r="M162" s="47"/>
      <c r="N162" s="47">
        <f>Calculations!$BX$33</f>
        <v>0</v>
      </c>
      <c r="O162" s="47"/>
      <c r="P162" s="47"/>
      <c r="Q162" s="47">
        <f>Calculations!$BX$22</f>
        <v>0</v>
      </c>
      <c r="R162" s="47"/>
      <c r="S162" s="47"/>
    </row>
    <row r="181" spans="2:9">
      <c r="B181" s="9" t="s">
        <v>1981</v>
      </c>
      <c r="C181" s="9"/>
      <c r="D181" s="9"/>
      <c r="E181" s="9"/>
      <c r="F181" s="9"/>
      <c r="G181" s="9"/>
      <c r="H181" s="9"/>
      <c r="I181" s="9"/>
    </row>
    <row r="182" spans="2:9">
      <c r="B182" s="10" t="s">
        <v>1826</v>
      </c>
      <c r="C182" s="10"/>
      <c r="D182" s="10" t="s">
        <v>1982</v>
      </c>
      <c r="E182" s="10"/>
      <c r="F182" s="10" t="s">
        <v>1983</v>
      </c>
      <c r="G182" s="10"/>
      <c r="H182" s="10" t="s">
        <v>287</v>
      </c>
      <c r="I182" s="10"/>
    </row>
    <row r="183" spans="2:9">
      <c r="B183" s="11">
        <f>Calculations!$CC$41</f>
        <v>0</v>
      </c>
      <c r="C183" s="11"/>
      <c r="D183" s="19">
        <f>Calculations!$CD$41</f>
        <v>0</v>
      </c>
      <c r="E183" s="19"/>
      <c r="F183" s="19">
        <f>Calculations!$CE$41</f>
        <v>0</v>
      </c>
      <c r="G183" s="19"/>
      <c r="H183" s="11">
        <f>Calculations!$CF$41</f>
        <v>0</v>
      </c>
      <c r="I183" s="11"/>
    </row>
    <row r="184" spans="2:9">
      <c r="B184" s="11">
        <f>Calculations!$CC$42</f>
        <v>0</v>
      </c>
      <c r="C184" s="11"/>
      <c r="D184" s="19">
        <f>Calculations!$CD$42</f>
        <v>0</v>
      </c>
      <c r="E184" s="19"/>
      <c r="F184" s="19">
        <f>Calculations!$CE$42</f>
        <v>0</v>
      </c>
      <c r="G184" s="19"/>
      <c r="H184" s="11">
        <f>Calculations!$CF$42</f>
        <v>0</v>
      </c>
      <c r="I184" s="11"/>
    </row>
    <row r="185" spans="2:9">
      <c r="B185" s="11">
        <f>Calculations!$CC$43</f>
        <v>0</v>
      </c>
      <c r="C185" s="11"/>
      <c r="D185" s="19">
        <f>Calculations!$CD$43</f>
        <v>0</v>
      </c>
      <c r="E185" s="19"/>
      <c r="F185" s="19">
        <f>Calculations!$CE$43</f>
        <v>0</v>
      </c>
      <c r="G185" s="19"/>
      <c r="H185" s="11">
        <f>Calculations!$CF$43</f>
        <v>0</v>
      </c>
      <c r="I185" s="11"/>
    </row>
    <row r="186" spans="2:9">
      <c r="B186" s="11">
        <f>Calculations!$CC$44</f>
        <v>0</v>
      </c>
      <c r="C186" s="11"/>
      <c r="D186" s="19">
        <f>Calculations!$CD$44</f>
        <v>0</v>
      </c>
      <c r="E186" s="19"/>
      <c r="F186" s="19">
        <f>Calculations!$CE$44</f>
        <v>0</v>
      </c>
      <c r="G186" s="19"/>
      <c r="H186" s="11">
        <f>Calculations!$CF$44</f>
        <v>0</v>
      </c>
      <c r="I186" s="11"/>
    </row>
    <row r="187" spans="2:9">
      <c r="B187" s="11">
        <f>Calculations!$CC$45</f>
        <v>0</v>
      </c>
      <c r="C187" s="11"/>
      <c r="D187" s="19">
        <f>Calculations!$CD$45</f>
        <v>0</v>
      </c>
      <c r="E187" s="19"/>
      <c r="F187" s="19">
        <f>Calculations!$CE$45</f>
        <v>0</v>
      </c>
      <c r="G187" s="19"/>
      <c r="H187" s="11">
        <f>Calculations!$CF$45</f>
        <v>0</v>
      </c>
      <c r="I187" s="11"/>
    </row>
    <row r="188" spans="2:9">
      <c r="B188" s="11">
        <f>Calculations!$CC$46</f>
        <v>0</v>
      </c>
      <c r="C188" s="11"/>
      <c r="D188" s="19">
        <f>Calculations!$CD$46</f>
        <v>0</v>
      </c>
      <c r="E188" s="19"/>
      <c r="F188" s="19">
        <f>Calculations!$CE$46</f>
        <v>0</v>
      </c>
      <c r="G188" s="19"/>
      <c r="H188" s="11">
        <f>Calculations!$CF$46</f>
        <v>0</v>
      </c>
      <c r="I188" s="11"/>
    </row>
  </sheetData>
  <mergeCells count="251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D18"/>
    <mergeCell ref="B19:D19"/>
    <mergeCell ref="E15:G15"/>
    <mergeCell ref="E16:G16"/>
    <mergeCell ref="E17:G18"/>
    <mergeCell ref="E19:G19"/>
    <mergeCell ref="H15:J15"/>
    <mergeCell ref="H16:J16"/>
    <mergeCell ref="H17:J18"/>
    <mergeCell ref="H19:J19"/>
    <mergeCell ref="K15:M15"/>
    <mergeCell ref="K16:M16"/>
    <mergeCell ref="K17:M18"/>
    <mergeCell ref="K19:M19"/>
    <mergeCell ref="N15:P15"/>
    <mergeCell ref="N16:P16"/>
    <mergeCell ref="N17:P18"/>
    <mergeCell ref="N19:P19"/>
    <mergeCell ref="Q15:S15"/>
    <mergeCell ref="Q16:S16"/>
    <mergeCell ref="Q17:S18"/>
    <mergeCell ref="Q19:S19"/>
    <mergeCell ref="B21:D21"/>
    <mergeCell ref="B22:D22"/>
    <mergeCell ref="B23:D24"/>
    <mergeCell ref="B25:D25"/>
    <mergeCell ref="E21:G21"/>
    <mergeCell ref="E22:G22"/>
    <mergeCell ref="E23:G24"/>
    <mergeCell ref="E25:G25"/>
    <mergeCell ref="H21:J21"/>
    <mergeCell ref="H22:J22"/>
    <mergeCell ref="H23:J24"/>
    <mergeCell ref="H25:J25"/>
    <mergeCell ref="K21:M21"/>
    <mergeCell ref="K22:M22"/>
    <mergeCell ref="K23:M24"/>
    <mergeCell ref="K25:M25"/>
    <mergeCell ref="N21:P21"/>
    <mergeCell ref="N22:P22"/>
    <mergeCell ref="N23:P24"/>
    <mergeCell ref="N25:P25"/>
    <mergeCell ref="Q21:S21"/>
    <mergeCell ref="Q22:S22"/>
    <mergeCell ref="Q23:S24"/>
    <mergeCell ref="Q25:S25"/>
    <mergeCell ref="B28:S28"/>
    <mergeCell ref="B29:D29"/>
    <mergeCell ref="B30:D30"/>
    <mergeCell ref="B31:D32"/>
    <mergeCell ref="B33:D33"/>
    <mergeCell ref="E29:G29"/>
    <mergeCell ref="E30:G30"/>
    <mergeCell ref="E31:G32"/>
    <mergeCell ref="E33:G33"/>
    <mergeCell ref="H29:J29"/>
    <mergeCell ref="H30:J30"/>
    <mergeCell ref="H31:J32"/>
    <mergeCell ref="H33:J33"/>
    <mergeCell ref="K29:M29"/>
    <mergeCell ref="K30:M30"/>
    <mergeCell ref="K31:M32"/>
    <mergeCell ref="K33:M33"/>
    <mergeCell ref="N29:P29"/>
    <mergeCell ref="N30:P30"/>
    <mergeCell ref="N31:P32"/>
    <mergeCell ref="N33:P33"/>
    <mergeCell ref="Q29:S29"/>
    <mergeCell ref="Q30:S30"/>
    <mergeCell ref="Q31:S32"/>
    <mergeCell ref="Q33:S33"/>
    <mergeCell ref="B35:D35"/>
    <mergeCell ref="B36:D36"/>
    <mergeCell ref="B37:D38"/>
    <mergeCell ref="B39:D39"/>
    <mergeCell ref="E35:G35"/>
    <mergeCell ref="E36:G36"/>
    <mergeCell ref="E37:G38"/>
    <mergeCell ref="E39:G39"/>
    <mergeCell ref="H35:J35"/>
    <mergeCell ref="H36:J36"/>
    <mergeCell ref="H37:J38"/>
    <mergeCell ref="H39:J39"/>
    <mergeCell ref="K35:M35"/>
    <mergeCell ref="K36:M36"/>
    <mergeCell ref="K37:M38"/>
    <mergeCell ref="K39:M39"/>
    <mergeCell ref="N35:P35"/>
    <mergeCell ref="N36:P36"/>
    <mergeCell ref="N37:P38"/>
    <mergeCell ref="N39:P39"/>
    <mergeCell ref="Q35:S35"/>
    <mergeCell ref="Q36:S36"/>
    <mergeCell ref="Q37:S38"/>
    <mergeCell ref="Q39:S39"/>
    <mergeCell ref="B41:D41"/>
    <mergeCell ref="B42:D42"/>
    <mergeCell ref="B43:D44"/>
    <mergeCell ref="B45:D45"/>
    <mergeCell ref="E41:G41"/>
    <mergeCell ref="E42:G42"/>
    <mergeCell ref="E43:G44"/>
    <mergeCell ref="E45:G45"/>
    <mergeCell ref="H41:J41"/>
    <mergeCell ref="H42:J42"/>
    <mergeCell ref="H43:J44"/>
    <mergeCell ref="H45:J45"/>
    <mergeCell ref="K41:M41"/>
    <mergeCell ref="K42:M42"/>
    <mergeCell ref="K43:M44"/>
    <mergeCell ref="K45:M45"/>
    <mergeCell ref="N41:P41"/>
    <mergeCell ref="N42:P42"/>
    <mergeCell ref="N43:P44"/>
    <mergeCell ref="N45:P45"/>
    <mergeCell ref="Q41:S41"/>
    <mergeCell ref="Q42:S42"/>
    <mergeCell ref="Q43:S44"/>
    <mergeCell ref="Q45:S45"/>
    <mergeCell ref="B47:D47"/>
    <mergeCell ref="B48:D48"/>
    <mergeCell ref="B49:D50"/>
    <mergeCell ref="B51:D51"/>
    <mergeCell ref="E47:G47"/>
    <mergeCell ref="E48:G48"/>
    <mergeCell ref="E49:G50"/>
    <mergeCell ref="E51:G51"/>
    <mergeCell ref="H47:J47"/>
    <mergeCell ref="H48:J48"/>
    <mergeCell ref="H49:J50"/>
    <mergeCell ref="H51:J51"/>
    <mergeCell ref="K47:M47"/>
    <mergeCell ref="K48:M48"/>
    <mergeCell ref="K49:M50"/>
    <mergeCell ref="K51:M51"/>
    <mergeCell ref="N47:P47"/>
    <mergeCell ref="N48:P48"/>
    <mergeCell ref="N49:P50"/>
    <mergeCell ref="N51:P51"/>
    <mergeCell ref="Q47:S47"/>
    <mergeCell ref="Q48:S48"/>
    <mergeCell ref="Q49:S50"/>
    <mergeCell ref="Q51:S51"/>
    <mergeCell ref="B53:D53"/>
    <mergeCell ref="B54:D54"/>
    <mergeCell ref="B55:D56"/>
    <mergeCell ref="B57:D57"/>
    <mergeCell ref="E53:G53"/>
    <mergeCell ref="E54:G54"/>
    <mergeCell ref="E55:G56"/>
    <mergeCell ref="E57:G57"/>
    <mergeCell ref="H53:J53"/>
    <mergeCell ref="H54:J54"/>
    <mergeCell ref="H55:J56"/>
    <mergeCell ref="H57:J57"/>
    <mergeCell ref="K53:M53"/>
    <mergeCell ref="K54:M54"/>
    <mergeCell ref="K55:M56"/>
    <mergeCell ref="K57:M57"/>
    <mergeCell ref="N53:P53"/>
    <mergeCell ref="N54:P54"/>
    <mergeCell ref="N55:P56"/>
    <mergeCell ref="N57:P57"/>
    <mergeCell ref="Q53:S53"/>
    <mergeCell ref="Q54:S54"/>
    <mergeCell ref="Q55:S56"/>
    <mergeCell ref="Q57:S57"/>
    <mergeCell ref="B59:D59"/>
    <mergeCell ref="B60:D60"/>
    <mergeCell ref="B61:D62"/>
    <mergeCell ref="B63:D63"/>
    <mergeCell ref="E59:G59"/>
    <mergeCell ref="E60:G60"/>
    <mergeCell ref="E61:G62"/>
    <mergeCell ref="E63:G63"/>
    <mergeCell ref="H59:J59"/>
    <mergeCell ref="H60:J60"/>
    <mergeCell ref="H61:J62"/>
    <mergeCell ref="H63:J63"/>
    <mergeCell ref="K59:M59"/>
    <mergeCell ref="K60:M60"/>
    <mergeCell ref="K61:M62"/>
    <mergeCell ref="K63:M63"/>
    <mergeCell ref="N59:P59"/>
    <mergeCell ref="N60:P60"/>
    <mergeCell ref="N61:P62"/>
    <mergeCell ref="N63:P63"/>
    <mergeCell ref="Q59:S59"/>
    <mergeCell ref="Q60:S60"/>
    <mergeCell ref="Q61:S62"/>
    <mergeCell ref="Q63:S63"/>
    <mergeCell ref="B65:D65"/>
    <mergeCell ref="B66:D66"/>
    <mergeCell ref="B67:D68"/>
    <mergeCell ref="B69:D69"/>
    <mergeCell ref="E65:G65"/>
    <mergeCell ref="E66:G66"/>
    <mergeCell ref="E67:G68"/>
    <mergeCell ref="E69:G69"/>
    <mergeCell ref="B72:S72"/>
    <mergeCell ref="B118:S118"/>
    <mergeCell ref="H136:S137"/>
    <mergeCell ref="B153:S153"/>
    <mergeCell ref="B162:D162"/>
    <mergeCell ref="E162:G162"/>
    <mergeCell ref="H162:J162"/>
    <mergeCell ref="K162:M162"/>
    <mergeCell ref="N162:P162"/>
    <mergeCell ref="Q162:S162"/>
    <mergeCell ref="B181:I181"/>
    <mergeCell ref="B182:C182"/>
    <mergeCell ref="D182:E182"/>
    <mergeCell ref="F182:G182"/>
    <mergeCell ref="H182:I182"/>
    <mergeCell ref="B183:C183"/>
    <mergeCell ref="D183:E183"/>
    <mergeCell ref="F183:G183"/>
    <mergeCell ref="H183:I183"/>
    <mergeCell ref="B184:C184"/>
    <mergeCell ref="D184:E184"/>
    <mergeCell ref="F184:G184"/>
    <mergeCell ref="H184:I184"/>
    <mergeCell ref="B185:C185"/>
    <mergeCell ref="D185:E185"/>
    <mergeCell ref="F185:G185"/>
    <mergeCell ref="H185:I185"/>
    <mergeCell ref="B186:C186"/>
    <mergeCell ref="D186:E186"/>
    <mergeCell ref="F186:G186"/>
    <mergeCell ref="H186:I186"/>
    <mergeCell ref="B187:C187"/>
    <mergeCell ref="D187:E187"/>
    <mergeCell ref="F187:G187"/>
    <mergeCell ref="H187:I187"/>
    <mergeCell ref="B188:C188"/>
    <mergeCell ref="D188:E188"/>
    <mergeCell ref="F188:G188"/>
    <mergeCell ref="H188:I188"/>
  </mergeCells>
  <conditionalFormatting sqref="B19:D19">
    <cfRule type="expression" dxfId="0" priority="1">
      <formula>gdTRIR&lt;0</formula>
    </cfRule>
  </conditionalFormatting>
  <conditionalFormatting sqref="B25:D25">
    <cfRule type="expression" dxfId="0" priority="7">
      <formula>gdFirstAid&lt;0</formula>
    </cfRule>
  </conditionalFormatting>
  <conditionalFormatting sqref="B33:D33">
    <cfRule type="expression" dxfId="0" priority="13">
      <formula>gdToolboxTalks&lt;0</formula>
    </cfRule>
  </conditionalFormatting>
  <conditionalFormatting sqref="B39:D39">
    <cfRule type="expression" dxfId="0" priority="19">
      <formula>gdHSEObservations&lt;0</formula>
    </cfRule>
  </conditionalFormatting>
  <conditionalFormatting sqref="B45:D45">
    <cfRule type="expression" dxfId="0" priority="25">
      <formula>gdSafetyWalkthroughs&lt;0</formula>
    </cfRule>
  </conditionalFormatting>
  <conditionalFormatting sqref="B51:D51">
    <cfRule type="expression" dxfId="0" priority="31">
      <formula>gdDrillParticipation&lt;0</formula>
    </cfRule>
  </conditionalFormatting>
  <conditionalFormatting sqref="B57:D57">
    <cfRule type="expression" dxfId="0" priority="37">
      <formula>gdMgmtVisitCloseout&lt;0</formula>
    </cfRule>
  </conditionalFormatting>
  <conditionalFormatting sqref="B63:D63">
    <cfRule type="expression" dxfId="0" priority="43">
      <formula>gdPTWAudits&lt;0</formula>
    </cfRule>
  </conditionalFormatting>
  <conditionalFormatting sqref="B69:D69">
    <cfRule type="expression" dxfId="0" priority="49">
      <formula>gdUnsafeConditionsReported&lt;0</formula>
    </cfRule>
  </conditionalFormatting>
  <conditionalFormatting sqref="E19:G19">
    <cfRule type="expression" dxfId="0" priority="2">
      <formula>gdLTIFR&lt;0</formula>
    </cfRule>
  </conditionalFormatting>
  <conditionalFormatting sqref="E25:G25">
    <cfRule type="expression" dxfId="0" priority="8">
      <formula>gdLostDays&lt;0</formula>
    </cfRule>
  </conditionalFormatting>
  <conditionalFormatting sqref="E33:G33">
    <cfRule type="expression" dxfId="0" priority="14">
      <formula>gdToolboxAvgAttendance&lt;0</formula>
    </cfRule>
  </conditionalFormatting>
  <conditionalFormatting sqref="E39:G39">
    <cfRule type="expression" dxfId="0" priority="20">
      <formula>gdObsClosure&lt;0</formula>
    </cfRule>
  </conditionalFormatting>
  <conditionalFormatting sqref="E45:G45">
    <cfRule type="expression" dxfId="0" priority="26">
      <formula>gdSafetyMeetings&lt;0</formula>
    </cfRule>
  </conditionalFormatting>
  <conditionalFormatting sqref="E51:G51">
    <cfRule type="expression" dxfId="0" priority="32">
      <formula>gdInternalAudits&lt;0</formula>
    </cfRule>
  </conditionalFormatting>
  <conditionalFormatting sqref="E57:G57">
    <cfRule type="expression" dxfId="0" priority="38">
      <formula>gdManagementReviews&lt;0</formula>
    </cfRule>
  </conditionalFormatting>
  <conditionalFormatting sqref="E63:G63">
    <cfRule type="expression" dxfId="0" priority="44">
      <formula>gdPTWCompliance&lt;0</formula>
    </cfRule>
  </conditionalFormatting>
  <conditionalFormatting sqref="E69:G69">
    <cfRule type="expression" dxfId="0" priority="50">
      <formula>gdUnsafeConditionClosure&lt;0</formula>
    </cfRule>
  </conditionalFormatting>
  <conditionalFormatting sqref="H19:J19">
    <cfRule type="expression" dxfId="0" priority="3">
      <formula>gdTotalIncidents&lt;0</formula>
    </cfRule>
  </conditionalFormatting>
  <conditionalFormatting sqref="H25:J25">
    <cfRule type="expression" dxfId="0" priority="9">
      <formula>gdDisciplinary&lt;0</formula>
    </cfRule>
  </conditionalFormatting>
  <conditionalFormatting sqref="H33:J33">
    <cfRule type="expression" dxfId="0" priority="15">
      <formula>gdJSAAssessments&lt;0</formula>
    </cfRule>
  </conditionalFormatting>
  <conditionalFormatting sqref="H39:J39">
    <cfRule type="expression" dxfId="0" priority="21">
      <formula>gdWorkplaceInspections&lt;0</formula>
    </cfRule>
  </conditionalFormatting>
  <conditionalFormatting sqref="H45:J45">
    <cfRule type="expression" dxfId="0" priority="27">
      <formula>gdMeetingsCloseout&lt;0</formula>
    </cfRule>
  </conditionalFormatting>
  <conditionalFormatting sqref="H51:J51">
    <cfRule type="expression" dxfId="0" priority="33">
      <formula>gdInternalAuditNCs&lt;0</formula>
    </cfRule>
  </conditionalFormatting>
  <conditionalFormatting sqref="H57:J57">
    <cfRule type="expression" dxfId="0" priority="39">
      <formula>gdMgmtReviewAttendance&lt;0</formula>
    </cfRule>
  </conditionalFormatting>
  <conditionalFormatting sqref="H63:J63">
    <cfRule type="expression" dxfId="0" priority="45">
      <formula>gdCorrectiveActions&lt;0</formula>
    </cfRule>
  </conditionalFormatting>
  <conditionalFormatting sqref="K19:M19">
    <cfRule type="expression" dxfId="0" priority="4">
      <formula>gdRecordable&lt;0</formula>
    </cfRule>
  </conditionalFormatting>
  <conditionalFormatting sqref="K25:M25">
    <cfRule type="expression" dxfId="0" priority="10">
      <formula>gdOpenNCs&lt;0</formula>
    </cfRule>
  </conditionalFormatting>
  <conditionalFormatting sqref="K33:M33">
    <cfRule type="expression" dxfId="0" priority="16">
      <formula>gdJSAApproved&lt;0</formula>
    </cfRule>
  </conditionalFormatting>
  <conditionalFormatting sqref="K39:M39">
    <cfRule type="expression" dxfId="0" priority="22">
      <formula>gdWorkplaceInspClosure&lt;0</formula>
    </cfRule>
  </conditionalFormatting>
  <conditionalFormatting sqref="K45:M45">
    <cfRule type="expression" dxfId="0" priority="28">
      <formula>gdSafetyBulletins&lt;0</formula>
    </cfRule>
  </conditionalFormatting>
  <conditionalFormatting sqref="K51:M51">
    <cfRule type="expression" dxfId="0" priority="34">
      <formula>gdExternalAudits&lt;0</formula>
    </cfRule>
  </conditionalFormatting>
  <conditionalFormatting sqref="K57:M57">
    <cfRule type="expression" dxfId="0" priority="40">
      <formula>gdSafetyAwards&lt;0</formula>
    </cfRule>
  </conditionalFormatting>
  <conditionalFormatting sqref="K63:M63">
    <cfRule type="expression" dxfId="0" priority="46">
      <formula>gdCAClosure&lt;0</formula>
    </cfRule>
  </conditionalFormatting>
  <conditionalFormatting sqref="N19:P19">
    <cfRule type="expression" dxfId="0" priority="5">
      <formula>gdLTIFatality&lt;0</formula>
    </cfRule>
  </conditionalFormatting>
  <conditionalFormatting sqref="N25:P25">
    <cfRule type="expression" dxfId="0" priority="11">
      <formula>gdNCClosure&lt;0</formula>
    </cfRule>
  </conditionalFormatting>
  <conditionalFormatting sqref="N33:P33">
    <cfRule type="expression" dxfId="0" priority="17">
      <formula>gdTrainings&lt;0</formula>
    </cfRule>
  </conditionalFormatting>
  <conditionalFormatting sqref="N39:P39">
    <cfRule type="expression" dxfId="0" priority="23">
      <formula>gdEquipmentInspections&lt;0</formula>
    </cfRule>
  </conditionalFormatting>
  <conditionalFormatting sqref="N45:P45">
    <cfRule type="expression" dxfId="0" priority="29">
      <formula>gdBulletinReach&lt;0</formula>
    </cfRule>
  </conditionalFormatting>
  <conditionalFormatting sqref="N51:P51">
    <cfRule type="expression" dxfId="0" priority="35">
      <formula>gdExternalAuditNCs&lt;0</formula>
    </cfRule>
  </conditionalFormatting>
  <conditionalFormatting sqref="N57:P57">
    <cfRule type="expression" dxfId="0" priority="41">
      <formula>gdStopWorkAuthority&lt;0</formula>
    </cfRule>
  </conditionalFormatting>
  <conditionalFormatting sqref="N63:P63">
    <cfRule type="expression" dxfId="0" priority="47">
      <formula>gdUnsafeActsReported&lt;0</formula>
    </cfRule>
  </conditionalFormatting>
  <conditionalFormatting sqref="Q19:S19">
    <cfRule type="expression" dxfId="0" priority="6">
      <formula>gdNearMiss&lt;0</formula>
    </cfRule>
  </conditionalFormatting>
  <conditionalFormatting sqref="Q25:S25">
    <cfRule type="expression" dxfId="0" priority="12">
      <formula>gdAlcoholPositive&lt;0</formula>
    </cfRule>
  </conditionalFormatting>
  <conditionalFormatting sqref="Q33:S33">
    <cfRule type="expression" dxfId="0" priority="18">
      <formula>gdTrainingCompliance&lt;0</formula>
    </cfRule>
  </conditionalFormatting>
  <conditionalFormatting sqref="Q39:S39">
    <cfRule type="expression" dxfId="0" priority="24">
      <formula>gdEquipmentCriticalFindings&lt;0</formula>
    </cfRule>
  </conditionalFormatting>
  <conditionalFormatting sqref="Q45:S45">
    <cfRule type="expression" dxfId="0" priority="30">
      <formula>gdEmergencyDrills&lt;0</formula>
    </cfRule>
  </conditionalFormatting>
  <conditionalFormatting sqref="Q51:S51">
    <cfRule type="expression" dxfId="0" priority="36">
      <formula>gdManagementVisits&lt;0</formula>
    </cfRule>
  </conditionalFormatting>
  <conditionalFormatting sqref="Q57:S57">
    <cfRule type="expression" dxfId="0" priority="42">
      <formula>gdAlcoholTests&lt;0</formula>
    </cfRule>
  </conditionalFormatting>
  <conditionalFormatting sqref="Q63:S63">
    <cfRule type="expression" dxfId="0" priority="48">
      <formula>gdUnsafeActClosure&lt;0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  <hyperlink ref="B16" location="'Dash · Incident'!A1" display="TRIR"/>
    <hyperlink ref="E16" location="'Dash · Incident'!A1" display="LTIFR"/>
    <hyperlink ref="H16" location="'Dash · Incident'!A1" display="TOTAL INCIDENTS"/>
    <hyperlink ref="K16" location="'Dash · Incident'!A1" display="RECORDABLE"/>
    <hyperlink ref="N16" location="'Dash · Incident'!A1" display="LTI + FATALITY"/>
    <hyperlink ref="Q16" location="'Dash · Incident'!A1" display="NEAR MISS"/>
    <hyperlink ref="B22" location="'Dash · Incident'!A1" display="FIRST AID"/>
    <hyperlink ref="E22" location="'Dash · Incident'!A1" display="LOST DAYS"/>
    <hyperlink ref="H22" location="'Dash · Disciplinary Actions'!A1" display="DISCIPLINARY"/>
    <hyperlink ref="K22" location="'Dash · NC Management'!A1" display="OPEN NCS"/>
    <hyperlink ref="N22" location="'Dash · NC Management'!A1" display="NC CLOSURE"/>
    <hyperlink ref="Q22" location="'Dash · Alcohol Tests'!A1" display="ALCOHOL POSITIVE %"/>
    <hyperlink ref="B30" location="'Dash · Toolbox Talks'!A1" display="TOOLBOX TALKS"/>
    <hyperlink ref="E30" location="'Dash · Toolbox Talks'!A1" display="TOOLBOX AVG ATTENDANCE"/>
    <hyperlink ref="H30" location="'Dash · JSA Risk Assessment'!A1" display="JSA ASSESSMENTS"/>
    <hyperlink ref="K30" location="'Dash · JSA Risk Assessment'!A1" display="JSA % APPROVED"/>
    <hyperlink ref="N30" location="'Dash · Training'!A1" display="TRAININGS"/>
    <hyperlink ref="Q30" location="'Dash · Training'!A1" display="TRAINING COMPLIANCE"/>
    <hyperlink ref="B36" location="'Dash · HSE Observations'!A1" display="HSE OBSERVATIONS"/>
    <hyperlink ref="E36" location="'Dash · HSE Observations'!A1" display="OBS CLOSURE"/>
    <hyperlink ref="H36" location="'Dash · Workplace Inspections'!A1" display="WORKPLACE INSPECTIONS"/>
    <hyperlink ref="K36" location="'Dash · Workplace Inspections'!A1" display="WORKPLACE INSP. CLOSURE"/>
    <hyperlink ref="N36" location="'Dash · Equipment Inspections'!A1" display="EQUIPMENT INSPECTIONS"/>
    <hyperlink ref="Q36" location="'Dash · Equipment Inspections'!A1" display="EQUIPMENT CRITICAL FINDINGS"/>
    <hyperlink ref="B42" location="'Dash · Safety Walkthroughs'!A1" display="SAFETY WALKTHROUGHS"/>
    <hyperlink ref="E42" location="'Dash · Safety Meetings'!A1" display="SAFETY MEETINGS"/>
    <hyperlink ref="H42" location="'Dash · Safety Meetings'!A1" display="MEETINGS CLOSE-OUT"/>
    <hyperlink ref="K42" location="'Dash · Safety Bulletins'!A1" display="SAFETY BULLETINS"/>
    <hyperlink ref="N42" location="'Dash · Safety Bulletins'!A1" display="BULLETIN REACH"/>
    <hyperlink ref="Q42" location="'Dash · Emergency Drills'!A1" display="EMERGENCY DRILLS"/>
    <hyperlink ref="B48" location="'Dash · Emergency Drills'!A1" display="DRILL PARTICIPATION"/>
    <hyperlink ref="E48" location="'Dash · Internal Audits'!A1" display="INTERNAL AUDITS"/>
    <hyperlink ref="H48" location="'Dash · Internal Audits'!A1" display="INTERNAL AUDIT NCS"/>
    <hyperlink ref="K48" location="'Dash · External Audits'!A1" display="EXTERNAL AUDITS"/>
    <hyperlink ref="N48" location="'Dash · External Audits'!A1" display="EXTERNAL AUDIT NCS"/>
    <hyperlink ref="Q48" location="'Dash · Management Visits'!A1" display="MANAGEMENT VISITS"/>
    <hyperlink ref="B54" location="'Dash · Management Visits'!A1" display="MGMT VISIT CLOSE-OUT"/>
    <hyperlink ref="E54" location="'Dash · Management Reviews'!A1" display="MANAGEMENT REVIEWS"/>
    <hyperlink ref="H54" location="'Dash · Management Reviews'!A1" display="MGMT REVIEW ATTENDANCE"/>
    <hyperlink ref="K54" location="'Dash · Safety Awards'!A1" display="SAFETY AWARDS"/>
    <hyperlink ref="N54" location="'Dash · Stop Work Authority'!A1" display="STOP WORK AUTHORITY"/>
    <hyperlink ref="Q54" location="'Dash · Alcohol Tests'!A1" display="ALCOHOL TESTS"/>
    <hyperlink ref="B60" location="'Dash · PTW Audits'!A1" display="PTW AUDITS"/>
    <hyperlink ref="E60" location="'Dash · PTW Audits'!A1" display="PTW COMPLIANCE"/>
    <hyperlink ref="H60" location="'Dash · Corrective Actions'!A1" display="CORRECTIVE ACTIONS"/>
    <hyperlink ref="K60" location="'Dash · Corrective Actions'!A1" display="CA CLOSURE"/>
    <hyperlink ref="N60" location="'Dash · Unsafe Acts'!A1" display="UNSAFE ACTS REPORTED"/>
    <hyperlink ref="Q60" location="'Dash · Unsafe Acts'!A1" display="UNSAFE ACT CLOSURE"/>
    <hyperlink ref="B66" location="'Dash · Unsafe Conditions'!A1" display="UNSAFE CONDITIONS REPORTED"/>
    <hyperlink ref="E66" location="'Dash · Unsafe Conditions'!A1" display="UNSAFE CONDITION CLOSURE"/>
  </hyperlinks>
  <pageMargins left="0.7" right="0.7" top="0.75" bottom="0.75" header="0.3" footer="0.3"/>
  <drawing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D71920"/>
  </sheetPr>
  <dimension ref="A1:S24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1984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1985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</row>
    <row r="11" spans="2:19">
      <c r="B11" s="9" t="s">
        <v>1986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9"/>
      <c r="C12" s="39"/>
      <c r="D12" s="39"/>
      <c r="E12" s="39"/>
      <c r="F12" s="39"/>
      <c r="G12" s="39"/>
      <c r="H12" s="39"/>
      <c r="I12" s="39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1639</v>
      </c>
      <c r="C13" s="40"/>
      <c r="D13" s="40"/>
      <c r="E13" s="40"/>
      <c r="F13" s="40" t="s">
        <v>1641</v>
      </c>
      <c r="G13" s="40"/>
      <c r="H13" s="40"/>
      <c r="I13" s="40"/>
      <c r="J13" s="40" t="s">
        <v>1929</v>
      </c>
      <c r="K13" s="40"/>
      <c r="L13" s="40"/>
      <c r="M13" s="40"/>
      <c r="N13" s="40" t="s">
        <v>1933</v>
      </c>
      <c r="O13" s="40"/>
      <c r="P13" s="40"/>
      <c r="Q13" s="40"/>
    </row>
    <row r="14" spans="2:19">
      <c r="B14" s="41">
        <f>Calculations!$BX$12</f>
        <v>0</v>
      </c>
      <c r="C14" s="41"/>
      <c r="D14" s="41"/>
      <c r="E14" s="41"/>
      <c r="F14" s="41">
        <f>Calculations!$BX$13</f>
        <v>0</v>
      </c>
      <c r="G14" s="41"/>
      <c r="H14" s="41"/>
      <c r="I14" s="41"/>
      <c r="J14" s="42">
        <f>Calculations!$BX$15</f>
        <v>0</v>
      </c>
      <c r="K14" s="42"/>
      <c r="L14" s="42"/>
      <c r="M14" s="42"/>
      <c r="N14" s="42">
        <f>Calculations!$BX$19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2"/>
      <c r="K15" s="42"/>
      <c r="L15" s="42"/>
      <c r="M15" s="42"/>
      <c r="N15" s="42"/>
      <c r="O15" s="42"/>
      <c r="P15" s="42"/>
      <c r="Q15" s="42"/>
    </row>
    <row r="16" spans="2:19">
      <c r="B16" s="43">
        <f>IF(Calculations!$BY$12=0,IF(Calculations!$BX$12&gt;0,"▲ new","● flat"),IF(Calculations!$BX$12=Calculations!$BY$12,"● flat",(IF(Calculations!$BX$12&gt;Calculations!$BY$12,"▲ ","▼ "))&amp;TEXT(ABS(Calculations!$BZ$12),"0.0%")&amp;" vs prior"))</f>
        <v>0</v>
      </c>
      <c r="C16" s="43"/>
      <c r="D16" s="43"/>
      <c r="E16" s="43"/>
      <c r="F16" s="43">
        <f>IF(Calculations!$BY$13=0,IF(Calculations!$BX$13&gt;0,"▲ new","● flat"),IF(Calculations!$BX$13=Calculations!$BY$13,"● flat",(IF(Calculations!$BX$13&gt;Calculations!$BY$13,"▲ ","▼ "))&amp;TEXT(ABS(Calculations!$BZ$13),"0.0%")&amp;" vs prior"))</f>
        <v>0</v>
      </c>
      <c r="G16" s="43"/>
      <c r="H16" s="43"/>
      <c r="I16" s="43"/>
      <c r="J16" s="43">
        <f>IF(Calculations!$BY$15=0,IF(Calculations!$BX$15&gt;0,"▲ new","● flat"),IF(Calculations!$BX$15=Calculations!$BY$15,"● flat",(IF(Calculations!$BX$15&gt;Calculations!$BY$15,"▲ ","▼ "))&amp;TEXT(ABS(Calculations!$BZ$15),"0.0%")&amp;" vs prior"))</f>
        <v>0</v>
      </c>
      <c r="K16" s="43"/>
      <c r="L16" s="43"/>
      <c r="M16" s="43"/>
      <c r="N16" s="43">
        <f>IF(Calculations!$BY$19=0,IF(Calculations!$BX$19&gt;0,"▲ new","● flat"),IF(Calculations!$BX$19=Calculations!$BY$19,"● flat",(IF(Calculations!$BX$19&gt;Calculations!$BY$19,"▲ ","▼ "))&amp;TEXT(ABS(Calculations!$BZ$19),"0.0%")&amp;" vs prior"))</f>
        <v>0</v>
      </c>
      <c r="O16" s="43"/>
      <c r="P16" s="43"/>
      <c r="Q16" s="43"/>
    </row>
    <row r="18" spans="2:19" ht="4" customHeight="1"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9"/>
      <c r="O18" s="49"/>
      <c r="P18" s="49"/>
      <c r="Q18" s="49"/>
    </row>
    <row r="19" spans="2:19">
      <c r="B19" s="40" t="s">
        <v>1987</v>
      </c>
      <c r="C19" s="40"/>
      <c r="D19" s="40"/>
      <c r="E19" s="40"/>
      <c r="F19" s="40" t="s">
        <v>1988</v>
      </c>
      <c r="G19" s="40"/>
      <c r="H19" s="40"/>
      <c r="I19" s="40"/>
      <c r="J19" s="40" t="s">
        <v>1989</v>
      </c>
      <c r="K19" s="40"/>
      <c r="L19" s="40"/>
      <c r="M19" s="40"/>
      <c r="N19" s="40" t="s">
        <v>1931</v>
      </c>
      <c r="O19" s="40"/>
      <c r="P19" s="40"/>
      <c r="Q19" s="40"/>
    </row>
    <row r="20" spans="2:19">
      <c r="B20" s="44">
        <f>Calculations!$BX$31</f>
        <v>0</v>
      </c>
      <c r="C20" s="44"/>
      <c r="D20" s="44"/>
      <c r="E20" s="44"/>
      <c r="F20" s="44">
        <f>Calculations!$BX$29</f>
        <v>0</v>
      </c>
      <c r="G20" s="44"/>
      <c r="H20" s="44"/>
      <c r="I20" s="44"/>
      <c r="J20" s="44">
        <f>Calculations!$BX$57</f>
        <v>0</v>
      </c>
      <c r="K20" s="44"/>
      <c r="L20" s="44"/>
      <c r="M20" s="44"/>
      <c r="N20" s="42">
        <f>Calculations!$BX$17</f>
        <v>0</v>
      </c>
      <c r="O20" s="42"/>
      <c r="P20" s="42"/>
      <c r="Q20" s="42"/>
    </row>
    <row r="21" spans="2:19"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2"/>
      <c r="O21" s="42"/>
      <c r="P21" s="42"/>
      <c r="Q21" s="42"/>
    </row>
    <row r="22" spans="2:19">
      <c r="B22" s="43">
        <f>IF(Calculations!$BY$31=0,IF(Calculations!$BX$31&gt;0,"▲ new","● flat"),IF(Calculations!$BX$31=Calculations!$BY$31,"● flat",(IF(Calculations!$BX$31&gt;Calculations!$BY$31,"▲ ","▼ "))&amp;TEXT(ABS(Calculations!$BZ$31),"0.0%")&amp;" vs prior"))</f>
        <v>0</v>
      </c>
      <c r="C22" s="43"/>
      <c r="D22" s="43"/>
      <c r="E22" s="43"/>
      <c r="F22" s="43">
        <f>IF(Calculations!$BY$29=0,IF(Calculations!$BX$29&gt;0,"▲ new","● flat"),IF(Calculations!$BX$29=Calculations!$BY$29,"● flat",(IF(Calculations!$BX$29&gt;Calculations!$BY$29,"▲ ","▼ "))&amp;TEXT(ABS(Calculations!$BZ$29),"0.0%")&amp;" vs prior"))</f>
        <v>0</v>
      </c>
      <c r="G22" s="43"/>
      <c r="H22" s="43"/>
      <c r="I22" s="43"/>
      <c r="J22" s="43">
        <f>IF(Calculations!$BY$57=0,IF(Calculations!$BX$57&gt;0,"▲ new","● flat"),IF(Calculations!$BX$57=Calculations!$BY$57,"● flat",(IF(Calculations!$BX$57&gt;Calculations!$BY$57,"▲ ","▼ "))&amp;TEXT(ABS(Calculations!$BZ$57),"0.0%")&amp;" vs prior"))</f>
        <v>0</v>
      </c>
      <c r="K22" s="43"/>
      <c r="L22" s="43"/>
      <c r="M22" s="43"/>
      <c r="N22" s="43">
        <f>IF(Calculations!$BY$17=0,IF(Calculations!$BX$17&gt;0,"▲ new","● flat"),IF(Calculations!$BX$17=Calculations!$BY$17,"● flat",(IF(Calculations!$BX$17&gt;Calculations!$BY$17,"▲ ","▼ "))&amp;TEXT(ABS(Calculations!$BZ$17),"0.0%")&amp;" vs prior"))</f>
        <v>0</v>
      </c>
      <c r="O22" s="43"/>
      <c r="P22" s="43"/>
      <c r="Q22" s="43"/>
    </row>
    <row r="24" spans="2:19">
      <c r="B24" s="9" t="s">
        <v>1990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</sheetData>
  <mergeCells count="39">
    <mergeCell ref="B2:M4"/>
    <mergeCell ref="B5:M5"/>
    <mergeCell ref="N2:S5"/>
    <mergeCell ref="B6:S6"/>
    <mergeCell ref="D9:E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</mergeCells>
  <conditionalFormatting sqref="B16:E16">
    <cfRule type="expression" dxfId="0" priority="1">
      <formula>gdTRIR&lt;0</formula>
    </cfRule>
  </conditionalFormatting>
  <conditionalFormatting sqref="B22:E22">
    <cfRule type="expression" dxfId="0" priority="5">
      <formula>gdObsClosure&lt;0</formula>
    </cfRule>
  </conditionalFormatting>
  <conditionalFormatting sqref="F16:I16">
    <cfRule type="expression" dxfId="0" priority="2">
      <formula>gdLTIFR&lt;0</formula>
    </cfRule>
  </conditionalFormatting>
  <conditionalFormatting sqref="F22:I22">
    <cfRule type="expression" dxfId="0" priority="6">
      <formula>gdTrainingCompliance&lt;0</formula>
    </cfRule>
  </conditionalFormatting>
  <conditionalFormatting sqref="J16:M16">
    <cfRule type="expression" dxfId="0" priority="3">
      <formula>gdRecordable&lt;0</formula>
    </cfRule>
  </conditionalFormatting>
  <conditionalFormatting sqref="J22:M22">
    <cfRule type="expression" dxfId="0" priority="7">
      <formula>gdCAClosure&lt;0</formula>
    </cfRule>
  </conditionalFormatting>
  <conditionalFormatting sqref="N16:Q16">
    <cfRule type="expression" dxfId="0" priority="4">
      <formula>gdLostDays&lt;0</formula>
    </cfRule>
  </conditionalFormatting>
  <conditionalFormatting sqref="N22:Q22">
    <cfRule type="expression" dxfId="0" priority="8">
      <formula>gdNearMiss&lt;0</formula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7" right="0.7" top="0.75" bottom="0.75" header="0.3" footer="0.3"/>
  <drawing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0B6EA8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1991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1992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1997</v>
      </c>
      <c r="G13" s="40"/>
      <c r="H13" s="40"/>
      <c r="I13" s="40"/>
      <c r="J13" s="40" t="s">
        <v>1998</v>
      </c>
      <c r="K13" s="40"/>
      <c r="L13" s="40"/>
      <c r="M13" s="40"/>
      <c r="N13" s="40" t="s">
        <v>1999</v>
      </c>
      <c r="O13" s="40"/>
      <c r="P13" s="40"/>
      <c r="Q13" s="40"/>
    </row>
    <row r="14" spans="2:19">
      <c r="B14" s="42">
        <f>Calculations!$N$148</f>
        <v>0</v>
      </c>
      <c r="C14" s="42"/>
      <c r="D14" s="42"/>
      <c r="E14" s="42"/>
      <c r="F14" s="44">
        <f>Calculations!$N$149</f>
        <v>0</v>
      </c>
      <c r="G14" s="44"/>
      <c r="H14" s="44"/>
      <c r="I14" s="44"/>
      <c r="J14" s="42">
        <f>Calculations!$N$150</f>
        <v>0</v>
      </c>
      <c r="K14" s="42"/>
      <c r="L14" s="42"/>
      <c r="M14" s="42"/>
      <c r="N14" s="42">
        <f>Calculations!$N$151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>
      <c r="B18" s="9" t="s">
        <v>2000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  <row r="35" spans="2:19">
      <c r="B35" s="9" t="s">
        <v>2001</v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</row>
    <row r="36" spans="2:19">
      <c r="N36" s="8" t="s">
        <v>2002</v>
      </c>
      <c r="O36" s="8"/>
      <c r="P36" s="8"/>
      <c r="Q36" s="8"/>
      <c r="R36" s="8"/>
      <c r="S36" s="8"/>
    </row>
    <row r="52" spans="2:19">
      <c r="B52" s="9" t="s">
        <v>2003</v>
      </c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</row>
    <row r="53" spans="2:19">
      <c r="B53" s="10" t="s">
        <v>1826</v>
      </c>
      <c r="C53" s="10" t="s">
        <v>3</v>
      </c>
      <c r="D53" s="10" t="s">
        <v>19</v>
      </c>
      <c r="E53" s="10" t="s">
        <v>44</v>
      </c>
      <c r="F53" s="10" t="s">
        <v>53</v>
      </c>
      <c r="G53" s="10" t="s">
        <v>60</v>
      </c>
      <c r="H53" s="10" t="s">
        <v>73</v>
      </c>
      <c r="I53" s="10" t="s">
        <v>76</v>
      </c>
      <c r="J53" s="10" t="s">
        <v>86</v>
      </c>
      <c r="K53" s="10" t="s">
        <v>102</v>
      </c>
      <c r="L53" s="10" t="s">
        <v>106</v>
      </c>
      <c r="M53" s="10" t="s">
        <v>111</v>
      </c>
      <c r="N53" s="10" t="s">
        <v>122</v>
      </c>
      <c r="O53" s="10" t="s">
        <v>1827</v>
      </c>
    </row>
    <row r="54" spans="2:19">
      <c r="B54" s="11">
        <f>IF(Calculations!$U$148="","",Calculations!$U$148)</f>
        <v>0</v>
      </c>
      <c r="C54" s="20">
        <f>IFERROR(Calculations!$V$148,"")</f>
        <v>0</v>
      </c>
      <c r="D54" s="20">
        <f>IFERROR(Calculations!$W$148,"")</f>
        <v>0</v>
      </c>
      <c r="E54" s="20">
        <f>IFERROR(Calculations!$X$148,"")</f>
        <v>0</v>
      </c>
      <c r="F54" s="20">
        <f>IFERROR(Calculations!$Y$148,"")</f>
        <v>0</v>
      </c>
      <c r="G54" s="20">
        <f>IFERROR(Calculations!$Z$148,"")</f>
        <v>0</v>
      </c>
      <c r="H54" s="20">
        <f>IFERROR(Calculations!$AA$148,"")</f>
        <v>0</v>
      </c>
      <c r="I54" s="20">
        <f>IFERROR(Calculations!$AB$148,"")</f>
        <v>0</v>
      </c>
      <c r="J54" s="20">
        <f>IFERROR(Calculations!$AC$148,"")</f>
        <v>0</v>
      </c>
      <c r="K54" s="20">
        <f>IFERROR(Calculations!$AD$148,"")</f>
        <v>0</v>
      </c>
      <c r="L54" s="20">
        <f>IFERROR(Calculations!$AE$148,"")</f>
        <v>0</v>
      </c>
      <c r="M54" s="20">
        <f>IFERROR(Calculations!$AF$148,"")</f>
        <v>0</v>
      </c>
      <c r="N54" s="20">
        <f>IFERROR(Calculations!$AG$148,"")</f>
        <v>0</v>
      </c>
      <c r="O54" s="20">
        <f>IFERROR(Calculations!$AH$148,"")</f>
        <v>0</v>
      </c>
    </row>
    <row r="55" spans="2:19">
      <c r="B55" s="11">
        <f>IF(Calculations!$U$149="","",Calculations!$U$149)</f>
        <v>0</v>
      </c>
      <c r="C55" s="20">
        <f>IFERROR(Calculations!$V$149,"")</f>
        <v>0</v>
      </c>
      <c r="D55" s="20">
        <f>IFERROR(Calculations!$W$149,"")</f>
        <v>0</v>
      </c>
      <c r="E55" s="20">
        <f>IFERROR(Calculations!$X$149,"")</f>
        <v>0</v>
      </c>
      <c r="F55" s="20">
        <f>IFERROR(Calculations!$Y$149,"")</f>
        <v>0</v>
      </c>
      <c r="G55" s="20">
        <f>IFERROR(Calculations!$Z$149,"")</f>
        <v>0</v>
      </c>
      <c r="H55" s="20">
        <f>IFERROR(Calculations!$AA$149,"")</f>
        <v>0</v>
      </c>
      <c r="I55" s="20">
        <f>IFERROR(Calculations!$AB$149,"")</f>
        <v>0</v>
      </c>
      <c r="J55" s="20">
        <f>IFERROR(Calculations!$AC$149,"")</f>
        <v>0</v>
      </c>
      <c r="K55" s="20">
        <f>IFERROR(Calculations!$AD$149,"")</f>
        <v>0</v>
      </c>
      <c r="L55" s="20">
        <f>IFERROR(Calculations!$AE$149,"")</f>
        <v>0</v>
      </c>
      <c r="M55" s="20">
        <f>IFERROR(Calculations!$AF$149,"")</f>
        <v>0</v>
      </c>
      <c r="N55" s="20">
        <f>IFERROR(Calculations!$AG$149,"")</f>
        <v>0</v>
      </c>
      <c r="O55" s="20">
        <f>IFERROR(Calculations!$AH$149,"")</f>
        <v>0</v>
      </c>
    </row>
    <row r="56" spans="2:19">
      <c r="B56" s="11">
        <f>IF(Calculations!$U$150="","",Calculations!$U$150)</f>
        <v>0</v>
      </c>
      <c r="C56" s="20">
        <f>IFERROR(Calculations!$V$150,"")</f>
        <v>0</v>
      </c>
      <c r="D56" s="20">
        <f>IFERROR(Calculations!$W$150,"")</f>
        <v>0</v>
      </c>
      <c r="E56" s="20">
        <f>IFERROR(Calculations!$X$150,"")</f>
        <v>0</v>
      </c>
      <c r="F56" s="20">
        <f>IFERROR(Calculations!$Y$150,"")</f>
        <v>0</v>
      </c>
      <c r="G56" s="20">
        <f>IFERROR(Calculations!$Z$150,"")</f>
        <v>0</v>
      </c>
      <c r="H56" s="20">
        <f>IFERROR(Calculations!$AA$150,"")</f>
        <v>0</v>
      </c>
      <c r="I56" s="20">
        <f>IFERROR(Calculations!$AB$150,"")</f>
        <v>0</v>
      </c>
      <c r="J56" s="20">
        <f>IFERROR(Calculations!$AC$150,"")</f>
        <v>0</v>
      </c>
      <c r="K56" s="20">
        <f>IFERROR(Calculations!$AD$150,"")</f>
        <v>0</v>
      </c>
      <c r="L56" s="20">
        <f>IFERROR(Calculations!$AE$150,"")</f>
        <v>0</v>
      </c>
      <c r="M56" s="20">
        <f>IFERROR(Calculations!$AF$150,"")</f>
        <v>0</v>
      </c>
      <c r="N56" s="20">
        <f>IFERROR(Calculations!$AG$150,"")</f>
        <v>0</v>
      </c>
      <c r="O56" s="20">
        <f>IFERROR(Calculations!$AH$150,"")</f>
        <v>0</v>
      </c>
    </row>
    <row r="57" spans="2:19">
      <c r="B57" s="11">
        <f>IF(Calculations!$U$151="","",Calculations!$U$151)</f>
        <v>0</v>
      </c>
      <c r="C57" s="20">
        <f>IFERROR(Calculations!$V$151,"")</f>
        <v>0</v>
      </c>
      <c r="D57" s="20">
        <f>IFERROR(Calculations!$W$151,"")</f>
        <v>0</v>
      </c>
      <c r="E57" s="20">
        <f>IFERROR(Calculations!$X$151,"")</f>
        <v>0</v>
      </c>
      <c r="F57" s="20">
        <f>IFERROR(Calculations!$Y$151,"")</f>
        <v>0</v>
      </c>
      <c r="G57" s="20">
        <f>IFERROR(Calculations!$Z$151,"")</f>
        <v>0</v>
      </c>
      <c r="H57" s="20">
        <f>IFERROR(Calculations!$AA$151,"")</f>
        <v>0</v>
      </c>
      <c r="I57" s="20">
        <f>IFERROR(Calculations!$AB$151,"")</f>
        <v>0</v>
      </c>
      <c r="J57" s="20">
        <f>IFERROR(Calculations!$AC$151,"")</f>
        <v>0</v>
      </c>
      <c r="K57" s="20">
        <f>IFERROR(Calculations!$AD$151,"")</f>
        <v>0</v>
      </c>
      <c r="L57" s="20">
        <f>IFERROR(Calculations!$AE$151,"")</f>
        <v>0</v>
      </c>
      <c r="M57" s="20">
        <f>IFERROR(Calculations!$AF$151,"")</f>
        <v>0</v>
      </c>
      <c r="N57" s="20">
        <f>IFERROR(Calculations!$AG$151,"")</f>
        <v>0</v>
      </c>
      <c r="O57" s="20">
        <f>IFERROR(Calculations!$AH$151,"")</f>
        <v>0</v>
      </c>
    </row>
    <row r="58" spans="2:19">
      <c r="B58" s="11">
        <f>IF(Calculations!$U$152="","",Calculations!$U$152)</f>
        <v>0</v>
      </c>
      <c r="C58" s="20">
        <f>IFERROR(Calculations!$V$152,"")</f>
        <v>0</v>
      </c>
      <c r="D58" s="20">
        <f>IFERROR(Calculations!$W$152,"")</f>
        <v>0</v>
      </c>
      <c r="E58" s="20">
        <f>IFERROR(Calculations!$X$152,"")</f>
        <v>0</v>
      </c>
      <c r="F58" s="20">
        <f>IFERROR(Calculations!$Y$152,"")</f>
        <v>0</v>
      </c>
      <c r="G58" s="20">
        <f>IFERROR(Calculations!$Z$152,"")</f>
        <v>0</v>
      </c>
      <c r="H58" s="20">
        <f>IFERROR(Calculations!$AA$152,"")</f>
        <v>0</v>
      </c>
      <c r="I58" s="20">
        <f>IFERROR(Calculations!$AB$152,"")</f>
        <v>0</v>
      </c>
      <c r="J58" s="20">
        <f>IFERROR(Calculations!$AC$152,"")</f>
        <v>0</v>
      </c>
      <c r="K58" s="20">
        <f>IFERROR(Calculations!$AD$152,"")</f>
        <v>0</v>
      </c>
      <c r="L58" s="20">
        <f>IFERROR(Calculations!$AE$152,"")</f>
        <v>0</v>
      </c>
      <c r="M58" s="20">
        <f>IFERROR(Calculations!$AF$152,"")</f>
        <v>0</v>
      </c>
      <c r="N58" s="20">
        <f>IFERROR(Calculations!$AG$152,"")</f>
        <v>0</v>
      </c>
      <c r="O58" s="20">
        <f>IFERROR(Calculations!$AH$152,"")</f>
        <v>0</v>
      </c>
    </row>
    <row r="59" spans="2:19">
      <c r="B59" s="11">
        <f>IF(Calculations!$U$153="","",Calculations!$U$153)</f>
        <v>0</v>
      </c>
      <c r="C59" s="20">
        <f>IFERROR(Calculations!$V$153,"")</f>
        <v>0</v>
      </c>
      <c r="D59" s="20">
        <f>IFERROR(Calculations!$W$153,"")</f>
        <v>0</v>
      </c>
      <c r="E59" s="20">
        <f>IFERROR(Calculations!$X$153,"")</f>
        <v>0</v>
      </c>
      <c r="F59" s="20">
        <f>IFERROR(Calculations!$Y$153,"")</f>
        <v>0</v>
      </c>
      <c r="G59" s="20">
        <f>IFERROR(Calculations!$Z$153,"")</f>
        <v>0</v>
      </c>
      <c r="H59" s="20">
        <f>IFERROR(Calculations!$AA$153,"")</f>
        <v>0</v>
      </c>
      <c r="I59" s="20">
        <f>IFERROR(Calculations!$AB$153,"")</f>
        <v>0</v>
      </c>
      <c r="J59" s="20">
        <f>IFERROR(Calculations!$AC$153,"")</f>
        <v>0</v>
      </c>
      <c r="K59" s="20">
        <f>IFERROR(Calculations!$AD$153,"")</f>
        <v>0</v>
      </c>
      <c r="L59" s="20">
        <f>IFERROR(Calculations!$AE$153,"")</f>
        <v>0</v>
      </c>
      <c r="M59" s="20">
        <f>IFERROR(Calculations!$AF$153,"")</f>
        <v>0</v>
      </c>
      <c r="N59" s="20">
        <f>IFERROR(Calculations!$AG$153,"")</f>
        <v>0</v>
      </c>
      <c r="O59" s="20">
        <f>IFERROR(Calculations!$AH$153,"")</f>
        <v>0</v>
      </c>
    </row>
  </sheetData>
  <mergeCells count="27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N36:S36"/>
    <mergeCell ref="B52:S52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7" right="0.7" top="0.75" bottom="0.75" header="0.3" footer="0.3"/>
  <drawing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2004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2005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2008</v>
      </c>
      <c r="O13" s="40"/>
      <c r="P13" s="40"/>
      <c r="Q13" s="40"/>
    </row>
    <row r="14" spans="2:19">
      <c r="B14" s="42">
        <f>Calculations!$N$174</f>
        <v>0</v>
      </c>
      <c r="C14" s="42"/>
      <c r="D14" s="42"/>
      <c r="E14" s="42"/>
      <c r="F14" s="44">
        <f>Calculations!$N$175</f>
        <v>0</v>
      </c>
      <c r="G14" s="44"/>
      <c r="H14" s="44"/>
      <c r="I14" s="44"/>
      <c r="J14" s="42">
        <f>Calculations!$N$176</f>
        <v>0</v>
      </c>
      <c r="K14" s="42"/>
      <c r="L14" s="42"/>
      <c r="M14" s="42"/>
      <c r="N14" s="42">
        <f>Calculations!$N$177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</row>
    <row r="19" spans="2:19">
      <c r="B19" s="40" t="s">
        <v>2009</v>
      </c>
      <c r="C19" s="40"/>
      <c r="D19" s="40"/>
      <c r="E19" s="40"/>
    </row>
    <row r="20" spans="2:19">
      <c r="B20" s="42">
        <f>Calculations!$N$178</f>
        <v>0</v>
      </c>
      <c r="C20" s="42"/>
      <c r="D20" s="42"/>
      <c r="E20" s="42"/>
    </row>
    <row r="21" spans="2:19">
      <c r="B21" s="42"/>
      <c r="C21" s="42"/>
      <c r="D21" s="42"/>
      <c r="E21" s="42"/>
    </row>
    <row r="22" spans="2:19">
      <c r="B22" s="50" t="s">
        <v>1996</v>
      </c>
      <c r="C22" s="50"/>
      <c r="D22" s="50"/>
      <c r="E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2010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IF(Calculations!$U$174="","",Calculations!$U$174)</f>
        <v>0</v>
      </c>
      <c r="C60" s="20">
        <f>IFERROR(Calculations!$V$174,"")</f>
        <v>0</v>
      </c>
      <c r="D60" s="20">
        <f>IFERROR(Calculations!$W$174,"")</f>
        <v>0</v>
      </c>
      <c r="E60" s="20">
        <f>IFERROR(Calculations!$X$174,"")</f>
        <v>0</v>
      </c>
      <c r="F60" s="20">
        <f>IFERROR(Calculations!$Y$174,"")</f>
        <v>0</v>
      </c>
      <c r="G60" s="20">
        <f>IFERROR(Calculations!$Z$174,"")</f>
        <v>0</v>
      </c>
      <c r="H60" s="20">
        <f>IFERROR(Calculations!$AA$174,"")</f>
        <v>0</v>
      </c>
      <c r="I60" s="20">
        <f>IFERROR(Calculations!$AB$174,"")</f>
        <v>0</v>
      </c>
      <c r="J60" s="20">
        <f>IFERROR(Calculations!$AC$174,"")</f>
        <v>0</v>
      </c>
      <c r="K60" s="20">
        <f>IFERROR(Calculations!$AD$174,"")</f>
        <v>0</v>
      </c>
      <c r="L60" s="20">
        <f>IFERROR(Calculations!$AE$174,"")</f>
        <v>0</v>
      </c>
      <c r="M60" s="20">
        <f>IFERROR(Calculations!$AF$174,"")</f>
        <v>0</v>
      </c>
      <c r="N60" s="20">
        <f>IFERROR(Calculations!$AG$174,"")</f>
        <v>0</v>
      </c>
      <c r="O60" s="20">
        <f>IFERROR(Calculations!$AH$174,"")</f>
        <v>0</v>
      </c>
    </row>
    <row r="61" spans="2:19">
      <c r="B61" s="11">
        <f>IF(Calculations!$U$175="","",Calculations!$U$175)</f>
        <v>0</v>
      </c>
      <c r="C61" s="20">
        <f>IFERROR(Calculations!$V$175,"")</f>
        <v>0</v>
      </c>
      <c r="D61" s="20">
        <f>IFERROR(Calculations!$W$175,"")</f>
        <v>0</v>
      </c>
      <c r="E61" s="20">
        <f>IFERROR(Calculations!$X$175,"")</f>
        <v>0</v>
      </c>
      <c r="F61" s="20">
        <f>IFERROR(Calculations!$Y$175,"")</f>
        <v>0</v>
      </c>
      <c r="G61" s="20">
        <f>IFERROR(Calculations!$Z$175,"")</f>
        <v>0</v>
      </c>
      <c r="H61" s="20">
        <f>IFERROR(Calculations!$AA$175,"")</f>
        <v>0</v>
      </c>
      <c r="I61" s="20">
        <f>IFERROR(Calculations!$AB$175,"")</f>
        <v>0</v>
      </c>
      <c r="J61" s="20">
        <f>IFERROR(Calculations!$AC$175,"")</f>
        <v>0</v>
      </c>
      <c r="K61" s="20">
        <f>IFERROR(Calculations!$AD$175,"")</f>
        <v>0</v>
      </c>
      <c r="L61" s="20">
        <f>IFERROR(Calculations!$AE$175,"")</f>
        <v>0</v>
      </c>
      <c r="M61" s="20">
        <f>IFERROR(Calculations!$AF$175,"")</f>
        <v>0</v>
      </c>
      <c r="N61" s="20">
        <f>IFERROR(Calculations!$AG$175,"")</f>
        <v>0</v>
      </c>
      <c r="O61" s="20">
        <f>IFERROR(Calculations!$AH$175,"")</f>
        <v>0</v>
      </c>
    </row>
    <row r="62" spans="2:19">
      <c r="B62" s="11">
        <f>IF(Calculations!$U$176="","",Calculations!$U$176)</f>
        <v>0</v>
      </c>
      <c r="C62" s="20">
        <f>IFERROR(Calculations!$V$176,"")</f>
        <v>0</v>
      </c>
      <c r="D62" s="20">
        <f>IFERROR(Calculations!$W$176,"")</f>
        <v>0</v>
      </c>
      <c r="E62" s="20">
        <f>IFERROR(Calculations!$X$176,"")</f>
        <v>0</v>
      </c>
      <c r="F62" s="20">
        <f>IFERROR(Calculations!$Y$176,"")</f>
        <v>0</v>
      </c>
      <c r="G62" s="20">
        <f>IFERROR(Calculations!$Z$176,"")</f>
        <v>0</v>
      </c>
      <c r="H62" s="20">
        <f>IFERROR(Calculations!$AA$176,"")</f>
        <v>0</v>
      </c>
      <c r="I62" s="20">
        <f>IFERROR(Calculations!$AB$176,"")</f>
        <v>0</v>
      </c>
      <c r="J62" s="20">
        <f>IFERROR(Calculations!$AC$176,"")</f>
        <v>0</v>
      </c>
      <c r="K62" s="20">
        <f>IFERROR(Calculations!$AD$176,"")</f>
        <v>0</v>
      </c>
      <c r="L62" s="20">
        <f>IFERROR(Calculations!$AE$176,"")</f>
        <v>0</v>
      </c>
      <c r="M62" s="20">
        <f>IFERROR(Calculations!$AF$176,"")</f>
        <v>0</v>
      </c>
      <c r="N62" s="20">
        <f>IFERROR(Calculations!$AG$176,"")</f>
        <v>0</v>
      </c>
      <c r="O62" s="20">
        <f>IFERROR(Calculations!$AH$176,"")</f>
        <v>0</v>
      </c>
    </row>
    <row r="63" spans="2:19">
      <c r="B63" s="11">
        <f>IF(Calculations!$U$177="","",Calculations!$U$177)</f>
        <v>0</v>
      </c>
      <c r="C63" s="20">
        <f>IFERROR(Calculations!$V$177,"")</f>
        <v>0</v>
      </c>
      <c r="D63" s="20">
        <f>IFERROR(Calculations!$W$177,"")</f>
        <v>0</v>
      </c>
      <c r="E63" s="20">
        <f>IFERROR(Calculations!$X$177,"")</f>
        <v>0</v>
      </c>
      <c r="F63" s="20">
        <f>IFERROR(Calculations!$Y$177,"")</f>
        <v>0</v>
      </c>
      <c r="G63" s="20">
        <f>IFERROR(Calculations!$Z$177,"")</f>
        <v>0</v>
      </c>
      <c r="H63" s="20">
        <f>IFERROR(Calculations!$AA$177,"")</f>
        <v>0</v>
      </c>
      <c r="I63" s="20">
        <f>IFERROR(Calculations!$AB$177,"")</f>
        <v>0</v>
      </c>
      <c r="J63" s="20">
        <f>IFERROR(Calculations!$AC$177,"")</f>
        <v>0</v>
      </c>
      <c r="K63" s="20">
        <f>IFERROR(Calculations!$AD$177,"")</f>
        <v>0</v>
      </c>
      <c r="L63" s="20">
        <f>IFERROR(Calculations!$AE$177,"")</f>
        <v>0</v>
      </c>
      <c r="M63" s="20">
        <f>IFERROR(Calculations!$AF$177,"")</f>
        <v>0</v>
      </c>
      <c r="N63" s="20">
        <f>IFERROR(Calculations!$AG$177,"")</f>
        <v>0</v>
      </c>
      <c r="O63" s="20">
        <f>IFERROR(Calculations!$AH$177,"")</f>
        <v>0</v>
      </c>
    </row>
    <row r="64" spans="2:19">
      <c r="B64" s="11">
        <f>IF(Calculations!$U$178="","",Calculations!$U$178)</f>
        <v>0</v>
      </c>
      <c r="C64" s="20">
        <f>IFERROR(Calculations!$V$178,"")</f>
        <v>0</v>
      </c>
      <c r="D64" s="20">
        <f>IFERROR(Calculations!$W$178,"")</f>
        <v>0</v>
      </c>
      <c r="E64" s="20">
        <f>IFERROR(Calculations!$X$178,"")</f>
        <v>0</v>
      </c>
      <c r="F64" s="20">
        <f>IFERROR(Calculations!$Y$178,"")</f>
        <v>0</v>
      </c>
      <c r="G64" s="20">
        <f>IFERROR(Calculations!$Z$178,"")</f>
        <v>0</v>
      </c>
      <c r="H64" s="20">
        <f>IFERROR(Calculations!$AA$178,"")</f>
        <v>0</v>
      </c>
      <c r="I64" s="20">
        <f>IFERROR(Calculations!$AB$178,"")</f>
        <v>0</v>
      </c>
      <c r="J64" s="20">
        <f>IFERROR(Calculations!$AC$178,"")</f>
        <v>0</v>
      </c>
      <c r="K64" s="20">
        <f>IFERROR(Calculations!$AD$178,"")</f>
        <v>0</v>
      </c>
      <c r="L64" s="20">
        <f>IFERROR(Calculations!$AE$178,"")</f>
        <v>0</v>
      </c>
      <c r="M64" s="20">
        <f>IFERROR(Calculations!$AF$178,"")</f>
        <v>0</v>
      </c>
      <c r="N64" s="20">
        <f>IFERROR(Calculations!$AG$178,"")</f>
        <v>0</v>
      </c>
      <c r="O64" s="20">
        <f>IFERROR(Calculations!$AH$178,"")</f>
        <v>0</v>
      </c>
    </row>
    <row r="65" spans="2:15">
      <c r="B65" s="11">
        <f>IF(Calculations!$U$179="","",Calculations!$U$179)</f>
        <v>0</v>
      </c>
      <c r="C65" s="20">
        <f>IFERROR(Calculations!$V$179,"")</f>
        <v>0</v>
      </c>
      <c r="D65" s="20">
        <f>IFERROR(Calculations!$W$179,"")</f>
        <v>0</v>
      </c>
      <c r="E65" s="20">
        <f>IFERROR(Calculations!$X$179,"")</f>
        <v>0</v>
      </c>
      <c r="F65" s="20">
        <f>IFERROR(Calculations!$Y$179,"")</f>
        <v>0</v>
      </c>
      <c r="G65" s="20">
        <f>IFERROR(Calculations!$Z$179,"")</f>
        <v>0</v>
      </c>
      <c r="H65" s="20">
        <f>IFERROR(Calculations!$AA$179,"")</f>
        <v>0</v>
      </c>
      <c r="I65" s="20">
        <f>IFERROR(Calculations!$AB$179,"")</f>
        <v>0</v>
      </c>
      <c r="J65" s="20">
        <f>IFERROR(Calculations!$AC$179,"")</f>
        <v>0</v>
      </c>
      <c r="K65" s="20">
        <f>IFERROR(Calculations!$AD$179,"")</f>
        <v>0</v>
      </c>
      <c r="L65" s="20">
        <f>IFERROR(Calculations!$AE$179,"")</f>
        <v>0</v>
      </c>
      <c r="M65" s="20">
        <f>IFERROR(Calculations!$AF$179,"")</f>
        <v>0</v>
      </c>
      <c r="N65" s="20">
        <f>IFERROR(Calculations!$AG$179,"")</f>
        <v>0</v>
      </c>
      <c r="O65" s="20">
        <f>IFERROR(Calculations!$AH$179,"")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7" right="0.7" top="0.75" bottom="0.75" header="0.3" footer="0.3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2011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2012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Calculations!$N$200</f>
        <v>0</v>
      </c>
      <c r="C14" s="42"/>
      <c r="D14" s="42"/>
      <c r="E14" s="42"/>
      <c r="F14" s="44">
        <f>Calculations!$N$201</f>
        <v>0</v>
      </c>
      <c r="G14" s="44"/>
      <c r="H14" s="44"/>
      <c r="I14" s="44"/>
      <c r="J14" s="42">
        <f>Calculations!$N$202</f>
        <v>0</v>
      </c>
      <c r="K14" s="42"/>
      <c r="L14" s="42"/>
      <c r="M14" s="42"/>
      <c r="N14" s="42">
        <f>Calculations!$N$203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  <c r="J18" s="48"/>
      <c r="K18" s="48"/>
      <c r="L18" s="48"/>
      <c r="M18" s="48"/>
      <c r="N18" s="39"/>
      <c r="O18" s="39"/>
      <c r="P18" s="39"/>
      <c r="Q18" s="39"/>
    </row>
    <row r="19" spans="2:19">
      <c r="B19" s="40" t="s">
        <v>1997</v>
      </c>
      <c r="C19" s="40"/>
      <c r="D19" s="40"/>
      <c r="E19" s="40"/>
      <c r="F19" s="40" t="s">
        <v>2014</v>
      </c>
      <c r="G19" s="40"/>
      <c r="H19" s="40"/>
      <c r="I19" s="40"/>
      <c r="J19" s="40" t="s">
        <v>2015</v>
      </c>
      <c r="K19" s="40"/>
      <c r="L19" s="40"/>
      <c r="M19" s="40"/>
      <c r="N19" s="40" t="s">
        <v>2016</v>
      </c>
      <c r="O19" s="40"/>
      <c r="P19" s="40"/>
      <c r="Q19" s="40"/>
    </row>
    <row r="20" spans="2:19">
      <c r="B20" s="44">
        <f>Calculations!$N$204</f>
        <v>0</v>
      </c>
      <c r="C20" s="44"/>
      <c r="D20" s="44"/>
      <c r="E20" s="44"/>
      <c r="F20" s="42">
        <f>Calculations!$N$205</f>
        <v>0</v>
      </c>
      <c r="G20" s="42"/>
      <c r="H20" s="42"/>
      <c r="I20" s="42"/>
      <c r="J20" s="42">
        <f>Calculations!$N$206</f>
        <v>0</v>
      </c>
      <c r="K20" s="42"/>
      <c r="L20" s="42"/>
      <c r="M20" s="42"/>
      <c r="N20" s="42">
        <f>Calculations!$N$207</f>
        <v>0</v>
      </c>
      <c r="O20" s="42"/>
      <c r="P20" s="42"/>
      <c r="Q20" s="42"/>
    </row>
    <row r="21" spans="2:19">
      <c r="B21" s="44"/>
      <c r="C21" s="44"/>
      <c r="D21" s="44"/>
      <c r="E21" s="44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  <c r="J22" s="50" t="s">
        <v>1996</v>
      </c>
      <c r="K22" s="50"/>
      <c r="L22" s="50"/>
      <c r="M22" s="50"/>
      <c r="N22" s="50" t="s">
        <v>1996</v>
      </c>
      <c r="O22" s="50"/>
      <c r="P22" s="50"/>
      <c r="Q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2017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IF(Calculations!$U$200="","",Calculations!$U$200)</f>
        <v>0</v>
      </c>
      <c r="C60" s="20">
        <f>IFERROR(Calculations!$V$200,"")</f>
        <v>0</v>
      </c>
      <c r="D60" s="20">
        <f>IFERROR(Calculations!$W$200,"")</f>
        <v>0</v>
      </c>
      <c r="E60" s="20">
        <f>IFERROR(Calculations!$X$200,"")</f>
        <v>0</v>
      </c>
      <c r="F60" s="20">
        <f>IFERROR(Calculations!$Y$200,"")</f>
        <v>0</v>
      </c>
      <c r="G60" s="20">
        <f>IFERROR(Calculations!$Z$200,"")</f>
        <v>0</v>
      </c>
      <c r="H60" s="20">
        <f>IFERROR(Calculations!$AA$200,"")</f>
        <v>0</v>
      </c>
      <c r="I60" s="20">
        <f>IFERROR(Calculations!$AB$200,"")</f>
        <v>0</v>
      </c>
      <c r="J60" s="20">
        <f>IFERROR(Calculations!$AC$200,"")</f>
        <v>0</v>
      </c>
      <c r="K60" s="20">
        <f>IFERROR(Calculations!$AD$200,"")</f>
        <v>0</v>
      </c>
      <c r="L60" s="20">
        <f>IFERROR(Calculations!$AE$200,"")</f>
        <v>0</v>
      </c>
      <c r="M60" s="20">
        <f>IFERROR(Calculations!$AF$200,"")</f>
        <v>0</v>
      </c>
      <c r="N60" s="20">
        <f>IFERROR(Calculations!$AG$200,"")</f>
        <v>0</v>
      </c>
      <c r="O60" s="20">
        <f>IFERROR(Calculations!$AH$200,"")</f>
        <v>0</v>
      </c>
    </row>
    <row r="61" spans="2:19">
      <c r="B61" s="11">
        <f>IF(Calculations!$U$201="","",Calculations!$U$201)</f>
        <v>0</v>
      </c>
      <c r="C61" s="20">
        <f>IFERROR(Calculations!$V$201,"")</f>
        <v>0</v>
      </c>
      <c r="D61" s="20">
        <f>IFERROR(Calculations!$W$201,"")</f>
        <v>0</v>
      </c>
      <c r="E61" s="20">
        <f>IFERROR(Calculations!$X$201,"")</f>
        <v>0</v>
      </c>
      <c r="F61" s="20">
        <f>IFERROR(Calculations!$Y$201,"")</f>
        <v>0</v>
      </c>
      <c r="G61" s="20">
        <f>IFERROR(Calculations!$Z$201,"")</f>
        <v>0</v>
      </c>
      <c r="H61" s="20">
        <f>IFERROR(Calculations!$AA$201,"")</f>
        <v>0</v>
      </c>
      <c r="I61" s="20">
        <f>IFERROR(Calculations!$AB$201,"")</f>
        <v>0</v>
      </c>
      <c r="J61" s="20">
        <f>IFERROR(Calculations!$AC$201,"")</f>
        <v>0</v>
      </c>
      <c r="K61" s="20">
        <f>IFERROR(Calculations!$AD$201,"")</f>
        <v>0</v>
      </c>
      <c r="L61" s="20">
        <f>IFERROR(Calculations!$AE$201,"")</f>
        <v>0</v>
      </c>
      <c r="M61" s="20">
        <f>IFERROR(Calculations!$AF$201,"")</f>
        <v>0</v>
      </c>
      <c r="N61" s="20">
        <f>IFERROR(Calculations!$AG$201,"")</f>
        <v>0</v>
      </c>
      <c r="O61" s="20">
        <f>IFERROR(Calculations!$AH$201,"")</f>
        <v>0</v>
      </c>
    </row>
    <row r="62" spans="2:19">
      <c r="B62" s="11">
        <f>IF(Calculations!$U$202="","",Calculations!$U$202)</f>
        <v>0</v>
      </c>
      <c r="C62" s="20">
        <f>IFERROR(Calculations!$V$202,"")</f>
        <v>0</v>
      </c>
      <c r="D62" s="20">
        <f>IFERROR(Calculations!$W$202,"")</f>
        <v>0</v>
      </c>
      <c r="E62" s="20">
        <f>IFERROR(Calculations!$X$202,"")</f>
        <v>0</v>
      </c>
      <c r="F62" s="20">
        <f>IFERROR(Calculations!$Y$202,"")</f>
        <v>0</v>
      </c>
      <c r="G62" s="20">
        <f>IFERROR(Calculations!$Z$202,"")</f>
        <v>0</v>
      </c>
      <c r="H62" s="20">
        <f>IFERROR(Calculations!$AA$202,"")</f>
        <v>0</v>
      </c>
      <c r="I62" s="20">
        <f>IFERROR(Calculations!$AB$202,"")</f>
        <v>0</v>
      </c>
      <c r="J62" s="20">
        <f>IFERROR(Calculations!$AC$202,"")</f>
        <v>0</v>
      </c>
      <c r="K62" s="20">
        <f>IFERROR(Calculations!$AD$202,"")</f>
        <v>0</v>
      </c>
      <c r="L62" s="20">
        <f>IFERROR(Calculations!$AE$202,"")</f>
        <v>0</v>
      </c>
      <c r="M62" s="20">
        <f>IFERROR(Calculations!$AF$202,"")</f>
        <v>0</v>
      </c>
      <c r="N62" s="20">
        <f>IFERROR(Calculations!$AG$202,"")</f>
        <v>0</v>
      </c>
      <c r="O62" s="20">
        <f>IFERROR(Calculations!$AH$202,"")</f>
        <v>0</v>
      </c>
    </row>
    <row r="63" spans="2:19">
      <c r="B63" s="11">
        <f>IF(Calculations!$U$203="","",Calculations!$U$203)</f>
        <v>0</v>
      </c>
      <c r="C63" s="20">
        <f>IFERROR(Calculations!$V$203,"")</f>
        <v>0</v>
      </c>
      <c r="D63" s="20">
        <f>IFERROR(Calculations!$W$203,"")</f>
        <v>0</v>
      </c>
      <c r="E63" s="20">
        <f>IFERROR(Calculations!$X$203,"")</f>
        <v>0</v>
      </c>
      <c r="F63" s="20">
        <f>IFERROR(Calculations!$Y$203,"")</f>
        <v>0</v>
      </c>
      <c r="G63" s="20">
        <f>IFERROR(Calculations!$Z$203,"")</f>
        <v>0</v>
      </c>
      <c r="H63" s="20">
        <f>IFERROR(Calculations!$AA$203,"")</f>
        <v>0</v>
      </c>
      <c r="I63" s="20">
        <f>IFERROR(Calculations!$AB$203,"")</f>
        <v>0</v>
      </c>
      <c r="J63" s="20">
        <f>IFERROR(Calculations!$AC$203,"")</f>
        <v>0</v>
      </c>
      <c r="K63" s="20">
        <f>IFERROR(Calculations!$AD$203,"")</f>
        <v>0</v>
      </c>
      <c r="L63" s="20">
        <f>IFERROR(Calculations!$AE$203,"")</f>
        <v>0</v>
      </c>
      <c r="M63" s="20">
        <f>IFERROR(Calculations!$AF$203,"")</f>
        <v>0</v>
      </c>
      <c r="N63" s="20">
        <f>IFERROR(Calculations!$AG$203,"")</f>
        <v>0</v>
      </c>
      <c r="O63" s="20">
        <f>IFERROR(Calculations!$AH$203,"")</f>
        <v>0</v>
      </c>
    </row>
    <row r="64" spans="2:19">
      <c r="B64" s="11">
        <f>IF(Calculations!$U$204="","",Calculations!$U$204)</f>
        <v>0</v>
      </c>
      <c r="C64" s="20">
        <f>IFERROR(Calculations!$V$204,"")</f>
        <v>0</v>
      </c>
      <c r="D64" s="20">
        <f>IFERROR(Calculations!$W$204,"")</f>
        <v>0</v>
      </c>
      <c r="E64" s="20">
        <f>IFERROR(Calculations!$X$204,"")</f>
        <v>0</v>
      </c>
      <c r="F64" s="20">
        <f>IFERROR(Calculations!$Y$204,"")</f>
        <v>0</v>
      </c>
      <c r="G64" s="20">
        <f>IFERROR(Calculations!$Z$204,"")</f>
        <v>0</v>
      </c>
      <c r="H64" s="20">
        <f>IFERROR(Calculations!$AA$204,"")</f>
        <v>0</v>
      </c>
      <c r="I64" s="20">
        <f>IFERROR(Calculations!$AB$204,"")</f>
        <v>0</v>
      </c>
      <c r="J64" s="20">
        <f>IFERROR(Calculations!$AC$204,"")</f>
        <v>0</v>
      </c>
      <c r="K64" s="20">
        <f>IFERROR(Calculations!$AD$204,"")</f>
        <v>0</v>
      </c>
      <c r="L64" s="20">
        <f>IFERROR(Calculations!$AE$204,"")</f>
        <v>0</v>
      </c>
      <c r="M64" s="20">
        <f>IFERROR(Calculations!$AF$204,"")</f>
        <v>0</v>
      </c>
      <c r="N64" s="20">
        <f>IFERROR(Calculations!$AG$204,"")</f>
        <v>0</v>
      </c>
      <c r="O64" s="20">
        <f>IFERROR(Calculations!$AH$204,"")</f>
        <v>0</v>
      </c>
    </row>
    <row r="65" spans="2:15">
      <c r="B65" s="11">
        <f>IF(Calculations!$U$205="","",Calculations!$U$205)</f>
        <v>0</v>
      </c>
      <c r="C65" s="20">
        <f>IFERROR(Calculations!$V$205,"")</f>
        <v>0</v>
      </c>
      <c r="D65" s="20">
        <f>IFERROR(Calculations!$W$205,"")</f>
        <v>0</v>
      </c>
      <c r="E65" s="20">
        <f>IFERROR(Calculations!$X$205,"")</f>
        <v>0</v>
      </c>
      <c r="F65" s="20">
        <f>IFERROR(Calculations!$Y$205,"")</f>
        <v>0</v>
      </c>
      <c r="G65" s="20">
        <f>IFERROR(Calculations!$Z$205,"")</f>
        <v>0</v>
      </c>
      <c r="H65" s="20">
        <f>IFERROR(Calculations!$AA$205,"")</f>
        <v>0</v>
      </c>
      <c r="I65" s="20">
        <f>IFERROR(Calculations!$AB$205,"")</f>
        <v>0</v>
      </c>
      <c r="J65" s="20">
        <f>IFERROR(Calculations!$AC$205,"")</f>
        <v>0</v>
      </c>
      <c r="K65" s="20">
        <f>IFERROR(Calculations!$AD$205,"")</f>
        <v>0</v>
      </c>
      <c r="L65" s="20">
        <f>IFERROR(Calculations!$AE$205,"")</f>
        <v>0</v>
      </c>
      <c r="M65" s="20">
        <f>IFERROR(Calculations!$AF$205,"")</f>
        <v>0</v>
      </c>
      <c r="N65" s="20">
        <f>IFERROR(Calculations!$AG$205,"")</f>
        <v>0</v>
      </c>
      <c r="O65" s="20">
        <f>IFERROR(Calculations!$AH$205,"")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7" right="0.7" top="0.75" bottom="0.75" header="0.3" footer="0.3"/>
  <drawing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2018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2019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Calculations!$N$226</f>
        <v>0</v>
      </c>
      <c r="C14" s="42"/>
      <c r="D14" s="42"/>
      <c r="E14" s="42"/>
      <c r="F14" s="44">
        <f>Calculations!$N$227</f>
        <v>0</v>
      </c>
      <c r="G14" s="44"/>
      <c r="H14" s="44"/>
      <c r="I14" s="44"/>
      <c r="J14" s="42">
        <f>Calculations!$N$228</f>
        <v>0</v>
      </c>
      <c r="K14" s="42"/>
      <c r="L14" s="42"/>
      <c r="M14" s="42"/>
      <c r="N14" s="42">
        <f>Calculations!$N$229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</row>
    <row r="19" spans="2:19">
      <c r="B19" s="40" t="s">
        <v>2020</v>
      </c>
      <c r="C19" s="40"/>
      <c r="D19" s="40"/>
      <c r="E19" s="40"/>
    </row>
    <row r="20" spans="2:19">
      <c r="B20" s="42">
        <f>Calculations!$N$230</f>
        <v>0</v>
      </c>
      <c r="C20" s="42"/>
      <c r="D20" s="42"/>
      <c r="E20" s="42"/>
    </row>
    <row r="21" spans="2:19">
      <c r="B21" s="42"/>
      <c r="C21" s="42"/>
      <c r="D21" s="42"/>
      <c r="E21" s="42"/>
    </row>
    <row r="22" spans="2:19">
      <c r="B22" s="50" t="s">
        <v>1996</v>
      </c>
      <c r="C22" s="50"/>
      <c r="D22" s="50"/>
      <c r="E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2021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IF(Calculations!$U$226="","",Calculations!$U$226)</f>
        <v>0</v>
      </c>
      <c r="C60" s="20">
        <f>IFERROR(Calculations!$V$226,"")</f>
        <v>0</v>
      </c>
      <c r="D60" s="20">
        <f>IFERROR(Calculations!$W$226,"")</f>
        <v>0</v>
      </c>
      <c r="E60" s="20">
        <f>IFERROR(Calculations!$X$226,"")</f>
        <v>0</v>
      </c>
      <c r="F60" s="20">
        <f>IFERROR(Calculations!$Y$226,"")</f>
        <v>0</v>
      </c>
      <c r="G60" s="20">
        <f>IFERROR(Calculations!$Z$226,"")</f>
        <v>0</v>
      </c>
      <c r="H60" s="20">
        <f>IFERROR(Calculations!$AA$226,"")</f>
        <v>0</v>
      </c>
      <c r="I60" s="20">
        <f>IFERROR(Calculations!$AB$226,"")</f>
        <v>0</v>
      </c>
      <c r="J60" s="20">
        <f>IFERROR(Calculations!$AC$226,"")</f>
        <v>0</v>
      </c>
      <c r="K60" s="20">
        <f>IFERROR(Calculations!$AD$226,"")</f>
        <v>0</v>
      </c>
      <c r="L60" s="20">
        <f>IFERROR(Calculations!$AE$226,"")</f>
        <v>0</v>
      </c>
      <c r="M60" s="20">
        <f>IFERROR(Calculations!$AF$226,"")</f>
        <v>0</v>
      </c>
      <c r="N60" s="20">
        <f>IFERROR(Calculations!$AG$226,"")</f>
        <v>0</v>
      </c>
      <c r="O60" s="20">
        <f>IFERROR(Calculations!$AH$226,"")</f>
        <v>0</v>
      </c>
    </row>
    <row r="61" spans="2:19">
      <c r="B61" s="11">
        <f>IF(Calculations!$U$227="","",Calculations!$U$227)</f>
        <v>0</v>
      </c>
      <c r="C61" s="20">
        <f>IFERROR(Calculations!$V$227,"")</f>
        <v>0</v>
      </c>
      <c r="D61" s="20">
        <f>IFERROR(Calculations!$W$227,"")</f>
        <v>0</v>
      </c>
      <c r="E61" s="20">
        <f>IFERROR(Calculations!$X$227,"")</f>
        <v>0</v>
      </c>
      <c r="F61" s="20">
        <f>IFERROR(Calculations!$Y$227,"")</f>
        <v>0</v>
      </c>
      <c r="G61" s="20">
        <f>IFERROR(Calculations!$Z$227,"")</f>
        <v>0</v>
      </c>
      <c r="H61" s="20">
        <f>IFERROR(Calculations!$AA$227,"")</f>
        <v>0</v>
      </c>
      <c r="I61" s="20">
        <f>IFERROR(Calculations!$AB$227,"")</f>
        <v>0</v>
      </c>
      <c r="J61" s="20">
        <f>IFERROR(Calculations!$AC$227,"")</f>
        <v>0</v>
      </c>
      <c r="K61" s="20">
        <f>IFERROR(Calculations!$AD$227,"")</f>
        <v>0</v>
      </c>
      <c r="L61" s="20">
        <f>IFERROR(Calculations!$AE$227,"")</f>
        <v>0</v>
      </c>
      <c r="M61" s="20">
        <f>IFERROR(Calculations!$AF$227,"")</f>
        <v>0</v>
      </c>
      <c r="N61" s="20">
        <f>IFERROR(Calculations!$AG$227,"")</f>
        <v>0</v>
      </c>
      <c r="O61" s="20">
        <f>IFERROR(Calculations!$AH$227,"")</f>
        <v>0</v>
      </c>
    </row>
    <row r="62" spans="2:19">
      <c r="B62" s="11">
        <f>IF(Calculations!$U$228="","",Calculations!$U$228)</f>
        <v>0</v>
      </c>
      <c r="C62" s="20">
        <f>IFERROR(Calculations!$V$228,"")</f>
        <v>0</v>
      </c>
      <c r="D62" s="20">
        <f>IFERROR(Calculations!$W$228,"")</f>
        <v>0</v>
      </c>
      <c r="E62" s="20">
        <f>IFERROR(Calculations!$X$228,"")</f>
        <v>0</v>
      </c>
      <c r="F62" s="20">
        <f>IFERROR(Calculations!$Y$228,"")</f>
        <v>0</v>
      </c>
      <c r="G62" s="20">
        <f>IFERROR(Calculations!$Z$228,"")</f>
        <v>0</v>
      </c>
      <c r="H62" s="20">
        <f>IFERROR(Calculations!$AA$228,"")</f>
        <v>0</v>
      </c>
      <c r="I62" s="20">
        <f>IFERROR(Calculations!$AB$228,"")</f>
        <v>0</v>
      </c>
      <c r="J62" s="20">
        <f>IFERROR(Calculations!$AC$228,"")</f>
        <v>0</v>
      </c>
      <c r="K62" s="20">
        <f>IFERROR(Calculations!$AD$228,"")</f>
        <v>0</v>
      </c>
      <c r="L62" s="20">
        <f>IFERROR(Calculations!$AE$228,"")</f>
        <v>0</v>
      </c>
      <c r="M62" s="20">
        <f>IFERROR(Calculations!$AF$228,"")</f>
        <v>0</v>
      </c>
      <c r="N62" s="20">
        <f>IFERROR(Calculations!$AG$228,"")</f>
        <v>0</v>
      </c>
      <c r="O62" s="20">
        <f>IFERROR(Calculations!$AH$228,"")</f>
        <v>0</v>
      </c>
    </row>
    <row r="63" spans="2:19">
      <c r="B63" s="11">
        <f>IF(Calculations!$U$229="","",Calculations!$U$229)</f>
        <v>0</v>
      </c>
      <c r="C63" s="20">
        <f>IFERROR(Calculations!$V$229,"")</f>
        <v>0</v>
      </c>
      <c r="D63" s="20">
        <f>IFERROR(Calculations!$W$229,"")</f>
        <v>0</v>
      </c>
      <c r="E63" s="20">
        <f>IFERROR(Calculations!$X$229,"")</f>
        <v>0</v>
      </c>
      <c r="F63" s="20">
        <f>IFERROR(Calculations!$Y$229,"")</f>
        <v>0</v>
      </c>
      <c r="G63" s="20">
        <f>IFERROR(Calculations!$Z$229,"")</f>
        <v>0</v>
      </c>
      <c r="H63" s="20">
        <f>IFERROR(Calculations!$AA$229,"")</f>
        <v>0</v>
      </c>
      <c r="I63" s="20">
        <f>IFERROR(Calculations!$AB$229,"")</f>
        <v>0</v>
      </c>
      <c r="J63" s="20">
        <f>IFERROR(Calculations!$AC$229,"")</f>
        <v>0</v>
      </c>
      <c r="K63" s="20">
        <f>IFERROR(Calculations!$AD$229,"")</f>
        <v>0</v>
      </c>
      <c r="L63" s="20">
        <f>IFERROR(Calculations!$AE$229,"")</f>
        <v>0</v>
      </c>
      <c r="M63" s="20">
        <f>IFERROR(Calculations!$AF$229,"")</f>
        <v>0</v>
      </c>
      <c r="N63" s="20">
        <f>IFERROR(Calculations!$AG$229,"")</f>
        <v>0</v>
      </c>
      <c r="O63" s="20">
        <f>IFERROR(Calculations!$AH$229,"")</f>
        <v>0</v>
      </c>
    </row>
    <row r="64" spans="2:19">
      <c r="B64" s="11">
        <f>IF(Calculations!$U$230="","",Calculations!$U$230)</f>
        <v>0</v>
      </c>
      <c r="C64" s="20">
        <f>IFERROR(Calculations!$V$230,"")</f>
        <v>0</v>
      </c>
      <c r="D64" s="20">
        <f>IFERROR(Calculations!$W$230,"")</f>
        <v>0</v>
      </c>
      <c r="E64" s="20">
        <f>IFERROR(Calculations!$X$230,"")</f>
        <v>0</v>
      </c>
      <c r="F64" s="20">
        <f>IFERROR(Calculations!$Y$230,"")</f>
        <v>0</v>
      </c>
      <c r="G64" s="20">
        <f>IFERROR(Calculations!$Z$230,"")</f>
        <v>0</v>
      </c>
      <c r="H64" s="20">
        <f>IFERROR(Calculations!$AA$230,"")</f>
        <v>0</v>
      </c>
      <c r="I64" s="20">
        <f>IFERROR(Calculations!$AB$230,"")</f>
        <v>0</v>
      </c>
      <c r="J64" s="20">
        <f>IFERROR(Calculations!$AC$230,"")</f>
        <v>0</v>
      </c>
      <c r="K64" s="20">
        <f>IFERROR(Calculations!$AD$230,"")</f>
        <v>0</v>
      </c>
      <c r="L64" s="20">
        <f>IFERROR(Calculations!$AE$230,"")</f>
        <v>0</v>
      </c>
      <c r="M64" s="20">
        <f>IFERROR(Calculations!$AF$230,"")</f>
        <v>0</v>
      </c>
      <c r="N64" s="20">
        <f>IFERROR(Calculations!$AG$230,"")</f>
        <v>0</v>
      </c>
      <c r="O64" s="20">
        <f>IFERROR(Calculations!$AH$230,"")</f>
        <v>0</v>
      </c>
    </row>
    <row r="65" spans="2:15">
      <c r="B65" s="11">
        <f>IF(Calculations!$U$231="","",Calculations!$U$231)</f>
        <v>0</v>
      </c>
      <c r="C65" s="20">
        <f>IFERROR(Calculations!$V$231,"")</f>
        <v>0</v>
      </c>
      <c r="D65" s="20">
        <f>IFERROR(Calculations!$W$231,"")</f>
        <v>0</v>
      </c>
      <c r="E65" s="20">
        <f>IFERROR(Calculations!$X$231,"")</f>
        <v>0</v>
      </c>
      <c r="F65" s="20">
        <f>IFERROR(Calculations!$Y$231,"")</f>
        <v>0</v>
      </c>
      <c r="G65" s="20">
        <f>IFERROR(Calculations!$Z$231,"")</f>
        <v>0</v>
      </c>
      <c r="H65" s="20">
        <f>IFERROR(Calculations!$AA$231,"")</f>
        <v>0</v>
      </c>
      <c r="I65" s="20">
        <f>IFERROR(Calculations!$AB$231,"")</f>
        <v>0</v>
      </c>
      <c r="J65" s="20">
        <f>IFERROR(Calculations!$AC$231,"")</f>
        <v>0</v>
      </c>
      <c r="K65" s="20">
        <f>IFERROR(Calculations!$AD$231,"")</f>
        <v>0</v>
      </c>
      <c r="L65" s="20">
        <f>IFERROR(Calculations!$AE$231,"")</f>
        <v>0</v>
      </c>
      <c r="M65" s="20">
        <f>IFERROR(Calculations!$AF$231,"")</f>
        <v>0</v>
      </c>
      <c r="N65" s="20">
        <f>IFERROR(Calculations!$AG$231,"")</f>
        <v>0</v>
      </c>
      <c r="O65" s="20">
        <f>IFERROR(Calculations!$AH$231,"")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7" right="0.7" top="0.75" bottom="0.75" header="0.3" footer="0.3"/>
  <drawing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2022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2023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Calculations!$N$252</f>
        <v>0</v>
      </c>
      <c r="C14" s="42"/>
      <c r="D14" s="42"/>
      <c r="E14" s="42"/>
      <c r="F14" s="44">
        <f>Calculations!$N$253</f>
        <v>0</v>
      </c>
      <c r="G14" s="44"/>
      <c r="H14" s="44"/>
      <c r="I14" s="44"/>
      <c r="J14" s="42">
        <f>Calculations!$N$254</f>
        <v>0</v>
      </c>
      <c r="K14" s="42"/>
      <c r="L14" s="42"/>
      <c r="M14" s="42"/>
      <c r="N14" s="42">
        <f>Calculations!$N$255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  <c r="J18" s="48"/>
      <c r="K18" s="48"/>
      <c r="L18" s="48"/>
      <c r="M18" s="48"/>
    </row>
    <row r="19" spans="2:19">
      <c r="B19" s="40" t="s">
        <v>2024</v>
      </c>
      <c r="C19" s="40"/>
      <c r="D19" s="40"/>
      <c r="E19" s="40"/>
      <c r="F19" s="40" t="s">
        <v>2025</v>
      </c>
      <c r="G19" s="40"/>
      <c r="H19" s="40"/>
      <c r="I19" s="40"/>
      <c r="J19" s="40" t="s">
        <v>2026</v>
      </c>
      <c r="K19" s="40"/>
      <c r="L19" s="40"/>
      <c r="M19" s="40"/>
    </row>
    <row r="20" spans="2:19">
      <c r="B20" s="42">
        <f>Calculations!$N$256</f>
        <v>0</v>
      </c>
      <c r="C20" s="42"/>
      <c r="D20" s="42"/>
      <c r="E20" s="42"/>
      <c r="F20" s="42">
        <f>Calculations!$N$257</f>
        <v>0</v>
      </c>
      <c r="G20" s="42"/>
      <c r="H20" s="42"/>
      <c r="I20" s="42"/>
      <c r="J20" s="42">
        <f>Calculations!$N$258</f>
        <v>0</v>
      </c>
      <c r="K20" s="42"/>
      <c r="L20" s="42"/>
      <c r="M20" s="42"/>
    </row>
    <row r="21" spans="2:19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  <c r="J22" s="50" t="s">
        <v>1996</v>
      </c>
      <c r="K22" s="50"/>
      <c r="L22" s="50"/>
      <c r="M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2027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IF(Calculations!$U$252="","",Calculations!$U$252)</f>
        <v>0</v>
      </c>
      <c r="C60" s="20">
        <f>IFERROR(Calculations!$V$252,"")</f>
        <v>0</v>
      </c>
      <c r="D60" s="20">
        <f>IFERROR(Calculations!$W$252,"")</f>
        <v>0</v>
      </c>
      <c r="E60" s="20">
        <f>IFERROR(Calculations!$X$252,"")</f>
        <v>0</v>
      </c>
      <c r="F60" s="20">
        <f>IFERROR(Calculations!$Y$252,"")</f>
        <v>0</v>
      </c>
      <c r="G60" s="20">
        <f>IFERROR(Calculations!$Z$252,"")</f>
        <v>0</v>
      </c>
      <c r="H60" s="20">
        <f>IFERROR(Calculations!$AA$252,"")</f>
        <v>0</v>
      </c>
      <c r="I60" s="20">
        <f>IFERROR(Calculations!$AB$252,"")</f>
        <v>0</v>
      </c>
      <c r="J60" s="20">
        <f>IFERROR(Calculations!$AC$252,"")</f>
        <v>0</v>
      </c>
      <c r="K60" s="20">
        <f>IFERROR(Calculations!$AD$252,"")</f>
        <v>0</v>
      </c>
      <c r="L60" s="20">
        <f>IFERROR(Calculations!$AE$252,"")</f>
        <v>0</v>
      </c>
      <c r="M60" s="20">
        <f>IFERROR(Calculations!$AF$252,"")</f>
        <v>0</v>
      </c>
      <c r="N60" s="20">
        <f>IFERROR(Calculations!$AG$252,"")</f>
        <v>0</v>
      </c>
      <c r="O60" s="20">
        <f>IFERROR(Calculations!$AH$252,"")</f>
        <v>0</v>
      </c>
    </row>
    <row r="61" spans="2:19">
      <c r="B61" s="11">
        <f>IF(Calculations!$U$253="","",Calculations!$U$253)</f>
        <v>0</v>
      </c>
      <c r="C61" s="20">
        <f>IFERROR(Calculations!$V$253,"")</f>
        <v>0</v>
      </c>
      <c r="D61" s="20">
        <f>IFERROR(Calculations!$W$253,"")</f>
        <v>0</v>
      </c>
      <c r="E61" s="20">
        <f>IFERROR(Calculations!$X$253,"")</f>
        <v>0</v>
      </c>
      <c r="F61" s="20">
        <f>IFERROR(Calculations!$Y$253,"")</f>
        <v>0</v>
      </c>
      <c r="G61" s="20">
        <f>IFERROR(Calculations!$Z$253,"")</f>
        <v>0</v>
      </c>
      <c r="H61" s="20">
        <f>IFERROR(Calculations!$AA$253,"")</f>
        <v>0</v>
      </c>
      <c r="I61" s="20">
        <f>IFERROR(Calculations!$AB$253,"")</f>
        <v>0</v>
      </c>
      <c r="J61" s="20">
        <f>IFERROR(Calculations!$AC$253,"")</f>
        <v>0</v>
      </c>
      <c r="K61" s="20">
        <f>IFERROR(Calculations!$AD$253,"")</f>
        <v>0</v>
      </c>
      <c r="L61" s="20">
        <f>IFERROR(Calculations!$AE$253,"")</f>
        <v>0</v>
      </c>
      <c r="M61" s="20">
        <f>IFERROR(Calculations!$AF$253,"")</f>
        <v>0</v>
      </c>
      <c r="N61" s="20">
        <f>IFERROR(Calculations!$AG$253,"")</f>
        <v>0</v>
      </c>
      <c r="O61" s="20">
        <f>IFERROR(Calculations!$AH$253,"")</f>
        <v>0</v>
      </c>
    </row>
    <row r="62" spans="2:19">
      <c r="B62" s="11">
        <f>IF(Calculations!$U$254="","",Calculations!$U$254)</f>
        <v>0</v>
      </c>
      <c r="C62" s="20">
        <f>IFERROR(Calculations!$V$254,"")</f>
        <v>0</v>
      </c>
      <c r="D62" s="20">
        <f>IFERROR(Calculations!$W$254,"")</f>
        <v>0</v>
      </c>
      <c r="E62" s="20">
        <f>IFERROR(Calculations!$X$254,"")</f>
        <v>0</v>
      </c>
      <c r="F62" s="20">
        <f>IFERROR(Calculations!$Y$254,"")</f>
        <v>0</v>
      </c>
      <c r="G62" s="20">
        <f>IFERROR(Calculations!$Z$254,"")</f>
        <v>0</v>
      </c>
      <c r="H62" s="20">
        <f>IFERROR(Calculations!$AA$254,"")</f>
        <v>0</v>
      </c>
      <c r="I62" s="20">
        <f>IFERROR(Calculations!$AB$254,"")</f>
        <v>0</v>
      </c>
      <c r="J62" s="20">
        <f>IFERROR(Calculations!$AC$254,"")</f>
        <v>0</v>
      </c>
      <c r="K62" s="20">
        <f>IFERROR(Calculations!$AD$254,"")</f>
        <v>0</v>
      </c>
      <c r="L62" s="20">
        <f>IFERROR(Calculations!$AE$254,"")</f>
        <v>0</v>
      </c>
      <c r="M62" s="20">
        <f>IFERROR(Calculations!$AF$254,"")</f>
        <v>0</v>
      </c>
      <c r="N62" s="20">
        <f>IFERROR(Calculations!$AG$254,"")</f>
        <v>0</v>
      </c>
      <c r="O62" s="20">
        <f>IFERROR(Calculations!$AH$254,"")</f>
        <v>0</v>
      </c>
    </row>
    <row r="63" spans="2:19">
      <c r="B63" s="11">
        <f>IF(Calculations!$U$255="","",Calculations!$U$255)</f>
        <v>0</v>
      </c>
      <c r="C63" s="20">
        <f>IFERROR(Calculations!$V$255,"")</f>
        <v>0</v>
      </c>
      <c r="D63" s="20">
        <f>IFERROR(Calculations!$W$255,"")</f>
        <v>0</v>
      </c>
      <c r="E63" s="20">
        <f>IFERROR(Calculations!$X$255,"")</f>
        <v>0</v>
      </c>
      <c r="F63" s="20">
        <f>IFERROR(Calculations!$Y$255,"")</f>
        <v>0</v>
      </c>
      <c r="G63" s="20">
        <f>IFERROR(Calculations!$Z$255,"")</f>
        <v>0</v>
      </c>
      <c r="H63" s="20">
        <f>IFERROR(Calculations!$AA$255,"")</f>
        <v>0</v>
      </c>
      <c r="I63" s="20">
        <f>IFERROR(Calculations!$AB$255,"")</f>
        <v>0</v>
      </c>
      <c r="J63" s="20">
        <f>IFERROR(Calculations!$AC$255,"")</f>
        <v>0</v>
      </c>
      <c r="K63" s="20">
        <f>IFERROR(Calculations!$AD$255,"")</f>
        <v>0</v>
      </c>
      <c r="L63" s="20">
        <f>IFERROR(Calculations!$AE$255,"")</f>
        <v>0</v>
      </c>
      <c r="M63" s="20">
        <f>IFERROR(Calculations!$AF$255,"")</f>
        <v>0</v>
      </c>
      <c r="N63" s="20">
        <f>IFERROR(Calculations!$AG$255,"")</f>
        <v>0</v>
      </c>
      <c r="O63" s="20">
        <f>IFERROR(Calculations!$AH$255,"")</f>
        <v>0</v>
      </c>
    </row>
    <row r="64" spans="2:19">
      <c r="B64" s="11">
        <f>IF(Calculations!$U$256="","",Calculations!$U$256)</f>
        <v>0</v>
      </c>
      <c r="C64" s="20">
        <f>IFERROR(Calculations!$V$256,"")</f>
        <v>0</v>
      </c>
      <c r="D64" s="20">
        <f>IFERROR(Calculations!$W$256,"")</f>
        <v>0</v>
      </c>
      <c r="E64" s="20">
        <f>IFERROR(Calculations!$X$256,"")</f>
        <v>0</v>
      </c>
      <c r="F64" s="20">
        <f>IFERROR(Calculations!$Y$256,"")</f>
        <v>0</v>
      </c>
      <c r="G64" s="20">
        <f>IFERROR(Calculations!$Z$256,"")</f>
        <v>0</v>
      </c>
      <c r="H64" s="20">
        <f>IFERROR(Calculations!$AA$256,"")</f>
        <v>0</v>
      </c>
      <c r="I64" s="20">
        <f>IFERROR(Calculations!$AB$256,"")</f>
        <v>0</v>
      </c>
      <c r="J64" s="20">
        <f>IFERROR(Calculations!$AC$256,"")</f>
        <v>0</v>
      </c>
      <c r="K64" s="20">
        <f>IFERROR(Calculations!$AD$256,"")</f>
        <v>0</v>
      </c>
      <c r="L64" s="20">
        <f>IFERROR(Calculations!$AE$256,"")</f>
        <v>0</v>
      </c>
      <c r="M64" s="20">
        <f>IFERROR(Calculations!$AF$256,"")</f>
        <v>0</v>
      </c>
      <c r="N64" s="20">
        <f>IFERROR(Calculations!$AG$256,"")</f>
        <v>0</v>
      </c>
      <c r="O64" s="20">
        <f>IFERROR(Calculations!$AH$256,"")</f>
        <v>0</v>
      </c>
    </row>
    <row r="65" spans="2:15">
      <c r="B65" s="11">
        <f>IF(Calculations!$U$257="","",Calculations!$U$257)</f>
        <v>0</v>
      </c>
      <c r="C65" s="20">
        <f>IFERROR(Calculations!$V$257,"")</f>
        <v>0</v>
      </c>
      <c r="D65" s="20">
        <f>IFERROR(Calculations!$W$257,"")</f>
        <v>0</v>
      </c>
      <c r="E65" s="20">
        <f>IFERROR(Calculations!$X$257,"")</f>
        <v>0</v>
      </c>
      <c r="F65" s="20">
        <f>IFERROR(Calculations!$Y$257,"")</f>
        <v>0</v>
      </c>
      <c r="G65" s="20">
        <f>IFERROR(Calculations!$Z$257,"")</f>
        <v>0</v>
      </c>
      <c r="H65" s="20">
        <f>IFERROR(Calculations!$AA$257,"")</f>
        <v>0</v>
      </c>
      <c r="I65" s="20">
        <f>IFERROR(Calculations!$AB$257,"")</f>
        <v>0</v>
      </c>
      <c r="J65" s="20">
        <f>IFERROR(Calculations!$AC$257,"")</f>
        <v>0</v>
      </c>
      <c r="K65" s="20">
        <f>IFERROR(Calculations!$AD$257,"")</f>
        <v>0</v>
      </c>
      <c r="L65" s="20">
        <f>IFERROR(Calculations!$AE$257,"")</f>
        <v>0</v>
      </c>
      <c r="M65" s="20">
        <f>IFERROR(Calculations!$AF$257,"")</f>
        <v>0</v>
      </c>
      <c r="N65" s="20">
        <f>IFERROR(Calculations!$AG$257,"")</f>
        <v>0</v>
      </c>
      <c r="O65" s="20">
        <f>IFERROR(Calculations!$AH$257,"")</f>
        <v>0</v>
      </c>
    </row>
  </sheetData>
  <mergeCells count="39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7" right="0.7" top="0.75" bottom="0.75" header="0.3" footer="0.3"/>
  <drawing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2028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2029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Calculations!$N$278</f>
        <v>0</v>
      </c>
      <c r="C14" s="42"/>
      <c r="D14" s="42"/>
      <c r="E14" s="42"/>
      <c r="F14" s="44">
        <f>Calculations!$N$279</f>
        <v>0</v>
      </c>
      <c r="G14" s="44"/>
      <c r="H14" s="44"/>
      <c r="I14" s="44"/>
      <c r="J14" s="42">
        <f>Calculations!$N$280</f>
        <v>0</v>
      </c>
      <c r="K14" s="42"/>
      <c r="L14" s="42"/>
      <c r="M14" s="42"/>
      <c r="N14" s="42">
        <f>Calculations!$N$281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  <c r="J18" s="48"/>
      <c r="K18" s="48"/>
      <c r="L18" s="48"/>
      <c r="M18" s="48"/>
    </row>
    <row r="19" spans="2:19">
      <c r="B19" s="40" t="s">
        <v>2024</v>
      </c>
      <c r="C19" s="40"/>
      <c r="D19" s="40"/>
      <c r="E19" s="40"/>
      <c r="F19" s="40" t="s">
        <v>2025</v>
      </c>
      <c r="G19" s="40"/>
      <c r="H19" s="40"/>
      <c r="I19" s="40"/>
      <c r="J19" s="40" t="s">
        <v>2026</v>
      </c>
      <c r="K19" s="40"/>
      <c r="L19" s="40"/>
      <c r="M19" s="40"/>
    </row>
    <row r="20" spans="2:19">
      <c r="B20" s="42">
        <f>Calculations!$N$282</f>
        <v>0</v>
      </c>
      <c r="C20" s="42"/>
      <c r="D20" s="42"/>
      <c r="E20" s="42"/>
      <c r="F20" s="42">
        <f>Calculations!$N$283</f>
        <v>0</v>
      </c>
      <c r="G20" s="42"/>
      <c r="H20" s="42"/>
      <c r="I20" s="42"/>
      <c r="J20" s="42">
        <f>Calculations!$N$284</f>
        <v>0</v>
      </c>
      <c r="K20" s="42"/>
      <c r="L20" s="42"/>
      <c r="M20" s="42"/>
    </row>
    <row r="21" spans="2:19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  <c r="J22" s="50" t="s">
        <v>1996</v>
      </c>
      <c r="K22" s="50"/>
      <c r="L22" s="50"/>
      <c r="M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2030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IF(Calculations!$U$278="","",Calculations!$U$278)</f>
        <v>0</v>
      </c>
      <c r="C60" s="20">
        <f>IFERROR(Calculations!$V$278,"")</f>
        <v>0</v>
      </c>
      <c r="D60" s="20">
        <f>IFERROR(Calculations!$W$278,"")</f>
        <v>0</v>
      </c>
      <c r="E60" s="20">
        <f>IFERROR(Calculations!$X$278,"")</f>
        <v>0</v>
      </c>
      <c r="F60" s="20">
        <f>IFERROR(Calculations!$Y$278,"")</f>
        <v>0</v>
      </c>
      <c r="G60" s="20">
        <f>IFERROR(Calculations!$Z$278,"")</f>
        <v>0</v>
      </c>
      <c r="H60" s="20">
        <f>IFERROR(Calculations!$AA$278,"")</f>
        <v>0</v>
      </c>
      <c r="I60" s="20">
        <f>IFERROR(Calculations!$AB$278,"")</f>
        <v>0</v>
      </c>
      <c r="J60" s="20">
        <f>IFERROR(Calculations!$AC$278,"")</f>
        <v>0</v>
      </c>
      <c r="K60" s="20">
        <f>IFERROR(Calculations!$AD$278,"")</f>
        <v>0</v>
      </c>
      <c r="L60" s="20">
        <f>IFERROR(Calculations!$AE$278,"")</f>
        <v>0</v>
      </c>
      <c r="M60" s="20">
        <f>IFERROR(Calculations!$AF$278,"")</f>
        <v>0</v>
      </c>
      <c r="N60" s="20">
        <f>IFERROR(Calculations!$AG$278,"")</f>
        <v>0</v>
      </c>
      <c r="O60" s="20">
        <f>IFERROR(Calculations!$AH$278,"")</f>
        <v>0</v>
      </c>
    </row>
    <row r="61" spans="2:19">
      <c r="B61" s="11">
        <f>IF(Calculations!$U$279="","",Calculations!$U$279)</f>
        <v>0</v>
      </c>
      <c r="C61" s="20">
        <f>IFERROR(Calculations!$V$279,"")</f>
        <v>0</v>
      </c>
      <c r="D61" s="20">
        <f>IFERROR(Calculations!$W$279,"")</f>
        <v>0</v>
      </c>
      <c r="E61" s="20">
        <f>IFERROR(Calculations!$X$279,"")</f>
        <v>0</v>
      </c>
      <c r="F61" s="20">
        <f>IFERROR(Calculations!$Y$279,"")</f>
        <v>0</v>
      </c>
      <c r="G61" s="20">
        <f>IFERROR(Calculations!$Z$279,"")</f>
        <v>0</v>
      </c>
      <c r="H61" s="20">
        <f>IFERROR(Calculations!$AA$279,"")</f>
        <v>0</v>
      </c>
      <c r="I61" s="20">
        <f>IFERROR(Calculations!$AB$279,"")</f>
        <v>0</v>
      </c>
      <c r="J61" s="20">
        <f>IFERROR(Calculations!$AC$279,"")</f>
        <v>0</v>
      </c>
      <c r="K61" s="20">
        <f>IFERROR(Calculations!$AD$279,"")</f>
        <v>0</v>
      </c>
      <c r="L61" s="20">
        <f>IFERROR(Calculations!$AE$279,"")</f>
        <v>0</v>
      </c>
      <c r="M61" s="20">
        <f>IFERROR(Calculations!$AF$279,"")</f>
        <v>0</v>
      </c>
      <c r="N61" s="20">
        <f>IFERROR(Calculations!$AG$279,"")</f>
        <v>0</v>
      </c>
      <c r="O61" s="20">
        <f>IFERROR(Calculations!$AH$279,"")</f>
        <v>0</v>
      </c>
    </row>
    <row r="62" spans="2:19">
      <c r="B62" s="11">
        <f>IF(Calculations!$U$280="","",Calculations!$U$280)</f>
        <v>0</v>
      </c>
      <c r="C62" s="20">
        <f>IFERROR(Calculations!$V$280,"")</f>
        <v>0</v>
      </c>
      <c r="D62" s="20">
        <f>IFERROR(Calculations!$W$280,"")</f>
        <v>0</v>
      </c>
      <c r="E62" s="20">
        <f>IFERROR(Calculations!$X$280,"")</f>
        <v>0</v>
      </c>
      <c r="F62" s="20">
        <f>IFERROR(Calculations!$Y$280,"")</f>
        <v>0</v>
      </c>
      <c r="G62" s="20">
        <f>IFERROR(Calculations!$Z$280,"")</f>
        <v>0</v>
      </c>
      <c r="H62" s="20">
        <f>IFERROR(Calculations!$AA$280,"")</f>
        <v>0</v>
      </c>
      <c r="I62" s="20">
        <f>IFERROR(Calculations!$AB$280,"")</f>
        <v>0</v>
      </c>
      <c r="J62" s="20">
        <f>IFERROR(Calculations!$AC$280,"")</f>
        <v>0</v>
      </c>
      <c r="K62" s="20">
        <f>IFERROR(Calculations!$AD$280,"")</f>
        <v>0</v>
      </c>
      <c r="L62" s="20">
        <f>IFERROR(Calculations!$AE$280,"")</f>
        <v>0</v>
      </c>
      <c r="M62" s="20">
        <f>IFERROR(Calculations!$AF$280,"")</f>
        <v>0</v>
      </c>
      <c r="N62" s="20">
        <f>IFERROR(Calculations!$AG$280,"")</f>
        <v>0</v>
      </c>
      <c r="O62" s="20">
        <f>IFERROR(Calculations!$AH$280,"")</f>
        <v>0</v>
      </c>
    </row>
    <row r="63" spans="2:19">
      <c r="B63" s="11">
        <f>IF(Calculations!$U$281="","",Calculations!$U$281)</f>
        <v>0</v>
      </c>
      <c r="C63" s="20">
        <f>IFERROR(Calculations!$V$281,"")</f>
        <v>0</v>
      </c>
      <c r="D63" s="20">
        <f>IFERROR(Calculations!$W$281,"")</f>
        <v>0</v>
      </c>
      <c r="E63" s="20">
        <f>IFERROR(Calculations!$X$281,"")</f>
        <v>0</v>
      </c>
      <c r="F63" s="20">
        <f>IFERROR(Calculations!$Y$281,"")</f>
        <v>0</v>
      </c>
      <c r="G63" s="20">
        <f>IFERROR(Calculations!$Z$281,"")</f>
        <v>0</v>
      </c>
      <c r="H63" s="20">
        <f>IFERROR(Calculations!$AA$281,"")</f>
        <v>0</v>
      </c>
      <c r="I63" s="20">
        <f>IFERROR(Calculations!$AB$281,"")</f>
        <v>0</v>
      </c>
      <c r="J63" s="20">
        <f>IFERROR(Calculations!$AC$281,"")</f>
        <v>0</v>
      </c>
      <c r="K63" s="20">
        <f>IFERROR(Calculations!$AD$281,"")</f>
        <v>0</v>
      </c>
      <c r="L63" s="20">
        <f>IFERROR(Calculations!$AE$281,"")</f>
        <v>0</v>
      </c>
      <c r="M63" s="20">
        <f>IFERROR(Calculations!$AF$281,"")</f>
        <v>0</v>
      </c>
      <c r="N63" s="20">
        <f>IFERROR(Calculations!$AG$281,"")</f>
        <v>0</v>
      </c>
      <c r="O63" s="20">
        <f>IFERROR(Calculations!$AH$281,"")</f>
        <v>0</v>
      </c>
    </row>
    <row r="64" spans="2:19">
      <c r="B64" s="11">
        <f>IF(Calculations!$U$282="","",Calculations!$U$282)</f>
        <v>0</v>
      </c>
      <c r="C64" s="20">
        <f>IFERROR(Calculations!$V$282,"")</f>
        <v>0</v>
      </c>
      <c r="D64" s="20">
        <f>IFERROR(Calculations!$W$282,"")</f>
        <v>0</v>
      </c>
      <c r="E64" s="20">
        <f>IFERROR(Calculations!$X$282,"")</f>
        <v>0</v>
      </c>
      <c r="F64" s="20">
        <f>IFERROR(Calculations!$Y$282,"")</f>
        <v>0</v>
      </c>
      <c r="G64" s="20">
        <f>IFERROR(Calculations!$Z$282,"")</f>
        <v>0</v>
      </c>
      <c r="H64" s="20">
        <f>IFERROR(Calculations!$AA$282,"")</f>
        <v>0</v>
      </c>
      <c r="I64" s="20">
        <f>IFERROR(Calculations!$AB$282,"")</f>
        <v>0</v>
      </c>
      <c r="J64" s="20">
        <f>IFERROR(Calculations!$AC$282,"")</f>
        <v>0</v>
      </c>
      <c r="K64" s="20">
        <f>IFERROR(Calculations!$AD$282,"")</f>
        <v>0</v>
      </c>
      <c r="L64" s="20">
        <f>IFERROR(Calculations!$AE$282,"")</f>
        <v>0</v>
      </c>
      <c r="M64" s="20">
        <f>IFERROR(Calculations!$AF$282,"")</f>
        <v>0</v>
      </c>
      <c r="N64" s="20">
        <f>IFERROR(Calculations!$AG$282,"")</f>
        <v>0</v>
      </c>
      <c r="O64" s="20">
        <f>IFERROR(Calculations!$AH$282,"")</f>
        <v>0</v>
      </c>
    </row>
    <row r="65" spans="2:15">
      <c r="B65" s="11">
        <f>IF(Calculations!$U$283="","",Calculations!$U$283)</f>
        <v>0</v>
      </c>
      <c r="C65" s="20">
        <f>IFERROR(Calculations!$V$283,"")</f>
        <v>0</v>
      </c>
      <c r="D65" s="20">
        <f>IFERROR(Calculations!$W$283,"")</f>
        <v>0</v>
      </c>
      <c r="E65" s="20">
        <f>IFERROR(Calculations!$X$283,"")</f>
        <v>0</v>
      </c>
      <c r="F65" s="20">
        <f>IFERROR(Calculations!$Y$283,"")</f>
        <v>0</v>
      </c>
      <c r="G65" s="20">
        <f>IFERROR(Calculations!$Z$283,"")</f>
        <v>0</v>
      </c>
      <c r="H65" s="20">
        <f>IFERROR(Calculations!$AA$283,"")</f>
        <v>0</v>
      </c>
      <c r="I65" s="20">
        <f>IFERROR(Calculations!$AB$283,"")</f>
        <v>0</v>
      </c>
      <c r="J65" s="20">
        <f>IFERROR(Calculations!$AC$283,"")</f>
        <v>0</v>
      </c>
      <c r="K65" s="20">
        <f>IFERROR(Calculations!$AD$283,"")</f>
        <v>0</v>
      </c>
      <c r="L65" s="20">
        <f>IFERROR(Calculations!$AE$283,"")</f>
        <v>0</v>
      </c>
      <c r="M65" s="20">
        <f>IFERROR(Calculations!$AF$283,"")</f>
        <v>0</v>
      </c>
      <c r="N65" s="20">
        <f>IFERROR(Calculations!$AG$283,"")</f>
        <v>0</v>
      </c>
      <c r="O65" s="20">
        <f>IFERROR(Calculations!$AH$283,"")</f>
        <v>0</v>
      </c>
    </row>
  </sheetData>
  <mergeCells count="39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7" right="0.7" top="0.75" bottom="0.75" header="0.3" footer="0.3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2031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2032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Calculations!$N$304</f>
        <v>0</v>
      </c>
      <c r="C14" s="42"/>
      <c r="D14" s="42"/>
      <c r="E14" s="42"/>
      <c r="F14" s="44">
        <f>Calculations!$N$305</f>
        <v>0</v>
      </c>
      <c r="G14" s="44"/>
      <c r="H14" s="44"/>
      <c r="I14" s="44"/>
      <c r="J14" s="42">
        <f>Calculations!$N$306</f>
        <v>0</v>
      </c>
      <c r="K14" s="42"/>
      <c r="L14" s="42"/>
      <c r="M14" s="42"/>
      <c r="N14" s="42">
        <f>Calculations!$N$307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  <c r="J18" s="48"/>
      <c r="K18" s="48"/>
      <c r="L18" s="48"/>
      <c r="M18" s="48"/>
    </row>
    <row r="19" spans="2:19">
      <c r="B19" s="40" t="s">
        <v>2024</v>
      </c>
      <c r="C19" s="40"/>
      <c r="D19" s="40"/>
      <c r="E19" s="40"/>
      <c r="F19" s="40" t="s">
        <v>2025</v>
      </c>
      <c r="G19" s="40"/>
      <c r="H19" s="40"/>
      <c r="I19" s="40"/>
      <c r="J19" s="40" t="s">
        <v>2026</v>
      </c>
      <c r="K19" s="40"/>
      <c r="L19" s="40"/>
      <c r="M19" s="40"/>
    </row>
    <row r="20" spans="2:19">
      <c r="B20" s="42">
        <f>Calculations!$N$308</f>
        <v>0</v>
      </c>
      <c r="C20" s="42"/>
      <c r="D20" s="42"/>
      <c r="E20" s="42"/>
      <c r="F20" s="42">
        <f>Calculations!$N$309</f>
        <v>0</v>
      </c>
      <c r="G20" s="42"/>
      <c r="H20" s="42"/>
      <c r="I20" s="42"/>
      <c r="J20" s="42">
        <f>Calculations!$N$310</f>
        <v>0</v>
      </c>
      <c r="K20" s="42"/>
      <c r="L20" s="42"/>
      <c r="M20" s="42"/>
    </row>
    <row r="21" spans="2:19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  <c r="J22" s="50" t="s">
        <v>1996</v>
      </c>
      <c r="K22" s="50"/>
      <c r="L22" s="50"/>
      <c r="M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2033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IF(Calculations!$U$304="","",Calculations!$U$304)</f>
        <v>0</v>
      </c>
      <c r="C60" s="20">
        <f>IFERROR(Calculations!$V$304,"")</f>
        <v>0</v>
      </c>
      <c r="D60" s="20">
        <f>IFERROR(Calculations!$W$304,"")</f>
        <v>0</v>
      </c>
      <c r="E60" s="20">
        <f>IFERROR(Calculations!$X$304,"")</f>
        <v>0</v>
      </c>
      <c r="F60" s="20">
        <f>IFERROR(Calculations!$Y$304,"")</f>
        <v>0</v>
      </c>
      <c r="G60" s="20">
        <f>IFERROR(Calculations!$Z$304,"")</f>
        <v>0</v>
      </c>
      <c r="H60" s="20">
        <f>IFERROR(Calculations!$AA$304,"")</f>
        <v>0</v>
      </c>
      <c r="I60" s="20">
        <f>IFERROR(Calculations!$AB$304,"")</f>
        <v>0</v>
      </c>
      <c r="J60" s="20">
        <f>IFERROR(Calculations!$AC$304,"")</f>
        <v>0</v>
      </c>
      <c r="K60" s="20">
        <f>IFERROR(Calculations!$AD$304,"")</f>
        <v>0</v>
      </c>
      <c r="L60" s="20">
        <f>IFERROR(Calculations!$AE$304,"")</f>
        <v>0</v>
      </c>
      <c r="M60" s="20">
        <f>IFERROR(Calculations!$AF$304,"")</f>
        <v>0</v>
      </c>
      <c r="N60" s="20">
        <f>IFERROR(Calculations!$AG$304,"")</f>
        <v>0</v>
      </c>
      <c r="O60" s="20">
        <f>IFERROR(Calculations!$AH$304,"")</f>
        <v>0</v>
      </c>
    </row>
    <row r="61" spans="2:19">
      <c r="B61" s="11">
        <f>IF(Calculations!$U$305="","",Calculations!$U$305)</f>
        <v>0</v>
      </c>
      <c r="C61" s="20">
        <f>IFERROR(Calculations!$V$305,"")</f>
        <v>0</v>
      </c>
      <c r="D61" s="20">
        <f>IFERROR(Calculations!$W$305,"")</f>
        <v>0</v>
      </c>
      <c r="E61" s="20">
        <f>IFERROR(Calculations!$X$305,"")</f>
        <v>0</v>
      </c>
      <c r="F61" s="20">
        <f>IFERROR(Calculations!$Y$305,"")</f>
        <v>0</v>
      </c>
      <c r="G61" s="20">
        <f>IFERROR(Calculations!$Z$305,"")</f>
        <v>0</v>
      </c>
      <c r="H61" s="20">
        <f>IFERROR(Calculations!$AA$305,"")</f>
        <v>0</v>
      </c>
      <c r="I61" s="20">
        <f>IFERROR(Calculations!$AB$305,"")</f>
        <v>0</v>
      </c>
      <c r="J61" s="20">
        <f>IFERROR(Calculations!$AC$305,"")</f>
        <v>0</v>
      </c>
      <c r="K61" s="20">
        <f>IFERROR(Calculations!$AD$305,"")</f>
        <v>0</v>
      </c>
      <c r="L61" s="20">
        <f>IFERROR(Calculations!$AE$305,"")</f>
        <v>0</v>
      </c>
      <c r="M61" s="20">
        <f>IFERROR(Calculations!$AF$305,"")</f>
        <v>0</v>
      </c>
      <c r="N61" s="20">
        <f>IFERROR(Calculations!$AG$305,"")</f>
        <v>0</v>
      </c>
      <c r="O61" s="20">
        <f>IFERROR(Calculations!$AH$305,"")</f>
        <v>0</v>
      </c>
    </row>
    <row r="62" spans="2:19">
      <c r="B62" s="11">
        <f>IF(Calculations!$U$306="","",Calculations!$U$306)</f>
        <v>0</v>
      </c>
      <c r="C62" s="20">
        <f>IFERROR(Calculations!$V$306,"")</f>
        <v>0</v>
      </c>
      <c r="D62" s="20">
        <f>IFERROR(Calculations!$W$306,"")</f>
        <v>0</v>
      </c>
      <c r="E62" s="20">
        <f>IFERROR(Calculations!$X$306,"")</f>
        <v>0</v>
      </c>
      <c r="F62" s="20">
        <f>IFERROR(Calculations!$Y$306,"")</f>
        <v>0</v>
      </c>
      <c r="G62" s="20">
        <f>IFERROR(Calculations!$Z$306,"")</f>
        <v>0</v>
      </c>
      <c r="H62" s="20">
        <f>IFERROR(Calculations!$AA$306,"")</f>
        <v>0</v>
      </c>
      <c r="I62" s="20">
        <f>IFERROR(Calculations!$AB$306,"")</f>
        <v>0</v>
      </c>
      <c r="J62" s="20">
        <f>IFERROR(Calculations!$AC$306,"")</f>
        <v>0</v>
      </c>
      <c r="K62" s="20">
        <f>IFERROR(Calculations!$AD$306,"")</f>
        <v>0</v>
      </c>
      <c r="L62" s="20">
        <f>IFERROR(Calculations!$AE$306,"")</f>
        <v>0</v>
      </c>
      <c r="M62" s="20">
        <f>IFERROR(Calculations!$AF$306,"")</f>
        <v>0</v>
      </c>
      <c r="N62" s="20">
        <f>IFERROR(Calculations!$AG$306,"")</f>
        <v>0</v>
      </c>
      <c r="O62" s="20">
        <f>IFERROR(Calculations!$AH$306,"")</f>
        <v>0</v>
      </c>
    </row>
    <row r="63" spans="2:19">
      <c r="B63" s="11">
        <f>IF(Calculations!$U$307="","",Calculations!$U$307)</f>
        <v>0</v>
      </c>
      <c r="C63" s="20">
        <f>IFERROR(Calculations!$V$307,"")</f>
        <v>0</v>
      </c>
      <c r="D63" s="20">
        <f>IFERROR(Calculations!$W$307,"")</f>
        <v>0</v>
      </c>
      <c r="E63" s="20">
        <f>IFERROR(Calculations!$X$307,"")</f>
        <v>0</v>
      </c>
      <c r="F63" s="20">
        <f>IFERROR(Calculations!$Y$307,"")</f>
        <v>0</v>
      </c>
      <c r="G63" s="20">
        <f>IFERROR(Calculations!$Z$307,"")</f>
        <v>0</v>
      </c>
      <c r="H63" s="20">
        <f>IFERROR(Calculations!$AA$307,"")</f>
        <v>0</v>
      </c>
      <c r="I63" s="20">
        <f>IFERROR(Calculations!$AB$307,"")</f>
        <v>0</v>
      </c>
      <c r="J63" s="20">
        <f>IFERROR(Calculations!$AC$307,"")</f>
        <v>0</v>
      </c>
      <c r="K63" s="20">
        <f>IFERROR(Calculations!$AD$307,"")</f>
        <v>0</v>
      </c>
      <c r="L63" s="20">
        <f>IFERROR(Calculations!$AE$307,"")</f>
        <v>0</v>
      </c>
      <c r="M63" s="20">
        <f>IFERROR(Calculations!$AF$307,"")</f>
        <v>0</v>
      </c>
      <c r="N63" s="20">
        <f>IFERROR(Calculations!$AG$307,"")</f>
        <v>0</v>
      </c>
      <c r="O63" s="20">
        <f>IFERROR(Calculations!$AH$307,"")</f>
        <v>0</v>
      </c>
    </row>
    <row r="64" spans="2:19">
      <c r="B64" s="11">
        <f>IF(Calculations!$U$308="","",Calculations!$U$308)</f>
        <v>0</v>
      </c>
      <c r="C64" s="20">
        <f>IFERROR(Calculations!$V$308,"")</f>
        <v>0</v>
      </c>
      <c r="D64" s="20">
        <f>IFERROR(Calculations!$W$308,"")</f>
        <v>0</v>
      </c>
      <c r="E64" s="20">
        <f>IFERROR(Calculations!$X$308,"")</f>
        <v>0</v>
      </c>
      <c r="F64" s="20">
        <f>IFERROR(Calculations!$Y$308,"")</f>
        <v>0</v>
      </c>
      <c r="G64" s="20">
        <f>IFERROR(Calculations!$Z$308,"")</f>
        <v>0</v>
      </c>
      <c r="H64" s="20">
        <f>IFERROR(Calculations!$AA$308,"")</f>
        <v>0</v>
      </c>
      <c r="I64" s="20">
        <f>IFERROR(Calculations!$AB$308,"")</f>
        <v>0</v>
      </c>
      <c r="J64" s="20">
        <f>IFERROR(Calculations!$AC$308,"")</f>
        <v>0</v>
      </c>
      <c r="K64" s="20">
        <f>IFERROR(Calculations!$AD$308,"")</f>
        <v>0</v>
      </c>
      <c r="L64" s="20">
        <f>IFERROR(Calculations!$AE$308,"")</f>
        <v>0</v>
      </c>
      <c r="M64" s="20">
        <f>IFERROR(Calculations!$AF$308,"")</f>
        <v>0</v>
      </c>
      <c r="N64" s="20">
        <f>IFERROR(Calculations!$AG$308,"")</f>
        <v>0</v>
      </c>
      <c r="O64" s="20">
        <f>IFERROR(Calculations!$AH$308,"")</f>
        <v>0</v>
      </c>
    </row>
    <row r="65" spans="2:15">
      <c r="B65" s="11">
        <f>IF(Calculations!$U$309="","",Calculations!$U$309)</f>
        <v>0</v>
      </c>
      <c r="C65" s="20">
        <f>IFERROR(Calculations!$V$309,"")</f>
        <v>0</v>
      </c>
      <c r="D65" s="20">
        <f>IFERROR(Calculations!$W$309,"")</f>
        <v>0</v>
      </c>
      <c r="E65" s="20">
        <f>IFERROR(Calculations!$X$309,"")</f>
        <v>0</v>
      </c>
      <c r="F65" s="20">
        <f>IFERROR(Calculations!$Y$309,"")</f>
        <v>0</v>
      </c>
      <c r="G65" s="20">
        <f>IFERROR(Calculations!$Z$309,"")</f>
        <v>0</v>
      </c>
      <c r="H65" s="20">
        <f>IFERROR(Calculations!$AA$309,"")</f>
        <v>0</v>
      </c>
      <c r="I65" s="20">
        <f>IFERROR(Calculations!$AB$309,"")</f>
        <v>0</v>
      </c>
      <c r="J65" s="20">
        <f>IFERROR(Calculations!$AC$309,"")</f>
        <v>0</v>
      </c>
      <c r="K65" s="20">
        <f>IFERROR(Calculations!$AD$309,"")</f>
        <v>0</v>
      </c>
      <c r="L65" s="20">
        <f>IFERROR(Calculations!$AE$309,"")</f>
        <v>0</v>
      </c>
      <c r="M65" s="20">
        <f>IFERROR(Calculations!$AF$309,"")</f>
        <v>0</v>
      </c>
      <c r="N65" s="20">
        <f>IFERROR(Calculations!$AG$309,"")</f>
        <v>0</v>
      </c>
      <c r="O65" s="20">
        <f>IFERROR(Calculations!$AH$309,"")</f>
        <v>0</v>
      </c>
    </row>
  </sheetData>
  <mergeCells count="39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7" right="0.7" top="0.75" bottom="0.75" header="0.3" footer="0.3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B6EA8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2034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2035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1997</v>
      </c>
      <c r="G13" s="40"/>
      <c r="H13" s="40"/>
      <c r="I13" s="40"/>
      <c r="J13" s="40" t="s">
        <v>2036</v>
      </c>
      <c r="K13" s="40"/>
      <c r="L13" s="40"/>
      <c r="M13" s="40"/>
      <c r="N13" s="40" t="s">
        <v>2037</v>
      </c>
      <c r="O13" s="40"/>
      <c r="P13" s="40"/>
      <c r="Q13" s="40"/>
    </row>
    <row r="14" spans="2:19">
      <c r="B14" s="42">
        <f>Calculations!$N$330</f>
        <v>0</v>
      </c>
      <c r="C14" s="42"/>
      <c r="D14" s="42"/>
      <c r="E14" s="42"/>
      <c r="F14" s="44">
        <f>Calculations!$N$331</f>
        <v>0</v>
      </c>
      <c r="G14" s="44"/>
      <c r="H14" s="44"/>
      <c r="I14" s="44"/>
      <c r="J14" s="44">
        <f>Calculations!$N$332</f>
        <v>0</v>
      </c>
      <c r="K14" s="44"/>
      <c r="L14" s="44"/>
      <c r="M14" s="44"/>
      <c r="N14" s="42">
        <f>Calculations!$N$333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4"/>
      <c r="K15" s="44"/>
      <c r="L15" s="44"/>
      <c r="M15" s="44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>
      <c r="B18" s="9" t="s">
        <v>2000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  <row r="35" spans="2:19">
      <c r="B35" s="9" t="s">
        <v>2001</v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</row>
    <row r="36" spans="2:19">
      <c r="N36" s="8" t="s">
        <v>2038</v>
      </c>
      <c r="O36" s="8"/>
      <c r="P36" s="8"/>
      <c r="Q36" s="8"/>
      <c r="R36" s="8"/>
      <c r="S36" s="8"/>
    </row>
    <row r="52" spans="2:19">
      <c r="B52" s="9" t="s">
        <v>2003</v>
      </c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</row>
    <row r="53" spans="2:19">
      <c r="B53" s="10" t="s">
        <v>1826</v>
      </c>
      <c r="C53" s="10" t="s">
        <v>3</v>
      </c>
      <c r="D53" s="10" t="s">
        <v>19</v>
      </c>
      <c r="E53" s="10" t="s">
        <v>44</v>
      </c>
      <c r="F53" s="10" t="s">
        <v>53</v>
      </c>
      <c r="G53" s="10" t="s">
        <v>60</v>
      </c>
      <c r="H53" s="10" t="s">
        <v>73</v>
      </c>
      <c r="I53" s="10" t="s">
        <v>76</v>
      </c>
      <c r="J53" s="10" t="s">
        <v>86</v>
      </c>
      <c r="K53" s="10" t="s">
        <v>102</v>
      </c>
      <c r="L53" s="10" t="s">
        <v>106</v>
      </c>
      <c r="M53" s="10" t="s">
        <v>111</v>
      </c>
      <c r="N53" s="10" t="s">
        <v>122</v>
      </c>
      <c r="O53" s="10" t="s">
        <v>1827</v>
      </c>
    </row>
    <row r="54" spans="2:19">
      <c r="B54" s="11">
        <f>IF(Calculations!$U$330="","",Calculations!$U$330)</f>
        <v>0</v>
      </c>
      <c r="C54" s="20">
        <f>IFERROR(Calculations!$V$330,"")</f>
        <v>0</v>
      </c>
      <c r="D54" s="20">
        <f>IFERROR(Calculations!$W$330,"")</f>
        <v>0</v>
      </c>
      <c r="E54" s="20">
        <f>IFERROR(Calculations!$X$330,"")</f>
        <v>0</v>
      </c>
      <c r="F54" s="20">
        <f>IFERROR(Calculations!$Y$330,"")</f>
        <v>0</v>
      </c>
      <c r="G54" s="20">
        <f>IFERROR(Calculations!$Z$330,"")</f>
        <v>0</v>
      </c>
      <c r="H54" s="20">
        <f>IFERROR(Calculations!$AA$330,"")</f>
        <v>0</v>
      </c>
      <c r="I54" s="20">
        <f>IFERROR(Calculations!$AB$330,"")</f>
        <v>0</v>
      </c>
      <c r="J54" s="20">
        <f>IFERROR(Calculations!$AC$330,"")</f>
        <v>0</v>
      </c>
      <c r="K54" s="20">
        <f>IFERROR(Calculations!$AD$330,"")</f>
        <v>0</v>
      </c>
      <c r="L54" s="20">
        <f>IFERROR(Calculations!$AE$330,"")</f>
        <v>0</v>
      </c>
      <c r="M54" s="20">
        <f>IFERROR(Calculations!$AF$330,"")</f>
        <v>0</v>
      </c>
      <c r="N54" s="20">
        <f>IFERROR(Calculations!$AG$330,"")</f>
        <v>0</v>
      </c>
      <c r="O54" s="20">
        <f>IFERROR(Calculations!$AH$330,"")</f>
        <v>0</v>
      </c>
    </row>
    <row r="55" spans="2:19">
      <c r="B55" s="11">
        <f>IF(Calculations!$U$331="","",Calculations!$U$331)</f>
        <v>0</v>
      </c>
      <c r="C55" s="20">
        <f>IFERROR(Calculations!$V$331,"")</f>
        <v>0</v>
      </c>
      <c r="D55" s="20">
        <f>IFERROR(Calculations!$W$331,"")</f>
        <v>0</v>
      </c>
      <c r="E55" s="20">
        <f>IFERROR(Calculations!$X$331,"")</f>
        <v>0</v>
      </c>
      <c r="F55" s="20">
        <f>IFERROR(Calculations!$Y$331,"")</f>
        <v>0</v>
      </c>
      <c r="G55" s="20">
        <f>IFERROR(Calculations!$Z$331,"")</f>
        <v>0</v>
      </c>
      <c r="H55" s="20">
        <f>IFERROR(Calculations!$AA$331,"")</f>
        <v>0</v>
      </c>
      <c r="I55" s="20">
        <f>IFERROR(Calculations!$AB$331,"")</f>
        <v>0</v>
      </c>
      <c r="J55" s="20">
        <f>IFERROR(Calculations!$AC$331,"")</f>
        <v>0</v>
      </c>
      <c r="K55" s="20">
        <f>IFERROR(Calculations!$AD$331,"")</f>
        <v>0</v>
      </c>
      <c r="L55" s="20">
        <f>IFERROR(Calculations!$AE$331,"")</f>
        <v>0</v>
      </c>
      <c r="M55" s="20">
        <f>IFERROR(Calculations!$AF$331,"")</f>
        <v>0</v>
      </c>
      <c r="N55" s="20">
        <f>IFERROR(Calculations!$AG$331,"")</f>
        <v>0</v>
      </c>
      <c r="O55" s="20">
        <f>IFERROR(Calculations!$AH$331,"")</f>
        <v>0</v>
      </c>
    </row>
    <row r="56" spans="2:19">
      <c r="B56" s="11">
        <f>IF(Calculations!$U$332="","",Calculations!$U$332)</f>
        <v>0</v>
      </c>
      <c r="C56" s="20">
        <f>IFERROR(Calculations!$V$332,"")</f>
        <v>0</v>
      </c>
      <c r="D56" s="20">
        <f>IFERROR(Calculations!$W$332,"")</f>
        <v>0</v>
      </c>
      <c r="E56" s="20">
        <f>IFERROR(Calculations!$X$332,"")</f>
        <v>0</v>
      </c>
      <c r="F56" s="20">
        <f>IFERROR(Calculations!$Y$332,"")</f>
        <v>0</v>
      </c>
      <c r="G56" s="20">
        <f>IFERROR(Calculations!$Z$332,"")</f>
        <v>0</v>
      </c>
      <c r="H56" s="20">
        <f>IFERROR(Calculations!$AA$332,"")</f>
        <v>0</v>
      </c>
      <c r="I56" s="20">
        <f>IFERROR(Calculations!$AB$332,"")</f>
        <v>0</v>
      </c>
      <c r="J56" s="20">
        <f>IFERROR(Calculations!$AC$332,"")</f>
        <v>0</v>
      </c>
      <c r="K56" s="20">
        <f>IFERROR(Calculations!$AD$332,"")</f>
        <v>0</v>
      </c>
      <c r="L56" s="20">
        <f>IFERROR(Calculations!$AE$332,"")</f>
        <v>0</v>
      </c>
      <c r="M56" s="20">
        <f>IFERROR(Calculations!$AF$332,"")</f>
        <v>0</v>
      </c>
      <c r="N56" s="20">
        <f>IFERROR(Calculations!$AG$332,"")</f>
        <v>0</v>
      </c>
      <c r="O56" s="20">
        <f>IFERROR(Calculations!$AH$332,"")</f>
        <v>0</v>
      </c>
    </row>
    <row r="57" spans="2:19">
      <c r="B57" s="11">
        <f>IF(Calculations!$U$333="","",Calculations!$U$333)</f>
        <v>0</v>
      </c>
      <c r="C57" s="20">
        <f>IFERROR(Calculations!$V$333,"")</f>
        <v>0</v>
      </c>
      <c r="D57" s="20">
        <f>IFERROR(Calculations!$W$333,"")</f>
        <v>0</v>
      </c>
      <c r="E57" s="20">
        <f>IFERROR(Calculations!$X$333,"")</f>
        <v>0</v>
      </c>
      <c r="F57" s="20">
        <f>IFERROR(Calculations!$Y$333,"")</f>
        <v>0</v>
      </c>
      <c r="G57" s="20">
        <f>IFERROR(Calculations!$Z$333,"")</f>
        <v>0</v>
      </c>
      <c r="H57" s="20">
        <f>IFERROR(Calculations!$AA$333,"")</f>
        <v>0</v>
      </c>
      <c r="I57" s="20">
        <f>IFERROR(Calculations!$AB$333,"")</f>
        <v>0</v>
      </c>
      <c r="J57" s="20">
        <f>IFERROR(Calculations!$AC$333,"")</f>
        <v>0</v>
      </c>
      <c r="K57" s="20">
        <f>IFERROR(Calculations!$AD$333,"")</f>
        <v>0</v>
      </c>
      <c r="L57" s="20">
        <f>IFERROR(Calculations!$AE$333,"")</f>
        <v>0</v>
      </c>
      <c r="M57" s="20">
        <f>IFERROR(Calculations!$AF$333,"")</f>
        <v>0</v>
      </c>
      <c r="N57" s="20">
        <f>IFERROR(Calculations!$AG$333,"")</f>
        <v>0</v>
      </c>
      <c r="O57" s="20">
        <f>IFERROR(Calculations!$AH$333,"")</f>
        <v>0</v>
      </c>
    </row>
    <row r="58" spans="2:19">
      <c r="B58" s="11">
        <f>IF(Calculations!$U$334="","",Calculations!$U$334)</f>
        <v>0</v>
      </c>
      <c r="C58" s="20">
        <f>IFERROR(Calculations!$V$334,"")</f>
        <v>0</v>
      </c>
      <c r="D58" s="20">
        <f>IFERROR(Calculations!$W$334,"")</f>
        <v>0</v>
      </c>
      <c r="E58" s="20">
        <f>IFERROR(Calculations!$X$334,"")</f>
        <v>0</v>
      </c>
      <c r="F58" s="20">
        <f>IFERROR(Calculations!$Y$334,"")</f>
        <v>0</v>
      </c>
      <c r="G58" s="20">
        <f>IFERROR(Calculations!$Z$334,"")</f>
        <v>0</v>
      </c>
      <c r="H58" s="20">
        <f>IFERROR(Calculations!$AA$334,"")</f>
        <v>0</v>
      </c>
      <c r="I58" s="20">
        <f>IFERROR(Calculations!$AB$334,"")</f>
        <v>0</v>
      </c>
      <c r="J58" s="20">
        <f>IFERROR(Calculations!$AC$334,"")</f>
        <v>0</v>
      </c>
      <c r="K58" s="20">
        <f>IFERROR(Calculations!$AD$334,"")</f>
        <v>0</v>
      </c>
      <c r="L58" s="20">
        <f>IFERROR(Calculations!$AE$334,"")</f>
        <v>0</v>
      </c>
      <c r="M58" s="20">
        <f>IFERROR(Calculations!$AF$334,"")</f>
        <v>0</v>
      </c>
      <c r="N58" s="20">
        <f>IFERROR(Calculations!$AG$334,"")</f>
        <v>0</v>
      </c>
      <c r="O58" s="20">
        <f>IFERROR(Calculations!$AH$334,"")</f>
        <v>0</v>
      </c>
    </row>
    <row r="59" spans="2:19">
      <c r="B59" s="11">
        <f>IF(Calculations!$U$335="","",Calculations!$U$335)</f>
        <v>0</v>
      </c>
      <c r="C59" s="20">
        <f>IFERROR(Calculations!$V$335,"")</f>
        <v>0</v>
      </c>
      <c r="D59" s="20">
        <f>IFERROR(Calculations!$W$335,"")</f>
        <v>0</v>
      </c>
      <c r="E59" s="20">
        <f>IFERROR(Calculations!$X$335,"")</f>
        <v>0</v>
      </c>
      <c r="F59" s="20">
        <f>IFERROR(Calculations!$Y$335,"")</f>
        <v>0</v>
      </c>
      <c r="G59" s="20">
        <f>IFERROR(Calculations!$Z$335,"")</f>
        <v>0</v>
      </c>
      <c r="H59" s="20">
        <f>IFERROR(Calculations!$AA$335,"")</f>
        <v>0</v>
      </c>
      <c r="I59" s="20">
        <f>IFERROR(Calculations!$AB$335,"")</f>
        <v>0</v>
      </c>
      <c r="J59" s="20">
        <f>IFERROR(Calculations!$AC$335,"")</f>
        <v>0</v>
      </c>
      <c r="K59" s="20">
        <f>IFERROR(Calculations!$AD$335,"")</f>
        <v>0</v>
      </c>
      <c r="L59" s="20">
        <f>IFERROR(Calculations!$AE$335,"")</f>
        <v>0</v>
      </c>
      <c r="M59" s="20">
        <f>IFERROR(Calculations!$AF$335,"")</f>
        <v>0</v>
      </c>
      <c r="N59" s="20">
        <f>IFERROR(Calculations!$AG$335,"")</f>
        <v>0</v>
      </c>
      <c r="O59" s="20">
        <f>IFERROR(Calculations!$AH$335,"")</f>
        <v>0</v>
      </c>
    </row>
  </sheetData>
  <mergeCells count="27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N36:S36"/>
    <mergeCell ref="B52:S52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7" right="0.7" top="0.75" bottom="0.75" header="0.3" footer="0.3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2039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2040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Calculations!$N$356</f>
        <v>0</v>
      </c>
      <c r="C14" s="42"/>
      <c r="D14" s="42"/>
      <c r="E14" s="42"/>
      <c r="F14" s="44">
        <f>Calculations!$N$357</f>
        <v>0</v>
      </c>
      <c r="G14" s="44"/>
      <c r="H14" s="44"/>
      <c r="I14" s="44"/>
      <c r="J14" s="42">
        <f>Calculations!$N$358</f>
        <v>0</v>
      </c>
      <c r="K14" s="42"/>
      <c r="L14" s="42"/>
      <c r="M14" s="42"/>
      <c r="N14" s="42">
        <f>Calculations!$N$359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</row>
    <row r="19" spans="2:19">
      <c r="B19" s="40" t="s">
        <v>2041</v>
      </c>
      <c r="C19" s="40"/>
      <c r="D19" s="40"/>
      <c r="E19" s="40"/>
      <c r="F19" s="40" t="s">
        <v>2042</v>
      </c>
      <c r="G19" s="40"/>
      <c r="H19" s="40"/>
      <c r="I19" s="40"/>
    </row>
    <row r="20" spans="2:19">
      <c r="B20" s="44">
        <f>Calculations!$N$360</f>
        <v>0</v>
      </c>
      <c r="C20" s="44"/>
      <c r="D20" s="44"/>
      <c r="E20" s="44"/>
      <c r="F20" s="42">
        <f>Calculations!$N$361</f>
        <v>0</v>
      </c>
      <c r="G20" s="42"/>
      <c r="H20" s="42"/>
      <c r="I20" s="42"/>
    </row>
    <row r="21" spans="2:19">
      <c r="B21" s="44"/>
      <c r="C21" s="44"/>
      <c r="D21" s="44"/>
      <c r="E21" s="44"/>
      <c r="F21" s="42"/>
      <c r="G21" s="42"/>
      <c r="H21" s="42"/>
      <c r="I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IF(Calculations!$U$356="","",Calculations!$U$356)</f>
        <v>0</v>
      </c>
      <c r="C60" s="20">
        <f>IFERROR(Calculations!$V$356,"")</f>
        <v>0</v>
      </c>
      <c r="D60" s="20">
        <f>IFERROR(Calculations!$W$356,"")</f>
        <v>0</v>
      </c>
      <c r="E60" s="20">
        <f>IFERROR(Calculations!$X$356,"")</f>
        <v>0</v>
      </c>
      <c r="F60" s="20">
        <f>IFERROR(Calculations!$Y$356,"")</f>
        <v>0</v>
      </c>
      <c r="G60" s="20">
        <f>IFERROR(Calculations!$Z$356,"")</f>
        <v>0</v>
      </c>
      <c r="H60" s="20">
        <f>IFERROR(Calculations!$AA$356,"")</f>
        <v>0</v>
      </c>
      <c r="I60" s="20">
        <f>IFERROR(Calculations!$AB$356,"")</f>
        <v>0</v>
      </c>
      <c r="J60" s="20">
        <f>IFERROR(Calculations!$AC$356,"")</f>
        <v>0</v>
      </c>
      <c r="K60" s="20">
        <f>IFERROR(Calculations!$AD$356,"")</f>
        <v>0</v>
      </c>
      <c r="L60" s="20">
        <f>IFERROR(Calculations!$AE$356,"")</f>
        <v>0</v>
      </c>
      <c r="M60" s="20">
        <f>IFERROR(Calculations!$AF$356,"")</f>
        <v>0</v>
      </c>
      <c r="N60" s="20">
        <f>IFERROR(Calculations!$AG$356,"")</f>
        <v>0</v>
      </c>
      <c r="O60" s="20">
        <f>IFERROR(Calculations!$AH$356,"")</f>
        <v>0</v>
      </c>
    </row>
    <row r="61" spans="2:19">
      <c r="B61" s="11">
        <f>IF(Calculations!$U$357="","",Calculations!$U$357)</f>
        <v>0</v>
      </c>
      <c r="C61" s="20">
        <f>IFERROR(Calculations!$V$357,"")</f>
        <v>0</v>
      </c>
      <c r="D61" s="20">
        <f>IFERROR(Calculations!$W$357,"")</f>
        <v>0</v>
      </c>
      <c r="E61" s="20">
        <f>IFERROR(Calculations!$X$357,"")</f>
        <v>0</v>
      </c>
      <c r="F61" s="20">
        <f>IFERROR(Calculations!$Y$357,"")</f>
        <v>0</v>
      </c>
      <c r="G61" s="20">
        <f>IFERROR(Calculations!$Z$357,"")</f>
        <v>0</v>
      </c>
      <c r="H61" s="20">
        <f>IFERROR(Calculations!$AA$357,"")</f>
        <v>0</v>
      </c>
      <c r="I61" s="20">
        <f>IFERROR(Calculations!$AB$357,"")</f>
        <v>0</v>
      </c>
      <c r="J61" s="20">
        <f>IFERROR(Calculations!$AC$357,"")</f>
        <v>0</v>
      </c>
      <c r="K61" s="20">
        <f>IFERROR(Calculations!$AD$357,"")</f>
        <v>0</v>
      </c>
      <c r="L61" s="20">
        <f>IFERROR(Calculations!$AE$357,"")</f>
        <v>0</v>
      </c>
      <c r="M61" s="20">
        <f>IFERROR(Calculations!$AF$357,"")</f>
        <v>0</v>
      </c>
      <c r="N61" s="20">
        <f>IFERROR(Calculations!$AG$357,"")</f>
        <v>0</v>
      </c>
      <c r="O61" s="20">
        <f>IFERROR(Calculations!$AH$357,"")</f>
        <v>0</v>
      </c>
    </row>
    <row r="62" spans="2:19">
      <c r="B62" s="11">
        <f>IF(Calculations!$U$358="","",Calculations!$U$358)</f>
        <v>0</v>
      </c>
      <c r="C62" s="20">
        <f>IFERROR(Calculations!$V$358,"")</f>
        <v>0</v>
      </c>
      <c r="D62" s="20">
        <f>IFERROR(Calculations!$W$358,"")</f>
        <v>0</v>
      </c>
      <c r="E62" s="20">
        <f>IFERROR(Calculations!$X$358,"")</f>
        <v>0</v>
      </c>
      <c r="F62" s="20">
        <f>IFERROR(Calculations!$Y$358,"")</f>
        <v>0</v>
      </c>
      <c r="G62" s="20">
        <f>IFERROR(Calculations!$Z$358,"")</f>
        <v>0</v>
      </c>
      <c r="H62" s="20">
        <f>IFERROR(Calculations!$AA$358,"")</f>
        <v>0</v>
      </c>
      <c r="I62" s="20">
        <f>IFERROR(Calculations!$AB$358,"")</f>
        <v>0</v>
      </c>
      <c r="J62" s="20">
        <f>IFERROR(Calculations!$AC$358,"")</f>
        <v>0</v>
      </c>
      <c r="K62" s="20">
        <f>IFERROR(Calculations!$AD$358,"")</f>
        <v>0</v>
      </c>
      <c r="L62" s="20">
        <f>IFERROR(Calculations!$AE$358,"")</f>
        <v>0</v>
      </c>
      <c r="M62" s="20">
        <f>IFERROR(Calculations!$AF$358,"")</f>
        <v>0</v>
      </c>
      <c r="N62" s="20">
        <f>IFERROR(Calculations!$AG$358,"")</f>
        <v>0</v>
      </c>
      <c r="O62" s="20">
        <f>IFERROR(Calculations!$AH$358,"")</f>
        <v>0</v>
      </c>
    </row>
    <row r="63" spans="2:19">
      <c r="B63" s="11">
        <f>IF(Calculations!$U$359="","",Calculations!$U$359)</f>
        <v>0</v>
      </c>
      <c r="C63" s="20">
        <f>IFERROR(Calculations!$V$359,"")</f>
        <v>0</v>
      </c>
      <c r="D63" s="20">
        <f>IFERROR(Calculations!$W$359,"")</f>
        <v>0</v>
      </c>
      <c r="E63" s="20">
        <f>IFERROR(Calculations!$X$359,"")</f>
        <v>0</v>
      </c>
      <c r="F63" s="20">
        <f>IFERROR(Calculations!$Y$359,"")</f>
        <v>0</v>
      </c>
      <c r="G63" s="20">
        <f>IFERROR(Calculations!$Z$359,"")</f>
        <v>0</v>
      </c>
      <c r="H63" s="20">
        <f>IFERROR(Calculations!$AA$359,"")</f>
        <v>0</v>
      </c>
      <c r="I63" s="20">
        <f>IFERROR(Calculations!$AB$359,"")</f>
        <v>0</v>
      </c>
      <c r="J63" s="20">
        <f>IFERROR(Calculations!$AC$359,"")</f>
        <v>0</v>
      </c>
      <c r="K63" s="20">
        <f>IFERROR(Calculations!$AD$359,"")</f>
        <v>0</v>
      </c>
      <c r="L63" s="20">
        <f>IFERROR(Calculations!$AE$359,"")</f>
        <v>0</v>
      </c>
      <c r="M63" s="20">
        <f>IFERROR(Calculations!$AF$359,"")</f>
        <v>0</v>
      </c>
      <c r="N63" s="20">
        <f>IFERROR(Calculations!$AG$359,"")</f>
        <v>0</v>
      </c>
      <c r="O63" s="20">
        <f>IFERROR(Calculations!$AH$359,"")</f>
        <v>0</v>
      </c>
    </row>
    <row r="64" spans="2:19">
      <c r="B64" s="11">
        <f>IF(Calculations!$U$360="","",Calculations!$U$360)</f>
        <v>0</v>
      </c>
      <c r="C64" s="20">
        <f>IFERROR(Calculations!$V$360,"")</f>
        <v>0</v>
      </c>
      <c r="D64" s="20">
        <f>IFERROR(Calculations!$W$360,"")</f>
        <v>0</v>
      </c>
      <c r="E64" s="20">
        <f>IFERROR(Calculations!$X$360,"")</f>
        <v>0</v>
      </c>
      <c r="F64" s="20">
        <f>IFERROR(Calculations!$Y$360,"")</f>
        <v>0</v>
      </c>
      <c r="G64" s="20">
        <f>IFERROR(Calculations!$Z$360,"")</f>
        <v>0</v>
      </c>
      <c r="H64" s="20">
        <f>IFERROR(Calculations!$AA$360,"")</f>
        <v>0</v>
      </c>
      <c r="I64" s="20">
        <f>IFERROR(Calculations!$AB$360,"")</f>
        <v>0</v>
      </c>
      <c r="J64" s="20">
        <f>IFERROR(Calculations!$AC$360,"")</f>
        <v>0</v>
      </c>
      <c r="K64" s="20">
        <f>IFERROR(Calculations!$AD$360,"")</f>
        <v>0</v>
      </c>
      <c r="L64" s="20">
        <f>IFERROR(Calculations!$AE$360,"")</f>
        <v>0</v>
      </c>
      <c r="M64" s="20">
        <f>IFERROR(Calculations!$AF$360,"")</f>
        <v>0</v>
      </c>
      <c r="N64" s="20">
        <f>IFERROR(Calculations!$AG$360,"")</f>
        <v>0</v>
      </c>
      <c r="O64" s="20">
        <f>IFERROR(Calculations!$AH$360,"")</f>
        <v>0</v>
      </c>
    </row>
    <row r="65" spans="2:15">
      <c r="B65" s="11">
        <f>IF(Calculations!$U$361="","",Calculations!$U$361)</f>
        <v>0</v>
      </c>
      <c r="C65" s="20">
        <f>IFERROR(Calculations!$V$361,"")</f>
        <v>0</v>
      </c>
      <c r="D65" s="20">
        <f>IFERROR(Calculations!$W$361,"")</f>
        <v>0</v>
      </c>
      <c r="E65" s="20">
        <f>IFERROR(Calculations!$X$361,"")</f>
        <v>0</v>
      </c>
      <c r="F65" s="20">
        <f>IFERROR(Calculations!$Y$361,"")</f>
        <v>0</v>
      </c>
      <c r="G65" s="20">
        <f>IFERROR(Calculations!$Z$361,"")</f>
        <v>0</v>
      </c>
      <c r="H65" s="20">
        <f>IFERROR(Calculations!$AA$361,"")</f>
        <v>0</v>
      </c>
      <c r="I65" s="20">
        <f>IFERROR(Calculations!$AB$361,"")</f>
        <v>0</v>
      </c>
      <c r="J65" s="20">
        <f>IFERROR(Calculations!$AC$361,"")</f>
        <v>0</v>
      </c>
      <c r="K65" s="20">
        <f>IFERROR(Calculations!$AD$361,"")</f>
        <v>0</v>
      </c>
      <c r="L65" s="20">
        <f>IFERROR(Calculations!$AE$361,"")</f>
        <v>0</v>
      </c>
      <c r="M65" s="20">
        <f>IFERROR(Calculations!$AF$361,"")</f>
        <v>0</v>
      </c>
      <c r="N65" s="20">
        <f>IFERROR(Calculations!$AG$361,"")</f>
        <v>0</v>
      </c>
      <c r="O65" s="20">
        <f>IFERROR(Calculations!$AH$361,"")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7" right="0.7" top="0.75" bottom="0.75" header="0.3" footer="0.3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2043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2044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Calculations!$N$382</f>
        <v>0</v>
      </c>
      <c r="C14" s="42"/>
      <c r="D14" s="42"/>
      <c r="E14" s="42"/>
      <c r="F14" s="44">
        <f>Calculations!$N$383</f>
        <v>0</v>
      </c>
      <c r="G14" s="44"/>
      <c r="H14" s="44"/>
      <c r="I14" s="44"/>
      <c r="J14" s="42">
        <f>Calculations!$N$384</f>
        <v>0</v>
      </c>
      <c r="K14" s="42"/>
      <c r="L14" s="42"/>
      <c r="M14" s="42"/>
      <c r="N14" s="42">
        <f>Calculations!$N$385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  <c r="J18" s="48"/>
      <c r="K18" s="48"/>
      <c r="L18" s="48"/>
      <c r="M18" s="48"/>
    </row>
    <row r="19" spans="2:19">
      <c r="B19" s="40" t="s">
        <v>2045</v>
      </c>
      <c r="C19" s="40"/>
      <c r="D19" s="40"/>
      <c r="E19" s="40"/>
      <c r="F19" s="40" t="s">
        <v>2046</v>
      </c>
      <c r="G19" s="40"/>
      <c r="H19" s="40"/>
      <c r="I19" s="40"/>
      <c r="J19" s="40" t="s">
        <v>2047</v>
      </c>
      <c r="K19" s="40"/>
      <c r="L19" s="40"/>
      <c r="M19" s="40"/>
    </row>
    <row r="20" spans="2:19">
      <c r="B20" s="44">
        <f>Calculations!$N$386</f>
        <v>0</v>
      </c>
      <c r="C20" s="44"/>
      <c r="D20" s="44"/>
      <c r="E20" s="44"/>
      <c r="F20" s="42">
        <f>Calculations!$N$387</f>
        <v>0</v>
      </c>
      <c r="G20" s="42"/>
      <c r="H20" s="42"/>
      <c r="I20" s="42"/>
      <c r="J20" s="42">
        <f>Calculations!$N$388</f>
        <v>0</v>
      </c>
      <c r="K20" s="42"/>
      <c r="L20" s="42"/>
      <c r="M20" s="42"/>
    </row>
    <row r="21" spans="2:19">
      <c r="B21" s="44"/>
      <c r="C21" s="44"/>
      <c r="D21" s="44"/>
      <c r="E21" s="44"/>
      <c r="F21" s="42"/>
      <c r="G21" s="42"/>
      <c r="H21" s="42"/>
      <c r="I21" s="42"/>
      <c r="J21" s="42"/>
      <c r="K21" s="42"/>
      <c r="L21" s="42"/>
      <c r="M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  <c r="J22" s="50" t="s">
        <v>1996</v>
      </c>
      <c r="K22" s="50"/>
      <c r="L22" s="50"/>
      <c r="M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IF(Calculations!$U$382="","",Calculations!$U$382)</f>
        <v>0</v>
      </c>
      <c r="C60" s="20">
        <f>IFERROR(Calculations!$V$382,"")</f>
        <v>0</v>
      </c>
      <c r="D60" s="20">
        <f>IFERROR(Calculations!$W$382,"")</f>
        <v>0</v>
      </c>
      <c r="E60" s="20">
        <f>IFERROR(Calculations!$X$382,"")</f>
        <v>0</v>
      </c>
      <c r="F60" s="20">
        <f>IFERROR(Calculations!$Y$382,"")</f>
        <v>0</v>
      </c>
      <c r="G60" s="20">
        <f>IFERROR(Calculations!$Z$382,"")</f>
        <v>0</v>
      </c>
      <c r="H60" s="20">
        <f>IFERROR(Calculations!$AA$382,"")</f>
        <v>0</v>
      </c>
      <c r="I60" s="20">
        <f>IFERROR(Calculations!$AB$382,"")</f>
        <v>0</v>
      </c>
      <c r="J60" s="20">
        <f>IFERROR(Calculations!$AC$382,"")</f>
        <v>0</v>
      </c>
      <c r="K60" s="20">
        <f>IFERROR(Calculations!$AD$382,"")</f>
        <v>0</v>
      </c>
      <c r="L60" s="20">
        <f>IFERROR(Calculations!$AE$382,"")</f>
        <v>0</v>
      </c>
      <c r="M60" s="20">
        <f>IFERROR(Calculations!$AF$382,"")</f>
        <v>0</v>
      </c>
      <c r="N60" s="20">
        <f>IFERROR(Calculations!$AG$382,"")</f>
        <v>0</v>
      </c>
      <c r="O60" s="20">
        <f>IFERROR(Calculations!$AH$382,"")</f>
        <v>0</v>
      </c>
    </row>
    <row r="61" spans="2:19">
      <c r="B61" s="11">
        <f>IF(Calculations!$U$383="","",Calculations!$U$383)</f>
        <v>0</v>
      </c>
      <c r="C61" s="20">
        <f>IFERROR(Calculations!$V$383,"")</f>
        <v>0</v>
      </c>
      <c r="D61" s="20">
        <f>IFERROR(Calculations!$W$383,"")</f>
        <v>0</v>
      </c>
      <c r="E61" s="20">
        <f>IFERROR(Calculations!$X$383,"")</f>
        <v>0</v>
      </c>
      <c r="F61" s="20">
        <f>IFERROR(Calculations!$Y$383,"")</f>
        <v>0</v>
      </c>
      <c r="G61" s="20">
        <f>IFERROR(Calculations!$Z$383,"")</f>
        <v>0</v>
      </c>
      <c r="H61" s="20">
        <f>IFERROR(Calculations!$AA$383,"")</f>
        <v>0</v>
      </c>
      <c r="I61" s="20">
        <f>IFERROR(Calculations!$AB$383,"")</f>
        <v>0</v>
      </c>
      <c r="J61" s="20">
        <f>IFERROR(Calculations!$AC$383,"")</f>
        <v>0</v>
      </c>
      <c r="K61" s="20">
        <f>IFERROR(Calculations!$AD$383,"")</f>
        <v>0</v>
      </c>
      <c r="L61" s="20">
        <f>IFERROR(Calculations!$AE$383,"")</f>
        <v>0</v>
      </c>
      <c r="M61" s="20">
        <f>IFERROR(Calculations!$AF$383,"")</f>
        <v>0</v>
      </c>
      <c r="N61" s="20">
        <f>IFERROR(Calculations!$AG$383,"")</f>
        <v>0</v>
      </c>
      <c r="O61" s="20">
        <f>IFERROR(Calculations!$AH$383,"")</f>
        <v>0</v>
      </c>
    </row>
    <row r="62" spans="2:19">
      <c r="B62" s="11">
        <f>IF(Calculations!$U$384="","",Calculations!$U$384)</f>
        <v>0</v>
      </c>
      <c r="C62" s="20">
        <f>IFERROR(Calculations!$V$384,"")</f>
        <v>0</v>
      </c>
      <c r="D62" s="20">
        <f>IFERROR(Calculations!$W$384,"")</f>
        <v>0</v>
      </c>
      <c r="E62" s="20">
        <f>IFERROR(Calculations!$X$384,"")</f>
        <v>0</v>
      </c>
      <c r="F62" s="20">
        <f>IFERROR(Calculations!$Y$384,"")</f>
        <v>0</v>
      </c>
      <c r="G62" s="20">
        <f>IFERROR(Calculations!$Z$384,"")</f>
        <v>0</v>
      </c>
      <c r="H62" s="20">
        <f>IFERROR(Calculations!$AA$384,"")</f>
        <v>0</v>
      </c>
      <c r="I62" s="20">
        <f>IFERROR(Calculations!$AB$384,"")</f>
        <v>0</v>
      </c>
      <c r="J62" s="20">
        <f>IFERROR(Calculations!$AC$384,"")</f>
        <v>0</v>
      </c>
      <c r="K62" s="20">
        <f>IFERROR(Calculations!$AD$384,"")</f>
        <v>0</v>
      </c>
      <c r="L62" s="20">
        <f>IFERROR(Calculations!$AE$384,"")</f>
        <v>0</v>
      </c>
      <c r="M62" s="20">
        <f>IFERROR(Calculations!$AF$384,"")</f>
        <v>0</v>
      </c>
      <c r="N62" s="20">
        <f>IFERROR(Calculations!$AG$384,"")</f>
        <v>0</v>
      </c>
      <c r="O62" s="20">
        <f>IFERROR(Calculations!$AH$384,"")</f>
        <v>0</v>
      </c>
    </row>
    <row r="63" spans="2:19">
      <c r="B63" s="11">
        <f>IF(Calculations!$U$385="","",Calculations!$U$385)</f>
        <v>0</v>
      </c>
      <c r="C63" s="20">
        <f>IFERROR(Calculations!$V$385,"")</f>
        <v>0</v>
      </c>
      <c r="D63" s="20">
        <f>IFERROR(Calculations!$W$385,"")</f>
        <v>0</v>
      </c>
      <c r="E63" s="20">
        <f>IFERROR(Calculations!$X$385,"")</f>
        <v>0</v>
      </c>
      <c r="F63" s="20">
        <f>IFERROR(Calculations!$Y$385,"")</f>
        <v>0</v>
      </c>
      <c r="G63" s="20">
        <f>IFERROR(Calculations!$Z$385,"")</f>
        <v>0</v>
      </c>
      <c r="H63" s="20">
        <f>IFERROR(Calculations!$AA$385,"")</f>
        <v>0</v>
      </c>
      <c r="I63" s="20">
        <f>IFERROR(Calculations!$AB$385,"")</f>
        <v>0</v>
      </c>
      <c r="J63" s="20">
        <f>IFERROR(Calculations!$AC$385,"")</f>
        <v>0</v>
      </c>
      <c r="K63" s="20">
        <f>IFERROR(Calculations!$AD$385,"")</f>
        <v>0</v>
      </c>
      <c r="L63" s="20">
        <f>IFERROR(Calculations!$AE$385,"")</f>
        <v>0</v>
      </c>
      <c r="M63" s="20">
        <f>IFERROR(Calculations!$AF$385,"")</f>
        <v>0</v>
      </c>
      <c r="N63" s="20">
        <f>IFERROR(Calculations!$AG$385,"")</f>
        <v>0</v>
      </c>
      <c r="O63" s="20">
        <f>IFERROR(Calculations!$AH$385,"")</f>
        <v>0</v>
      </c>
    </row>
    <row r="64" spans="2:19">
      <c r="B64" s="11">
        <f>IF(Calculations!$U$386="","",Calculations!$U$386)</f>
        <v>0</v>
      </c>
      <c r="C64" s="20">
        <f>IFERROR(Calculations!$V$386,"")</f>
        <v>0</v>
      </c>
      <c r="D64" s="20">
        <f>IFERROR(Calculations!$W$386,"")</f>
        <v>0</v>
      </c>
      <c r="E64" s="20">
        <f>IFERROR(Calculations!$X$386,"")</f>
        <v>0</v>
      </c>
      <c r="F64" s="20">
        <f>IFERROR(Calculations!$Y$386,"")</f>
        <v>0</v>
      </c>
      <c r="G64" s="20">
        <f>IFERROR(Calculations!$Z$386,"")</f>
        <v>0</v>
      </c>
      <c r="H64" s="20">
        <f>IFERROR(Calculations!$AA$386,"")</f>
        <v>0</v>
      </c>
      <c r="I64" s="20">
        <f>IFERROR(Calculations!$AB$386,"")</f>
        <v>0</v>
      </c>
      <c r="J64" s="20">
        <f>IFERROR(Calculations!$AC$386,"")</f>
        <v>0</v>
      </c>
      <c r="K64" s="20">
        <f>IFERROR(Calculations!$AD$386,"")</f>
        <v>0</v>
      </c>
      <c r="L64" s="20">
        <f>IFERROR(Calculations!$AE$386,"")</f>
        <v>0</v>
      </c>
      <c r="M64" s="20">
        <f>IFERROR(Calculations!$AF$386,"")</f>
        <v>0</v>
      </c>
      <c r="N64" s="20">
        <f>IFERROR(Calculations!$AG$386,"")</f>
        <v>0</v>
      </c>
      <c r="O64" s="20">
        <f>IFERROR(Calculations!$AH$386,"")</f>
        <v>0</v>
      </c>
    </row>
    <row r="65" spans="2:15">
      <c r="B65" s="11">
        <f>IF(Calculations!$U$387="","",Calculations!$U$387)</f>
        <v>0</v>
      </c>
      <c r="C65" s="20">
        <f>IFERROR(Calculations!$V$387,"")</f>
        <v>0</v>
      </c>
      <c r="D65" s="20">
        <f>IFERROR(Calculations!$W$387,"")</f>
        <v>0</v>
      </c>
      <c r="E65" s="20">
        <f>IFERROR(Calculations!$X$387,"")</f>
        <v>0</v>
      </c>
      <c r="F65" s="20">
        <f>IFERROR(Calculations!$Y$387,"")</f>
        <v>0</v>
      </c>
      <c r="G65" s="20">
        <f>IFERROR(Calculations!$Z$387,"")</f>
        <v>0</v>
      </c>
      <c r="H65" s="20">
        <f>IFERROR(Calculations!$AA$387,"")</f>
        <v>0</v>
      </c>
      <c r="I65" s="20">
        <f>IFERROR(Calculations!$AB$387,"")</f>
        <v>0</v>
      </c>
      <c r="J65" s="20">
        <f>IFERROR(Calculations!$AC$387,"")</f>
        <v>0</v>
      </c>
      <c r="K65" s="20">
        <f>IFERROR(Calculations!$AD$387,"")</f>
        <v>0</v>
      </c>
      <c r="L65" s="20">
        <f>IFERROR(Calculations!$AE$387,"")</f>
        <v>0</v>
      </c>
      <c r="M65" s="20">
        <f>IFERROR(Calculations!$AF$387,"")</f>
        <v>0</v>
      </c>
      <c r="N65" s="20">
        <f>IFERROR(Calculations!$AG$387,"")</f>
        <v>0</v>
      </c>
      <c r="O65" s="20">
        <f>IFERROR(Calculations!$AH$387,"")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7" right="0.7" top="0.75" bottom="0.75" header="0.3" footer="0.3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2048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2049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Calculations!$N$408</f>
        <v>0</v>
      </c>
      <c r="C14" s="42"/>
      <c r="D14" s="42"/>
      <c r="E14" s="42"/>
      <c r="F14" s="44">
        <f>Calculations!$N$409</f>
        <v>0</v>
      </c>
      <c r="G14" s="44"/>
      <c r="H14" s="44"/>
      <c r="I14" s="44"/>
      <c r="J14" s="42">
        <f>Calculations!$N$410</f>
        <v>0</v>
      </c>
      <c r="K14" s="42"/>
      <c r="L14" s="42"/>
      <c r="M14" s="42"/>
      <c r="N14" s="42">
        <f>Calculations!$N$411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  <c r="J18" s="48"/>
      <c r="K18" s="48"/>
      <c r="L18" s="48"/>
      <c r="M18" s="48"/>
    </row>
    <row r="19" spans="2:19">
      <c r="B19" s="40" t="s">
        <v>2050</v>
      </c>
      <c r="C19" s="40"/>
      <c r="D19" s="40"/>
      <c r="E19" s="40"/>
      <c r="F19" s="40" t="s">
        <v>2051</v>
      </c>
      <c r="G19" s="40"/>
      <c r="H19" s="40"/>
      <c r="I19" s="40"/>
      <c r="J19" s="40" t="s">
        <v>2052</v>
      </c>
      <c r="K19" s="40"/>
      <c r="L19" s="40"/>
      <c r="M19" s="40"/>
    </row>
    <row r="20" spans="2:19">
      <c r="B20" s="42">
        <f>Calculations!$N$412</f>
        <v>0</v>
      </c>
      <c r="C20" s="42"/>
      <c r="D20" s="42"/>
      <c r="E20" s="42"/>
      <c r="F20" s="42">
        <f>Calculations!$N$413</f>
        <v>0</v>
      </c>
      <c r="G20" s="42"/>
      <c r="H20" s="42"/>
      <c r="I20" s="42"/>
      <c r="J20" s="42">
        <f>Calculations!$N$414</f>
        <v>0</v>
      </c>
      <c r="K20" s="42"/>
      <c r="L20" s="42"/>
      <c r="M20" s="42"/>
    </row>
    <row r="21" spans="2:19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  <c r="J22" s="50" t="s">
        <v>1996</v>
      </c>
      <c r="K22" s="50"/>
      <c r="L22" s="50"/>
      <c r="M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2053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IF(Calculations!$U$408="","",Calculations!$U$408)</f>
        <v>0</v>
      </c>
      <c r="C60" s="20">
        <f>IFERROR(Calculations!$V$408,"")</f>
        <v>0</v>
      </c>
      <c r="D60" s="20">
        <f>IFERROR(Calculations!$W$408,"")</f>
        <v>0</v>
      </c>
      <c r="E60" s="20">
        <f>IFERROR(Calculations!$X$408,"")</f>
        <v>0</v>
      </c>
      <c r="F60" s="20">
        <f>IFERROR(Calculations!$Y$408,"")</f>
        <v>0</v>
      </c>
      <c r="G60" s="20">
        <f>IFERROR(Calculations!$Z$408,"")</f>
        <v>0</v>
      </c>
      <c r="H60" s="20">
        <f>IFERROR(Calculations!$AA$408,"")</f>
        <v>0</v>
      </c>
      <c r="I60" s="20">
        <f>IFERROR(Calculations!$AB$408,"")</f>
        <v>0</v>
      </c>
      <c r="J60" s="20">
        <f>IFERROR(Calculations!$AC$408,"")</f>
        <v>0</v>
      </c>
      <c r="K60" s="20">
        <f>IFERROR(Calculations!$AD$408,"")</f>
        <v>0</v>
      </c>
      <c r="L60" s="20">
        <f>IFERROR(Calculations!$AE$408,"")</f>
        <v>0</v>
      </c>
      <c r="M60" s="20">
        <f>IFERROR(Calculations!$AF$408,"")</f>
        <v>0</v>
      </c>
      <c r="N60" s="20">
        <f>IFERROR(Calculations!$AG$408,"")</f>
        <v>0</v>
      </c>
      <c r="O60" s="20">
        <f>IFERROR(Calculations!$AH$408,"")</f>
        <v>0</v>
      </c>
    </row>
    <row r="61" spans="2:19">
      <c r="B61" s="11">
        <f>IF(Calculations!$U$409="","",Calculations!$U$409)</f>
        <v>0</v>
      </c>
      <c r="C61" s="20">
        <f>IFERROR(Calculations!$V$409,"")</f>
        <v>0</v>
      </c>
      <c r="D61" s="20">
        <f>IFERROR(Calculations!$W$409,"")</f>
        <v>0</v>
      </c>
      <c r="E61" s="20">
        <f>IFERROR(Calculations!$X$409,"")</f>
        <v>0</v>
      </c>
      <c r="F61" s="20">
        <f>IFERROR(Calculations!$Y$409,"")</f>
        <v>0</v>
      </c>
      <c r="G61" s="20">
        <f>IFERROR(Calculations!$Z$409,"")</f>
        <v>0</v>
      </c>
      <c r="H61" s="20">
        <f>IFERROR(Calculations!$AA$409,"")</f>
        <v>0</v>
      </c>
      <c r="I61" s="20">
        <f>IFERROR(Calculations!$AB$409,"")</f>
        <v>0</v>
      </c>
      <c r="J61" s="20">
        <f>IFERROR(Calculations!$AC$409,"")</f>
        <v>0</v>
      </c>
      <c r="K61" s="20">
        <f>IFERROR(Calculations!$AD$409,"")</f>
        <v>0</v>
      </c>
      <c r="L61" s="20">
        <f>IFERROR(Calculations!$AE$409,"")</f>
        <v>0</v>
      </c>
      <c r="M61" s="20">
        <f>IFERROR(Calculations!$AF$409,"")</f>
        <v>0</v>
      </c>
      <c r="N61" s="20">
        <f>IFERROR(Calculations!$AG$409,"")</f>
        <v>0</v>
      </c>
      <c r="O61" s="20">
        <f>IFERROR(Calculations!$AH$409,"")</f>
        <v>0</v>
      </c>
    </row>
    <row r="62" spans="2:19">
      <c r="B62" s="11">
        <f>IF(Calculations!$U$410="","",Calculations!$U$410)</f>
        <v>0</v>
      </c>
      <c r="C62" s="20">
        <f>IFERROR(Calculations!$V$410,"")</f>
        <v>0</v>
      </c>
      <c r="D62" s="20">
        <f>IFERROR(Calculations!$W$410,"")</f>
        <v>0</v>
      </c>
      <c r="E62" s="20">
        <f>IFERROR(Calculations!$X$410,"")</f>
        <v>0</v>
      </c>
      <c r="F62" s="20">
        <f>IFERROR(Calculations!$Y$410,"")</f>
        <v>0</v>
      </c>
      <c r="G62" s="20">
        <f>IFERROR(Calculations!$Z$410,"")</f>
        <v>0</v>
      </c>
      <c r="H62" s="20">
        <f>IFERROR(Calculations!$AA$410,"")</f>
        <v>0</v>
      </c>
      <c r="I62" s="20">
        <f>IFERROR(Calculations!$AB$410,"")</f>
        <v>0</v>
      </c>
      <c r="J62" s="20">
        <f>IFERROR(Calculations!$AC$410,"")</f>
        <v>0</v>
      </c>
      <c r="K62" s="20">
        <f>IFERROR(Calculations!$AD$410,"")</f>
        <v>0</v>
      </c>
      <c r="L62" s="20">
        <f>IFERROR(Calculations!$AE$410,"")</f>
        <v>0</v>
      </c>
      <c r="M62" s="20">
        <f>IFERROR(Calculations!$AF$410,"")</f>
        <v>0</v>
      </c>
      <c r="N62" s="20">
        <f>IFERROR(Calculations!$AG$410,"")</f>
        <v>0</v>
      </c>
      <c r="O62" s="20">
        <f>IFERROR(Calculations!$AH$410,"")</f>
        <v>0</v>
      </c>
    </row>
    <row r="63" spans="2:19">
      <c r="B63" s="11">
        <f>IF(Calculations!$U$411="","",Calculations!$U$411)</f>
        <v>0</v>
      </c>
      <c r="C63" s="20">
        <f>IFERROR(Calculations!$V$411,"")</f>
        <v>0</v>
      </c>
      <c r="D63" s="20">
        <f>IFERROR(Calculations!$W$411,"")</f>
        <v>0</v>
      </c>
      <c r="E63" s="20">
        <f>IFERROR(Calculations!$X$411,"")</f>
        <v>0</v>
      </c>
      <c r="F63" s="20">
        <f>IFERROR(Calculations!$Y$411,"")</f>
        <v>0</v>
      </c>
      <c r="G63" s="20">
        <f>IFERROR(Calculations!$Z$411,"")</f>
        <v>0</v>
      </c>
      <c r="H63" s="20">
        <f>IFERROR(Calculations!$AA$411,"")</f>
        <v>0</v>
      </c>
      <c r="I63" s="20">
        <f>IFERROR(Calculations!$AB$411,"")</f>
        <v>0</v>
      </c>
      <c r="J63" s="20">
        <f>IFERROR(Calculations!$AC$411,"")</f>
        <v>0</v>
      </c>
      <c r="K63" s="20">
        <f>IFERROR(Calculations!$AD$411,"")</f>
        <v>0</v>
      </c>
      <c r="L63" s="20">
        <f>IFERROR(Calculations!$AE$411,"")</f>
        <v>0</v>
      </c>
      <c r="M63" s="20">
        <f>IFERROR(Calculations!$AF$411,"")</f>
        <v>0</v>
      </c>
      <c r="N63" s="20">
        <f>IFERROR(Calculations!$AG$411,"")</f>
        <v>0</v>
      </c>
      <c r="O63" s="20">
        <f>IFERROR(Calculations!$AH$411,"")</f>
        <v>0</v>
      </c>
    </row>
    <row r="64" spans="2:19">
      <c r="B64" s="11">
        <f>IF(Calculations!$U$412="","",Calculations!$U$412)</f>
        <v>0</v>
      </c>
      <c r="C64" s="20">
        <f>IFERROR(Calculations!$V$412,"")</f>
        <v>0</v>
      </c>
      <c r="D64" s="20">
        <f>IFERROR(Calculations!$W$412,"")</f>
        <v>0</v>
      </c>
      <c r="E64" s="20">
        <f>IFERROR(Calculations!$X$412,"")</f>
        <v>0</v>
      </c>
      <c r="F64" s="20">
        <f>IFERROR(Calculations!$Y$412,"")</f>
        <v>0</v>
      </c>
      <c r="G64" s="20">
        <f>IFERROR(Calculations!$Z$412,"")</f>
        <v>0</v>
      </c>
      <c r="H64" s="20">
        <f>IFERROR(Calculations!$AA$412,"")</f>
        <v>0</v>
      </c>
      <c r="I64" s="20">
        <f>IFERROR(Calculations!$AB$412,"")</f>
        <v>0</v>
      </c>
      <c r="J64" s="20">
        <f>IFERROR(Calculations!$AC$412,"")</f>
        <v>0</v>
      </c>
      <c r="K64" s="20">
        <f>IFERROR(Calculations!$AD$412,"")</f>
        <v>0</v>
      </c>
      <c r="L64" s="20">
        <f>IFERROR(Calculations!$AE$412,"")</f>
        <v>0</v>
      </c>
      <c r="M64" s="20">
        <f>IFERROR(Calculations!$AF$412,"")</f>
        <v>0</v>
      </c>
      <c r="N64" s="20">
        <f>IFERROR(Calculations!$AG$412,"")</f>
        <v>0</v>
      </c>
      <c r="O64" s="20">
        <f>IFERROR(Calculations!$AH$412,"")</f>
        <v>0</v>
      </c>
    </row>
    <row r="65" spans="2:15">
      <c r="B65" s="11">
        <f>IF(Calculations!$U$413="","",Calculations!$U$413)</f>
        <v>0</v>
      </c>
      <c r="C65" s="20">
        <f>IFERROR(Calculations!$V$413,"")</f>
        <v>0</v>
      </c>
      <c r="D65" s="20">
        <f>IFERROR(Calculations!$W$413,"")</f>
        <v>0</v>
      </c>
      <c r="E65" s="20">
        <f>IFERROR(Calculations!$X$413,"")</f>
        <v>0</v>
      </c>
      <c r="F65" s="20">
        <f>IFERROR(Calculations!$Y$413,"")</f>
        <v>0</v>
      </c>
      <c r="G65" s="20">
        <f>IFERROR(Calculations!$Z$413,"")</f>
        <v>0</v>
      </c>
      <c r="H65" s="20">
        <f>IFERROR(Calculations!$AA$413,"")</f>
        <v>0</v>
      </c>
      <c r="I65" s="20">
        <f>IFERROR(Calculations!$AB$413,"")</f>
        <v>0</v>
      </c>
      <c r="J65" s="20">
        <f>IFERROR(Calculations!$AC$413,"")</f>
        <v>0</v>
      </c>
      <c r="K65" s="20">
        <f>IFERROR(Calculations!$AD$413,"")</f>
        <v>0</v>
      </c>
      <c r="L65" s="20">
        <f>IFERROR(Calculations!$AE$413,"")</f>
        <v>0</v>
      </c>
      <c r="M65" s="20">
        <f>IFERROR(Calculations!$AF$413,"")</f>
        <v>0</v>
      </c>
      <c r="N65" s="20">
        <f>IFERROR(Calculations!$AG$413,"")</f>
        <v>0</v>
      </c>
      <c r="O65" s="20">
        <f>IFERROR(Calculations!$AH$413,"")</f>
        <v>0</v>
      </c>
    </row>
  </sheetData>
  <mergeCells count="39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7" right="0.7" top="0.75" bottom="0.75" header="0.3" footer="0.3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2054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2055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Calculations!$N$434</f>
        <v>0</v>
      </c>
      <c r="C14" s="42"/>
      <c r="D14" s="42"/>
      <c r="E14" s="42"/>
      <c r="F14" s="44">
        <f>Calculations!$N$435</f>
        <v>0</v>
      </c>
      <c r="G14" s="44"/>
      <c r="H14" s="44"/>
      <c r="I14" s="44"/>
      <c r="J14" s="42">
        <f>Calculations!$N$436</f>
        <v>0</v>
      </c>
      <c r="K14" s="42"/>
      <c r="L14" s="42"/>
      <c r="M14" s="42"/>
      <c r="N14" s="42">
        <f>Calculations!$N$437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  <c r="J18" s="48"/>
      <c r="K18" s="48"/>
      <c r="L18" s="48"/>
      <c r="M18" s="48"/>
    </row>
    <row r="19" spans="2:19">
      <c r="B19" s="40" t="s">
        <v>2050</v>
      </c>
      <c r="C19" s="40"/>
      <c r="D19" s="40"/>
      <c r="E19" s="40"/>
      <c r="F19" s="40" t="s">
        <v>2051</v>
      </c>
      <c r="G19" s="40"/>
      <c r="H19" s="40"/>
      <c r="I19" s="40"/>
      <c r="J19" s="40" t="s">
        <v>2052</v>
      </c>
      <c r="K19" s="40"/>
      <c r="L19" s="40"/>
      <c r="M19" s="40"/>
    </row>
    <row r="20" spans="2:19">
      <c r="B20" s="42">
        <f>Calculations!$N$438</f>
        <v>0</v>
      </c>
      <c r="C20" s="42"/>
      <c r="D20" s="42"/>
      <c r="E20" s="42"/>
      <c r="F20" s="42">
        <f>Calculations!$N$439</f>
        <v>0</v>
      </c>
      <c r="G20" s="42"/>
      <c r="H20" s="42"/>
      <c r="I20" s="42"/>
      <c r="J20" s="42">
        <f>Calculations!$N$440</f>
        <v>0</v>
      </c>
      <c r="K20" s="42"/>
      <c r="L20" s="42"/>
      <c r="M20" s="42"/>
    </row>
    <row r="21" spans="2:19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  <c r="J22" s="50" t="s">
        <v>1996</v>
      </c>
      <c r="K22" s="50"/>
      <c r="L22" s="50"/>
      <c r="M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2056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IF(Calculations!$U$434="","",Calculations!$U$434)</f>
        <v>0</v>
      </c>
      <c r="C60" s="20">
        <f>IFERROR(Calculations!$V$434,"")</f>
        <v>0</v>
      </c>
      <c r="D60" s="20">
        <f>IFERROR(Calculations!$W$434,"")</f>
        <v>0</v>
      </c>
      <c r="E60" s="20">
        <f>IFERROR(Calculations!$X$434,"")</f>
        <v>0</v>
      </c>
      <c r="F60" s="20">
        <f>IFERROR(Calculations!$Y$434,"")</f>
        <v>0</v>
      </c>
      <c r="G60" s="20">
        <f>IFERROR(Calculations!$Z$434,"")</f>
        <v>0</v>
      </c>
      <c r="H60" s="20">
        <f>IFERROR(Calculations!$AA$434,"")</f>
        <v>0</v>
      </c>
      <c r="I60" s="20">
        <f>IFERROR(Calculations!$AB$434,"")</f>
        <v>0</v>
      </c>
      <c r="J60" s="20">
        <f>IFERROR(Calculations!$AC$434,"")</f>
        <v>0</v>
      </c>
      <c r="K60" s="20">
        <f>IFERROR(Calculations!$AD$434,"")</f>
        <v>0</v>
      </c>
      <c r="L60" s="20">
        <f>IFERROR(Calculations!$AE$434,"")</f>
        <v>0</v>
      </c>
      <c r="M60" s="20">
        <f>IFERROR(Calculations!$AF$434,"")</f>
        <v>0</v>
      </c>
      <c r="N60" s="20">
        <f>IFERROR(Calculations!$AG$434,"")</f>
        <v>0</v>
      </c>
      <c r="O60" s="20">
        <f>IFERROR(Calculations!$AH$434,"")</f>
        <v>0</v>
      </c>
    </row>
    <row r="61" spans="2:19">
      <c r="B61" s="11">
        <f>IF(Calculations!$U$435="","",Calculations!$U$435)</f>
        <v>0</v>
      </c>
      <c r="C61" s="20">
        <f>IFERROR(Calculations!$V$435,"")</f>
        <v>0</v>
      </c>
      <c r="D61" s="20">
        <f>IFERROR(Calculations!$W$435,"")</f>
        <v>0</v>
      </c>
      <c r="E61" s="20">
        <f>IFERROR(Calculations!$X$435,"")</f>
        <v>0</v>
      </c>
      <c r="F61" s="20">
        <f>IFERROR(Calculations!$Y$435,"")</f>
        <v>0</v>
      </c>
      <c r="G61" s="20">
        <f>IFERROR(Calculations!$Z$435,"")</f>
        <v>0</v>
      </c>
      <c r="H61" s="20">
        <f>IFERROR(Calculations!$AA$435,"")</f>
        <v>0</v>
      </c>
      <c r="I61" s="20">
        <f>IFERROR(Calculations!$AB$435,"")</f>
        <v>0</v>
      </c>
      <c r="J61" s="20">
        <f>IFERROR(Calculations!$AC$435,"")</f>
        <v>0</v>
      </c>
      <c r="K61" s="20">
        <f>IFERROR(Calculations!$AD$435,"")</f>
        <v>0</v>
      </c>
      <c r="L61" s="20">
        <f>IFERROR(Calculations!$AE$435,"")</f>
        <v>0</v>
      </c>
      <c r="M61" s="20">
        <f>IFERROR(Calculations!$AF$435,"")</f>
        <v>0</v>
      </c>
      <c r="N61" s="20">
        <f>IFERROR(Calculations!$AG$435,"")</f>
        <v>0</v>
      </c>
      <c r="O61" s="20">
        <f>IFERROR(Calculations!$AH$435,"")</f>
        <v>0</v>
      </c>
    </row>
    <row r="62" spans="2:19">
      <c r="B62" s="11">
        <f>IF(Calculations!$U$436="","",Calculations!$U$436)</f>
        <v>0</v>
      </c>
      <c r="C62" s="20">
        <f>IFERROR(Calculations!$V$436,"")</f>
        <v>0</v>
      </c>
      <c r="D62" s="20">
        <f>IFERROR(Calculations!$W$436,"")</f>
        <v>0</v>
      </c>
      <c r="E62" s="20">
        <f>IFERROR(Calculations!$X$436,"")</f>
        <v>0</v>
      </c>
      <c r="F62" s="20">
        <f>IFERROR(Calculations!$Y$436,"")</f>
        <v>0</v>
      </c>
      <c r="G62" s="20">
        <f>IFERROR(Calculations!$Z$436,"")</f>
        <v>0</v>
      </c>
      <c r="H62" s="20">
        <f>IFERROR(Calculations!$AA$436,"")</f>
        <v>0</v>
      </c>
      <c r="I62" s="20">
        <f>IFERROR(Calculations!$AB$436,"")</f>
        <v>0</v>
      </c>
      <c r="J62" s="20">
        <f>IFERROR(Calculations!$AC$436,"")</f>
        <v>0</v>
      </c>
      <c r="K62" s="20">
        <f>IFERROR(Calculations!$AD$436,"")</f>
        <v>0</v>
      </c>
      <c r="L62" s="20">
        <f>IFERROR(Calculations!$AE$436,"")</f>
        <v>0</v>
      </c>
      <c r="M62" s="20">
        <f>IFERROR(Calculations!$AF$436,"")</f>
        <v>0</v>
      </c>
      <c r="N62" s="20">
        <f>IFERROR(Calculations!$AG$436,"")</f>
        <v>0</v>
      </c>
      <c r="O62" s="20">
        <f>IFERROR(Calculations!$AH$436,"")</f>
        <v>0</v>
      </c>
    </row>
    <row r="63" spans="2:19">
      <c r="B63" s="11">
        <f>IF(Calculations!$U$437="","",Calculations!$U$437)</f>
        <v>0</v>
      </c>
      <c r="C63" s="20">
        <f>IFERROR(Calculations!$V$437,"")</f>
        <v>0</v>
      </c>
      <c r="D63" s="20">
        <f>IFERROR(Calculations!$W$437,"")</f>
        <v>0</v>
      </c>
      <c r="E63" s="20">
        <f>IFERROR(Calculations!$X$437,"")</f>
        <v>0</v>
      </c>
      <c r="F63" s="20">
        <f>IFERROR(Calculations!$Y$437,"")</f>
        <v>0</v>
      </c>
      <c r="G63" s="20">
        <f>IFERROR(Calculations!$Z$437,"")</f>
        <v>0</v>
      </c>
      <c r="H63" s="20">
        <f>IFERROR(Calculations!$AA$437,"")</f>
        <v>0</v>
      </c>
      <c r="I63" s="20">
        <f>IFERROR(Calculations!$AB$437,"")</f>
        <v>0</v>
      </c>
      <c r="J63" s="20">
        <f>IFERROR(Calculations!$AC$437,"")</f>
        <v>0</v>
      </c>
      <c r="K63" s="20">
        <f>IFERROR(Calculations!$AD$437,"")</f>
        <v>0</v>
      </c>
      <c r="L63" s="20">
        <f>IFERROR(Calculations!$AE$437,"")</f>
        <v>0</v>
      </c>
      <c r="M63" s="20">
        <f>IFERROR(Calculations!$AF$437,"")</f>
        <v>0</v>
      </c>
      <c r="N63" s="20">
        <f>IFERROR(Calculations!$AG$437,"")</f>
        <v>0</v>
      </c>
      <c r="O63" s="20">
        <f>IFERROR(Calculations!$AH$437,"")</f>
        <v>0</v>
      </c>
    </row>
    <row r="64" spans="2:19">
      <c r="B64" s="11">
        <f>IF(Calculations!$U$438="","",Calculations!$U$438)</f>
        <v>0</v>
      </c>
      <c r="C64" s="20">
        <f>IFERROR(Calculations!$V$438,"")</f>
        <v>0</v>
      </c>
      <c r="D64" s="20">
        <f>IFERROR(Calculations!$W$438,"")</f>
        <v>0</v>
      </c>
      <c r="E64" s="20">
        <f>IFERROR(Calculations!$X$438,"")</f>
        <v>0</v>
      </c>
      <c r="F64" s="20">
        <f>IFERROR(Calculations!$Y$438,"")</f>
        <v>0</v>
      </c>
      <c r="G64" s="20">
        <f>IFERROR(Calculations!$Z$438,"")</f>
        <v>0</v>
      </c>
      <c r="H64" s="20">
        <f>IFERROR(Calculations!$AA$438,"")</f>
        <v>0</v>
      </c>
      <c r="I64" s="20">
        <f>IFERROR(Calculations!$AB$438,"")</f>
        <v>0</v>
      </c>
      <c r="J64" s="20">
        <f>IFERROR(Calculations!$AC$438,"")</f>
        <v>0</v>
      </c>
      <c r="K64" s="20">
        <f>IFERROR(Calculations!$AD$438,"")</f>
        <v>0</v>
      </c>
      <c r="L64" s="20">
        <f>IFERROR(Calculations!$AE$438,"")</f>
        <v>0</v>
      </c>
      <c r="M64" s="20">
        <f>IFERROR(Calculations!$AF$438,"")</f>
        <v>0</v>
      </c>
      <c r="N64" s="20">
        <f>IFERROR(Calculations!$AG$438,"")</f>
        <v>0</v>
      </c>
      <c r="O64" s="20">
        <f>IFERROR(Calculations!$AH$438,"")</f>
        <v>0</v>
      </c>
    </row>
    <row r="65" spans="2:15">
      <c r="B65" s="11">
        <f>IF(Calculations!$U$439="","",Calculations!$U$439)</f>
        <v>0</v>
      </c>
      <c r="C65" s="20">
        <f>IFERROR(Calculations!$V$439,"")</f>
        <v>0</v>
      </c>
      <c r="D65" s="20">
        <f>IFERROR(Calculations!$W$439,"")</f>
        <v>0</v>
      </c>
      <c r="E65" s="20">
        <f>IFERROR(Calculations!$X$439,"")</f>
        <v>0</v>
      </c>
      <c r="F65" s="20">
        <f>IFERROR(Calculations!$Y$439,"")</f>
        <v>0</v>
      </c>
      <c r="G65" s="20">
        <f>IFERROR(Calculations!$Z$439,"")</f>
        <v>0</v>
      </c>
      <c r="H65" s="20">
        <f>IFERROR(Calculations!$AA$439,"")</f>
        <v>0</v>
      </c>
      <c r="I65" s="20">
        <f>IFERROR(Calculations!$AB$439,"")</f>
        <v>0</v>
      </c>
      <c r="J65" s="20">
        <f>IFERROR(Calculations!$AC$439,"")</f>
        <v>0</v>
      </c>
      <c r="K65" s="20">
        <f>IFERROR(Calculations!$AD$439,"")</f>
        <v>0</v>
      </c>
      <c r="L65" s="20">
        <f>IFERROR(Calculations!$AE$439,"")</f>
        <v>0</v>
      </c>
      <c r="M65" s="20">
        <f>IFERROR(Calculations!$AF$439,"")</f>
        <v>0</v>
      </c>
      <c r="N65" s="20">
        <f>IFERROR(Calculations!$AG$439,"")</f>
        <v>0</v>
      </c>
      <c r="O65" s="20">
        <f>IFERROR(Calculations!$AH$439,"")</f>
        <v>0</v>
      </c>
    </row>
  </sheetData>
  <mergeCells count="39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7" right="0.7" top="0.75" bottom="0.75" header="0.3" footer="0.3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2057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2058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Calculations!$N$460</f>
        <v>0</v>
      </c>
      <c r="C14" s="42"/>
      <c r="D14" s="42"/>
      <c r="E14" s="42"/>
      <c r="F14" s="44">
        <f>Calculations!$N$461</f>
        <v>0</v>
      </c>
      <c r="G14" s="44"/>
      <c r="H14" s="44"/>
      <c r="I14" s="44"/>
      <c r="J14" s="42">
        <f>Calculations!$N$462</f>
        <v>0</v>
      </c>
      <c r="K14" s="42"/>
      <c r="L14" s="42"/>
      <c r="M14" s="42"/>
      <c r="N14" s="42">
        <f>Calculations!$N$463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</row>
    <row r="19" spans="2:19">
      <c r="B19" s="40" t="s">
        <v>2036</v>
      </c>
      <c r="C19" s="40"/>
      <c r="D19" s="40"/>
      <c r="E19" s="40"/>
      <c r="F19" s="40" t="s">
        <v>2037</v>
      </c>
      <c r="G19" s="40"/>
      <c r="H19" s="40"/>
      <c r="I19" s="40"/>
    </row>
    <row r="20" spans="2:19">
      <c r="B20" s="44">
        <f>Calculations!$N$464</f>
        <v>0</v>
      </c>
      <c r="C20" s="44"/>
      <c r="D20" s="44"/>
      <c r="E20" s="44"/>
      <c r="F20" s="42">
        <f>Calculations!$N$465</f>
        <v>0</v>
      </c>
      <c r="G20" s="42"/>
      <c r="H20" s="42"/>
      <c r="I20" s="42"/>
    </row>
    <row r="21" spans="2:19">
      <c r="B21" s="44"/>
      <c r="C21" s="44"/>
      <c r="D21" s="44"/>
      <c r="E21" s="44"/>
      <c r="F21" s="42"/>
      <c r="G21" s="42"/>
      <c r="H21" s="42"/>
      <c r="I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2059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IF(Calculations!$U$460="","",Calculations!$U$460)</f>
        <v>0</v>
      </c>
      <c r="C60" s="20">
        <f>IFERROR(Calculations!$V$460,"")</f>
        <v>0</v>
      </c>
      <c r="D60" s="20">
        <f>IFERROR(Calculations!$W$460,"")</f>
        <v>0</v>
      </c>
      <c r="E60" s="20">
        <f>IFERROR(Calculations!$X$460,"")</f>
        <v>0</v>
      </c>
      <c r="F60" s="20">
        <f>IFERROR(Calculations!$Y$460,"")</f>
        <v>0</v>
      </c>
      <c r="G60" s="20">
        <f>IFERROR(Calculations!$Z$460,"")</f>
        <v>0</v>
      </c>
      <c r="H60" s="20">
        <f>IFERROR(Calculations!$AA$460,"")</f>
        <v>0</v>
      </c>
      <c r="I60" s="20">
        <f>IFERROR(Calculations!$AB$460,"")</f>
        <v>0</v>
      </c>
      <c r="J60" s="20">
        <f>IFERROR(Calculations!$AC$460,"")</f>
        <v>0</v>
      </c>
      <c r="K60" s="20">
        <f>IFERROR(Calculations!$AD$460,"")</f>
        <v>0</v>
      </c>
      <c r="L60" s="20">
        <f>IFERROR(Calculations!$AE$460,"")</f>
        <v>0</v>
      </c>
      <c r="M60" s="20">
        <f>IFERROR(Calculations!$AF$460,"")</f>
        <v>0</v>
      </c>
      <c r="N60" s="20">
        <f>IFERROR(Calculations!$AG$460,"")</f>
        <v>0</v>
      </c>
      <c r="O60" s="20">
        <f>IFERROR(Calculations!$AH$460,"")</f>
        <v>0</v>
      </c>
    </row>
    <row r="61" spans="2:19">
      <c r="B61" s="11">
        <f>IF(Calculations!$U$461="","",Calculations!$U$461)</f>
        <v>0</v>
      </c>
      <c r="C61" s="20">
        <f>IFERROR(Calculations!$V$461,"")</f>
        <v>0</v>
      </c>
      <c r="D61" s="20">
        <f>IFERROR(Calculations!$W$461,"")</f>
        <v>0</v>
      </c>
      <c r="E61" s="20">
        <f>IFERROR(Calculations!$X$461,"")</f>
        <v>0</v>
      </c>
      <c r="F61" s="20">
        <f>IFERROR(Calculations!$Y$461,"")</f>
        <v>0</v>
      </c>
      <c r="G61" s="20">
        <f>IFERROR(Calculations!$Z$461,"")</f>
        <v>0</v>
      </c>
      <c r="H61" s="20">
        <f>IFERROR(Calculations!$AA$461,"")</f>
        <v>0</v>
      </c>
      <c r="I61" s="20">
        <f>IFERROR(Calculations!$AB$461,"")</f>
        <v>0</v>
      </c>
      <c r="J61" s="20">
        <f>IFERROR(Calculations!$AC$461,"")</f>
        <v>0</v>
      </c>
      <c r="K61" s="20">
        <f>IFERROR(Calculations!$AD$461,"")</f>
        <v>0</v>
      </c>
      <c r="L61" s="20">
        <f>IFERROR(Calculations!$AE$461,"")</f>
        <v>0</v>
      </c>
      <c r="M61" s="20">
        <f>IFERROR(Calculations!$AF$461,"")</f>
        <v>0</v>
      </c>
      <c r="N61" s="20">
        <f>IFERROR(Calculations!$AG$461,"")</f>
        <v>0</v>
      </c>
      <c r="O61" s="20">
        <f>IFERROR(Calculations!$AH$461,"")</f>
        <v>0</v>
      </c>
    </row>
    <row r="62" spans="2:19">
      <c r="B62" s="11">
        <f>IF(Calculations!$U$462="","",Calculations!$U$462)</f>
        <v>0</v>
      </c>
      <c r="C62" s="20">
        <f>IFERROR(Calculations!$V$462,"")</f>
        <v>0</v>
      </c>
      <c r="D62" s="20">
        <f>IFERROR(Calculations!$W$462,"")</f>
        <v>0</v>
      </c>
      <c r="E62" s="20">
        <f>IFERROR(Calculations!$X$462,"")</f>
        <v>0</v>
      </c>
      <c r="F62" s="20">
        <f>IFERROR(Calculations!$Y$462,"")</f>
        <v>0</v>
      </c>
      <c r="G62" s="20">
        <f>IFERROR(Calculations!$Z$462,"")</f>
        <v>0</v>
      </c>
      <c r="H62" s="20">
        <f>IFERROR(Calculations!$AA$462,"")</f>
        <v>0</v>
      </c>
      <c r="I62" s="20">
        <f>IFERROR(Calculations!$AB$462,"")</f>
        <v>0</v>
      </c>
      <c r="J62" s="20">
        <f>IFERROR(Calculations!$AC$462,"")</f>
        <v>0</v>
      </c>
      <c r="K62" s="20">
        <f>IFERROR(Calculations!$AD$462,"")</f>
        <v>0</v>
      </c>
      <c r="L62" s="20">
        <f>IFERROR(Calculations!$AE$462,"")</f>
        <v>0</v>
      </c>
      <c r="M62" s="20">
        <f>IFERROR(Calculations!$AF$462,"")</f>
        <v>0</v>
      </c>
      <c r="N62" s="20">
        <f>IFERROR(Calculations!$AG$462,"")</f>
        <v>0</v>
      </c>
      <c r="O62" s="20">
        <f>IFERROR(Calculations!$AH$462,"")</f>
        <v>0</v>
      </c>
    </row>
    <row r="63" spans="2:19">
      <c r="B63" s="11">
        <f>IF(Calculations!$U$463="","",Calculations!$U$463)</f>
        <v>0</v>
      </c>
      <c r="C63" s="20">
        <f>IFERROR(Calculations!$V$463,"")</f>
        <v>0</v>
      </c>
      <c r="D63" s="20">
        <f>IFERROR(Calculations!$W$463,"")</f>
        <v>0</v>
      </c>
      <c r="E63" s="20">
        <f>IFERROR(Calculations!$X$463,"")</f>
        <v>0</v>
      </c>
      <c r="F63" s="20">
        <f>IFERROR(Calculations!$Y$463,"")</f>
        <v>0</v>
      </c>
      <c r="G63" s="20">
        <f>IFERROR(Calculations!$Z$463,"")</f>
        <v>0</v>
      </c>
      <c r="H63" s="20">
        <f>IFERROR(Calculations!$AA$463,"")</f>
        <v>0</v>
      </c>
      <c r="I63" s="20">
        <f>IFERROR(Calculations!$AB$463,"")</f>
        <v>0</v>
      </c>
      <c r="J63" s="20">
        <f>IFERROR(Calculations!$AC$463,"")</f>
        <v>0</v>
      </c>
      <c r="K63" s="20">
        <f>IFERROR(Calculations!$AD$463,"")</f>
        <v>0</v>
      </c>
      <c r="L63" s="20">
        <f>IFERROR(Calculations!$AE$463,"")</f>
        <v>0</v>
      </c>
      <c r="M63" s="20">
        <f>IFERROR(Calculations!$AF$463,"")</f>
        <v>0</v>
      </c>
      <c r="N63" s="20">
        <f>IFERROR(Calculations!$AG$463,"")</f>
        <v>0</v>
      </c>
      <c r="O63" s="20">
        <f>IFERROR(Calculations!$AH$463,"")</f>
        <v>0</v>
      </c>
    </row>
    <row r="64" spans="2:19">
      <c r="B64" s="11">
        <f>IF(Calculations!$U$464="","",Calculations!$U$464)</f>
        <v>0</v>
      </c>
      <c r="C64" s="20">
        <f>IFERROR(Calculations!$V$464,"")</f>
        <v>0</v>
      </c>
      <c r="D64" s="20">
        <f>IFERROR(Calculations!$W$464,"")</f>
        <v>0</v>
      </c>
      <c r="E64" s="20">
        <f>IFERROR(Calculations!$X$464,"")</f>
        <v>0</v>
      </c>
      <c r="F64" s="20">
        <f>IFERROR(Calculations!$Y$464,"")</f>
        <v>0</v>
      </c>
      <c r="G64" s="20">
        <f>IFERROR(Calculations!$Z$464,"")</f>
        <v>0</v>
      </c>
      <c r="H64" s="20">
        <f>IFERROR(Calculations!$AA$464,"")</f>
        <v>0</v>
      </c>
      <c r="I64" s="20">
        <f>IFERROR(Calculations!$AB$464,"")</f>
        <v>0</v>
      </c>
      <c r="J64" s="20">
        <f>IFERROR(Calculations!$AC$464,"")</f>
        <v>0</v>
      </c>
      <c r="K64" s="20">
        <f>IFERROR(Calculations!$AD$464,"")</f>
        <v>0</v>
      </c>
      <c r="L64" s="20">
        <f>IFERROR(Calculations!$AE$464,"")</f>
        <v>0</v>
      </c>
      <c r="M64" s="20">
        <f>IFERROR(Calculations!$AF$464,"")</f>
        <v>0</v>
      </c>
      <c r="N64" s="20">
        <f>IFERROR(Calculations!$AG$464,"")</f>
        <v>0</v>
      </c>
      <c r="O64" s="20">
        <f>IFERROR(Calculations!$AH$464,"")</f>
        <v>0</v>
      </c>
    </row>
    <row r="65" spans="2:15">
      <c r="B65" s="11">
        <f>IF(Calculations!$U$465="","",Calculations!$U$465)</f>
        <v>0</v>
      </c>
      <c r="C65" s="20">
        <f>IFERROR(Calculations!$V$465,"")</f>
        <v>0</v>
      </c>
      <c r="D65" s="20">
        <f>IFERROR(Calculations!$W$465,"")</f>
        <v>0</v>
      </c>
      <c r="E65" s="20">
        <f>IFERROR(Calculations!$X$465,"")</f>
        <v>0</v>
      </c>
      <c r="F65" s="20">
        <f>IFERROR(Calculations!$Y$465,"")</f>
        <v>0</v>
      </c>
      <c r="G65" s="20">
        <f>IFERROR(Calculations!$Z$465,"")</f>
        <v>0</v>
      </c>
      <c r="H65" s="20">
        <f>IFERROR(Calculations!$AA$465,"")</f>
        <v>0</v>
      </c>
      <c r="I65" s="20">
        <f>IFERROR(Calculations!$AB$465,"")</f>
        <v>0</v>
      </c>
      <c r="J65" s="20">
        <f>IFERROR(Calculations!$AC$465,"")</f>
        <v>0</v>
      </c>
      <c r="K65" s="20">
        <f>IFERROR(Calculations!$AD$465,"")</f>
        <v>0</v>
      </c>
      <c r="L65" s="20">
        <f>IFERROR(Calculations!$AE$465,"")</f>
        <v>0</v>
      </c>
      <c r="M65" s="20">
        <f>IFERROR(Calculations!$AF$465,"")</f>
        <v>0</v>
      </c>
      <c r="N65" s="20">
        <f>IFERROR(Calculations!$AG$465,"")</f>
        <v>0</v>
      </c>
      <c r="O65" s="20">
        <f>IFERROR(Calculations!$AH$465,"")</f>
        <v>0</v>
      </c>
    </row>
  </sheetData>
  <mergeCells count="3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7" right="0.7" top="0.75" bottom="0.75" header="0.3" footer="0.3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2060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2061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Calculations!$N$486</f>
        <v>0</v>
      </c>
      <c r="C14" s="42"/>
      <c r="D14" s="42"/>
      <c r="E14" s="42"/>
      <c r="F14" s="44">
        <f>Calculations!$N$487</f>
        <v>0</v>
      </c>
      <c r="G14" s="44"/>
      <c r="H14" s="44"/>
      <c r="I14" s="44"/>
      <c r="J14" s="42">
        <f>Calculations!$N$488</f>
        <v>0</v>
      </c>
      <c r="K14" s="42"/>
      <c r="L14" s="42"/>
      <c r="M14" s="42"/>
      <c r="N14" s="42">
        <f>Calculations!$N$489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  <c r="J18" s="48"/>
      <c r="K18" s="48"/>
      <c r="L18" s="48"/>
      <c r="M18" s="48"/>
    </row>
    <row r="19" spans="2:19">
      <c r="B19" s="40" t="s">
        <v>1997</v>
      </c>
      <c r="C19" s="40"/>
      <c r="D19" s="40"/>
      <c r="E19" s="40"/>
      <c r="F19" s="40" t="s">
        <v>2062</v>
      </c>
      <c r="G19" s="40"/>
      <c r="H19" s="40"/>
      <c r="I19" s="40"/>
      <c r="J19" s="40" t="s">
        <v>2063</v>
      </c>
      <c r="K19" s="40"/>
      <c r="L19" s="40"/>
      <c r="M19" s="40"/>
    </row>
    <row r="20" spans="2:19">
      <c r="B20" s="44">
        <f>Calculations!$N$490</f>
        <v>0</v>
      </c>
      <c r="C20" s="44"/>
      <c r="D20" s="44"/>
      <c r="E20" s="44"/>
      <c r="F20" s="42">
        <f>Calculations!$N$491</f>
        <v>0</v>
      </c>
      <c r="G20" s="42"/>
      <c r="H20" s="42"/>
      <c r="I20" s="42"/>
      <c r="J20" s="42">
        <f>Calculations!$N$492</f>
        <v>0</v>
      </c>
      <c r="K20" s="42"/>
      <c r="L20" s="42"/>
      <c r="M20" s="42"/>
    </row>
    <row r="21" spans="2:19">
      <c r="B21" s="44"/>
      <c r="C21" s="44"/>
      <c r="D21" s="44"/>
      <c r="E21" s="44"/>
      <c r="F21" s="42"/>
      <c r="G21" s="42"/>
      <c r="H21" s="42"/>
      <c r="I21" s="42"/>
      <c r="J21" s="42"/>
      <c r="K21" s="42"/>
      <c r="L21" s="42"/>
      <c r="M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  <c r="J22" s="50" t="s">
        <v>1996</v>
      </c>
      <c r="K22" s="50"/>
      <c r="L22" s="50"/>
      <c r="M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IF(Calculations!$U$486="","",Calculations!$U$486)</f>
        <v>0</v>
      </c>
      <c r="C60" s="20">
        <f>IFERROR(Calculations!$V$486,"")</f>
        <v>0</v>
      </c>
      <c r="D60" s="20">
        <f>IFERROR(Calculations!$W$486,"")</f>
        <v>0</v>
      </c>
      <c r="E60" s="20">
        <f>IFERROR(Calculations!$X$486,"")</f>
        <v>0</v>
      </c>
      <c r="F60" s="20">
        <f>IFERROR(Calculations!$Y$486,"")</f>
        <v>0</v>
      </c>
      <c r="G60" s="20">
        <f>IFERROR(Calculations!$Z$486,"")</f>
        <v>0</v>
      </c>
      <c r="H60" s="20">
        <f>IFERROR(Calculations!$AA$486,"")</f>
        <v>0</v>
      </c>
      <c r="I60" s="20">
        <f>IFERROR(Calculations!$AB$486,"")</f>
        <v>0</v>
      </c>
      <c r="J60" s="20">
        <f>IFERROR(Calculations!$AC$486,"")</f>
        <v>0</v>
      </c>
      <c r="K60" s="20">
        <f>IFERROR(Calculations!$AD$486,"")</f>
        <v>0</v>
      </c>
      <c r="L60" s="20">
        <f>IFERROR(Calculations!$AE$486,"")</f>
        <v>0</v>
      </c>
      <c r="M60" s="20">
        <f>IFERROR(Calculations!$AF$486,"")</f>
        <v>0</v>
      </c>
      <c r="N60" s="20">
        <f>IFERROR(Calculations!$AG$486,"")</f>
        <v>0</v>
      </c>
      <c r="O60" s="20">
        <f>IFERROR(Calculations!$AH$486,"")</f>
        <v>0</v>
      </c>
    </row>
    <row r="61" spans="2:19">
      <c r="B61" s="11">
        <f>IF(Calculations!$U$487="","",Calculations!$U$487)</f>
        <v>0</v>
      </c>
      <c r="C61" s="20">
        <f>IFERROR(Calculations!$V$487,"")</f>
        <v>0</v>
      </c>
      <c r="D61" s="20">
        <f>IFERROR(Calculations!$W$487,"")</f>
        <v>0</v>
      </c>
      <c r="E61" s="20">
        <f>IFERROR(Calculations!$X$487,"")</f>
        <v>0</v>
      </c>
      <c r="F61" s="20">
        <f>IFERROR(Calculations!$Y$487,"")</f>
        <v>0</v>
      </c>
      <c r="G61" s="20">
        <f>IFERROR(Calculations!$Z$487,"")</f>
        <v>0</v>
      </c>
      <c r="H61" s="20">
        <f>IFERROR(Calculations!$AA$487,"")</f>
        <v>0</v>
      </c>
      <c r="I61" s="20">
        <f>IFERROR(Calculations!$AB$487,"")</f>
        <v>0</v>
      </c>
      <c r="J61" s="20">
        <f>IFERROR(Calculations!$AC$487,"")</f>
        <v>0</v>
      </c>
      <c r="K61" s="20">
        <f>IFERROR(Calculations!$AD$487,"")</f>
        <v>0</v>
      </c>
      <c r="L61" s="20">
        <f>IFERROR(Calculations!$AE$487,"")</f>
        <v>0</v>
      </c>
      <c r="M61" s="20">
        <f>IFERROR(Calculations!$AF$487,"")</f>
        <v>0</v>
      </c>
      <c r="N61" s="20">
        <f>IFERROR(Calculations!$AG$487,"")</f>
        <v>0</v>
      </c>
      <c r="O61" s="20">
        <f>IFERROR(Calculations!$AH$487,"")</f>
        <v>0</v>
      </c>
    </row>
    <row r="62" spans="2:19">
      <c r="B62" s="11">
        <f>IF(Calculations!$U$488="","",Calculations!$U$488)</f>
        <v>0</v>
      </c>
      <c r="C62" s="20">
        <f>IFERROR(Calculations!$V$488,"")</f>
        <v>0</v>
      </c>
      <c r="D62" s="20">
        <f>IFERROR(Calculations!$W$488,"")</f>
        <v>0</v>
      </c>
      <c r="E62" s="20">
        <f>IFERROR(Calculations!$X$488,"")</f>
        <v>0</v>
      </c>
      <c r="F62" s="20">
        <f>IFERROR(Calculations!$Y$488,"")</f>
        <v>0</v>
      </c>
      <c r="G62" s="20">
        <f>IFERROR(Calculations!$Z$488,"")</f>
        <v>0</v>
      </c>
      <c r="H62" s="20">
        <f>IFERROR(Calculations!$AA$488,"")</f>
        <v>0</v>
      </c>
      <c r="I62" s="20">
        <f>IFERROR(Calculations!$AB$488,"")</f>
        <v>0</v>
      </c>
      <c r="J62" s="20">
        <f>IFERROR(Calculations!$AC$488,"")</f>
        <v>0</v>
      </c>
      <c r="K62" s="20">
        <f>IFERROR(Calculations!$AD$488,"")</f>
        <v>0</v>
      </c>
      <c r="L62" s="20">
        <f>IFERROR(Calculations!$AE$488,"")</f>
        <v>0</v>
      </c>
      <c r="M62" s="20">
        <f>IFERROR(Calculations!$AF$488,"")</f>
        <v>0</v>
      </c>
      <c r="N62" s="20">
        <f>IFERROR(Calculations!$AG$488,"")</f>
        <v>0</v>
      </c>
      <c r="O62" s="20">
        <f>IFERROR(Calculations!$AH$488,"")</f>
        <v>0</v>
      </c>
    </row>
    <row r="63" spans="2:19">
      <c r="B63" s="11">
        <f>IF(Calculations!$U$489="","",Calculations!$U$489)</f>
        <v>0</v>
      </c>
      <c r="C63" s="20">
        <f>IFERROR(Calculations!$V$489,"")</f>
        <v>0</v>
      </c>
      <c r="D63" s="20">
        <f>IFERROR(Calculations!$W$489,"")</f>
        <v>0</v>
      </c>
      <c r="E63" s="20">
        <f>IFERROR(Calculations!$X$489,"")</f>
        <v>0</v>
      </c>
      <c r="F63" s="20">
        <f>IFERROR(Calculations!$Y$489,"")</f>
        <v>0</v>
      </c>
      <c r="G63" s="20">
        <f>IFERROR(Calculations!$Z$489,"")</f>
        <v>0</v>
      </c>
      <c r="H63" s="20">
        <f>IFERROR(Calculations!$AA$489,"")</f>
        <v>0</v>
      </c>
      <c r="I63" s="20">
        <f>IFERROR(Calculations!$AB$489,"")</f>
        <v>0</v>
      </c>
      <c r="J63" s="20">
        <f>IFERROR(Calculations!$AC$489,"")</f>
        <v>0</v>
      </c>
      <c r="K63" s="20">
        <f>IFERROR(Calculations!$AD$489,"")</f>
        <v>0</v>
      </c>
      <c r="L63" s="20">
        <f>IFERROR(Calculations!$AE$489,"")</f>
        <v>0</v>
      </c>
      <c r="M63" s="20">
        <f>IFERROR(Calculations!$AF$489,"")</f>
        <v>0</v>
      </c>
      <c r="N63" s="20">
        <f>IFERROR(Calculations!$AG$489,"")</f>
        <v>0</v>
      </c>
      <c r="O63" s="20">
        <f>IFERROR(Calculations!$AH$489,"")</f>
        <v>0</v>
      </c>
    </row>
    <row r="64" spans="2:19">
      <c r="B64" s="11">
        <f>IF(Calculations!$U$490="","",Calculations!$U$490)</f>
        <v>0</v>
      </c>
      <c r="C64" s="20">
        <f>IFERROR(Calculations!$V$490,"")</f>
        <v>0</v>
      </c>
      <c r="D64" s="20">
        <f>IFERROR(Calculations!$W$490,"")</f>
        <v>0</v>
      </c>
      <c r="E64" s="20">
        <f>IFERROR(Calculations!$X$490,"")</f>
        <v>0</v>
      </c>
      <c r="F64" s="20">
        <f>IFERROR(Calculations!$Y$490,"")</f>
        <v>0</v>
      </c>
      <c r="G64" s="20">
        <f>IFERROR(Calculations!$Z$490,"")</f>
        <v>0</v>
      </c>
      <c r="H64" s="20">
        <f>IFERROR(Calculations!$AA$490,"")</f>
        <v>0</v>
      </c>
      <c r="I64" s="20">
        <f>IFERROR(Calculations!$AB$490,"")</f>
        <v>0</v>
      </c>
      <c r="J64" s="20">
        <f>IFERROR(Calculations!$AC$490,"")</f>
        <v>0</v>
      </c>
      <c r="K64" s="20">
        <f>IFERROR(Calculations!$AD$490,"")</f>
        <v>0</v>
      </c>
      <c r="L64" s="20">
        <f>IFERROR(Calculations!$AE$490,"")</f>
        <v>0</v>
      </c>
      <c r="M64" s="20">
        <f>IFERROR(Calculations!$AF$490,"")</f>
        <v>0</v>
      </c>
      <c r="N64" s="20">
        <f>IFERROR(Calculations!$AG$490,"")</f>
        <v>0</v>
      </c>
      <c r="O64" s="20">
        <f>IFERROR(Calculations!$AH$490,"")</f>
        <v>0</v>
      </c>
    </row>
    <row r="65" spans="2:15">
      <c r="B65" s="11">
        <f>IF(Calculations!$U$491="","",Calculations!$U$491)</f>
        <v>0</v>
      </c>
      <c r="C65" s="20">
        <f>IFERROR(Calculations!$V$491,"")</f>
        <v>0</v>
      </c>
      <c r="D65" s="20">
        <f>IFERROR(Calculations!$W$491,"")</f>
        <v>0</v>
      </c>
      <c r="E65" s="20">
        <f>IFERROR(Calculations!$X$491,"")</f>
        <v>0</v>
      </c>
      <c r="F65" s="20">
        <f>IFERROR(Calculations!$Y$491,"")</f>
        <v>0</v>
      </c>
      <c r="G65" s="20">
        <f>IFERROR(Calculations!$Z$491,"")</f>
        <v>0</v>
      </c>
      <c r="H65" s="20">
        <f>IFERROR(Calculations!$AA$491,"")</f>
        <v>0</v>
      </c>
      <c r="I65" s="20">
        <f>IFERROR(Calculations!$AB$491,"")</f>
        <v>0</v>
      </c>
      <c r="J65" s="20">
        <f>IFERROR(Calculations!$AC$491,"")</f>
        <v>0</v>
      </c>
      <c r="K65" s="20">
        <f>IFERROR(Calculations!$AD$491,"")</f>
        <v>0</v>
      </c>
      <c r="L65" s="20">
        <f>IFERROR(Calculations!$AE$491,"")</f>
        <v>0</v>
      </c>
      <c r="M65" s="20">
        <f>IFERROR(Calculations!$AF$491,"")</f>
        <v>0</v>
      </c>
      <c r="N65" s="20">
        <f>IFERROR(Calculations!$AG$491,"")</f>
        <v>0</v>
      </c>
      <c r="O65" s="20">
        <f>IFERROR(Calculations!$AH$491,"")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7" right="0.7" top="0.75" bottom="0.75" header="0.3" footer="0.3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2064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2065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Calculations!$N$512</f>
        <v>0</v>
      </c>
      <c r="C14" s="42"/>
      <c r="D14" s="42"/>
      <c r="E14" s="42"/>
      <c r="F14" s="44">
        <f>Calculations!$N$513</f>
        <v>0</v>
      </c>
      <c r="G14" s="44"/>
      <c r="H14" s="44"/>
      <c r="I14" s="44"/>
      <c r="J14" s="42">
        <f>Calculations!$N$514</f>
        <v>0</v>
      </c>
      <c r="K14" s="42"/>
      <c r="L14" s="42"/>
      <c r="M14" s="42"/>
      <c r="N14" s="42">
        <f>Calculations!$N$515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</row>
    <row r="19" spans="2:19">
      <c r="B19" s="40" t="s">
        <v>2066</v>
      </c>
      <c r="C19" s="40"/>
      <c r="D19" s="40"/>
      <c r="E19" s="40"/>
      <c r="F19" s="40" t="s">
        <v>2067</v>
      </c>
      <c r="G19" s="40"/>
      <c r="H19" s="40"/>
      <c r="I19" s="40"/>
    </row>
    <row r="20" spans="2:19">
      <c r="B20" s="42">
        <f>Calculations!$N$516</f>
        <v>0</v>
      </c>
      <c r="C20" s="42"/>
      <c r="D20" s="42"/>
      <c r="E20" s="42"/>
      <c r="F20" s="42">
        <f>Calculations!$N$517</f>
        <v>0</v>
      </c>
      <c r="G20" s="42"/>
      <c r="H20" s="42"/>
      <c r="I20" s="42"/>
    </row>
    <row r="21" spans="2:19">
      <c r="B21" s="42"/>
      <c r="C21" s="42"/>
      <c r="D21" s="42"/>
      <c r="E21" s="42"/>
      <c r="F21" s="42"/>
      <c r="G21" s="42"/>
      <c r="H21" s="42"/>
      <c r="I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2068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IF(Calculations!$U$512="","",Calculations!$U$512)</f>
        <v>0</v>
      </c>
      <c r="C60" s="20">
        <f>IFERROR(Calculations!$V$512,"")</f>
        <v>0</v>
      </c>
      <c r="D60" s="20">
        <f>IFERROR(Calculations!$W$512,"")</f>
        <v>0</v>
      </c>
      <c r="E60" s="20">
        <f>IFERROR(Calculations!$X$512,"")</f>
        <v>0</v>
      </c>
      <c r="F60" s="20">
        <f>IFERROR(Calculations!$Y$512,"")</f>
        <v>0</v>
      </c>
      <c r="G60" s="20">
        <f>IFERROR(Calculations!$Z$512,"")</f>
        <v>0</v>
      </c>
      <c r="H60" s="20">
        <f>IFERROR(Calculations!$AA$512,"")</f>
        <v>0</v>
      </c>
      <c r="I60" s="20">
        <f>IFERROR(Calculations!$AB$512,"")</f>
        <v>0</v>
      </c>
      <c r="J60" s="20">
        <f>IFERROR(Calculations!$AC$512,"")</f>
        <v>0</v>
      </c>
      <c r="K60" s="20">
        <f>IFERROR(Calculations!$AD$512,"")</f>
        <v>0</v>
      </c>
      <c r="L60" s="20">
        <f>IFERROR(Calculations!$AE$512,"")</f>
        <v>0</v>
      </c>
      <c r="M60" s="20">
        <f>IFERROR(Calculations!$AF$512,"")</f>
        <v>0</v>
      </c>
      <c r="N60" s="20">
        <f>IFERROR(Calculations!$AG$512,"")</f>
        <v>0</v>
      </c>
      <c r="O60" s="20">
        <f>IFERROR(Calculations!$AH$512,"")</f>
        <v>0</v>
      </c>
    </row>
    <row r="61" spans="2:19">
      <c r="B61" s="11">
        <f>IF(Calculations!$U$513="","",Calculations!$U$513)</f>
        <v>0</v>
      </c>
      <c r="C61" s="20">
        <f>IFERROR(Calculations!$V$513,"")</f>
        <v>0</v>
      </c>
      <c r="D61" s="20">
        <f>IFERROR(Calculations!$W$513,"")</f>
        <v>0</v>
      </c>
      <c r="E61" s="20">
        <f>IFERROR(Calculations!$X$513,"")</f>
        <v>0</v>
      </c>
      <c r="F61" s="20">
        <f>IFERROR(Calculations!$Y$513,"")</f>
        <v>0</v>
      </c>
      <c r="G61" s="20">
        <f>IFERROR(Calculations!$Z$513,"")</f>
        <v>0</v>
      </c>
      <c r="H61" s="20">
        <f>IFERROR(Calculations!$AA$513,"")</f>
        <v>0</v>
      </c>
      <c r="I61" s="20">
        <f>IFERROR(Calculations!$AB$513,"")</f>
        <v>0</v>
      </c>
      <c r="J61" s="20">
        <f>IFERROR(Calculations!$AC$513,"")</f>
        <v>0</v>
      </c>
      <c r="K61" s="20">
        <f>IFERROR(Calculations!$AD$513,"")</f>
        <v>0</v>
      </c>
      <c r="L61" s="20">
        <f>IFERROR(Calculations!$AE$513,"")</f>
        <v>0</v>
      </c>
      <c r="M61" s="20">
        <f>IFERROR(Calculations!$AF$513,"")</f>
        <v>0</v>
      </c>
      <c r="N61" s="20">
        <f>IFERROR(Calculations!$AG$513,"")</f>
        <v>0</v>
      </c>
      <c r="O61" s="20">
        <f>IFERROR(Calculations!$AH$513,"")</f>
        <v>0</v>
      </c>
    </row>
    <row r="62" spans="2:19">
      <c r="B62" s="11">
        <f>IF(Calculations!$U$514="","",Calculations!$U$514)</f>
        <v>0</v>
      </c>
      <c r="C62" s="20">
        <f>IFERROR(Calculations!$V$514,"")</f>
        <v>0</v>
      </c>
      <c r="D62" s="20">
        <f>IFERROR(Calculations!$W$514,"")</f>
        <v>0</v>
      </c>
      <c r="E62" s="20">
        <f>IFERROR(Calculations!$X$514,"")</f>
        <v>0</v>
      </c>
      <c r="F62" s="20">
        <f>IFERROR(Calculations!$Y$514,"")</f>
        <v>0</v>
      </c>
      <c r="G62" s="20">
        <f>IFERROR(Calculations!$Z$514,"")</f>
        <v>0</v>
      </c>
      <c r="H62" s="20">
        <f>IFERROR(Calculations!$AA$514,"")</f>
        <v>0</v>
      </c>
      <c r="I62" s="20">
        <f>IFERROR(Calculations!$AB$514,"")</f>
        <v>0</v>
      </c>
      <c r="J62" s="20">
        <f>IFERROR(Calculations!$AC$514,"")</f>
        <v>0</v>
      </c>
      <c r="K62" s="20">
        <f>IFERROR(Calculations!$AD$514,"")</f>
        <v>0</v>
      </c>
      <c r="L62" s="20">
        <f>IFERROR(Calculations!$AE$514,"")</f>
        <v>0</v>
      </c>
      <c r="M62" s="20">
        <f>IFERROR(Calculations!$AF$514,"")</f>
        <v>0</v>
      </c>
      <c r="N62" s="20">
        <f>IFERROR(Calculations!$AG$514,"")</f>
        <v>0</v>
      </c>
      <c r="O62" s="20">
        <f>IFERROR(Calculations!$AH$514,"")</f>
        <v>0</v>
      </c>
    </row>
    <row r="63" spans="2:19">
      <c r="B63" s="11">
        <f>IF(Calculations!$U$515="","",Calculations!$U$515)</f>
        <v>0</v>
      </c>
      <c r="C63" s="20">
        <f>IFERROR(Calculations!$V$515,"")</f>
        <v>0</v>
      </c>
      <c r="D63" s="20">
        <f>IFERROR(Calculations!$W$515,"")</f>
        <v>0</v>
      </c>
      <c r="E63" s="20">
        <f>IFERROR(Calculations!$X$515,"")</f>
        <v>0</v>
      </c>
      <c r="F63" s="20">
        <f>IFERROR(Calculations!$Y$515,"")</f>
        <v>0</v>
      </c>
      <c r="G63" s="20">
        <f>IFERROR(Calculations!$Z$515,"")</f>
        <v>0</v>
      </c>
      <c r="H63" s="20">
        <f>IFERROR(Calculations!$AA$515,"")</f>
        <v>0</v>
      </c>
      <c r="I63" s="20">
        <f>IFERROR(Calculations!$AB$515,"")</f>
        <v>0</v>
      </c>
      <c r="J63" s="20">
        <f>IFERROR(Calculations!$AC$515,"")</f>
        <v>0</v>
      </c>
      <c r="K63" s="20">
        <f>IFERROR(Calculations!$AD$515,"")</f>
        <v>0</v>
      </c>
      <c r="L63" s="20">
        <f>IFERROR(Calculations!$AE$515,"")</f>
        <v>0</v>
      </c>
      <c r="M63" s="20">
        <f>IFERROR(Calculations!$AF$515,"")</f>
        <v>0</v>
      </c>
      <c r="N63" s="20">
        <f>IFERROR(Calculations!$AG$515,"")</f>
        <v>0</v>
      </c>
      <c r="O63" s="20">
        <f>IFERROR(Calculations!$AH$515,"")</f>
        <v>0</v>
      </c>
    </row>
    <row r="64" spans="2:19">
      <c r="B64" s="11">
        <f>IF(Calculations!$U$516="","",Calculations!$U$516)</f>
        <v>0</v>
      </c>
      <c r="C64" s="20">
        <f>IFERROR(Calculations!$V$516,"")</f>
        <v>0</v>
      </c>
      <c r="D64" s="20">
        <f>IFERROR(Calculations!$W$516,"")</f>
        <v>0</v>
      </c>
      <c r="E64" s="20">
        <f>IFERROR(Calculations!$X$516,"")</f>
        <v>0</v>
      </c>
      <c r="F64" s="20">
        <f>IFERROR(Calculations!$Y$516,"")</f>
        <v>0</v>
      </c>
      <c r="G64" s="20">
        <f>IFERROR(Calculations!$Z$516,"")</f>
        <v>0</v>
      </c>
      <c r="H64" s="20">
        <f>IFERROR(Calculations!$AA$516,"")</f>
        <v>0</v>
      </c>
      <c r="I64" s="20">
        <f>IFERROR(Calculations!$AB$516,"")</f>
        <v>0</v>
      </c>
      <c r="J64" s="20">
        <f>IFERROR(Calculations!$AC$516,"")</f>
        <v>0</v>
      </c>
      <c r="K64" s="20">
        <f>IFERROR(Calculations!$AD$516,"")</f>
        <v>0</v>
      </c>
      <c r="L64" s="20">
        <f>IFERROR(Calculations!$AE$516,"")</f>
        <v>0</v>
      </c>
      <c r="M64" s="20">
        <f>IFERROR(Calculations!$AF$516,"")</f>
        <v>0</v>
      </c>
      <c r="N64" s="20">
        <f>IFERROR(Calculations!$AG$516,"")</f>
        <v>0</v>
      </c>
      <c r="O64" s="20">
        <f>IFERROR(Calculations!$AH$516,"")</f>
        <v>0</v>
      </c>
    </row>
    <row r="65" spans="2:15">
      <c r="B65" s="11">
        <f>IF(Calculations!$U$517="","",Calculations!$U$517)</f>
        <v>0</v>
      </c>
      <c r="C65" s="20">
        <f>IFERROR(Calculations!$V$517,"")</f>
        <v>0</v>
      </c>
      <c r="D65" s="20">
        <f>IFERROR(Calculations!$W$517,"")</f>
        <v>0</v>
      </c>
      <c r="E65" s="20">
        <f>IFERROR(Calculations!$X$517,"")</f>
        <v>0</v>
      </c>
      <c r="F65" s="20">
        <f>IFERROR(Calculations!$Y$517,"")</f>
        <v>0</v>
      </c>
      <c r="G65" s="20">
        <f>IFERROR(Calculations!$Z$517,"")</f>
        <v>0</v>
      </c>
      <c r="H65" s="20">
        <f>IFERROR(Calculations!$AA$517,"")</f>
        <v>0</v>
      </c>
      <c r="I65" s="20">
        <f>IFERROR(Calculations!$AB$517,"")</f>
        <v>0</v>
      </c>
      <c r="J65" s="20">
        <f>IFERROR(Calculations!$AC$517,"")</f>
        <v>0</v>
      </c>
      <c r="K65" s="20">
        <f>IFERROR(Calculations!$AD$517,"")</f>
        <v>0</v>
      </c>
      <c r="L65" s="20">
        <f>IFERROR(Calculations!$AE$517,"")</f>
        <v>0</v>
      </c>
      <c r="M65" s="20">
        <f>IFERROR(Calculations!$AF$517,"")</f>
        <v>0</v>
      </c>
      <c r="N65" s="20">
        <f>IFERROR(Calculations!$AG$517,"")</f>
        <v>0</v>
      </c>
      <c r="O65" s="20">
        <f>IFERROR(Calculations!$AH$517,"")</f>
        <v>0</v>
      </c>
    </row>
  </sheetData>
  <mergeCells count="3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7" right="0.7" top="0.75" bottom="0.75" header="0.3" footer="0.3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2069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2070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Calculations!$N$538</f>
        <v>0</v>
      </c>
      <c r="C14" s="42"/>
      <c r="D14" s="42"/>
      <c r="E14" s="42"/>
      <c r="F14" s="44">
        <f>Calculations!$N$539</f>
        <v>0</v>
      </c>
      <c r="G14" s="44"/>
      <c r="H14" s="44"/>
      <c r="I14" s="44"/>
      <c r="J14" s="42">
        <f>Calculations!$N$540</f>
        <v>0</v>
      </c>
      <c r="K14" s="42"/>
      <c r="L14" s="42"/>
      <c r="M14" s="42"/>
      <c r="N14" s="42">
        <f>Calculations!$N$541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</row>
    <row r="19" spans="2:19">
      <c r="B19" s="40" t="s">
        <v>2071</v>
      </c>
      <c r="C19" s="40"/>
      <c r="D19" s="40"/>
      <c r="E19" s="40"/>
    </row>
    <row r="20" spans="2:19">
      <c r="B20" s="42">
        <f>Calculations!$N$542</f>
        <v>0</v>
      </c>
      <c r="C20" s="42"/>
      <c r="D20" s="42"/>
      <c r="E20" s="42"/>
    </row>
    <row r="21" spans="2:19">
      <c r="B21" s="42"/>
      <c r="C21" s="42"/>
      <c r="D21" s="42"/>
      <c r="E21" s="42"/>
    </row>
    <row r="22" spans="2:19">
      <c r="B22" s="50" t="s">
        <v>1996</v>
      </c>
      <c r="C22" s="50"/>
      <c r="D22" s="50"/>
      <c r="E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2072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IF(Calculations!$U$538="","",Calculations!$U$538)</f>
        <v>0</v>
      </c>
      <c r="C60" s="20">
        <f>IFERROR(Calculations!$V$538,"")</f>
        <v>0</v>
      </c>
      <c r="D60" s="20">
        <f>IFERROR(Calculations!$W$538,"")</f>
        <v>0</v>
      </c>
      <c r="E60" s="20">
        <f>IFERROR(Calculations!$X$538,"")</f>
        <v>0</v>
      </c>
      <c r="F60" s="20">
        <f>IFERROR(Calculations!$Y$538,"")</f>
        <v>0</v>
      </c>
      <c r="G60" s="20">
        <f>IFERROR(Calculations!$Z$538,"")</f>
        <v>0</v>
      </c>
      <c r="H60" s="20">
        <f>IFERROR(Calculations!$AA$538,"")</f>
        <v>0</v>
      </c>
      <c r="I60" s="20">
        <f>IFERROR(Calculations!$AB$538,"")</f>
        <v>0</v>
      </c>
      <c r="J60" s="20">
        <f>IFERROR(Calculations!$AC$538,"")</f>
        <v>0</v>
      </c>
      <c r="K60" s="20">
        <f>IFERROR(Calculations!$AD$538,"")</f>
        <v>0</v>
      </c>
      <c r="L60" s="20">
        <f>IFERROR(Calculations!$AE$538,"")</f>
        <v>0</v>
      </c>
      <c r="M60" s="20">
        <f>IFERROR(Calculations!$AF$538,"")</f>
        <v>0</v>
      </c>
      <c r="N60" s="20">
        <f>IFERROR(Calculations!$AG$538,"")</f>
        <v>0</v>
      </c>
      <c r="O60" s="20">
        <f>IFERROR(Calculations!$AH$538,"")</f>
        <v>0</v>
      </c>
    </row>
    <row r="61" spans="2:19">
      <c r="B61" s="11">
        <f>IF(Calculations!$U$539="","",Calculations!$U$539)</f>
        <v>0</v>
      </c>
      <c r="C61" s="20">
        <f>IFERROR(Calculations!$V$539,"")</f>
        <v>0</v>
      </c>
      <c r="D61" s="20">
        <f>IFERROR(Calculations!$W$539,"")</f>
        <v>0</v>
      </c>
      <c r="E61" s="20">
        <f>IFERROR(Calculations!$X$539,"")</f>
        <v>0</v>
      </c>
      <c r="F61" s="20">
        <f>IFERROR(Calculations!$Y$539,"")</f>
        <v>0</v>
      </c>
      <c r="G61" s="20">
        <f>IFERROR(Calculations!$Z$539,"")</f>
        <v>0</v>
      </c>
      <c r="H61" s="20">
        <f>IFERROR(Calculations!$AA$539,"")</f>
        <v>0</v>
      </c>
      <c r="I61" s="20">
        <f>IFERROR(Calculations!$AB$539,"")</f>
        <v>0</v>
      </c>
      <c r="J61" s="20">
        <f>IFERROR(Calculations!$AC$539,"")</f>
        <v>0</v>
      </c>
      <c r="K61" s="20">
        <f>IFERROR(Calculations!$AD$539,"")</f>
        <v>0</v>
      </c>
      <c r="L61" s="20">
        <f>IFERROR(Calculations!$AE$539,"")</f>
        <v>0</v>
      </c>
      <c r="M61" s="20">
        <f>IFERROR(Calculations!$AF$539,"")</f>
        <v>0</v>
      </c>
      <c r="N61" s="20">
        <f>IFERROR(Calculations!$AG$539,"")</f>
        <v>0</v>
      </c>
      <c r="O61" s="20">
        <f>IFERROR(Calculations!$AH$539,"")</f>
        <v>0</v>
      </c>
    </row>
    <row r="62" spans="2:19">
      <c r="B62" s="11">
        <f>IF(Calculations!$U$540="","",Calculations!$U$540)</f>
        <v>0</v>
      </c>
      <c r="C62" s="20">
        <f>IFERROR(Calculations!$V$540,"")</f>
        <v>0</v>
      </c>
      <c r="D62" s="20">
        <f>IFERROR(Calculations!$W$540,"")</f>
        <v>0</v>
      </c>
      <c r="E62" s="20">
        <f>IFERROR(Calculations!$X$540,"")</f>
        <v>0</v>
      </c>
      <c r="F62" s="20">
        <f>IFERROR(Calculations!$Y$540,"")</f>
        <v>0</v>
      </c>
      <c r="G62" s="20">
        <f>IFERROR(Calculations!$Z$540,"")</f>
        <v>0</v>
      </c>
      <c r="H62" s="20">
        <f>IFERROR(Calculations!$AA$540,"")</f>
        <v>0</v>
      </c>
      <c r="I62" s="20">
        <f>IFERROR(Calculations!$AB$540,"")</f>
        <v>0</v>
      </c>
      <c r="J62" s="20">
        <f>IFERROR(Calculations!$AC$540,"")</f>
        <v>0</v>
      </c>
      <c r="K62" s="20">
        <f>IFERROR(Calculations!$AD$540,"")</f>
        <v>0</v>
      </c>
      <c r="L62" s="20">
        <f>IFERROR(Calculations!$AE$540,"")</f>
        <v>0</v>
      </c>
      <c r="M62" s="20">
        <f>IFERROR(Calculations!$AF$540,"")</f>
        <v>0</v>
      </c>
      <c r="N62" s="20">
        <f>IFERROR(Calculations!$AG$540,"")</f>
        <v>0</v>
      </c>
      <c r="O62" s="20">
        <f>IFERROR(Calculations!$AH$540,"")</f>
        <v>0</v>
      </c>
    </row>
    <row r="63" spans="2:19">
      <c r="B63" s="11">
        <f>IF(Calculations!$U$541="","",Calculations!$U$541)</f>
        <v>0</v>
      </c>
      <c r="C63" s="20">
        <f>IFERROR(Calculations!$V$541,"")</f>
        <v>0</v>
      </c>
      <c r="D63" s="20">
        <f>IFERROR(Calculations!$W$541,"")</f>
        <v>0</v>
      </c>
      <c r="E63" s="20">
        <f>IFERROR(Calculations!$X$541,"")</f>
        <v>0</v>
      </c>
      <c r="F63" s="20">
        <f>IFERROR(Calculations!$Y$541,"")</f>
        <v>0</v>
      </c>
      <c r="G63" s="20">
        <f>IFERROR(Calculations!$Z$541,"")</f>
        <v>0</v>
      </c>
      <c r="H63" s="20">
        <f>IFERROR(Calculations!$AA$541,"")</f>
        <v>0</v>
      </c>
      <c r="I63" s="20">
        <f>IFERROR(Calculations!$AB$541,"")</f>
        <v>0</v>
      </c>
      <c r="J63" s="20">
        <f>IFERROR(Calculations!$AC$541,"")</f>
        <v>0</v>
      </c>
      <c r="K63" s="20">
        <f>IFERROR(Calculations!$AD$541,"")</f>
        <v>0</v>
      </c>
      <c r="L63" s="20">
        <f>IFERROR(Calculations!$AE$541,"")</f>
        <v>0</v>
      </c>
      <c r="M63" s="20">
        <f>IFERROR(Calculations!$AF$541,"")</f>
        <v>0</v>
      </c>
      <c r="N63" s="20">
        <f>IFERROR(Calculations!$AG$541,"")</f>
        <v>0</v>
      </c>
      <c r="O63" s="20">
        <f>IFERROR(Calculations!$AH$541,"")</f>
        <v>0</v>
      </c>
    </row>
    <row r="64" spans="2:19">
      <c r="B64" s="11">
        <f>IF(Calculations!$U$542="","",Calculations!$U$542)</f>
        <v>0</v>
      </c>
      <c r="C64" s="20">
        <f>IFERROR(Calculations!$V$542,"")</f>
        <v>0</v>
      </c>
      <c r="D64" s="20">
        <f>IFERROR(Calculations!$W$542,"")</f>
        <v>0</v>
      </c>
      <c r="E64" s="20">
        <f>IFERROR(Calculations!$X$542,"")</f>
        <v>0</v>
      </c>
      <c r="F64" s="20">
        <f>IFERROR(Calculations!$Y$542,"")</f>
        <v>0</v>
      </c>
      <c r="G64" s="20">
        <f>IFERROR(Calculations!$Z$542,"")</f>
        <v>0</v>
      </c>
      <c r="H64" s="20">
        <f>IFERROR(Calculations!$AA$542,"")</f>
        <v>0</v>
      </c>
      <c r="I64" s="20">
        <f>IFERROR(Calculations!$AB$542,"")</f>
        <v>0</v>
      </c>
      <c r="J64" s="20">
        <f>IFERROR(Calculations!$AC$542,"")</f>
        <v>0</v>
      </c>
      <c r="K64" s="20">
        <f>IFERROR(Calculations!$AD$542,"")</f>
        <v>0</v>
      </c>
      <c r="L64" s="20">
        <f>IFERROR(Calculations!$AE$542,"")</f>
        <v>0</v>
      </c>
      <c r="M64" s="20">
        <f>IFERROR(Calculations!$AF$542,"")</f>
        <v>0</v>
      </c>
      <c r="N64" s="20">
        <f>IFERROR(Calculations!$AG$542,"")</f>
        <v>0</v>
      </c>
      <c r="O64" s="20">
        <f>IFERROR(Calculations!$AH$542,"")</f>
        <v>0</v>
      </c>
    </row>
    <row r="65" spans="2:15">
      <c r="B65" s="11">
        <f>IF(Calculations!$U$543="","",Calculations!$U$543)</f>
        <v>0</v>
      </c>
      <c r="C65" s="20">
        <f>IFERROR(Calculations!$V$543,"")</f>
        <v>0</v>
      </c>
      <c r="D65" s="20">
        <f>IFERROR(Calculations!$W$543,"")</f>
        <v>0</v>
      </c>
      <c r="E65" s="20">
        <f>IFERROR(Calculations!$X$543,"")</f>
        <v>0</v>
      </c>
      <c r="F65" s="20">
        <f>IFERROR(Calculations!$Y$543,"")</f>
        <v>0</v>
      </c>
      <c r="G65" s="20">
        <f>IFERROR(Calculations!$Z$543,"")</f>
        <v>0</v>
      </c>
      <c r="H65" s="20">
        <f>IFERROR(Calculations!$AA$543,"")</f>
        <v>0</v>
      </c>
      <c r="I65" s="20">
        <f>IFERROR(Calculations!$AB$543,"")</f>
        <v>0</v>
      </c>
      <c r="J65" s="20">
        <f>IFERROR(Calculations!$AC$543,"")</f>
        <v>0</v>
      </c>
      <c r="K65" s="20">
        <f>IFERROR(Calculations!$AD$543,"")</f>
        <v>0</v>
      </c>
      <c r="L65" s="20">
        <f>IFERROR(Calculations!$AE$543,"")</f>
        <v>0</v>
      </c>
      <c r="M65" s="20">
        <f>IFERROR(Calculations!$AF$543,"")</f>
        <v>0</v>
      </c>
      <c r="N65" s="20">
        <f>IFERROR(Calculations!$AG$543,"")</f>
        <v>0</v>
      </c>
      <c r="O65" s="20">
        <f>IFERROR(Calculations!$AH$543,"")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7" right="0.7" top="0.75" bottom="0.75" header="0.3" footer="0.3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0B6EA8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2073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2074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2075</v>
      </c>
      <c r="G13" s="40"/>
      <c r="H13" s="40"/>
      <c r="I13" s="40"/>
      <c r="J13" s="40" t="s">
        <v>2076</v>
      </c>
      <c r="K13" s="40"/>
      <c r="L13" s="40"/>
      <c r="M13" s="40"/>
      <c r="N13" s="40" t="s">
        <v>2077</v>
      </c>
      <c r="O13" s="40"/>
      <c r="P13" s="40"/>
      <c r="Q13" s="40"/>
    </row>
    <row r="14" spans="2:19">
      <c r="B14" s="42">
        <f>Calculations!$N$564</f>
        <v>0</v>
      </c>
      <c r="C14" s="42"/>
      <c r="D14" s="42"/>
      <c r="E14" s="42"/>
      <c r="F14" s="42">
        <f>Calculations!$N$565</f>
        <v>0</v>
      </c>
      <c r="G14" s="42"/>
      <c r="H14" s="42"/>
      <c r="I14" s="42"/>
      <c r="J14" s="42">
        <f>Calculations!$N$566</f>
        <v>0</v>
      </c>
      <c r="K14" s="42"/>
      <c r="L14" s="42"/>
      <c r="M14" s="42"/>
      <c r="N14" s="42">
        <f>Calculations!$N$567</f>
        <v>0</v>
      </c>
      <c r="O14" s="42"/>
      <c r="P14" s="42"/>
      <c r="Q14" s="42"/>
    </row>
    <row r="15" spans="2:19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>
      <c r="B18" s="9" t="s">
        <v>2000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  <row r="35" spans="2:19">
      <c r="B35" s="9" t="s">
        <v>2001</v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</row>
    <row r="36" spans="2:19">
      <c r="N36" s="8" t="s">
        <v>2078</v>
      </c>
      <c r="O36" s="8"/>
      <c r="P36" s="8"/>
      <c r="Q36" s="8"/>
      <c r="R36" s="8"/>
      <c r="S36" s="8"/>
    </row>
    <row r="52" spans="2:19">
      <c r="B52" s="9" t="s">
        <v>2003</v>
      </c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</row>
    <row r="53" spans="2:19">
      <c r="B53" s="10" t="s">
        <v>1826</v>
      </c>
      <c r="C53" s="10" t="s">
        <v>3</v>
      </c>
      <c r="D53" s="10" t="s">
        <v>19</v>
      </c>
      <c r="E53" s="10" t="s">
        <v>44</v>
      </c>
      <c r="F53" s="10" t="s">
        <v>53</v>
      </c>
      <c r="G53" s="10" t="s">
        <v>60</v>
      </c>
      <c r="H53" s="10" t="s">
        <v>73</v>
      </c>
      <c r="I53" s="10" t="s">
        <v>76</v>
      </c>
      <c r="J53" s="10" t="s">
        <v>86</v>
      </c>
      <c r="K53" s="10" t="s">
        <v>102</v>
      </c>
      <c r="L53" s="10" t="s">
        <v>106</v>
      </c>
      <c r="M53" s="10" t="s">
        <v>111</v>
      </c>
      <c r="N53" s="10" t="s">
        <v>122</v>
      </c>
      <c r="O53" s="10" t="s">
        <v>1827</v>
      </c>
    </row>
    <row r="54" spans="2:19">
      <c r="B54" s="11">
        <f>IF(Calculations!$U$564="","",Calculations!$U$564)</f>
        <v>0</v>
      </c>
      <c r="C54" s="20">
        <f>IFERROR(Calculations!$V$564,"")</f>
        <v>0</v>
      </c>
      <c r="D54" s="20">
        <f>IFERROR(Calculations!$W$564,"")</f>
        <v>0</v>
      </c>
      <c r="E54" s="20">
        <f>IFERROR(Calculations!$X$564,"")</f>
        <v>0</v>
      </c>
      <c r="F54" s="20">
        <f>IFERROR(Calculations!$Y$564,"")</f>
        <v>0</v>
      </c>
      <c r="G54" s="20">
        <f>IFERROR(Calculations!$Z$564,"")</f>
        <v>0</v>
      </c>
      <c r="H54" s="20">
        <f>IFERROR(Calculations!$AA$564,"")</f>
        <v>0</v>
      </c>
      <c r="I54" s="20">
        <f>IFERROR(Calculations!$AB$564,"")</f>
        <v>0</v>
      </c>
      <c r="J54" s="20">
        <f>IFERROR(Calculations!$AC$564,"")</f>
        <v>0</v>
      </c>
      <c r="K54" s="20">
        <f>IFERROR(Calculations!$AD$564,"")</f>
        <v>0</v>
      </c>
      <c r="L54" s="20">
        <f>IFERROR(Calculations!$AE$564,"")</f>
        <v>0</v>
      </c>
      <c r="M54" s="20">
        <f>IFERROR(Calculations!$AF$564,"")</f>
        <v>0</v>
      </c>
      <c r="N54" s="20">
        <f>IFERROR(Calculations!$AG$564,"")</f>
        <v>0</v>
      </c>
      <c r="O54" s="20">
        <f>IFERROR(Calculations!$AH$564,"")</f>
        <v>0</v>
      </c>
    </row>
    <row r="55" spans="2:19">
      <c r="B55" s="11">
        <f>IF(Calculations!$U$565="","",Calculations!$U$565)</f>
        <v>0</v>
      </c>
      <c r="C55" s="20">
        <f>IFERROR(Calculations!$V$565,"")</f>
        <v>0</v>
      </c>
      <c r="D55" s="20">
        <f>IFERROR(Calculations!$W$565,"")</f>
        <v>0</v>
      </c>
      <c r="E55" s="20">
        <f>IFERROR(Calculations!$X$565,"")</f>
        <v>0</v>
      </c>
      <c r="F55" s="20">
        <f>IFERROR(Calculations!$Y$565,"")</f>
        <v>0</v>
      </c>
      <c r="G55" s="20">
        <f>IFERROR(Calculations!$Z$565,"")</f>
        <v>0</v>
      </c>
      <c r="H55" s="20">
        <f>IFERROR(Calculations!$AA$565,"")</f>
        <v>0</v>
      </c>
      <c r="I55" s="20">
        <f>IFERROR(Calculations!$AB$565,"")</f>
        <v>0</v>
      </c>
      <c r="J55" s="20">
        <f>IFERROR(Calculations!$AC$565,"")</f>
        <v>0</v>
      </c>
      <c r="K55" s="20">
        <f>IFERROR(Calculations!$AD$565,"")</f>
        <v>0</v>
      </c>
      <c r="L55" s="20">
        <f>IFERROR(Calculations!$AE$565,"")</f>
        <v>0</v>
      </c>
      <c r="M55" s="20">
        <f>IFERROR(Calculations!$AF$565,"")</f>
        <v>0</v>
      </c>
      <c r="N55" s="20">
        <f>IFERROR(Calculations!$AG$565,"")</f>
        <v>0</v>
      </c>
      <c r="O55" s="20">
        <f>IFERROR(Calculations!$AH$565,"")</f>
        <v>0</v>
      </c>
    </row>
    <row r="56" spans="2:19">
      <c r="B56" s="11">
        <f>IF(Calculations!$U$566="","",Calculations!$U$566)</f>
        <v>0</v>
      </c>
      <c r="C56" s="20">
        <f>IFERROR(Calculations!$V$566,"")</f>
        <v>0</v>
      </c>
      <c r="D56" s="20">
        <f>IFERROR(Calculations!$W$566,"")</f>
        <v>0</v>
      </c>
      <c r="E56" s="20">
        <f>IFERROR(Calculations!$X$566,"")</f>
        <v>0</v>
      </c>
      <c r="F56" s="20">
        <f>IFERROR(Calculations!$Y$566,"")</f>
        <v>0</v>
      </c>
      <c r="G56" s="20">
        <f>IFERROR(Calculations!$Z$566,"")</f>
        <v>0</v>
      </c>
      <c r="H56" s="20">
        <f>IFERROR(Calculations!$AA$566,"")</f>
        <v>0</v>
      </c>
      <c r="I56" s="20">
        <f>IFERROR(Calculations!$AB$566,"")</f>
        <v>0</v>
      </c>
      <c r="J56" s="20">
        <f>IFERROR(Calculations!$AC$566,"")</f>
        <v>0</v>
      </c>
      <c r="K56" s="20">
        <f>IFERROR(Calculations!$AD$566,"")</f>
        <v>0</v>
      </c>
      <c r="L56" s="20">
        <f>IFERROR(Calculations!$AE$566,"")</f>
        <v>0</v>
      </c>
      <c r="M56" s="20">
        <f>IFERROR(Calculations!$AF$566,"")</f>
        <v>0</v>
      </c>
      <c r="N56" s="20">
        <f>IFERROR(Calculations!$AG$566,"")</f>
        <v>0</v>
      </c>
      <c r="O56" s="20">
        <f>IFERROR(Calculations!$AH$566,"")</f>
        <v>0</v>
      </c>
    </row>
    <row r="57" spans="2:19">
      <c r="B57" s="11">
        <f>IF(Calculations!$U$567="","",Calculations!$U$567)</f>
        <v>0</v>
      </c>
      <c r="C57" s="20">
        <f>IFERROR(Calculations!$V$567,"")</f>
        <v>0</v>
      </c>
      <c r="D57" s="20">
        <f>IFERROR(Calculations!$W$567,"")</f>
        <v>0</v>
      </c>
      <c r="E57" s="20">
        <f>IFERROR(Calculations!$X$567,"")</f>
        <v>0</v>
      </c>
      <c r="F57" s="20">
        <f>IFERROR(Calculations!$Y$567,"")</f>
        <v>0</v>
      </c>
      <c r="G57" s="20">
        <f>IFERROR(Calculations!$Z$567,"")</f>
        <v>0</v>
      </c>
      <c r="H57" s="20">
        <f>IFERROR(Calculations!$AA$567,"")</f>
        <v>0</v>
      </c>
      <c r="I57" s="20">
        <f>IFERROR(Calculations!$AB$567,"")</f>
        <v>0</v>
      </c>
      <c r="J57" s="20">
        <f>IFERROR(Calculations!$AC$567,"")</f>
        <v>0</v>
      </c>
      <c r="K57" s="20">
        <f>IFERROR(Calculations!$AD$567,"")</f>
        <v>0</v>
      </c>
      <c r="L57" s="20">
        <f>IFERROR(Calculations!$AE$567,"")</f>
        <v>0</v>
      </c>
      <c r="M57" s="20">
        <f>IFERROR(Calculations!$AF$567,"")</f>
        <v>0</v>
      </c>
      <c r="N57" s="20">
        <f>IFERROR(Calculations!$AG$567,"")</f>
        <v>0</v>
      </c>
      <c r="O57" s="20">
        <f>IFERROR(Calculations!$AH$567,"")</f>
        <v>0</v>
      </c>
    </row>
    <row r="58" spans="2:19">
      <c r="B58" s="11">
        <f>IF(Calculations!$U$568="","",Calculations!$U$568)</f>
        <v>0</v>
      </c>
      <c r="C58" s="20">
        <f>IFERROR(Calculations!$V$568,"")</f>
        <v>0</v>
      </c>
      <c r="D58" s="20">
        <f>IFERROR(Calculations!$W$568,"")</f>
        <v>0</v>
      </c>
      <c r="E58" s="20">
        <f>IFERROR(Calculations!$X$568,"")</f>
        <v>0</v>
      </c>
      <c r="F58" s="20">
        <f>IFERROR(Calculations!$Y$568,"")</f>
        <v>0</v>
      </c>
      <c r="G58" s="20">
        <f>IFERROR(Calculations!$Z$568,"")</f>
        <v>0</v>
      </c>
      <c r="H58" s="20">
        <f>IFERROR(Calculations!$AA$568,"")</f>
        <v>0</v>
      </c>
      <c r="I58" s="20">
        <f>IFERROR(Calculations!$AB$568,"")</f>
        <v>0</v>
      </c>
      <c r="J58" s="20">
        <f>IFERROR(Calculations!$AC$568,"")</f>
        <v>0</v>
      </c>
      <c r="K58" s="20">
        <f>IFERROR(Calculations!$AD$568,"")</f>
        <v>0</v>
      </c>
      <c r="L58" s="20">
        <f>IFERROR(Calculations!$AE$568,"")</f>
        <v>0</v>
      </c>
      <c r="M58" s="20">
        <f>IFERROR(Calculations!$AF$568,"")</f>
        <v>0</v>
      </c>
      <c r="N58" s="20">
        <f>IFERROR(Calculations!$AG$568,"")</f>
        <v>0</v>
      </c>
      <c r="O58" s="20">
        <f>IFERROR(Calculations!$AH$568,"")</f>
        <v>0</v>
      </c>
    </row>
    <row r="59" spans="2:19">
      <c r="B59" s="11">
        <f>IF(Calculations!$U$569="","",Calculations!$U$569)</f>
        <v>0</v>
      </c>
      <c r="C59" s="20">
        <f>IFERROR(Calculations!$V$569,"")</f>
        <v>0</v>
      </c>
      <c r="D59" s="20">
        <f>IFERROR(Calculations!$W$569,"")</f>
        <v>0</v>
      </c>
      <c r="E59" s="20">
        <f>IFERROR(Calculations!$X$569,"")</f>
        <v>0</v>
      </c>
      <c r="F59" s="20">
        <f>IFERROR(Calculations!$Y$569,"")</f>
        <v>0</v>
      </c>
      <c r="G59" s="20">
        <f>IFERROR(Calculations!$Z$569,"")</f>
        <v>0</v>
      </c>
      <c r="H59" s="20">
        <f>IFERROR(Calculations!$AA$569,"")</f>
        <v>0</v>
      </c>
      <c r="I59" s="20">
        <f>IFERROR(Calculations!$AB$569,"")</f>
        <v>0</v>
      </c>
      <c r="J59" s="20">
        <f>IFERROR(Calculations!$AC$569,"")</f>
        <v>0</v>
      </c>
      <c r="K59" s="20">
        <f>IFERROR(Calculations!$AD$569,"")</f>
        <v>0</v>
      </c>
      <c r="L59" s="20">
        <f>IFERROR(Calculations!$AE$569,"")</f>
        <v>0</v>
      </c>
      <c r="M59" s="20">
        <f>IFERROR(Calculations!$AF$569,"")</f>
        <v>0</v>
      </c>
      <c r="N59" s="20">
        <f>IFERROR(Calculations!$AG$569,"")</f>
        <v>0</v>
      </c>
      <c r="O59" s="20">
        <f>IFERROR(Calculations!$AH$569,"")</f>
        <v>0</v>
      </c>
    </row>
  </sheetData>
  <mergeCells count="27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N36:S36"/>
    <mergeCell ref="B52:S52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7" right="0.7" top="0.75" bottom="0.75" header="0.3" footer="0.3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2079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2080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Calculations!$N$590</f>
        <v>0</v>
      </c>
      <c r="C14" s="42"/>
      <c r="D14" s="42"/>
      <c r="E14" s="42"/>
      <c r="F14" s="44">
        <f>Calculations!$N$591</f>
        <v>0</v>
      </c>
      <c r="G14" s="44"/>
      <c r="H14" s="44"/>
      <c r="I14" s="44"/>
      <c r="J14" s="42">
        <f>Calculations!$N$592</f>
        <v>0</v>
      </c>
      <c r="K14" s="42"/>
      <c r="L14" s="42"/>
      <c r="M14" s="42"/>
      <c r="N14" s="42">
        <f>Calculations!$N$593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</row>
    <row r="19" spans="2:19">
      <c r="B19" s="40" t="s">
        <v>2081</v>
      </c>
      <c r="C19" s="40"/>
      <c r="D19" s="40"/>
      <c r="E19" s="40"/>
    </row>
    <row r="20" spans="2:19">
      <c r="B20" s="42">
        <f>Calculations!$N$594</f>
        <v>0</v>
      </c>
      <c r="C20" s="42"/>
      <c r="D20" s="42"/>
      <c r="E20" s="42"/>
    </row>
    <row r="21" spans="2:19">
      <c r="B21" s="42"/>
      <c r="C21" s="42"/>
      <c r="D21" s="42"/>
      <c r="E21" s="42"/>
    </row>
    <row r="22" spans="2:19">
      <c r="B22" s="50" t="s">
        <v>1996</v>
      </c>
      <c r="C22" s="50"/>
      <c r="D22" s="50"/>
      <c r="E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2082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IF(Calculations!$U$590="","",Calculations!$U$590)</f>
        <v>0</v>
      </c>
      <c r="C60" s="20">
        <f>IFERROR(Calculations!$V$590,"")</f>
        <v>0</v>
      </c>
      <c r="D60" s="20">
        <f>IFERROR(Calculations!$W$590,"")</f>
        <v>0</v>
      </c>
      <c r="E60" s="20">
        <f>IFERROR(Calculations!$X$590,"")</f>
        <v>0</v>
      </c>
      <c r="F60" s="20">
        <f>IFERROR(Calculations!$Y$590,"")</f>
        <v>0</v>
      </c>
      <c r="G60" s="20">
        <f>IFERROR(Calculations!$Z$590,"")</f>
        <v>0</v>
      </c>
      <c r="H60" s="20">
        <f>IFERROR(Calculations!$AA$590,"")</f>
        <v>0</v>
      </c>
      <c r="I60" s="20">
        <f>IFERROR(Calculations!$AB$590,"")</f>
        <v>0</v>
      </c>
      <c r="J60" s="20">
        <f>IFERROR(Calculations!$AC$590,"")</f>
        <v>0</v>
      </c>
      <c r="K60" s="20">
        <f>IFERROR(Calculations!$AD$590,"")</f>
        <v>0</v>
      </c>
      <c r="L60" s="20">
        <f>IFERROR(Calculations!$AE$590,"")</f>
        <v>0</v>
      </c>
      <c r="M60" s="20">
        <f>IFERROR(Calculations!$AF$590,"")</f>
        <v>0</v>
      </c>
      <c r="N60" s="20">
        <f>IFERROR(Calculations!$AG$590,"")</f>
        <v>0</v>
      </c>
      <c r="O60" s="20">
        <f>IFERROR(Calculations!$AH$590,"")</f>
        <v>0</v>
      </c>
    </row>
    <row r="61" spans="2:19">
      <c r="B61" s="11">
        <f>IF(Calculations!$U$591="","",Calculations!$U$591)</f>
        <v>0</v>
      </c>
      <c r="C61" s="20">
        <f>IFERROR(Calculations!$V$591,"")</f>
        <v>0</v>
      </c>
      <c r="D61" s="20">
        <f>IFERROR(Calculations!$W$591,"")</f>
        <v>0</v>
      </c>
      <c r="E61" s="20">
        <f>IFERROR(Calculations!$X$591,"")</f>
        <v>0</v>
      </c>
      <c r="F61" s="20">
        <f>IFERROR(Calculations!$Y$591,"")</f>
        <v>0</v>
      </c>
      <c r="G61" s="20">
        <f>IFERROR(Calculations!$Z$591,"")</f>
        <v>0</v>
      </c>
      <c r="H61" s="20">
        <f>IFERROR(Calculations!$AA$591,"")</f>
        <v>0</v>
      </c>
      <c r="I61" s="20">
        <f>IFERROR(Calculations!$AB$591,"")</f>
        <v>0</v>
      </c>
      <c r="J61" s="20">
        <f>IFERROR(Calculations!$AC$591,"")</f>
        <v>0</v>
      </c>
      <c r="K61" s="20">
        <f>IFERROR(Calculations!$AD$591,"")</f>
        <v>0</v>
      </c>
      <c r="L61" s="20">
        <f>IFERROR(Calculations!$AE$591,"")</f>
        <v>0</v>
      </c>
      <c r="M61" s="20">
        <f>IFERROR(Calculations!$AF$591,"")</f>
        <v>0</v>
      </c>
      <c r="N61" s="20">
        <f>IFERROR(Calculations!$AG$591,"")</f>
        <v>0</v>
      </c>
      <c r="O61" s="20">
        <f>IFERROR(Calculations!$AH$591,"")</f>
        <v>0</v>
      </c>
    </row>
    <row r="62" spans="2:19">
      <c r="B62" s="11">
        <f>IF(Calculations!$U$592="","",Calculations!$U$592)</f>
        <v>0</v>
      </c>
      <c r="C62" s="20">
        <f>IFERROR(Calculations!$V$592,"")</f>
        <v>0</v>
      </c>
      <c r="D62" s="20">
        <f>IFERROR(Calculations!$W$592,"")</f>
        <v>0</v>
      </c>
      <c r="E62" s="20">
        <f>IFERROR(Calculations!$X$592,"")</f>
        <v>0</v>
      </c>
      <c r="F62" s="20">
        <f>IFERROR(Calculations!$Y$592,"")</f>
        <v>0</v>
      </c>
      <c r="G62" s="20">
        <f>IFERROR(Calculations!$Z$592,"")</f>
        <v>0</v>
      </c>
      <c r="H62" s="20">
        <f>IFERROR(Calculations!$AA$592,"")</f>
        <v>0</v>
      </c>
      <c r="I62" s="20">
        <f>IFERROR(Calculations!$AB$592,"")</f>
        <v>0</v>
      </c>
      <c r="J62" s="20">
        <f>IFERROR(Calculations!$AC$592,"")</f>
        <v>0</v>
      </c>
      <c r="K62" s="20">
        <f>IFERROR(Calculations!$AD$592,"")</f>
        <v>0</v>
      </c>
      <c r="L62" s="20">
        <f>IFERROR(Calculations!$AE$592,"")</f>
        <v>0</v>
      </c>
      <c r="M62" s="20">
        <f>IFERROR(Calculations!$AF$592,"")</f>
        <v>0</v>
      </c>
      <c r="N62" s="20">
        <f>IFERROR(Calculations!$AG$592,"")</f>
        <v>0</v>
      </c>
      <c r="O62" s="20">
        <f>IFERROR(Calculations!$AH$592,"")</f>
        <v>0</v>
      </c>
    </row>
    <row r="63" spans="2:19">
      <c r="B63" s="11">
        <f>IF(Calculations!$U$593="","",Calculations!$U$593)</f>
        <v>0</v>
      </c>
      <c r="C63" s="20">
        <f>IFERROR(Calculations!$V$593,"")</f>
        <v>0</v>
      </c>
      <c r="D63" s="20">
        <f>IFERROR(Calculations!$W$593,"")</f>
        <v>0</v>
      </c>
      <c r="E63" s="20">
        <f>IFERROR(Calculations!$X$593,"")</f>
        <v>0</v>
      </c>
      <c r="F63" s="20">
        <f>IFERROR(Calculations!$Y$593,"")</f>
        <v>0</v>
      </c>
      <c r="G63" s="20">
        <f>IFERROR(Calculations!$Z$593,"")</f>
        <v>0</v>
      </c>
      <c r="H63" s="20">
        <f>IFERROR(Calculations!$AA$593,"")</f>
        <v>0</v>
      </c>
      <c r="I63" s="20">
        <f>IFERROR(Calculations!$AB$593,"")</f>
        <v>0</v>
      </c>
      <c r="J63" s="20">
        <f>IFERROR(Calculations!$AC$593,"")</f>
        <v>0</v>
      </c>
      <c r="K63" s="20">
        <f>IFERROR(Calculations!$AD$593,"")</f>
        <v>0</v>
      </c>
      <c r="L63" s="20">
        <f>IFERROR(Calculations!$AE$593,"")</f>
        <v>0</v>
      </c>
      <c r="M63" s="20">
        <f>IFERROR(Calculations!$AF$593,"")</f>
        <v>0</v>
      </c>
      <c r="N63" s="20">
        <f>IFERROR(Calculations!$AG$593,"")</f>
        <v>0</v>
      </c>
      <c r="O63" s="20">
        <f>IFERROR(Calculations!$AH$593,"")</f>
        <v>0</v>
      </c>
    </row>
    <row r="64" spans="2:19">
      <c r="B64" s="11">
        <f>IF(Calculations!$U$594="","",Calculations!$U$594)</f>
        <v>0</v>
      </c>
      <c r="C64" s="20">
        <f>IFERROR(Calculations!$V$594,"")</f>
        <v>0</v>
      </c>
      <c r="D64" s="20">
        <f>IFERROR(Calculations!$W$594,"")</f>
        <v>0</v>
      </c>
      <c r="E64" s="20">
        <f>IFERROR(Calculations!$X$594,"")</f>
        <v>0</v>
      </c>
      <c r="F64" s="20">
        <f>IFERROR(Calculations!$Y$594,"")</f>
        <v>0</v>
      </c>
      <c r="G64" s="20">
        <f>IFERROR(Calculations!$Z$594,"")</f>
        <v>0</v>
      </c>
      <c r="H64" s="20">
        <f>IFERROR(Calculations!$AA$594,"")</f>
        <v>0</v>
      </c>
      <c r="I64" s="20">
        <f>IFERROR(Calculations!$AB$594,"")</f>
        <v>0</v>
      </c>
      <c r="J64" s="20">
        <f>IFERROR(Calculations!$AC$594,"")</f>
        <v>0</v>
      </c>
      <c r="K64" s="20">
        <f>IFERROR(Calculations!$AD$594,"")</f>
        <v>0</v>
      </c>
      <c r="L64" s="20">
        <f>IFERROR(Calculations!$AE$594,"")</f>
        <v>0</v>
      </c>
      <c r="M64" s="20">
        <f>IFERROR(Calculations!$AF$594,"")</f>
        <v>0</v>
      </c>
      <c r="N64" s="20">
        <f>IFERROR(Calculations!$AG$594,"")</f>
        <v>0</v>
      </c>
      <c r="O64" s="20">
        <f>IFERROR(Calculations!$AH$594,"")</f>
        <v>0</v>
      </c>
    </row>
    <row r="65" spans="2:15">
      <c r="B65" s="11">
        <f>IF(Calculations!$U$595="","",Calculations!$U$595)</f>
        <v>0</v>
      </c>
      <c r="C65" s="20">
        <f>IFERROR(Calculations!$V$595,"")</f>
        <v>0</v>
      </c>
      <c r="D65" s="20">
        <f>IFERROR(Calculations!$W$595,"")</f>
        <v>0</v>
      </c>
      <c r="E65" s="20">
        <f>IFERROR(Calculations!$X$595,"")</f>
        <v>0</v>
      </c>
      <c r="F65" s="20">
        <f>IFERROR(Calculations!$Y$595,"")</f>
        <v>0</v>
      </c>
      <c r="G65" s="20">
        <f>IFERROR(Calculations!$Z$595,"")</f>
        <v>0</v>
      </c>
      <c r="H65" s="20">
        <f>IFERROR(Calculations!$AA$595,"")</f>
        <v>0</v>
      </c>
      <c r="I65" s="20">
        <f>IFERROR(Calculations!$AB$595,"")</f>
        <v>0</v>
      </c>
      <c r="J65" s="20">
        <f>IFERROR(Calculations!$AC$595,"")</f>
        <v>0</v>
      </c>
      <c r="K65" s="20">
        <f>IFERROR(Calculations!$AD$595,"")</f>
        <v>0</v>
      </c>
      <c r="L65" s="20">
        <f>IFERROR(Calculations!$AE$595,"")</f>
        <v>0</v>
      </c>
      <c r="M65" s="20">
        <f>IFERROR(Calculations!$AF$595,"")</f>
        <v>0</v>
      </c>
      <c r="N65" s="20">
        <f>IFERROR(Calculations!$AG$595,"")</f>
        <v>0</v>
      </c>
      <c r="O65" s="20">
        <f>IFERROR(Calculations!$AH$595,"")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7" right="0.7" top="0.75" bottom="0.75" header="0.3" footer="0.3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0B6EA8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2083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2084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2085</v>
      </c>
      <c r="K13" s="40"/>
      <c r="L13" s="40"/>
      <c r="M13" s="40"/>
      <c r="N13" s="40" t="s">
        <v>2086</v>
      </c>
      <c r="O13" s="40"/>
      <c r="P13" s="40"/>
      <c r="Q13" s="40"/>
    </row>
    <row r="14" spans="2:19">
      <c r="B14" s="42">
        <f>Calculations!$N$616</f>
        <v>0</v>
      </c>
      <c r="C14" s="42"/>
      <c r="D14" s="42"/>
      <c r="E14" s="42"/>
      <c r="F14" s="44">
        <f>Calculations!$N$617</f>
        <v>0</v>
      </c>
      <c r="G14" s="44"/>
      <c r="H14" s="44"/>
      <c r="I14" s="44"/>
      <c r="J14" s="44">
        <f>Calculations!$N$618</f>
        <v>0</v>
      </c>
      <c r="K14" s="44"/>
      <c r="L14" s="44"/>
      <c r="M14" s="44"/>
      <c r="N14" s="42">
        <f>Calculations!$N$619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4"/>
      <c r="K15" s="44"/>
      <c r="L15" s="44"/>
      <c r="M15" s="44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>
      <c r="B18" s="9" t="s">
        <v>2000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  <row r="35" spans="2:19">
      <c r="B35" s="9" t="s">
        <v>2001</v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</row>
    <row r="36" spans="2:19">
      <c r="N36" s="8" t="s">
        <v>2087</v>
      </c>
      <c r="O36" s="8"/>
      <c r="P36" s="8"/>
      <c r="Q36" s="8"/>
      <c r="R36" s="8"/>
      <c r="S36" s="8"/>
    </row>
    <row r="52" spans="2:19">
      <c r="B52" s="9" t="s">
        <v>2003</v>
      </c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</row>
    <row r="53" spans="2:19">
      <c r="B53" s="10" t="s">
        <v>1826</v>
      </c>
      <c r="C53" s="10" t="s">
        <v>3</v>
      </c>
      <c r="D53" s="10" t="s">
        <v>19</v>
      </c>
      <c r="E53" s="10" t="s">
        <v>44</v>
      </c>
      <c r="F53" s="10" t="s">
        <v>53</v>
      </c>
      <c r="G53" s="10" t="s">
        <v>60</v>
      </c>
      <c r="H53" s="10" t="s">
        <v>73</v>
      </c>
      <c r="I53" s="10" t="s">
        <v>76</v>
      </c>
      <c r="J53" s="10" t="s">
        <v>86</v>
      </c>
      <c r="K53" s="10" t="s">
        <v>102</v>
      </c>
      <c r="L53" s="10" t="s">
        <v>106</v>
      </c>
      <c r="M53" s="10" t="s">
        <v>111</v>
      </c>
      <c r="N53" s="10" t="s">
        <v>122</v>
      </c>
      <c r="O53" s="10" t="s">
        <v>1827</v>
      </c>
    </row>
    <row r="54" spans="2:19">
      <c r="B54" s="11">
        <f>IF(Calculations!$U$616="","",Calculations!$U$616)</f>
        <v>0</v>
      </c>
      <c r="C54" s="20">
        <f>IFERROR(Calculations!$V$616,"")</f>
        <v>0</v>
      </c>
      <c r="D54" s="20">
        <f>IFERROR(Calculations!$W$616,"")</f>
        <v>0</v>
      </c>
      <c r="E54" s="20">
        <f>IFERROR(Calculations!$X$616,"")</f>
        <v>0</v>
      </c>
      <c r="F54" s="20">
        <f>IFERROR(Calculations!$Y$616,"")</f>
        <v>0</v>
      </c>
      <c r="G54" s="20">
        <f>IFERROR(Calculations!$Z$616,"")</f>
        <v>0</v>
      </c>
      <c r="H54" s="20">
        <f>IFERROR(Calculations!$AA$616,"")</f>
        <v>0</v>
      </c>
      <c r="I54" s="20">
        <f>IFERROR(Calculations!$AB$616,"")</f>
        <v>0</v>
      </c>
      <c r="J54" s="20">
        <f>IFERROR(Calculations!$AC$616,"")</f>
        <v>0</v>
      </c>
      <c r="K54" s="20">
        <f>IFERROR(Calculations!$AD$616,"")</f>
        <v>0</v>
      </c>
      <c r="L54" s="20">
        <f>IFERROR(Calculations!$AE$616,"")</f>
        <v>0</v>
      </c>
      <c r="M54" s="20">
        <f>IFERROR(Calculations!$AF$616,"")</f>
        <v>0</v>
      </c>
      <c r="N54" s="20">
        <f>IFERROR(Calculations!$AG$616,"")</f>
        <v>0</v>
      </c>
      <c r="O54" s="20">
        <f>IFERROR(Calculations!$AH$616,"")</f>
        <v>0</v>
      </c>
    </row>
    <row r="55" spans="2:19">
      <c r="B55" s="11">
        <f>IF(Calculations!$U$617="","",Calculations!$U$617)</f>
        <v>0</v>
      </c>
      <c r="C55" s="20">
        <f>IFERROR(Calculations!$V$617,"")</f>
        <v>0</v>
      </c>
      <c r="D55" s="20">
        <f>IFERROR(Calculations!$W$617,"")</f>
        <v>0</v>
      </c>
      <c r="E55" s="20">
        <f>IFERROR(Calculations!$X$617,"")</f>
        <v>0</v>
      </c>
      <c r="F55" s="20">
        <f>IFERROR(Calculations!$Y$617,"")</f>
        <v>0</v>
      </c>
      <c r="G55" s="20">
        <f>IFERROR(Calculations!$Z$617,"")</f>
        <v>0</v>
      </c>
      <c r="H55" s="20">
        <f>IFERROR(Calculations!$AA$617,"")</f>
        <v>0</v>
      </c>
      <c r="I55" s="20">
        <f>IFERROR(Calculations!$AB$617,"")</f>
        <v>0</v>
      </c>
      <c r="J55" s="20">
        <f>IFERROR(Calculations!$AC$617,"")</f>
        <v>0</v>
      </c>
      <c r="K55" s="20">
        <f>IFERROR(Calculations!$AD$617,"")</f>
        <v>0</v>
      </c>
      <c r="L55" s="20">
        <f>IFERROR(Calculations!$AE$617,"")</f>
        <v>0</v>
      </c>
      <c r="M55" s="20">
        <f>IFERROR(Calculations!$AF$617,"")</f>
        <v>0</v>
      </c>
      <c r="N55" s="20">
        <f>IFERROR(Calculations!$AG$617,"")</f>
        <v>0</v>
      </c>
      <c r="O55" s="20">
        <f>IFERROR(Calculations!$AH$617,"")</f>
        <v>0</v>
      </c>
    </row>
    <row r="56" spans="2:19">
      <c r="B56" s="11">
        <f>IF(Calculations!$U$618="","",Calculations!$U$618)</f>
        <v>0</v>
      </c>
      <c r="C56" s="20">
        <f>IFERROR(Calculations!$V$618,"")</f>
        <v>0</v>
      </c>
      <c r="D56" s="20">
        <f>IFERROR(Calculations!$W$618,"")</f>
        <v>0</v>
      </c>
      <c r="E56" s="20">
        <f>IFERROR(Calculations!$X$618,"")</f>
        <v>0</v>
      </c>
      <c r="F56" s="20">
        <f>IFERROR(Calculations!$Y$618,"")</f>
        <v>0</v>
      </c>
      <c r="G56" s="20">
        <f>IFERROR(Calculations!$Z$618,"")</f>
        <v>0</v>
      </c>
      <c r="H56" s="20">
        <f>IFERROR(Calculations!$AA$618,"")</f>
        <v>0</v>
      </c>
      <c r="I56" s="20">
        <f>IFERROR(Calculations!$AB$618,"")</f>
        <v>0</v>
      </c>
      <c r="J56" s="20">
        <f>IFERROR(Calculations!$AC$618,"")</f>
        <v>0</v>
      </c>
      <c r="K56" s="20">
        <f>IFERROR(Calculations!$AD$618,"")</f>
        <v>0</v>
      </c>
      <c r="L56" s="20">
        <f>IFERROR(Calculations!$AE$618,"")</f>
        <v>0</v>
      </c>
      <c r="M56" s="20">
        <f>IFERROR(Calculations!$AF$618,"")</f>
        <v>0</v>
      </c>
      <c r="N56" s="20">
        <f>IFERROR(Calculations!$AG$618,"")</f>
        <v>0</v>
      </c>
      <c r="O56" s="20">
        <f>IFERROR(Calculations!$AH$618,"")</f>
        <v>0</v>
      </c>
    </row>
    <row r="57" spans="2:19">
      <c r="B57" s="11">
        <f>IF(Calculations!$U$619="","",Calculations!$U$619)</f>
        <v>0</v>
      </c>
      <c r="C57" s="20">
        <f>IFERROR(Calculations!$V$619,"")</f>
        <v>0</v>
      </c>
      <c r="D57" s="20">
        <f>IFERROR(Calculations!$W$619,"")</f>
        <v>0</v>
      </c>
      <c r="E57" s="20">
        <f>IFERROR(Calculations!$X$619,"")</f>
        <v>0</v>
      </c>
      <c r="F57" s="20">
        <f>IFERROR(Calculations!$Y$619,"")</f>
        <v>0</v>
      </c>
      <c r="G57" s="20">
        <f>IFERROR(Calculations!$Z$619,"")</f>
        <v>0</v>
      </c>
      <c r="H57" s="20">
        <f>IFERROR(Calculations!$AA$619,"")</f>
        <v>0</v>
      </c>
      <c r="I57" s="20">
        <f>IFERROR(Calculations!$AB$619,"")</f>
        <v>0</v>
      </c>
      <c r="J57" s="20">
        <f>IFERROR(Calculations!$AC$619,"")</f>
        <v>0</v>
      </c>
      <c r="K57" s="20">
        <f>IFERROR(Calculations!$AD$619,"")</f>
        <v>0</v>
      </c>
      <c r="L57" s="20">
        <f>IFERROR(Calculations!$AE$619,"")</f>
        <v>0</v>
      </c>
      <c r="M57" s="20">
        <f>IFERROR(Calculations!$AF$619,"")</f>
        <v>0</v>
      </c>
      <c r="N57" s="20">
        <f>IFERROR(Calculations!$AG$619,"")</f>
        <v>0</v>
      </c>
      <c r="O57" s="20">
        <f>IFERROR(Calculations!$AH$619,"")</f>
        <v>0</v>
      </c>
    </row>
    <row r="58" spans="2:19">
      <c r="B58" s="11">
        <f>IF(Calculations!$U$620="","",Calculations!$U$620)</f>
        <v>0</v>
      </c>
      <c r="C58" s="20">
        <f>IFERROR(Calculations!$V$620,"")</f>
        <v>0</v>
      </c>
      <c r="D58" s="20">
        <f>IFERROR(Calculations!$W$620,"")</f>
        <v>0</v>
      </c>
      <c r="E58" s="20">
        <f>IFERROR(Calculations!$X$620,"")</f>
        <v>0</v>
      </c>
      <c r="F58" s="20">
        <f>IFERROR(Calculations!$Y$620,"")</f>
        <v>0</v>
      </c>
      <c r="G58" s="20">
        <f>IFERROR(Calculations!$Z$620,"")</f>
        <v>0</v>
      </c>
      <c r="H58" s="20">
        <f>IFERROR(Calculations!$AA$620,"")</f>
        <v>0</v>
      </c>
      <c r="I58" s="20">
        <f>IFERROR(Calculations!$AB$620,"")</f>
        <v>0</v>
      </c>
      <c r="J58" s="20">
        <f>IFERROR(Calculations!$AC$620,"")</f>
        <v>0</v>
      </c>
      <c r="K58" s="20">
        <f>IFERROR(Calculations!$AD$620,"")</f>
        <v>0</v>
      </c>
      <c r="L58" s="20">
        <f>IFERROR(Calculations!$AE$620,"")</f>
        <v>0</v>
      </c>
      <c r="M58" s="20">
        <f>IFERROR(Calculations!$AF$620,"")</f>
        <v>0</v>
      </c>
      <c r="N58" s="20">
        <f>IFERROR(Calculations!$AG$620,"")</f>
        <v>0</v>
      </c>
      <c r="O58" s="20">
        <f>IFERROR(Calculations!$AH$620,"")</f>
        <v>0</v>
      </c>
    </row>
    <row r="59" spans="2:19">
      <c r="B59" s="11">
        <f>IF(Calculations!$U$621="","",Calculations!$U$621)</f>
        <v>0</v>
      </c>
      <c r="C59" s="20">
        <f>IFERROR(Calculations!$V$621,"")</f>
        <v>0</v>
      </c>
      <c r="D59" s="20">
        <f>IFERROR(Calculations!$W$621,"")</f>
        <v>0</v>
      </c>
      <c r="E59" s="20">
        <f>IFERROR(Calculations!$X$621,"")</f>
        <v>0</v>
      </c>
      <c r="F59" s="20">
        <f>IFERROR(Calculations!$Y$621,"")</f>
        <v>0</v>
      </c>
      <c r="G59" s="20">
        <f>IFERROR(Calculations!$Z$621,"")</f>
        <v>0</v>
      </c>
      <c r="H59" s="20">
        <f>IFERROR(Calculations!$AA$621,"")</f>
        <v>0</v>
      </c>
      <c r="I59" s="20">
        <f>IFERROR(Calculations!$AB$621,"")</f>
        <v>0</v>
      </c>
      <c r="J59" s="20">
        <f>IFERROR(Calculations!$AC$621,"")</f>
        <v>0</v>
      </c>
      <c r="K59" s="20">
        <f>IFERROR(Calculations!$AD$621,"")</f>
        <v>0</v>
      </c>
      <c r="L59" s="20">
        <f>IFERROR(Calculations!$AE$621,"")</f>
        <v>0</v>
      </c>
      <c r="M59" s="20">
        <f>IFERROR(Calculations!$AF$621,"")</f>
        <v>0</v>
      </c>
      <c r="N59" s="20">
        <f>IFERROR(Calculations!$AG$621,"")</f>
        <v>0</v>
      </c>
      <c r="O59" s="20">
        <f>IFERROR(Calculations!$AH$621,"")</f>
        <v>0</v>
      </c>
    </row>
  </sheetData>
  <mergeCells count="27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N36:S36"/>
    <mergeCell ref="B52:S52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7" right="0.7" top="0.75" bottom="0.75" header="0.3" footer="0.3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2088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2089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Calculations!$N$642</f>
        <v>0</v>
      </c>
      <c r="C14" s="42"/>
      <c r="D14" s="42"/>
      <c r="E14" s="42"/>
      <c r="F14" s="44">
        <f>Calculations!$N$643</f>
        <v>0</v>
      </c>
      <c r="G14" s="44"/>
      <c r="H14" s="44"/>
      <c r="I14" s="44"/>
      <c r="J14" s="42">
        <f>Calculations!$N$644</f>
        <v>0</v>
      </c>
      <c r="K14" s="42"/>
      <c r="L14" s="42"/>
      <c r="M14" s="42"/>
      <c r="N14" s="42">
        <f>Calculations!$N$645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</row>
    <row r="19" spans="2:19">
      <c r="B19" s="40" t="s">
        <v>2090</v>
      </c>
      <c r="C19" s="40"/>
      <c r="D19" s="40"/>
      <c r="E19" s="40"/>
      <c r="F19" s="40" t="s">
        <v>2042</v>
      </c>
      <c r="G19" s="40"/>
      <c r="H19" s="40"/>
      <c r="I19" s="40"/>
    </row>
    <row r="20" spans="2:19">
      <c r="B20" s="42">
        <f>Calculations!$N$646</f>
        <v>0</v>
      </c>
      <c r="C20" s="42"/>
      <c r="D20" s="42"/>
      <c r="E20" s="42"/>
      <c r="F20" s="42">
        <f>Calculations!$N$647</f>
        <v>0</v>
      </c>
      <c r="G20" s="42"/>
      <c r="H20" s="42"/>
      <c r="I20" s="42"/>
    </row>
    <row r="21" spans="2:19">
      <c r="B21" s="42"/>
      <c r="C21" s="42"/>
      <c r="D21" s="42"/>
      <c r="E21" s="42"/>
      <c r="F21" s="42"/>
      <c r="G21" s="42"/>
      <c r="H21" s="42"/>
      <c r="I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2091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IF(Calculations!$U$642="","",Calculations!$U$642)</f>
        <v>0</v>
      </c>
      <c r="C60" s="20">
        <f>IFERROR(Calculations!$V$642,"")</f>
        <v>0</v>
      </c>
      <c r="D60" s="20">
        <f>IFERROR(Calculations!$W$642,"")</f>
        <v>0</v>
      </c>
      <c r="E60" s="20">
        <f>IFERROR(Calculations!$X$642,"")</f>
        <v>0</v>
      </c>
      <c r="F60" s="20">
        <f>IFERROR(Calculations!$Y$642,"")</f>
        <v>0</v>
      </c>
      <c r="G60" s="20">
        <f>IFERROR(Calculations!$Z$642,"")</f>
        <v>0</v>
      </c>
      <c r="H60" s="20">
        <f>IFERROR(Calculations!$AA$642,"")</f>
        <v>0</v>
      </c>
      <c r="I60" s="20">
        <f>IFERROR(Calculations!$AB$642,"")</f>
        <v>0</v>
      </c>
      <c r="J60" s="20">
        <f>IFERROR(Calculations!$AC$642,"")</f>
        <v>0</v>
      </c>
      <c r="K60" s="20">
        <f>IFERROR(Calculations!$AD$642,"")</f>
        <v>0</v>
      </c>
      <c r="L60" s="20">
        <f>IFERROR(Calculations!$AE$642,"")</f>
        <v>0</v>
      </c>
      <c r="M60" s="20">
        <f>IFERROR(Calculations!$AF$642,"")</f>
        <v>0</v>
      </c>
      <c r="N60" s="20">
        <f>IFERROR(Calculations!$AG$642,"")</f>
        <v>0</v>
      </c>
      <c r="O60" s="20">
        <f>IFERROR(Calculations!$AH$642,"")</f>
        <v>0</v>
      </c>
    </row>
    <row r="61" spans="2:19">
      <c r="B61" s="11">
        <f>IF(Calculations!$U$643="","",Calculations!$U$643)</f>
        <v>0</v>
      </c>
      <c r="C61" s="20">
        <f>IFERROR(Calculations!$V$643,"")</f>
        <v>0</v>
      </c>
      <c r="D61" s="20">
        <f>IFERROR(Calculations!$W$643,"")</f>
        <v>0</v>
      </c>
      <c r="E61" s="20">
        <f>IFERROR(Calculations!$X$643,"")</f>
        <v>0</v>
      </c>
      <c r="F61" s="20">
        <f>IFERROR(Calculations!$Y$643,"")</f>
        <v>0</v>
      </c>
      <c r="G61" s="20">
        <f>IFERROR(Calculations!$Z$643,"")</f>
        <v>0</v>
      </c>
      <c r="H61" s="20">
        <f>IFERROR(Calculations!$AA$643,"")</f>
        <v>0</v>
      </c>
      <c r="I61" s="20">
        <f>IFERROR(Calculations!$AB$643,"")</f>
        <v>0</v>
      </c>
      <c r="J61" s="20">
        <f>IFERROR(Calculations!$AC$643,"")</f>
        <v>0</v>
      </c>
      <c r="K61" s="20">
        <f>IFERROR(Calculations!$AD$643,"")</f>
        <v>0</v>
      </c>
      <c r="L61" s="20">
        <f>IFERROR(Calculations!$AE$643,"")</f>
        <v>0</v>
      </c>
      <c r="M61" s="20">
        <f>IFERROR(Calculations!$AF$643,"")</f>
        <v>0</v>
      </c>
      <c r="N61" s="20">
        <f>IFERROR(Calculations!$AG$643,"")</f>
        <v>0</v>
      </c>
      <c r="O61" s="20">
        <f>IFERROR(Calculations!$AH$643,"")</f>
        <v>0</v>
      </c>
    </row>
    <row r="62" spans="2:19">
      <c r="B62" s="11">
        <f>IF(Calculations!$U$644="","",Calculations!$U$644)</f>
        <v>0</v>
      </c>
      <c r="C62" s="20">
        <f>IFERROR(Calculations!$V$644,"")</f>
        <v>0</v>
      </c>
      <c r="D62" s="20">
        <f>IFERROR(Calculations!$W$644,"")</f>
        <v>0</v>
      </c>
      <c r="E62" s="20">
        <f>IFERROR(Calculations!$X$644,"")</f>
        <v>0</v>
      </c>
      <c r="F62" s="20">
        <f>IFERROR(Calculations!$Y$644,"")</f>
        <v>0</v>
      </c>
      <c r="G62" s="20">
        <f>IFERROR(Calculations!$Z$644,"")</f>
        <v>0</v>
      </c>
      <c r="H62" s="20">
        <f>IFERROR(Calculations!$AA$644,"")</f>
        <v>0</v>
      </c>
      <c r="I62" s="20">
        <f>IFERROR(Calculations!$AB$644,"")</f>
        <v>0</v>
      </c>
      <c r="J62" s="20">
        <f>IFERROR(Calculations!$AC$644,"")</f>
        <v>0</v>
      </c>
      <c r="K62" s="20">
        <f>IFERROR(Calculations!$AD$644,"")</f>
        <v>0</v>
      </c>
      <c r="L62" s="20">
        <f>IFERROR(Calculations!$AE$644,"")</f>
        <v>0</v>
      </c>
      <c r="M62" s="20">
        <f>IFERROR(Calculations!$AF$644,"")</f>
        <v>0</v>
      </c>
      <c r="N62" s="20">
        <f>IFERROR(Calculations!$AG$644,"")</f>
        <v>0</v>
      </c>
      <c r="O62" s="20">
        <f>IFERROR(Calculations!$AH$644,"")</f>
        <v>0</v>
      </c>
    </row>
    <row r="63" spans="2:19">
      <c r="B63" s="11">
        <f>IF(Calculations!$U$645="","",Calculations!$U$645)</f>
        <v>0</v>
      </c>
      <c r="C63" s="20">
        <f>IFERROR(Calculations!$V$645,"")</f>
        <v>0</v>
      </c>
      <c r="D63" s="20">
        <f>IFERROR(Calculations!$W$645,"")</f>
        <v>0</v>
      </c>
      <c r="E63" s="20">
        <f>IFERROR(Calculations!$X$645,"")</f>
        <v>0</v>
      </c>
      <c r="F63" s="20">
        <f>IFERROR(Calculations!$Y$645,"")</f>
        <v>0</v>
      </c>
      <c r="G63" s="20">
        <f>IFERROR(Calculations!$Z$645,"")</f>
        <v>0</v>
      </c>
      <c r="H63" s="20">
        <f>IFERROR(Calculations!$AA$645,"")</f>
        <v>0</v>
      </c>
      <c r="I63" s="20">
        <f>IFERROR(Calculations!$AB$645,"")</f>
        <v>0</v>
      </c>
      <c r="J63" s="20">
        <f>IFERROR(Calculations!$AC$645,"")</f>
        <v>0</v>
      </c>
      <c r="K63" s="20">
        <f>IFERROR(Calculations!$AD$645,"")</f>
        <v>0</v>
      </c>
      <c r="L63" s="20">
        <f>IFERROR(Calculations!$AE$645,"")</f>
        <v>0</v>
      </c>
      <c r="M63" s="20">
        <f>IFERROR(Calculations!$AF$645,"")</f>
        <v>0</v>
      </c>
      <c r="N63" s="20">
        <f>IFERROR(Calculations!$AG$645,"")</f>
        <v>0</v>
      </c>
      <c r="O63" s="20">
        <f>IFERROR(Calculations!$AH$645,"")</f>
        <v>0</v>
      </c>
    </row>
    <row r="64" spans="2:19">
      <c r="B64" s="11">
        <f>IF(Calculations!$U$646="","",Calculations!$U$646)</f>
        <v>0</v>
      </c>
      <c r="C64" s="20">
        <f>IFERROR(Calculations!$V$646,"")</f>
        <v>0</v>
      </c>
      <c r="D64" s="20">
        <f>IFERROR(Calculations!$W$646,"")</f>
        <v>0</v>
      </c>
      <c r="E64" s="20">
        <f>IFERROR(Calculations!$X$646,"")</f>
        <v>0</v>
      </c>
      <c r="F64" s="20">
        <f>IFERROR(Calculations!$Y$646,"")</f>
        <v>0</v>
      </c>
      <c r="G64" s="20">
        <f>IFERROR(Calculations!$Z$646,"")</f>
        <v>0</v>
      </c>
      <c r="H64" s="20">
        <f>IFERROR(Calculations!$AA$646,"")</f>
        <v>0</v>
      </c>
      <c r="I64" s="20">
        <f>IFERROR(Calculations!$AB$646,"")</f>
        <v>0</v>
      </c>
      <c r="J64" s="20">
        <f>IFERROR(Calculations!$AC$646,"")</f>
        <v>0</v>
      </c>
      <c r="K64" s="20">
        <f>IFERROR(Calculations!$AD$646,"")</f>
        <v>0</v>
      </c>
      <c r="L64" s="20">
        <f>IFERROR(Calculations!$AE$646,"")</f>
        <v>0</v>
      </c>
      <c r="M64" s="20">
        <f>IFERROR(Calculations!$AF$646,"")</f>
        <v>0</v>
      </c>
      <c r="N64" s="20">
        <f>IFERROR(Calculations!$AG$646,"")</f>
        <v>0</v>
      </c>
      <c r="O64" s="20">
        <f>IFERROR(Calculations!$AH$646,"")</f>
        <v>0</v>
      </c>
    </row>
    <row r="65" spans="2:15">
      <c r="B65" s="11">
        <f>IF(Calculations!$U$647="","",Calculations!$U$647)</f>
        <v>0</v>
      </c>
      <c r="C65" s="20">
        <f>IFERROR(Calculations!$V$647,"")</f>
        <v>0</v>
      </c>
      <c r="D65" s="20">
        <f>IFERROR(Calculations!$W$647,"")</f>
        <v>0</v>
      </c>
      <c r="E65" s="20">
        <f>IFERROR(Calculations!$X$647,"")</f>
        <v>0</v>
      </c>
      <c r="F65" s="20">
        <f>IFERROR(Calculations!$Y$647,"")</f>
        <v>0</v>
      </c>
      <c r="G65" s="20">
        <f>IFERROR(Calculations!$Z$647,"")</f>
        <v>0</v>
      </c>
      <c r="H65" s="20">
        <f>IFERROR(Calculations!$AA$647,"")</f>
        <v>0</v>
      </c>
      <c r="I65" s="20">
        <f>IFERROR(Calculations!$AB$647,"")</f>
        <v>0</v>
      </c>
      <c r="J65" s="20">
        <f>IFERROR(Calculations!$AC$647,"")</f>
        <v>0</v>
      </c>
      <c r="K65" s="20">
        <f>IFERROR(Calculations!$AD$647,"")</f>
        <v>0</v>
      </c>
      <c r="L65" s="20">
        <f>IFERROR(Calculations!$AE$647,"")</f>
        <v>0</v>
      </c>
      <c r="M65" s="20">
        <f>IFERROR(Calculations!$AF$647,"")</f>
        <v>0</v>
      </c>
      <c r="N65" s="20">
        <f>IFERROR(Calculations!$AG$647,"")</f>
        <v>0</v>
      </c>
      <c r="O65" s="20">
        <f>IFERROR(Calculations!$AH$647,"")</f>
        <v>0</v>
      </c>
    </row>
  </sheetData>
  <mergeCells count="3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7" right="0.7" top="0.75" bottom="0.75" header="0.3" footer="0.3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2092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2093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Calculations!$N$668</f>
        <v>0</v>
      </c>
      <c r="C14" s="42"/>
      <c r="D14" s="42"/>
      <c r="E14" s="42"/>
      <c r="F14" s="44">
        <f>Calculations!$N$669</f>
        <v>0</v>
      </c>
      <c r="G14" s="44"/>
      <c r="H14" s="44"/>
      <c r="I14" s="44"/>
      <c r="J14" s="42">
        <f>Calculations!$N$670</f>
        <v>0</v>
      </c>
      <c r="K14" s="42"/>
      <c r="L14" s="42"/>
      <c r="M14" s="42"/>
      <c r="N14" s="42">
        <f>Calculations!$N$671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</row>
    <row r="19" spans="2:19">
      <c r="B19" s="40" t="s">
        <v>2076</v>
      </c>
      <c r="C19" s="40"/>
      <c r="D19" s="40"/>
      <c r="E19" s="40"/>
    </row>
    <row r="20" spans="2:19">
      <c r="B20" s="42">
        <f>Calculations!$N$672</f>
        <v>0</v>
      </c>
      <c r="C20" s="42"/>
      <c r="D20" s="42"/>
      <c r="E20" s="42"/>
    </row>
    <row r="21" spans="2:19">
      <c r="B21" s="42"/>
      <c r="C21" s="42"/>
      <c r="D21" s="42"/>
      <c r="E21" s="42"/>
    </row>
    <row r="22" spans="2:19">
      <c r="B22" s="50" t="s">
        <v>1996</v>
      </c>
      <c r="C22" s="50"/>
      <c r="D22" s="50"/>
      <c r="E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2094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IF(Calculations!$U$668="","",Calculations!$U$668)</f>
        <v>0</v>
      </c>
      <c r="C60" s="20">
        <f>IFERROR(Calculations!$V$668,"")</f>
        <v>0</v>
      </c>
      <c r="D60" s="20">
        <f>IFERROR(Calculations!$W$668,"")</f>
        <v>0</v>
      </c>
      <c r="E60" s="20">
        <f>IFERROR(Calculations!$X$668,"")</f>
        <v>0</v>
      </c>
      <c r="F60" s="20">
        <f>IFERROR(Calculations!$Y$668,"")</f>
        <v>0</v>
      </c>
      <c r="G60" s="20">
        <f>IFERROR(Calculations!$Z$668,"")</f>
        <v>0</v>
      </c>
      <c r="H60" s="20">
        <f>IFERROR(Calculations!$AA$668,"")</f>
        <v>0</v>
      </c>
      <c r="I60" s="20">
        <f>IFERROR(Calculations!$AB$668,"")</f>
        <v>0</v>
      </c>
      <c r="J60" s="20">
        <f>IFERROR(Calculations!$AC$668,"")</f>
        <v>0</v>
      </c>
      <c r="K60" s="20">
        <f>IFERROR(Calculations!$AD$668,"")</f>
        <v>0</v>
      </c>
      <c r="L60" s="20">
        <f>IFERROR(Calculations!$AE$668,"")</f>
        <v>0</v>
      </c>
      <c r="M60" s="20">
        <f>IFERROR(Calculations!$AF$668,"")</f>
        <v>0</v>
      </c>
      <c r="N60" s="20">
        <f>IFERROR(Calculations!$AG$668,"")</f>
        <v>0</v>
      </c>
      <c r="O60" s="20">
        <f>IFERROR(Calculations!$AH$668,"")</f>
        <v>0</v>
      </c>
    </row>
    <row r="61" spans="2:19">
      <c r="B61" s="11">
        <f>IF(Calculations!$U$669="","",Calculations!$U$669)</f>
        <v>0</v>
      </c>
      <c r="C61" s="20">
        <f>IFERROR(Calculations!$V$669,"")</f>
        <v>0</v>
      </c>
      <c r="D61" s="20">
        <f>IFERROR(Calculations!$W$669,"")</f>
        <v>0</v>
      </c>
      <c r="E61" s="20">
        <f>IFERROR(Calculations!$X$669,"")</f>
        <v>0</v>
      </c>
      <c r="F61" s="20">
        <f>IFERROR(Calculations!$Y$669,"")</f>
        <v>0</v>
      </c>
      <c r="G61" s="20">
        <f>IFERROR(Calculations!$Z$669,"")</f>
        <v>0</v>
      </c>
      <c r="H61" s="20">
        <f>IFERROR(Calculations!$AA$669,"")</f>
        <v>0</v>
      </c>
      <c r="I61" s="20">
        <f>IFERROR(Calculations!$AB$669,"")</f>
        <v>0</v>
      </c>
      <c r="J61" s="20">
        <f>IFERROR(Calculations!$AC$669,"")</f>
        <v>0</v>
      </c>
      <c r="K61" s="20">
        <f>IFERROR(Calculations!$AD$669,"")</f>
        <v>0</v>
      </c>
      <c r="L61" s="20">
        <f>IFERROR(Calculations!$AE$669,"")</f>
        <v>0</v>
      </c>
      <c r="M61" s="20">
        <f>IFERROR(Calculations!$AF$669,"")</f>
        <v>0</v>
      </c>
      <c r="N61" s="20">
        <f>IFERROR(Calculations!$AG$669,"")</f>
        <v>0</v>
      </c>
      <c r="O61" s="20">
        <f>IFERROR(Calculations!$AH$669,"")</f>
        <v>0</v>
      </c>
    </row>
    <row r="62" spans="2:19">
      <c r="B62" s="11">
        <f>IF(Calculations!$U$670="","",Calculations!$U$670)</f>
        <v>0</v>
      </c>
      <c r="C62" s="20">
        <f>IFERROR(Calculations!$V$670,"")</f>
        <v>0</v>
      </c>
      <c r="D62" s="20">
        <f>IFERROR(Calculations!$W$670,"")</f>
        <v>0</v>
      </c>
      <c r="E62" s="20">
        <f>IFERROR(Calculations!$X$670,"")</f>
        <v>0</v>
      </c>
      <c r="F62" s="20">
        <f>IFERROR(Calculations!$Y$670,"")</f>
        <v>0</v>
      </c>
      <c r="G62" s="20">
        <f>IFERROR(Calculations!$Z$670,"")</f>
        <v>0</v>
      </c>
      <c r="H62" s="20">
        <f>IFERROR(Calculations!$AA$670,"")</f>
        <v>0</v>
      </c>
      <c r="I62" s="20">
        <f>IFERROR(Calculations!$AB$670,"")</f>
        <v>0</v>
      </c>
      <c r="J62" s="20">
        <f>IFERROR(Calculations!$AC$670,"")</f>
        <v>0</v>
      </c>
      <c r="K62" s="20">
        <f>IFERROR(Calculations!$AD$670,"")</f>
        <v>0</v>
      </c>
      <c r="L62" s="20">
        <f>IFERROR(Calculations!$AE$670,"")</f>
        <v>0</v>
      </c>
      <c r="M62" s="20">
        <f>IFERROR(Calculations!$AF$670,"")</f>
        <v>0</v>
      </c>
      <c r="N62" s="20">
        <f>IFERROR(Calculations!$AG$670,"")</f>
        <v>0</v>
      </c>
      <c r="O62" s="20">
        <f>IFERROR(Calculations!$AH$670,"")</f>
        <v>0</v>
      </c>
    </row>
    <row r="63" spans="2:19">
      <c r="B63" s="11">
        <f>IF(Calculations!$U$671="","",Calculations!$U$671)</f>
        <v>0</v>
      </c>
      <c r="C63" s="20">
        <f>IFERROR(Calculations!$V$671,"")</f>
        <v>0</v>
      </c>
      <c r="D63" s="20">
        <f>IFERROR(Calculations!$W$671,"")</f>
        <v>0</v>
      </c>
      <c r="E63" s="20">
        <f>IFERROR(Calculations!$X$671,"")</f>
        <v>0</v>
      </c>
      <c r="F63" s="20">
        <f>IFERROR(Calculations!$Y$671,"")</f>
        <v>0</v>
      </c>
      <c r="G63" s="20">
        <f>IFERROR(Calculations!$Z$671,"")</f>
        <v>0</v>
      </c>
      <c r="H63" s="20">
        <f>IFERROR(Calculations!$AA$671,"")</f>
        <v>0</v>
      </c>
      <c r="I63" s="20">
        <f>IFERROR(Calculations!$AB$671,"")</f>
        <v>0</v>
      </c>
      <c r="J63" s="20">
        <f>IFERROR(Calculations!$AC$671,"")</f>
        <v>0</v>
      </c>
      <c r="K63" s="20">
        <f>IFERROR(Calculations!$AD$671,"")</f>
        <v>0</v>
      </c>
      <c r="L63" s="20">
        <f>IFERROR(Calculations!$AE$671,"")</f>
        <v>0</v>
      </c>
      <c r="M63" s="20">
        <f>IFERROR(Calculations!$AF$671,"")</f>
        <v>0</v>
      </c>
      <c r="N63" s="20">
        <f>IFERROR(Calculations!$AG$671,"")</f>
        <v>0</v>
      </c>
      <c r="O63" s="20">
        <f>IFERROR(Calculations!$AH$671,"")</f>
        <v>0</v>
      </c>
    </row>
    <row r="64" spans="2:19">
      <c r="B64" s="11">
        <f>IF(Calculations!$U$672="","",Calculations!$U$672)</f>
        <v>0</v>
      </c>
      <c r="C64" s="20">
        <f>IFERROR(Calculations!$V$672,"")</f>
        <v>0</v>
      </c>
      <c r="D64" s="20">
        <f>IFERROR(Calculations!$W$672,"")</f>
        <v>0</v>
      </c>
      <c r="E64" s="20">
        <f>IFERROR(Calculations!$X$672,"")</f>
        <v>0</v>
      </c>
      <c r="F64" s="20">
        <f>IFERROR(Calculations!$Y$672,"")</f>
        <v>0</v>
      </c>
      <c r="G64" s="20">
        <f>IFERROR(Calculations!$Z$672,"")</f>
        <v>0</v>
      </c>
      <c r="H64" s="20">
        <f>IFERROR(Calculations!$AA$672,"")</f>
        <v>0</v>
      </c>
      <c r="I64" s="20">
        <f>IFERROR(Calculations!$AB$672,"")</f>
        <v>0</v>
      </c>
      <c r="J64" s="20">
        <f>IFERROR(Calculations!$AC$672,"")</f>
        <v>0</v>
      </c>
      <c r="K64" s="20">
        <f>IFERROR(Calculations!$AD$672,"")</f>
        <v>0</v>
      </c>
      <c r="L64" s="20">
        <f>IFERROR(Calculations!$AE$672,"")</f>
        <v>0</v>
      </c>
      <c r="M64" s="20">
        <f>IFERROR(Calculations!$AF$672,"")</f>
        <v>0</v>
      </c>
      <c r="N64" s="20">
        <f>IFERROR(Calculations!$AG$672,"")</f>
        <v>0</v>
      </c>
      <c r="O64" s="20">
        <f>IFERROR(Calculations!$AH$672,"")</f>
        <v>0</v>
      </c>
    </row>
    <row r="65" spans="2:15">
      <c r="B65" s="11">
        <f>IF(Calculations!$U$673="","",Calculations!$U$673)</f>
        <v>0</v>
      </c>
      <c r="C65" s="20">
        <f>IFERROR(Calculations!$V$673,"")</f>
        <v>0</v>
      </c>
      <c r="D65" s="20">
        <f>IFERROR(Calculations!$W$673,"")</f>
        <v>0</v>
      </c>
      <c r="E65" s="20">
        <f>IFERROR(Calculations!$X$673,"")</f>
        <v>0</v>
      </c>
      <c r="F65" s="20">
        <f>IFERROR(Calculations!$Y$673,"")</f>
        <v>0</v>
      </c>
      <c r="G65" s="20">
        <f>IFERROR(Calculations!$Z$673,"")</f>
        <v>0</v>
      </c>
      <c r="H65" s="20">
        <f>IFERROR(Calculations!$AA$673,"")</f>
        <v>0</v>
      </c>
      <c r="I65" s="20">
        <f>IFERROR(Calculations!$AB$673,"")</f>
        <v>0</v>
      </c>
      <c r="J65" s="20">
        <f>IFERROR(Calculations!$AC$673,"")</f>
        <v>0</v>
      </c>
      <c r="K65" s="20">
        <f>IFERROR(Calculations!$AD$673,"")</f>
        <v>0</v>
      </c>
      <c r="L65" s="20">
        <f>IFERROR(Calculations!$AE$673,"")</f>
        <v>0</v>
      </c>
      <c r="M65" s="20">
        <f>IFERROR(Calculations!$AF$673,"")</f>
        <v>0</v>
      </c>
      <c r="N65" s="20">
        <f>IFERROR(Calculations!$AG$673,"")</f>
        <v>0</v>
      </c>
      <c r="O65" s="20">
        <f>IFERROR(Calculations!$AH$673,"")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7" right="0.7" top="0.75" bottom="0.75" header="0.3" footer="0.3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2095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2096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Calculations!$N$694</f>
        <v>0</v>
      </c>
      <c r="C14" s="42"/>
      <c r="D14" s="42"/>
      <c r="E14" s="42"/>
      <c r="F14" s="44">
        <f>Calculations!$N$695</f>
        <v>0</v>
      </c>
      <c r="G14" s="44"/>
      <c r="H14" s="44"/>
      <c r="I14" s="44"/>
      <c r="J14" s="42">
        <f>Calculations!$N$696</f>
        <v>0</v>
      </c>
      <c r="K14" s="42"/>
      <c r="L14" s="42"/>
      <c r="M14" s="42"/>
      <c r="N14" s="42">
        <f>Calculations!$N$697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</row>
    <row r="19" spans="2:19">
      <c r="B19" s="40" t="s">
        <v>2020</v>
      </c>
      <c r="C19" s="40"/>
      <c r="D19" s="40"/>
      <c r="E19" s="40"/>
    </row>
    <row r="20" spans="2:19">
      <c r="B20" s="42">
        <f>Calculations!$N$698</f>
        <v>0</v>
      </c>
      <c r="C20" s="42"/>
      <c r="D20" s="42"/>
      <c r="E20" s="42"/>
    </row>
    <row r="21" spans="2:19">
      <c r="B21" s="42"/>
      <c r="C21" s="42"/>
      <c r="D21" s="42"/>
      <c r="E21" s="42"/>
    </row>
    <row r="22" spans="2:19">
      <c r="B22" s="50" t="s">
        <v>1996</v>
      </c>
      <c r="C22" s="50"/>
      <c r="D22" s="50"/>
      <c r="E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2097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IF(Calculations!$U$694="","",Calculations!$U$694)</f>
        <v>0</v>
      </c>
      <c r="C60" s="20">
        <f>IFERROR(Calculations!$V$694,"")</f>
        <v>0</v>
      </c>
      <c r="D60" s="20">
        <f>IFERROR(Calculations!$W$694,"")</f>
        <v>0</v>
      </c>
      <c r="E60" s="20">
        <f>IFERROR(Calculations!$X$694,"")</f>
        <v>0</v>
      </c>
      <c r="F60" s="20">
        <f>IFERROR(Calculations!$Y$694,"")</f>
        <v>0</v>
      </c>
      <c r="G60" s="20">
        <f>IFERROR(Calculations!$Z$694,"")</f>
        <v>0</v>
      </c>
      <c r="H60" s="20">
        <f>IFERROR(Calculations!$AA$694,"")</f>
        <v>0</v>
      </c>
      <c r="I60" s="20">
        <f>IFERROR(Calculations!$AB$694,"")</f>
        <v>0</v>
      </c>
      <c r="J60" s="20">
        <f>IFERROR(Calculations!$AC$694,"")</f>
        <v>0</v>
      </c>
      <c r="K60" s="20">
        <f>IFERROR(Calculations!$AD$694,"")</f>
        <v>0</v>
      </c>
      <c r="L60" s="20">
        <f>IFERROR(Calculations!$AE$694,"")</f>
        <v>0</v>
      </c>
      <c r="M60" s="20">
        <f>IFERROR(Calculations!$AF$694,"")</f>
        <v>0</v>
      </c>
      <c r="N60" s="20">
        <f>IFERROR(Calculations!$AG$694,"")</f>
        <v>0</v>
      </c>
      <c r="O60" s="20">
        <f>IFERROR(Calculations!$AH$694,"")</f>
        <v>0</v>
      </c>
    </row>
    <row r="61" spans="2:19">
      <c r="B61" s="11">
        <f>IF(Calculations!$U$695="","",Calculations!$U$695)</f>
        <v>0</v>
      </c>
      <c r="C61" s="20">
        <f>IFERROR(Calculations!$V$695,"")</f>
        <v>0</v>
      </c>
      <c r="D61" s="20">
        <f>IFERROR(Calculations!$W$695,"")</f>
        <v>0</v>
      </c>
      <c r="E61" s="20">
        <f>IFERROR(Calculations!$X$695,"")</f>
        <v>0</v>
      </c>
      <c r="F61" s="20">
        <f>IFERROR(Calculations!$Y$695,"")</f>
        <v>0</v>
      </c>
      <c r="G61" s="20">
        <f>IFERROR(Calculations!$Z$695,"")</f>
        <v>0</v>
      </c>
      <c r="H61" s="20">
        <f>IFERROR(Calculations!$AA$695,"")</f>
        <v>0</v>
      </c>
      <c r="I61" s="20">
        <f>IFERROR(Calculations!$AB$695,"")</f>
        <v>0</v>
      </c>
      <c r="J61" s="20">
        <f>IFERROR(Calculations!$AC$695,"")</f>
        <v>0</v>
      </c>
      <c r="K61" s="20">
        <f>IFERROR(Calculations!$AD$695,"")</f>
        <v>0</v>
      </c>
      <c r="L61" s="20">
        <f>IFERROR(Calculations!$AE$695,"")</f>
        <v>0</v>
      </c>
      <c r="M61" s="20">
        <f>IFERROR(Calculations!$AF$695,"")</f>
        <v>0</v>
      </c>
      <c r="N61" s="20">
        <f>IFERROR(Calculations!$AG$695,"")</f>
        <v>0</v>
      </c>
      <c r="O61" s="20">
        <f>IFERROR(Calculations!$AH$695,"")</f>
        <v>0</v>
      </c>
    </row>
    <row r="62" spans="2:19">
      <c r="B62" s="11">
        <f>IF(Calculations!$U$696="","",Calculations!$U$696)</f>
        <v>0</v>
      </c>
      <c r="C62" s="20">
        <f>IFERROR(Calculations!$V$696,"")</f>
        <v>0</v>
      </c>
      <c r="D62" s="20">
        <f>IFERROR(Calculations!$W$696,"")</f>
        <v>0</v>
      </c>
      <c r="E62" s="20">
        <f>IFERROR(Calculations!$X$696,"")</f>
        <v>0</v>
      </c>
      <c r="F62" s="20">
        <f>IFERROR(Calculations!$Y$696,"")</f>
        <v>0</v>
      </c>
      <c r="G62" s="20">
        <f>IFERROR(Calculations!$Z$696,"")</f>
        <v>0</v>
      </c>
      <c r="H62" s="20">
        <f>IFERROR(Calculations!$AA$696,"")</f>
        <v>0</v>
      </c>
      <c r="I62" s="20">
        <f>IFERROR(Calculations!$AB$696,"")</f>
        <v>0</v>
      </c>
      <c r="J62" s="20">
        <f>IFERROR(Calculations!$AC$696,"")</f>
        <v>0</v>
      </c>
      <c r="K62" s="20">
        <f>IFERROR(Calculations!$AD$696,"")</f>
        <v>0</v>
      </c>
      <c r="L62" s="20">
        <f>IFERROR(Calculations!$AE$696,"")</f>
        <v>0</v>
      </c>
      <c r="M62" s="20">
        <f>IFERROR(Calculations!$AF$696,"")</f>
        <v>0</v>
      </c>
      <c r="N62" s="20">
        <f>IFERROR(Calculations!$AG$696,"")</f>
        <v>0</v>
      </c>
      <c r="O62" s="20">
        <f>IFERROR(Calculations!$AH$696,"")</f>
        <v>0</v>
      </c>
    </row>
    <row r="63" spans="2:19">
      <c r="B63" s="11">
        <f>IF(Calculations!$U$697="","",Calculations!$U$697)</f>
        <v>0</v>
      </c>
      <c r="C63" s="20">
        <f>IFERROR(Calculations!$V$697,"")</f>
        <v>0</v>
      </c>
      <c r="D63" s="20">
        <f>IFERROR(Calculations!$W$697,"")</f>
        <v>0</v>
      </c>
      <c r="E63" s="20">
        <f>IFERROR(Calculations!$X$697,"")</f>
        <v>0</v>
      </c>
      <c r="F63" s="20">
        <f>IFERROR(Calculations!$Y$697,"")</f>
        <v>0</v>
      </c>
      <c r="G63" s="20">
        <f>IFERROR(Calculations!$Z$697,"")</f>
        <v>0</v>
      </c>
      <c r="H63" s="20">
        <f>IFERROR(Calculations!$AA$697,"")</f>
        <v>0</v>
      </c>
      <c r="I63" s="20">
        <f>IFERROR(Calculations!$AB$697,"")</f>
        <v>0</v>
      </c>
      <c r="J63" s="20">
        <f>IFERROR(Calculations!$AC$697,"")</f>
        <v>0</v>
      </c>
      <c r="K63" s="20">
        <f>IFERROR(Calculations!$AD$697,"")</f>
        <v>0</v>
      </c>
      <c r="L63" s="20">
        <f>IFERROR(Calculations!$AE$697,"")</f>
        <v>0</v>
      </c>
      <c r="M63" s="20">
        <f>IFERROR(Calculations!$AF$697,"")</f>
        <v>0</v>
      </c>
      <c r="N63" s="20">
        <f>IFERROR(Calculations!$AG$697,"")</f>
        <v>0</v>
      </c>
      <c r="O63" s="20">
        <f>IFERROR(Calculations!$AH$697,"")</f>
        <v>0</v>
      </c>
    </row>
    <row r="64" spans="2:19">
      <c r="B64" s="11">
        <f>IF(Calculations!$U$698="","",Calculations!$U$698)</f>
        <v>0</v>
      </c>
      <c r="C64" s="20">
        <f>IFERROR(Calculations!$V$698,"")</f>
        <v>0</v>
      </c>
      <c r="D64" s="20">
        <f>IFERROR(Calculations!$W$698,"")</f>
        <v>0</v>
      </c>
      <c r="E64" s="20">
        <f>IFERROR(Calculations!$X$698,"")</f>
        <v>0</v>
      </c>
      <c r="F64" s="20">
        <f>IFERROR(Calculations!$Y$698,"")</f>
        <v>0</v>
      </c>
      <c r="G64" s="20">
        <f>IFERROR(Calculations!$Z$698,"")</f>
        <v>0</v>
      </c>
      <c r="H64" s="20">
        <f>IFERROR(Calculations!$AA$698,"")</f>
        <v>0</v>
      </c>
      <c r="I64" s="20">
        <f>IFERROR(Calculations!$AB$698,"")</f>
        <v>0</v>
      </c>
      <c r="J64" s="20">
        <f>IFERROR(Calculations!$AC$698,"")</f>
        <v>0</v>
      </c>
      <c r="K64" s="20">
        <f>IFERROR(Calculations!$AD$698,"")</f>
        <v>0</v>
      </c>
      <c r="L64" s="20">
        <f>IFERROR(Calculations!$AE$698,"")</f>
        <v>0</v>
      </c>
      <c r="M64" s="20">
        <f>IFERROR(Calculations!$AF$698,"")</f>
        <v>0</v>
      </c>
      <c r="N64" s="20">
        <f>IFERROR(Calculations!$AG$698,"")</f>
        <v>0</v>
      </c>
      <c r="O64" s="20">
        <f>IFERROR(Calculations!$AH$698,"")</f>
        <v>0</v>
      </c>
    </row>
    <row r="65" spans="2:15">
      <c r="B65" s="11">
        <f>IF(Calculations!$U$699="","",Calculations!$U$699)</f>
        <v>0</v>
      </c>
      <c r="C65" s="20">
        <f>IFERROR(Calculations!$V$699,"")</f>
        <v>0</v>
      </c>
      <c r="D65" s="20">
        <f>IFERROR(Calculations!$W$699,"")</f>
        <v>0</v>
      </c>
      <c r="E65" s="20">
        <f>IFERROR(Calculations!$X$699,"")</f>
        <v>0</v>
      </c>
      <c r="F65" s="20">
        <f>IFERROR(Calculations!$Y$699,"")</f>
        <v>0</v>
      </c>
      <c r="G65" s="20">
        <f>IFERROR(Calculations!$Z$699,"")</f>
        <v>0</v>
      </c>
      <c r="H65" s="20">
        <f>IFERROR(Calculations!$AA$699,"")</f>
        <v>0</v>
      </c>
      <c r="I65" s="20">
        <f>IFERROR(Calculations!$AB$699,"")</f>
        <v>0</v>
      </c>
      <c r="J65" s="20">
        <f>IFERROR(Calculations!$AC$699,"")</f>
        <v>0</v>
      </c>
      <c r="K65" s="20">
        <f>IFERROR(Calculations!$AD$699,"")</f>
        <v>0</v>
      </c>
      <c r="L65" s="20">
        <f>IFERROR(Calculations!$AE$699,"")</f>
        <v>0</v>
      </c>
      <c r="M65" s="20">
        <f>IFERROR(Calculations!$AF$699,"")</f>
        <v>0</v>
      </c>
      <c r="N65" s="20">
        <f>IFERROR(Calculations!$AG$699,"")</f>
        <v>0</v>
      </c>
      <c r="O65" s="20">
        <f>IFERROR(Calculations!$AH$699,"")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7" right="0.7" top="0.75" bottom="0.75" header="0.3" footer="0.3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2098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2099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Calculations!$N$720</f>
        <v>0</v>
      </c>
      <c r="C14" s="42"/>
      <c r="D14" s="42"/>
      <c r="E14" s="42"/>
      <c r="F14" s="44">
        <f>Calculations!$N$721</f>
        <v>0</v>
      </c>
      <c r="G14" s="44"/>
      <c r="H14" s="44"/>
      <c r="I14" s="44"/>
      <c r="J14" s="42">
        <f>Calculations!$N$722</f>
        <v>0</v>
      </c>
      <c r="K14" s="42"/>
      <c r="L14" s="42"/>
      <c r="M14" s="42"/>
      <c r="N14" s="42">
        <f>Calculations!$N$723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</row>
    <row r="19" spans="2:19">
      <c r="B19" s="40" t="s">
        <v>2020</v>
      </c>
      <c r="C19" s="40"/>
      <c r="D19" s="40"/>
      <c r="E19" s="40"/>
    </row>
    <row r="20" spans="2:19">
      <c r="B20" s="42">
        <f>Calculations!$N$724</f>
        <v>0</v>
      </c>
      <c r="C20" s="42"/>
      <c r="D20" s="42"/>
      <c r="E20" s="42"/>
    </row>
    <row r="21" spans="2:19">
      <c r="B21" s="42"/>
      <c r="C21" s="42"/>
      <c r="D21" s="42"/>
      <c r="E21" s="42"/>
    </row>
    <row r="22" spans="2:19">
      <c r="B22" s="50" t="s">
        <v>1996</v>
      </c>
      <c r="C22" s="50"/>
      <c r="D22" s="50"/>
      <c r="E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2100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IF(Calculations!$U$720="","",Calculations!$U$720)</f>
        <v>0</v>
      </c>
      <c r="C60" s="20">
        <f>IFERROR(Calculations!$V$720,"")</f>
        <v>0</v>
      </c>
      <c r="D60" s="20">
        <f>IFERROR(Calculations!$W$720,"")</f>
        <v>0</v>
      </c>
      <c r="E60" s="20">
        <f>IFERROR(Calculations!$X$720,"")</f>
        <v>0</v>
      </c>
      <c r="F60" s="20">
        <f>IFERROR(Calculations!$Y$720,"")</f>
        <v>0</v>
      </c>
      <c r="G60" s="20">
        <f>IFERROR(Calculations!$Z$720,"")</f>
        <v>0</v>
      </c>
      <c r="H60" s="20">
        <f>IFERROR(Calculations!$AA$720,"")</f>
        <v>0</v>
      </c>
      <c r="I60" s="20">
        <f>IFERROR(Calculations!$AB$720,"")</f>
        <v>0</v>
      </c>
      <c r="J60" s="20">
        <f>IFERROR(Calculations!$AC$720,"")</f>
        <v>0</v>
      </c>
      <c r="K60" s="20">
        <f>IFERROR(Calculations!$AD$720,"")</f>
        <v>0</v>
      </c>
      <c r="L60" s="20">
        <f>IFERROR(Calculations!$AE$720,"")</f>
        <v>0</v>
      </c>
      <c r="M60" s="20">
        <f>IFERROR(Calculations!$AF$720,"")</f>
        <v>0</v>
      </c>
      <c r="N60" s="20">
        <f>IFERROR(Calculations!$AG$720,"")</f>
        <v>0</v>
      </c>
      <c r="O60" s="20">
        <f>IFERROR(Calculations!$AH$720,"")</f>
        <v>0</v>
      </c>
    </row>
    <row r="61" spans="2:19">
      <c r="B61" s="11">
        <f>IF(Calculations!$U$721="","",Calculations!$U$721)</f>
        <v>0</v>
      </c>
      <c r="C61" s="20">
        <f>IFERROR(Calculations!$V$721,"")</f>
        <v>0</v>
      </c>
      <c r="D61" s="20">
        <f>IFERROR(Calculations!$W$721,"")</f>
        <v>0</v>
      </c>
      <c r="E61" s="20">
        <f>IFERROR(Calculations!$X$721,"")</f>
        <v>0</v>
      </c>
      <c r="F61" s="20">
        <f>IFERROR(Calculations!$Y$721,"")</f>
        <v>0</v>
      </c>
      <c r="G61" s="20">
        <f>IFERROR(Calculations!$Z$721,"")</f>
        <v>0</v>
      </c>
      <c r="H61" s="20">
        <f>IFERROR(Calculations!$AA$721,"")</f>
        <v>0</v>
      </c>
      <c r="I61" s="20">
        <f>IFERROR(Calculations!$AB$721,"")</f>
        <v>0</v>
      </c>
      <c r="J61" s="20">
        <f>IFERROR(Calculations!$AC$721,"")</f>
        <v>0</v>
      </c>
      <c r="K61" s="20">
        <f>IFERROR(Calculations!$AD$721,"")</f>
        <v>0</v>
      </c>
      <c r="L61" s="20">
        <f>IFERROR(Calculations!$AE$721,"")</f>
        <v>0</v>
      </c>
      <c r="M61" s="20">
        <f>IFERROR(Calculations!$AF$721,"")</f>
        <v>0</v>
      </c>
      <c r="N61" s="20">
        <f>IFERROR(Calculations!$AG$721,"")</f>
        <v>0</v>
      </c>
      <c r="O61" s="20">
        <f>IFERROR(Calculations!$AH$721,"")</f>
        <v>0</v>
      </c>
    </row>
    <row r="62" spans="2:19">
      <c r="B62" s="11">
        <f>IF(Calculations!$U$722="","",Calculations!$U$722)</f>
        <v>0</v>
      </c>
      <c r="C62" s="20">
        <f>IFERROR(Calculations!$V$722,"")</f>
        <v>0</v>
      </c>
      <c r="D62" s="20">
        <f>IFERROR(Calculations!$W$722,"")</f>
        <v>0</v>
      </c>
      <c r="E62" s="20">
        <f>IFERROR(Calculations!$X$722,"")</f>
        <v>0</v>
      </c>
      <c r="F62" s="20">
        <f>IFERROR(Calculations!$Y$722,"")</f>
        <v>0</v>
      </c>
      <c r="G62" s="20">
        <f>IFERROR(Calculations!$Z$722,"")</f>
        <v>0</v>
      </c>
      <c r="H62" s="20">
        <f>IFERROR(Calculations!$AA$722,"")</f>
        <v>0</v>
      </c>
      <c r="I62" s="20">
        <f>IFERROR(Calculations!$AB$722,"")</f>
        <v>0</v>
      </c>
      <c r="J62" s="20">
        <f>IFERROR(Calculations!$AC$722,"")</f>
        <v>0</v>
      </c>
      <c r="K62" s="20">
        <f>IFERROR(Calculations!$AD$722,"")</f>
        <v>0</v>
      </c>
      <c r="L62" s="20">
        <f>IFERROR(Calculations!$AE$722,"")</f>
        <v>0</v>
      </c>
      <c r="M62" s="20">
        <f>IFERROR(Calculations!$AF$722,"")</f>
        <v>0</v>
      </c>
      <c r="N62" s="20">
        <f>IFERROR(Calculations!$AG$722,"")</f>
        <v>0</v>
      </c>
      <c r="O62" s="20">
        <f>IFERROR(Calculations!$AH$722,"")</f>
        <v>0</v>
      </c>
    </row>
    <row r="63" spans="2:19">
      <c r="B63" s="11">
        <f>IF(Calculations!$U$723="","",Calculations!$U$723)</f>
        <v>0</v>
      </c>
      <c r="C63" s="20">
        <f>IFERROR(Calculations!$V$723,"")</f>
        <v>0</v>
      </c>
      <c r="D63" s="20">
        <f>IFERROR(Calculations!$W$723,"")</f>
        <v>0</v>
      </c>
      <c r="E63" s="20">
        <f>IFERROR(Calculations!$X$723,"")</f>
        <v>0</v>
      </c>
      <c r="F63" s="20">
        <f>IFERROR(Calculations!$Y$723,"")</f>
        <v>0</v>
      </c>
      <c r="G63" s="20">
        <f>IFERROR(Calculations!$Z$723,"")</f>
        <v>0</v>
      </c>
      <c r="H63" s="20">
        <f>IFERROR(Calculations!$AA$723,"")</f>
        <v>0</v>
      </c>
      <c r="I63" s="20">
        <f>IFERROR(Calculations!$AB$723,"")</f>
        <v>0</v>
      </c>
      <c r="J63" s="20">
        <f>IFERROR(Calculations!$AC$723,"")</f>
        <v>0</v>
      </c>
      <c r="K63" s="20">
        <f>IFERROR(Calculations!$AD$723,"")</f>
        <v>0</v>
      </c>
      <c r="L63" s="20">
        <f>IFERROR(Calculations!$AE$723,"")</f>
        <v>0</v>
      </c>
      <c r="M63" s="20">
        <f>IFERROR(Calculations!$AF$723,"")</f>
        <v>0</v>
      </c>
      <c r="N63" s="20">
        <f>IFERROR(Calculations!$AG$723,"")</f>
        <v>0</v>
      </c>
      <c r="O63" s="20">
        <f>IFERROR(Calculations!$AH$723,"")</f>
        <v>0</v>
      </c>
    </row>
    <row r="64" spans="2:19">
      <c r="B64" s="11">
        <f>IF(Calculations!$U$724="","",Calculations!$U$724)</f>
        <v>0</v>
      </c>
      <c r="C64" s="20">
        <f>IFERROR(Calculations!$V$724,"")</f>
        <v>0</v>
      </c>
      <c r="D64" s="20">
        <f>IFERROR(Calculations!$W$724,"")</f>
        <v>0</v>
      </c>
      <c r="E64" s="20">
        <f>IFERROR(Calculations!$X$724,"")</f>
        <v>0</v>
      </c>
      <c r="F64" s="20">
        <f>IFERROR(Calculations!$Y$724,"")</f>
        <v>0</v>
      </c>
      <c r="G64" s="20">
        <f>IFERROR(Calculations!$Z$724,"")</f>
        <v>0</v>
      </c>
      <c r="H64" s="20">
        <f>IFERROR(Calculations!$AA$724,"")</f>
        <v>0</v>
      </c>
      <c r="I64" s="20">
        <f>IFERROR(Calculations!$AB$724,"")</f>
        <v>0</v>
      </c>
      <c r="J64" s="20">
        <f>IFERROR(Calculations!$AC$724,"")</f>
        <v>0</v>
      </c>
      <c r="K64" s="20">
        <f>IFERROR(Calculations!$AD$724,"")</f>
        <v>0</v>
      </c>
      <c r="L64" s="20">
        <f>IFERROR(Calculations!$AE$724,"")</f>
        <v>0</v>
      </c>
      <c r="M64" s="20">
        <f>IFERROR(Calculations!$AF$724,"")</f>
        <v>0</v>
      </c>
      <c r="N64" s="20">
        <f>IFERROR(Calculations!$AG$724,"")</f>
        <v>0</v>
      </c>
      <c r="O64" s="20">
        <f>IFERROR(Calculations!$AH$724,"")</f>
        <v>0</v>
      </c>
    </row>
    <row r="65" spans="2:15">
      <c r="B65" s="11">
        <f>IF(Calculations!$U$725="","",Calculations!$U$725)</f>
        <v>0</v>
      </c>
      <c r="C65" s="20">
        <f>IFERROR(Calculations!$V$725,"")</f>
        <v>0</v>
      </c>
      <c r="D65" s="20">
        <f>IFERROR(Calculations!$W$725,"")</f>
        <v>0</v>
      </c>
      <c r="E65" s="20">
        <f>IFERROR(Calculations!$X$725,"")</f>
        <v>0</v>
      </c>
      <c r="F65" s="20">
        <f>IFERROR(Calculations!$Y$725,"")</f>
        <v>0</v>
      </c>
      <c r="G65" s="20">
        <f>IFERROR(Calculations!$Z$725,"")</f>
        <v>0</v>
      </c>
      <c r="H65" s="20">
        <f>IFERROR(Calculations!$AA$725,"")</f>
        <v>0</v>
      </c>
      <c r="I65" s="20">
        <f>IFERROR(Calculations!$AB$725,"")</f>
        <v>0</v>
      </c>
      <c r="J65" s="20">
        <f>IFERROR(Calculations!$AC$725,"")</f>
        <v>0</v>
      </c>
      <c r="K65" s="20">
        <f>IFERROR(Calculations!$AD$725,"")</f>
        <v>0</v>
      </c>
      <c r="L65" s="20">
        <f>IFERROR(Calculations!$AE$725,"")</f>
        <v>0</v>
      </c>
      <c r="M65" s="20">
        <f>IFERROR(Calculations!$AF$725,"")</f>
        <v>0</v>
      </c>
      <c r="N65" s="20">
        <f>IFERROR(Calculations!$AG$725,"")</f>
        <v>0</v>
      </c>
      <c r="O65" s="20">
        <f>IFERROR(Calculations!$AH$725,"")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7" right="0.7" top="0.75" bottom="0.75" header="0.3" footer="0.3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4" t="s">
        <v>2101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 t="s">
        <v>1919</v>
      </c>
      <c r="O2" s="35"/>
      <c r="P2" s="35"/>
      <c r="Q2" s="35"/>
      <c r="R2" s="35"/>
      <c r="S2" s="35"/>
    </row>
    <row r="3" spans="2:19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</row>
    <row r="4" spans="2:19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</row>
    <row r="5" spans="2:19">
      <c r="B5" s="36" t="s">
        <v>2102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5"/>
      <c r="O5" s="35"/>
      <c r="P5" s="35"/>
      <c r="Q5" s="35"/>
      <c r="R5" s="35"/>
      <c r="S5" s="35"/>
    </row>
    <row r="6" spans="2:19" ht="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</row>
    <row r="7" spans="2:19">
      <c r="O7" s="27" t="s">
        <v>1879</v>
      </c>
      <c r="Q7" s="28">
        <f>LastRefresh</f>
        <v>0</v>
      </c>
    </row>
    <row r="9" spans="2:19">
      <c r="B9" s="37" t="s">
        <v>1920</v>
      </c>
      <c r="C9" s="37" t="s">
        <v>1921</v>
      </c>
      <c r="D9" s="37" t="s">
        <v>1922</v>
      </c>
      <c r="E9" s="37"/>
      <c r="F9" s="37" t="s">
        <v>1993</v>
      </c>
      <c r="G9" s="37"/>
      <c r="H9" s="37"/>
    </row>
    <row r="11" spans="2:19">
      <c r="B11" s="9" t="s">
        <v>1994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49"/>
      <c r="C12" s="49"/>
      <c r="D12" s="49"/>
      <c r="E12" s="49"/>
      <c r="F12" s="46"/>
      <c r="G12" s="46"/>
      <c r="H12" s="46"/>
      <c r="I12" s="46"/>
      <c r="J12" s="48"/>
      <c r="K12" s="48"/>
      <c r="L12" s="48"/>
      <c r="M12" s="48"/>
      <c r="N12" s="39"/>
      <c r="O12" s="39"/>
      <c r="P12" s="39"/>
      <c r="Q12" s="39"/>
    </row>
    <row r="13" spans="2:19">
      <c r="B13" s="40" t="s">
        <v>1995</v>
      </c>
      <c r="C13" s="40"/>
      <c r="D13" s="40"/>
      <c r="E13" s="40"/>
      <c r="F13" s="40" t="s">
        <v>2006</v>
      </c>
      <c r="G13" s="40"/>
      <c r="H13" s="40"/>
      <c r="I13" s="40"/>
      <c r="J13" s="40" t="s">
        <v>2007</v>
      </c>
      <c r="K13" s="40"/>
      <c r="L13" s="40"/>
      <c r="M13" s="40"/>
      <c r="N13" s="40" t="s">
        <v>2013</v>
      </c>
      <c r="O13" s="40"/>
      <c r="P13" s="40"/>
      <c r="Q13" s="40"/>
    </row>
    <row r="14" spans="2:19">
      <c r="B14" s="42">
        <f>Calculations!$N$746</f>
        <v>0</v>
      </c>
      <c r="C14" s="42"/>
      <c r="D14" s="42"/>
      <c r="E14" s="42"/>
      <c r="F14" s="44">
        <f>Calculations!$N$747</f>
        <v>0</v>
      </c>
      <c r="G14" s="44"/>
      <c r="H14" s="44"/>
      <c r="I14" s="44"/>
      <c r="J14" s="42">
        <f>Calculations!$N$748</f>
        <v>0</v>
      </c>
      <c r="K14" s="42"/>
      <c r="L14" s="42"/>
      <c r="M14" s="42"/>
      <c r="N14" s="42">
        <f>Calculations!$N$749</f>
        <v>0</v>
      </c>
      <c r="O14" s="42"/>
      <c r="P14" s="42"/>
      <c r="Q14" s="42"/>
    </row>
    <row r="15" spans="2:19">
      <c r="B15" s="42"/>
      <c r="C15" s="42"/>
      <c r="D15" s="42"/>
      <c r="E15" s="42"/>
      <c r="F15" s="44"/>
      <c r="G15" s="44"/>
      <c r="H15" s="44"/>
      <c r="I15" s="44"/>
      <c r="J15" s="42"/>
      <c r="K15" s="42"/>
      <c r="L15" s="42"/>
      <c r="M15" s="42"/>
      <c r="N15" s="42"/>
      <c r="O15" s="42"/>
      <c r="P15" s="42"/>
      <c r="Q15" s="42"/>
    </row>
    <row r="16" spans="2:19">
      <c r="B16" s="50" t="s">
        <v>1996</v>
      </c>
      <c r="C16" s="50"/>
      <c r="D16" s="50"/>
      <c r="E16" s="50"/>
      <c r="F16" s="50" t="s">
        <v>1996</v>
      </c>
      <c r="G16" s="50"/>
      <c r="H16" s="50"/>
      <c r="I16" s="50"/>
      <c r="J16" s="50" t="s">
        <v>1996</v>
      </c>
      <c r="K16" s="50"/>
      <c r="L16" s="50"/>
      <c r="M16" s="50"/>
      <c r="N16" s="50" t="s">
        <v>1996</v>
      </c>
      <c r="O16" s="50"/>
      <c r="P16" s="50"/>
      <c r="Q16" s="50"/>
    </row>
    <row r="18" spans="2:19" ht="4" customHeight="1">
      <c r="B18" s="49"/>
      <c r="C18" s="49"/>
      <c r="D18" s="49"/>
      <c r="E18" s="49"/>
      <c r="F18" s="46"/>
      <c r="G18" s="46"/>
      <c r="H18" s="46"/>
      <c r="I18" s="46"/>
    </row>
    <row r="19" spans="2:19">
      <c r="B19" s="40" t="s">
        <v>2103</v>
      </c>
      <c r="C19" s="40"/>
      <c r="D19" s="40"/>
      <c r="E19" s="40"/>
      <c r="F19" s="40" t="s">
        <v>1929</v>
      </c>
      <c r="G19" s="40"/>
      <c r="H19" s="40"/>
      <c r="I19" s="40"/>
    </row>
    <row r="20" spans="2:19">
      <c r="B20" s="42">
        <f>Calculations!$N$750</f>
        <v>0</v>
      </c>
      <c r="C20" s="42"/>
      <c r="D20" s="42"/>
      <c r="E20" s="42"/>
      <c r="F20" s="42">
        <f>Calculations!$N$751</f>
        <v>0</v>
      </c>
      <c r="G20" s="42"/>
      <c r="H20" s="42"/>
      <c r="I20" s="42"/>
    </row>
    <row r="21" spans="2:19">
      <c r="B21" s="42"/>
      <c r="C21" s="42"/>
      <c r="D21" s="42"/>
      <c r="E21" s="42"/>
      <c r="F21" s="42"/>
      <c r="G21" s="42"/>
      <c r="H21" s="42"/>
      <c r="I21" s="42"/>
    </row>
    <row r="22" spans="2:19">
      <c r="B22" s="50" t="s">
        <v>1996</v>
      </c>
      <c r="C22" s="50"/>
      <c r="D22" s="50"/>
      <c r="E22" s="50"/>
      <c r="F22" s="50" t="s">
        <v>1996</v>
      </c>
      <c r="G22" s="50"/>
      <c r="H22" s="50"/>
      <c r="I22" s="50"/>
    </row>
    <row r="24" spans="2:19">
      <c r="B24" s="9" t="s">
        <v>2000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41" spans="2:19">
      <c r="B41" s="9" t="s">
        <v>2001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2:19">
      <c r="N42" s="8" t="s">
        <v>2104</v>
      </c>
      <c r="O42" s="8"/>
      <c r="P42" s="8"/>
      <c r="Q42" s="8"/>
      <c r="R42" s="8"/>
      <c r="S42" s="8"/>
    </row>
    <row r="58" spans="2:19">
      <c r="B58" s="9" t="s">
        <v>2003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</row>
    <row r="59" spans="2:19">
      <c r="B59" s="10" t="s">
        <v>1826</v>
      </c>
      <c r="C59" s="10" t="s">
        <v>3</v>
      </c>
      <c r="D59" s="10" t="s">
        <v>19</v>
      </c>
      <c r="E59" s="10" t="s">
        <v>44</v>
      </c>
      <c r="F59" s="10" t="s">
        <v>53</v>
      </c>
      <c r="G59" s="10" t="s">
        <v>60</v>
      </c>
      <c r="H59" s="10" t="s">
        <v>73</v>
      </c>
      <c r="I59" s="10" t="s">
        <v>76</v>
      </c>
      <c r="J59" s="10" t="s">
        <v>86</v>
      </c>
      <c r="K59" s="10" t="s">
        <v>102</v>
      </c>
      <c r="L59" s="10" t="s">
        <v>106</v>
      </c>
      <c r="M59" s="10" t="s">
        <v>111</v>
      </c>
      <c r="N59" s="10" t="s">
        <v>122</v>
      </c>
      <c r="O59" s="10" t="s">
        <v>1827</v>
      </c>
    </row>
    <row r="60" spans="2:19">
      <c r="B60" s="11">
        <f>IF(Calculations!$U$746="","",Calculations!$U$746)</f>
        <v>0</v>
      </c>
      <c r="C60" s="20">
        <f>IFERROR(Calculations!$V$746,"")</f>
        <v>0</v>
      </c>
      <c r="D60" s="20">
        <f>IFERROR(Calculations!$W$746,"")</f>
        <v>0</v>
      </c>
      <c r="E60" s="20">
        <f>IFERROR(Calculations!$X$746,"")</f>
        <v>0</v>
      </c>
      <c r="F60" s="20">
        <f>IFERROR(Calculations!$Y$746,"")</f>
        <v>0</v>
      </c>
      <c r="G60" s="20">
        <f>IFERROR(Calculations!$Z$746,"")</f>
        <v>0</v>
      </c>
      <c r="H60" s="20">
        <f>IFERROR(Calculations!$AA$746,"")</f>
        <v>0</v>
      </c>
      <c r="I60" s="20">
        <f>IFERROR(Calculations!$AB$746,"")</f>
        <v>0</v>
      </c>
      <c r="J60" s="20">
        <f>IFERROR(Calculations!$AC$746,"")</f>
        <v>0</v>
      </c>
      <c r="K60" s="20">
        <f>IFERROR(Calculations!$AD$746,"")</f>
        <v>0</v>
      </c>
      <c r="L60" s="20">
        <f>IFERROR(Calculations!$AE$746,"")</f>
        <v>0</v>
      </c>
      <c r="M60" s="20">
        <f>IFERROR(Calculations!$AF$746,"")</f>
        <v>0</v>
      </c>
      <c r="N60" s="20">
        <f>IFERROR(Calculations!$AG$746,"")</f>
        <v>0</v>
      </c>
      <c r="O60" s="20">
        <f>IFERROR(Calculations!$AH$746,"")</f>
        <v>0</v>
      </c>
    </row>
    <row r="61" spans="2:19">
      <c r="B61" s="11">
        <f>IF(Calculations!$U$747="","",Calculations!$U$747)</f>
        <v>0</v>
      </c>
      <c r="C61" s="20">
        <f>IFERROR(Calculations!$V$747,"")</f>
        <v>0</v>
      </c>
      <c r="D61" s="20">
        <f>IFERROR(Calculations!$W$747,"")</f>
        <v>0</v>
      </c>
      <c r="E61" s="20">
        <f>IFERROR(Calculations!$X$747,"")</f>
        <v>0</v>
      </c>
      <c r="F61" s="20">
        <f>IFERROR(Calculations!$Y$747,"")</f>
        <v>0</v>
      </c>
      <c r="G61" s="20">
        <f>IFERROR(Calculations!$Z$747,"")</f>
        <v>0</v>
      </c>
      <c r="H61" s="20">
        <f>IFERROR(Calculations!$AA$747,"")</f>
        <v>0</v>
      </c>
      <c r="I61" s="20">
        <f>IFERROR(Calculations!$AB$747,"")</f>
        <v>0</v>
      </c>
      <c r="J61" s="20">
        <f>IFERROR(Calculations!$AC$747,"")</f>
        <v>0</v>
      </c>
      <c r="K61" s="20">
        <f>IFERROR(Calculations!$AD$747,"")</f>
        <v>0</v>
      </c>
      <c r="L61" s="20">
        <f>IFERROR(Calculations!$AE$747,"")</f>
        <v>0</v>
      </c>
      <c r="M61" s="20">
        <f>IFERROR(Calculations!$AF$747,"")</f>
        <v>0</v>
      </c>
      <c r="N61" s="20">
        <f>IFERROR(Calculations!$AG$747,"")</f>
        <v>0</v>
      </c>
      <c r="O61" s="20">
        <f>IFERROR(Calculations!$AH$747,"")</f>
        <v>0</v>
      </c>
    </row>
    <row r="62" spans="2:19">
      <c r="B62" s="11">
        <f>IF(Calculations!$U$748="","",Calculations!$U$748)</f>
        <v>0</v>
      </c>
      <c r="C62" s="20">
        <f>IFERROR(Calculations!$V$748,"")</f>
        <v>0</v>
      </c>
      <c r="D62" s="20">
        <f>IFERROR(Calculations!$W$748,"")</f>
        <v>0</v>
      </c>
      <c r="E62" s="20">
        <f>IFERROR(Calculations!$X$748,"")</f>
        <v>0</v>
      </c>
      <c r="F62" s="20">
        <f>IFERROR(Calculations!$Y$748,"")</f>
        <v>0</v>
      </c>
      <c r="G62" s="20">
        <f>IFERROR(Calculations!$Z$748,"")</f>
        <v>0</v>
      </c>
      <c r="H62" s="20">
        <f>IFERROR(Calculations!$AA$748,"")</f>
        <v>0</v>
      </c>
      <c r="I62" s="20">
        <f>IFERROR(Calculations!$AB$748,"")</f>
        <v>0</v>
      </c>
      <c r="J62" s="20">
        <f>IFERROR(Calculations!$AC$748,"")</f>
        <v>0</v>
      </c>
      <c r="K62" s="20">
        <f>IFERROR(Calculations!$AD$748,"")</f>
        <v>0</v>
      </c>
      <c r="L62" s="20">
        <f>IFERROR(Calculations!$AE$748,"")</f>
        <v>0</v>
      </c>
      <c r="M62" s="20">
        <f>IFERROR(Calculations!$AF$748,"")</f>
        <v>0</v>
      </c>
      <c r="N62" s="20">
        <f>IFERROR(Calculations!$AG$748,"")</f>
        <v>0</v>
      </c>
      <c r="O62" s="20">
        <f>IFERROR(Calculations!$AH$748,"")</f>
        <v>0</v>
      </c>
    </row>
    <row r="63" spans="2:19">
      <c r="B63" s="11">
        <f>IF(Calculations!$U$749="","",Calculations!$U$749)</f>
        <v>0</v>
      </c>
      <c r="C63" s="20">
        <f>IFERROR(Calculations!$V$749,"")</f>
        <v>0</v>
      </c>
      <c r="D63" s="20">
        <f>IFERROR(Calculations!$W$749,"")</f>
        <v>0</v>
      </c>
      <c r="E63" s="20">
        <f>IFERROR(Calculations!$X$749,"")</f>
        <v>0</v>
      </c>
      <c r="F63" s="20">
        <f>IFERROR(Calculations!$Y$749,"")</f>
        <v>0</v>
      </c>
      <c r="G63" s="20">
        <f>IFERROR(Calculations!$Z$749,"")</f>
        <v>0</v>
      </c>
      <c r="H63" s="20">
        <f>IFERROR(Calculations!$AA$749,"")</f>
        <v>0</v>
      </c>
      <c r="I63" s="20">
        <f>IFERROR(Calculations!$AB$749,"")</f>
        <v>0</v>
      </c>
      <c r="J63" s="20">
        <f>IFERROR(Calculations!$AC$749,"")</f>
        <v>0</v>
      </c>
      <c r="K63" s="20">
        <f>IFERROR(Calculations!$AD$749,"")</f>
        <v>0</v>
      </c>
      <c r="L63" s="20">
        <f>IFERROR(Calculations!$AE$749,"")</f>
        <v>0</v>
      </c>
      <c r="M63" s="20">
        <f>IFERROR(Calculations!$AF$749,"")</f>
        <v>0</v>
      </c>
      <c r="N63" s="20">
        <f>IFERROR(Calculations!$AG$749,"")</f>
        <v>0</v>
      </c>
      <c r="O63" s="20">
        <f>IFERROR(Calculations!$AH$749,"")</f>
        <v>0</v>
      </c>
    </row>
    <row r="64" spans="2:19">
      <c r="B64" s="11">
        <f>IF(Calculations!$U$750="","",Calculations!$U$750)</f>
        <v>0</v>
      </c>
      <c r="C64" s="20">
        <f>IFERROR(Calculations!$V$750,"")</f>
        <v>0</v>
      </c>
      <c r="D64" s="20">
        <f>IFERROR(Calculations!$W$750,"")</f>
        <v>0</v>
      </c>
      <c r="E64" s="20">
        <f>IFERROR(Calculations!$X$750,"")</f>
        <v>0</v>
      </c>
      <c r="F64" s="20">
        <f>IFERROR(Calculations!$Y$750,"")</f>
        <v>0</v>
      </c>
      <c r="G64" s="20">
        <f>IFERROR(Calculations!$Z$750,"")</f>
        <v>0</v>
      </c>
      <c r="H64" s="20">
        <f>IFERROR(Calculations!$AA$750,"")</f>
        <v>0</v>
      </c>
      <c r="I64" s="20">
        <f>IFERROR(Calculations!$AB$750,"")</f>
        <v>0</v>
      </c>
      <c r="J64" s="20">
        <f>IFERROR(Calculations!$AC$750,"")</f>
        <v>0</v>
      </c>
      <c r="K64" s="20">
        <f>IFERROR(Calculations!$AD$750,"")</f>
        <v>0</v>
      </c>
      <c r="L64" s="20">
        <f>IFERROR(Calculations!$AE$750,"")</f>
        <v>0</v>
      </c>
      <c r="M64" s="20">
        <f>IFERROR(Calculations!$AF$750,"")</f>
        <v>0</v>
      </c>
      <c r="N64" s="20">
        <f>IFERROR(Calculations!$AG$750,"")</f>
        <v>0</v>
      </c>
      <c r="O64" s="20">
        <f>IFERROR(Calculations!$AH$750,"")</f>
        <v>0</v>
      </c>
    </row>
    <row r="65" spans="2:15">
      <c r="B65" s="11">
        <f>IF(Calculations!$U$751="","",Calculations!$U$751)</f>
        <v>0</v>
      </c>
      <c r="C65" s="20">
        <f>IFERROR(Calculations!$V$751,"")</f>
        <v>0</v>
      </c>
      <c r="D65" s="20">
        <f>IFERROR(Calculations!$W$751,"")</f>
        <v>0</v>
      </c>
      <c r="E65" s="20">
        <f>IFERROR(Calculations!$X$751,"")</f>
        <v>0</v>
      </c>
      <c r="F65" s="20">
        <f>IFERROR(Calculations!$Y$751,"")</f>
        <v>0</v>
      </c>
      <c r="G65" s="20">
        <f>IFERROR(Calculations!$Z$751,"")</f>
        <v>0</v>
      </c>
      <c r="H65" s="20">
        <f>IFERROR(Calculations!$AA$751,"")</f>
        <v>0</v>
      </c>
      <c r="I65" s="20">
        <f>IFERROR(Calculations!$AB$751,"")</f>
        <v>0</v>
      </c>
      <c r="J65" s="20">
        <f>IFERROR(Calculations!$AC$751,"")</f>
        <v>0</v>
      </c>
      <c r="K65" s="20">
        <f>IFERROR(Calculations!$AD$751,"")</f>
        <v>0</v>
      </c>
      <c r="L65" s="20">
        <f>IFERROR(Calculations!$AE$751,"")</f>
        <v>0</v>
      </c>
      <c r="M65" s="20">
        <f>IFERROR(Calculations!$AF$751,"")</f>
        <v>0</v>
      </c>
      <c r="N65" s="20">
        <f>IFERROR(Calculations!$AG$751,"")</f>
        <v>0</v>
      </c>
      <c r="O65" s="20">
        <f>IFERROR(Calculations!$AH$751,"")</f>
        <v>0</v>
      </c>
    </row>
  </sheetData>
  <mergeCells count="3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85</vt:i4>
      </vt:variant>
    </vt:vector>
  </HeadingPairs>
  <TitlesOfParts>
    <vt:vector size="140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Master Data</vt:lpstr>
      <vt:lpstr>Settings</vt:lpstr>
      <vt:lpstr>Help</vt:lpstr>
      <vt:lpstr>Calculations</vt:lpstr>
      <vt:lpstr>Home</vt:lpstr>
      <vt:lpstr>Executive Dashboard</vt:lpstr>
      <vt:lpstr>Leadership Review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AmberBand</vt:lpstr>
      <vt:lpstr>CAClosure</vt:lpstr>
      <vt:lpstr>dCrit</vt:lpstr>
      <vt:lpstr>F_Dept</vt:lpstr>
      <vt:lpstr>F_Month</vt:lpstr>
      <vt:lpstr>F_Period</vt:lpstr>
      <vt:lpstr>gdAlcoholPositive</vt:lpstr>
      <vt:lpstr>gdAlcoholTests</vt:lpstr>
      <vt:lpstr>gdBulletinReach</vt:lpstr>
      <vt:lpstr>gdCAClosure</vt:lpstr>
      <vt:lpstr>gdCorrectiveActions</vt:lpstr>
      <vt:lpstr>gdDisciplinary</vt:lpstr>
      <vt:lpstr>gdDrillParticipation</vt:lpstr>
      <vt:lpstr>gdEmergencyDrills</vt:lpstr>
      <vt:lpstr>gdEquipmentCriticalFindings</vt:lpstr>
      <vt:lpstr>gdEquipmentInspections</vt:lpstr>
      <vt:lpstr>gdExternalAuditNCs</vt:lpstr>
      <vt:lpstr>gdExternalAudits</vt:lpstr>
      <vt:lpstr>gdFirstAid</vt:lpstr>
      <vt:lpstr>gdHSEObservations</vt:lpstr>
      <vt:lpstr>gdInternalAuditNCs</vt:lpstr>
      <vt:lpstr>gdInternalAudits</vt:lpstr>
      <vt:lpstr>gdJSAApproved</vt:lpstr>
      <vt:lpstr>gdJSAAssessments</vt:lpstr>
      <vt:lpstr>gdLostDays</vt:lpstr>
      <vt:lpstr>gdLTIFatality</vt:lpstr>
      <vt:lpstr>gdLTIFR</vt:lpstr>
      <vt:lpstr>gdManagementReviews</vt:lpstr>
      <vt:lpstr>gdManagementVisits</vt:lpstr>
      <vt:lpstr>gdMeetingsCloseout</vt:lpstr>
      <vt:lpstr>gdMgmtReviewAttendance</vt:lpstr>
      <vt:lpstr>gdMgmtVisitCloseout</vt:lpstr>
      <vt:lpstr>gdNCClosure</vt:lpstr>
      <vt:lpstr>gdNearMiss</vt:lpstr>
      <vt:lpstr>gdObsClosure</vt:lpstr>
      <vt:lpstr>gdOpenNCs</vt:lpstr>
      <vt:lpstr>gdPTWAudits</vt:lpstr>
      <vt:lpstr>gdPTWCompliance</vt:lpstr>
      <vt:lpstr>gdRecordable</vt:lpstr>
      <vt:lpstr>gdSafetyAwards</vt:lpstr>
      <vt:lpstr>gdSafetyBulletins</vt:lpstr>
      <vt:lpstr>gdSafetyMeetings</vt:lpstr>
      <vt:lpstr>gdSafetyWalkthroughs</vt:lpstr>
      <vt:lpstr>gdStopWorkAuthority</vt:lpstr>
      <vt:lpstr>gdToolboxAvgAttendance</vt:lpstr>
      <vt:lpstr>gdToolboxTalks</vt:lpstr>
      <vt:lpstr>gdTotalIncidents</vt:lpstr>
      <vt:lpstr>gdTrainingCompliance</vt:lpstr>
      <vt:lpstr>gdTrainings</vt:lpstr>
      <vt:lpstr>gdTRIR</vt:lpstr>
      <vt:lpstr>gdUnsafeActClosure</vt:lpstr>
      <vt:lpstr>gdUnsafeActsReported</vt:lpstr>
      <vt:lpstr>gdUnsafeConditionClosure</vt:lpstr>
      <vt:lpstr>gdUnsafeConditionsReported</vt:lpstr>
      <vt:lpstr>gdWorkplaceInspClosure</vt:lpstr>
      <vt:lpstr>gdWorkplaceInspections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mCrit</vt:lpstr>
      <vt:lpstr>NearMiss</vt:lpstr>
      <vt:lpstr>ObsClosure</vt:lpstr>
      <vt:lpstr>PTWauditComp</vt:lpstr>
      <vt:lpstr>Recordable</vt:lpstr>
      <vt:lpstr>SelDept</vt:lpstr>
      <vt:lpstr>SelMonth</vt:lpstr>
      <vt:lpstr>SelPeriod</vt:lpstr>
      <vt:lpstr>TgtCA</vt:lpstr>
      <vt:lpstr>TgtObs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2026-07-12T07:10:53Z</dcterms:created>
  <dcterms:modified xsi:type="dcterms:W3CDTF">2026-07-12T07:10:53Z</dcterms:modified>
</cp:coreProperties>
</file>