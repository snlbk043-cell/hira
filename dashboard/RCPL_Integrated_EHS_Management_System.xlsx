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Default Extension="bin" ContentType="application/vnd.ms-office.vbaProject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5" windowWidth="16095" windowHeight="9660"/>
  </bookViews>
  <sheets>
    <sheet name="Toolbox Talks" sheetId="1" r:id="rId1"/>
    <sheet name="JSA Risk Assessment" sheetId="2" r:id="rId2"/>
    <sheet name="Training" sheetId="3" r:id="rId3"/>
    <sheet name="HSE Observations" sheetId="4" r:id="rId4"/>
    <sheet name="Workplace Inspections" sheetId="5" r:id="rId5"/>
    <sheet name="Equipment Inspections" sheetId="6" r:id="rId6"/>
    <sheet name="Safety Walkthroughs" sheetId="7" r:id="rId7"/>
    <sheet name="Safety Meetings" sheetId="8" r:id="rId8"/>
    <sheet name="Safety Bulletins" sheetId="9" r:id="rId9"/>
    <sheet name="Emergency Drills" sheetId="10" r:id="rId10"/>
    <sheet name="Internal Audits" sheetId="11" r:id="rId11"/>
    <sheet name="External Audits" sheetId="12" r:id="rId12"/>
    <sheet name="Management Visits" sheetId="13" r:id="rId13"/>
    <sheet name="Management Reviews" sheetId="14" r:id="rId14"/>
    <sheet name="Disciplinary Actions" sheetId="15" r:id="rId15"/>
    <sheet name="Safety Awards" sheetId="16" r:id="rId16"/>
    <sheet name="Stop Work Authority" sheetId="17" r:id="rId17"/>
    <sheet name="Alcohol Tests" sheetId="18" r:id="rId18"/>
    <sheet name="PTW Audits" sheetId="19" r:id="rId19"/>
    <sheet name="Corrective Actions" sheetId="20" r:id="rId20"/>
    <sheet name="NC Management" sheetId="21" r:id="rId21"/>
    <sheet name="Unsafe Acts" sheetId="22" r:id="rId22"/>
    <sheet name="Unsafe Conditions" sheetId="23" r:id="rId23"/>
    <sheet name="Incident" sheetId="24" r:id="rId24"/>
    <sheet name="Environmental Perf" sheetId="25" r:id="rId25"/>
    <sheet name="Master Data" sheetId="26" r:id="rId26"/>
    <sheet name="Settings" sheetId="27" r:id="rId27"/>
    <sheet name="Help" sheetId="28" r:id="rId28"/>
    <sheet name="Data Quality" sheetId="29" r:id="rId29"/>
    <sheet name="Investigation Log" sheetId="30" r:id="rId30"/>
    <sheet name="Change Log" sheetId="31" r:id="rId31"/>
    <sheet name="Calculations" sheetId="32" r:id="rId32"/>
    <sheet name="Cover Page" sheetId="33" r:id="rId33"/>
    <sheet name="Home" sheetId="34" r:id="rId34"/>
    <sheet name="Executive Dashboard" sheetId="35" r:id="rId35"/>
    <sheet name="Leadership Review" sheetId="36" r:id="rId36"/>
    <sheet name="Executive Snapshot" sheetId="37" r:id="rId37"/>
    <sheet name="Dash · Toolbox Talks" sheetId="38" r:id="rId38"/>
    <sheet name="Dash · JSA Risk Assessment" sheetId="39" r:id="rId39"/>
    <sheet name="Dash · Training" sheetId="40" r:id="rId40"/>
    <sheet name="Dash · HSE Observations" sheetId="41" r:id="rId41"/>
    <sheet name="Dash · Workplace Inspections" sheetId="42" r:id="rId42"/>
    <sheet name="Dash · Equipment Inspections" sheetId="43" r:id="rId43"/>
    <sheet name="Dash · Safety Walkthroughs" sheetId="44" r:id="rId44"/>
    <sheet name="Dash · Safety Meetings" sheetId="45" r:id="rId45"/>
    <sheet name="Dash · Safety Bulletins" sheetId="46" r:id="rId46"/>
    <sheet name="Dash · Emergency Drills" sheetId="47" r:id="rId47"/>
    <sheet name="Dash · Internal Audits" sheetId="48" r:id="rId48"/>
    <sheet name="Dash · External Audits" sheetId="49" r:id="rId49"/>
    <sheet name="Dash · Management Visits" sheetId="50" r:id="rId50"/>
    <sheet name="Dash · Management Reviews" sheetId="51" r:id="rId51"/>
    <sheet name="Dash · Disciplinary Actions" sheetId="52" r:id="rId52"/>
    <sheet name="Dash · Safety Awards" sheetId="53" r:id="rId53"/>
    <sheet name="Dash · Stop Work Authority" sheetId="54" r:id="rId54"/>
    <sheet name="Dash · Alcohol Tests" sheetId="55" r:id="rId55"/>
    <sheet name="Dash · PTW Audits" sheetId="56" r:id="rId56"/>
    <sheet name="Dash · Corrective Actions" sheetId="57" r:id="rId57"/>
    <sheet name="Dash · NC Management" sheetId="58" r:id="rId58"/>
    <sheet name="Dash · Unsafe Acts" sheetId="59" r:id="rId59"/>
    <sheet name="Dash · Unsafe Conditions" sheetId="60" r:id="rId60"/>
    <sheet name="Dash · Incident" sheetId="61" r:id="rId61"/>
    <sheet name="Dash · Environmental Perf" sheetId="62" r:id="rId62"/>
  </sheets>
  <definedNames>
    <definedName name="AmberBand">Settings!$C$40</definedName>
    <definedName name="BenchLTIFR">Settings!$C$57</definedName>
    <definedName name="BenchTRIR">Settings!$C$56</definedName>
    <definedName name="CAClosure">Calculations!$DL$57</definedName>
    <definedName name="CertValidityDays">Settings!$C$60</definedName>
    <definedName name="CostPerDowntimeMin">Settings!$C$43</definedName>
    <definedName name="CostPerLostDay">Settings!$C$44</definedName>
    <definedName name="CurMonthNo">Calculations!$I$10</definedName>
    <definedName name="dCrit">Calculations!$C$7</definedName>
    <definedName name="dCrit">IF(SelDept="All","&lt;&gt;",SelDept)</definedName>
    <definedName name="F_Dept">'Master Data'!$J$5:$J$15</definedName>
    <definedName name="F_Month">'Master Data'!$I$5:$I$17</definedName>
    <definedName name="F_Period">'Master Data'!$K$5:$K$20</definedName>
    <definedName name="gdAlcoholPositive">Calculations!$DO$23</definedName>
    <definedName name="gdAlcoholTests">Calculations!$DO$53</definedName>
    <definedName name="gdBulletinReach">Calculations!$DO$40</definedName>
    <definedName name="gdCAClosure">Calculations!$DO$57</definedName>
    <definedName name="gdCorrectiveActions">Calculations!$DO$56</definedName>
    <definedName name="gdDisciplinary">Calculations!$DO$20</definedName>
    <definedName name="gdDrillParticipation">Calculations!$DO$42</definedName>
    <definedName name="gdEmergencyDrills">Calculations!$DO$41</definedName>
    <definedName name="gdEquipmentCriticalFindings">Calculations!$DO$35</definedName>
    <definedName name="gdEquipmentInspections">Calculations!$DO$34</definedName>
    <definedName name="gdExternalAuditNCs">Calculations!$DO$46</definedName>
    <definedName name="gdExternalAudits">Calculations!$DO$45</definedName>
    <definedName name="gdFirstAid">Calculations!$DO$18</definedName>
    <definedName name="gdHSEObservations">Calculations!$DO$30</definedName>
    <definedName name="gdInternalAuditNCs">Calculations!$DO$44</definedName>
    <definedName name="gdInternalAudits">Calculations!$DO$43</definedName>
    <definedName name="gdJSAApproved">Calculations!$DO$27</definedName>
    <definedName name="gdJSAAssessments">Calculations!$DO$26</definedName>
    <definedName name="gdLostDays">Calculations!$DO$19</definedName>
    <definedName name="gdLTIFatality">Calculations!$DO$16</definedName>
    <definedName name="gdLTIFR">Calculations!$DO$13</definedName>
    <definedName name="gdManagementReviews">Calculations!$DO$49</definedName>
    <definedName name="gdManagementVisits">Calculations!$DO$47</definedName>
    <definedName name="gdMeetingsCloseout">Calculations!$DO$38</definedName>
    <definedName name="gdMgmtReviewAttendance">Calculations!$DO$50</definedName>
    <definedName name="gdMgmtVisitCloseout">Calculations!$DO$48</definedName>
    <definedName name="gdNCClosure">Calculations!$DO$22</definedName>
    <definedName name="gdNearMiss">Calculations!$DO$17</definedName>
    <definedName name="gdObsClosure">Calculations!$DO$31</definedName>
    <definedName name="gdOpenNCs">Calculations!$DO$21</definedName>
    <definedName name="gdPTWAudits">Calculations!$DO$54</definedName>
    <definedName name="gdPTWCompliance">Calculations!$DO$55</definedName>
    <definedName name="gdRecordable">Calculations!$DO$15</definedName>
    <definedName name="gdSafetyAwards">Calculations!$DO$51</definedName>
    <definedName name="gdSafetyBulletins">Calculations!$DO$39</definedName>
    <definedName name="gdSafetyMeetings">Calculations!$DO$37</definedName>
    <definedName name="gdSafetyWalkthroughs">Calculations!$DO$36</definedName>
    <definedName name="gdStopWorkAuthority">Calculations!$DO$52</definedName>
    <definedName name="gdToolboxAvgAttendance">Calculations!$DO$25</definedName>
    <definedName name="gdToolboxTalks">Calculations!$DO$24</definedName>
    <definedName name="gdTotalIncidents">Calculations!$DO$14</definedName>
    <definedName name="gdTrainingCompliance">Calculations!$DO$29</definedName>
    <definedName name="gdTrainings">Calculations!$DO$28</definedName>
    <definedName name="gdTRIR">Calculations!$DO$12</definedName>
    <definedName name="gdUnsafeActClosure">Calculations!$DO$59</definedName>
    <definedName name="gdUnsafeActsReported">Calculations!$DO$58</definedName>
    <definedName name="gdUnsafeConditionClosure">Calculations!$DO$61</definedName>
    <definedName name="gdUnsafeConditionsReported">Calculations!$DO$60</definedName>
    <definedName name="gdWorkplaceInspClosure">Calculations!$DO$33</definedName>
    <definedName name="gdWorkplaceInspections">Calculations!$DO$32</definedName>
    <definedName name="L_Dept">'Master Data'!$B$5:$B$14</definedName>
    <definedName name="L_Loc">'Master Data'!$C$5:$C$16</definedName>
    <definedName name="L_Month">'Master Data'!$H$5:$H$16</definedName>
    <definedName name="L_Rating">'Master Data'!$F$5:$F$9</definedName>
    <definedName name="L_Result">'Master Data'!$G$5:$G$7</definedName>
    <definedName name="L_Risk">'Master Data'!$E$5:$E$8</definedName>
    <definedName name="L_Status">'Master Data'!$D$5:$D$8</definedName>
    <definedName name="LastRefresh">'Home'!$K$10</definedName>
    <definedName name="LostDays">Calculations!$DL$19</definedName>
    <definedName name="LTIfat">Calculations!$DL$16</definedName>
    <definedName name="LTIFR">Calculations!$DL$13</definedName>
    <definedName name="LTIFRmult">Settings!$C$28</definedName>
    <definedName name="Manhours">Settings!$C$25</definedName>
    <definedName name="ManhoursM">Settings!$C$13:$C$24</definedName>
    <definedName name="mCrit">Calculations!$C$6</definedName>
    <definedName name="mCrit">IF(SelMonth="All","&lt;&gt;",SelMonth)</definedName>
    <definedName name="NearMiss">Calculations!$DL$17</definedName>
    <definedName name="ObsClosure">Calculations!$DL$31</definedName>
    <definedName name="PPE_Issued">Settings!$C$48:$C$52</definedName>
    <definedName name="PPE_Loc">Settings!$B$48:$B$52</definedName>
    <definedName name="PPE_Used">Settings!$D$48:$D$52</definedName>
    <definedName name="_xlnm.Print_Area" localSheetId="32">'Cover Page'!$A$1:$M$32</definedName>
    <definedName name="_xlnm.Print_Area" localSheetId="54">'Dash · Alcohol Tests'!$A$1:$S$72</definedName>
    <definedName name="_xlnm.Print_Area" localSheetId="56">'Dash · Corrective Actions'!$A$1:$S$89</definedName>
    <definedName name="_xlnm.Print_Area" localSheetId="51">'Dash · Disciplinary Actions'!$A$1:$S$72</definedName>
    <definedName name="_xlnm.Print_Area" localSheetId="46">'Dash · Emergency Drills'!$A$1:$S$89</definedName>
    <definedName name="_xlnm.Print_Area" localSheetId="61">'Dash · Environmental Perf'!$A$1:$S$72</definedName>
    <definedName name="_xlnm.Print_Area" localSheetId="42">'Dash · Equipment Inspections'!$A$1:$S$89</definedName>
    <definedName name="_xlnm.Print_Area" localSheetId="48">'Dash · External Audits'!$A$1:$S$72</definedName>
    <definedName name="_xlnm.Print_Area" localSheetId="40">'Dash · HSE Observations'!$A$1:$S$89</definedName>
    <definedName name="_xlnm.Print_Area" localSheetId="60">'Dash · Incident'!$A$1:$S$77</definedName>
    <definedName name="_xlnm.Print_Area" localSheetId="47">'Dash · Internal Audits'!$A$1:$S$72</definedName>
    <definedName name="_xlnm.Print_Area" localSheetId="38">'Dash · JSA Risk Assessment'!$A$1:$S$90</definedName>
    <definedName name="_xlnm.Print_Area" localSheetId="50">'Dash · Management Reviews'!$A$1:$S$89</definedName>
    <definedName name="_xlnm.Print_Area" localSheetId="49">'Dash · Management Visits'!$A$1:$S$72</definedName>
    <definedName name="_xlnm.Print_Area" localSheetId="57">'Dash · NC Management'!$A$1:$S$89</definedName>
    <definedName name="_xlnm.Print_Area" localSheetId="55">'Dash · PTW Audits'!$A$1:$S$72</definedName>
    <definedName name="_xlnm.Print_Area" localSheetId="52">'Dash · Safety Awards'!$A$1:$S$72</definedName>
    <definedName name="_xlnm.Print_Area" localSheetId="45">'Dash · Safety Bulletins'!$A$1:$S$89</definedName>
    <definedName name="_xlnm.Print_Area" localSheetId="44">'Dash · Safety Meetings'!$A$1:$S$72</definedName>
    <definedName name="_xlnm.Print_Area" localSheetId="43">'Dash · Safety Walkthroughs'!$A$1:$S$89</definedName>
    <definedName name="_xlnm.Print_Area" localSheetId="53">'Dash · Stop Work Authority'!$A$1:$S$85</definedName>
    <definedName name="_xlnm.Print_Area" localSheetId="37">'Dash · Toolbox Talks'!$A$1:$S$101</definedName>
    <definedName name="_xlnm.Print_Area" localSheetId="39">'Dash · Training'!$A$1:$S$92</definedName>
    <definedName name="_xlnm.Print_Area" localSheetId="58">'Dash · Unsafe Acts'!$A$1:$S$89</definedName>
    <definedName name="_xlnm.Print_Area" localSheetId="59">'Dash · Unsafe Conditions'!$A$1:$S$89</definedName>
    <definedName name="_xlnm.Print_Area" localSheetId="41">'Dash · Workplace Inspections'!$A$1:$S$89</definedName>
    <definedName name="_xlnm.Print_Area" localSheetId="34">'Executive Dashboard'!$A$1:$S$200</definedName>
    <definedName name="_xlnm.Print_Area" localSheetId="36">'Executive Snapshot'!$A$1:$S$96</definedName>
    <definedName name="_xlnm.Print_Area" localSheetId="33">Home!$A$1:$M$42</definedName>
    <definedName name="_xlnm.Print_Area" localSheetId="35">'Leadership Review'!$A$1:$S$141</definedName>
    <definedName name="_xlnm.Print_Titles" localSheetId="17">'Alcohol Tests'!$1:$3</definedName>
    <definedName name="_xlnm.Print_Titles" localSheetId="19">'Corrective Actions'!$1:$3</definedName>
    <definedName name="_xlnm.Print_Titles" localSheetId="14">'Disciplinary Actions'!$1:$3</definedName>
    <definedName name="_xlnm.Print_Titles" localSheetId="9">'Emergency Drills'!$1:$3</definedName>
    <definedName name="_xlnm.Print_Titles" localSheetId="24">'Environmental Perf'!$1:$3</definedName>
    <definedName name="_xlnm.Print_Titles" localSheetId="5">'Equipment Inspections'!$1:$3</definedName>
    <definedName name="_xlnm.Print_Titles" localSheetId="11">'External Audits'!$1:$3</definedName>
    <definedName name="_xlnm.Print_Titles" localSheetId="3">'HSE Observations'!$1:$3</definedName>
    <definedName name="_xlnm.Print_Titles" localSheetId="23">Incident!$1:$3</definedName>
    <definedName name="_xlnm.Print_Titles" localSheetId="10">'Internal Audits'!$1:$3</definedName>
    <definedName name="_xlnm.Print_Titles" localSheetId="29">'Investigation Log'!$1:$3</definedName>
    <definedName name="_xlnm.Print_Titles" localSheetId="1">'JSA Risk Assessment'!$1:$3</definedName>
    <definedName name="_xlnm.Print_Titles" localSheetId="13">'Management Reviews'!$1:$3</definedName>
    <definedName name="_xlnm.Print_Titles" localSheetId="12">'Management Visits'!$1:$3</definedName>
    <definedName name="_xlnm.Print_Titles" localSheetId="20">'NC Management'!$1:$3</definedName>
    <definedName name="_xlnm.Print_Titles" localSheetId="18">'PTW Audits'!$1:$3</definedName>
    <definedName name="_xlnm.Print_Titles" localSheetId="15">'Safety Awards'!$1:$3</definedName>
    <definedName name="_xlnm.Print_Titles" localSheetId="8">'Safety Bulletins'!$1:$3</definedName>
    <definedName name="_xlnm.Print_Titles" localSheetId="7">'Safety Meetings'!$1:$3</definedName>
    <definedName name="_xlnm.Print_Titles" localSheetId="6">'Safety Walkthroughs'!$1:$3</definedName>
    <definedName name="_xlnm.Print_Titles" localSheetId="16">'Stop Work Authority'!$1:$3</definedName>
    <definedName name="_xlnm.Print_Titles" localSheetId="0">'Toolbox Talks'!$1:$3</definedName>
    <definedName name="_xlnm.Print_Titles" localSheetId="2">Training!$1:$3</definedName>
    <definedName name="_xlnm.Print_Titles" localSheetId="21">'Unsafe Acts'!$1:$3</definedName>
    <definedName name="_xlnm.Print_Titles" localSheetId="22">'Unsafe Conditions'!$1:$3</definedName>
    <definedName name="_xlnm.Print_Titles" localSheetId="4">'Workplace Inspections'!$1:$3</definedName>
    <definedName name="PTWauditComp">Calculations!$DL$55</definedName>
    <definedName name="PYCA">Settings!$C$68</definedName>
    <definedName name="PYLTIFR">Settings!$C$64</definedName>
    <definedName name="PYObs">Settings!$C$67</definedName>
    <definedName name="PYTotalInc">Settings!$C$65</definedName>
    <definedName name="PYTrain">Settings!$C$66</definedName>
    <definedName name="PYTRIR">Settings!$C$63</definedName>
    <definedName name="Recordable">Calculations!$DL$15</definedName>
    <definedName name="ReportYear">Settings!$C$9</definedName>
    <definedName name="rgAlcoholPositive">Calculations!$DQ$23</definedName>
    <definedName name="rgAlcoholTests">Calculations!$DQ$53</definedName>
    <definedName name="rgBulletinReach">Calculations!$DQ$40</definedName>
    <definedName name="rgCAClosure">Calculations!$DQ$57</definedName>
    <definedName name="rgCorrectiveActions">Calculations!$DQ$56</definedName>
    <definedName name="rgDisciplinary">Calculations!$DQ$20</definedName>
    <definedName name="rgDrillParticipation">Calculations!$DQ$42</definedName>
    <definedName name="rgEmergencyDrills">Calculations!$DQ$41</definedName>
    <definedName name="rgEquipmentCriticalFindings">Calculations!$DQ$35</definedName>
    <definedName name="rgEquipmentInspections">Calculations!$DQ$34</definedName>
    <definedName name="rgExternalAuditNCs">Calculations!$DQ$46</definedName>
    <definedName name="rgExternalAudits">Calculations!$DQ$45</definedName>
    <definedName name="rgFirstAid">Calculations!$DQ$18</definedName>
    <definedName name="rgHSEObservations">Calculations!$DQ$30</definedName>
    <definedName name="rgInternalAuditNCs">Calculations!$DQ$44</definedName>
    <definedName name="rgInternalAudits">Calculations!$DQ$43</definedName>
    <definedName name="rgJSAApproved">Calculations!$DQ$27</definedName>
    <definedName name="rgJSAAssessments">Calculations!$DQ$26</definedName>
    <definedName name="rgLostDays">Calculations!$DQ$19</definedName>
    <definedName name="rgLTIFatality">Calculations!$DQ$16</definedName>
    <definedName name="rgLTIFR">Calculations!$DQ$13</definedName>
    <definedName name="rgManagementReviews">Calculations!$DQ$49</definedName>
    <definedName name="rgManagementVisits">Calculations!$DQ$47</definedName>
    <definedName name="rgMeetingsCloseout">Calculations!$DQ$38</definedName>
    <definedName name="rgMgmtReviewAttendance">Calculations!$DQ$50</definedName>
    <definedName name="rgMgmtVisitCloseout">Calculations!$DQ$48</definedName>
    <definedName name="rgNCClosure">Calculations!$DQ$22</definedName>
    <definedName name="rgNearMiss">Calculations!$DQ$17</definedName>
    <definedName name="rgObsClosure">Calculations!$DQ$31</definedName>
    <definedName name="rgOpenNCs">Calculations!$DQ$21</definedName>
    <definedName name="rgPTWAudits">Calculations!$DQ$54</definedName>
    <definedName name="rgPTWCompliance">Calculations!$DQ$55</definedName>
    <definedName name="rgRecordable">Calculations!$DQ$15</definedName>
    <definedName name="rgSafetyAwards">Calculations!$DQ$51</definedName>
    <definedName name="rgSafetyBulletins">Calculations!$DQ$39</definedName>
    <definedName name="rgSafetyMeetings">Calculations!$DQ$37</definedName>
    <definedName name="rgSafetyWalkthroughs">Calculations!$DQ$36</definedName>
    <definedName name="rgStopWorkAuthority">Calculations!$DQ$52</definedName>
    <definedName name="rgToolboxAvgAttendance">Calculations!$DQ$25</definedName>
    <definedName name="rgToolboxTalks">Calculations!$DQ$24</definedName>
    <definedName name="rgTotalIncidents">Calculations!$DQ$14</definedName>
    <definedName name="rgTrainingCompliance">Calculations!$DQ$29</definedName>
    <definedName name="rgTrainings">Calculations!$DQ$28</definedName>
    <definedName name="rgTRIR">Calculations!$DQ$12</definedName>
    <definedName name="rgUnsafeActClosure">Calculations!$DQ$59</definedName>
    <definedName name="rgUnsafeActsReported">Calculations!$DQ$58</definedName>
    <definedName name="rgUnsafeConditionClosure">Calculations!$DQ$61</definedName>
    <definedName name="rgUnsafeConditionsReported">Calculations!$DQ$60</definedName>
    <definedName name="rgWorkplaceInspClosure">Calculations!$DQ$33</definedName>
    <definedName name="rgWorkplaceInspections">Calculations!$DQ$32</definedName>
    <definedName name="SelDept">'Executive Dashboard'!$G$12</definedName>
    <definedName name="SelMonth">'Executive Dashboard'!$K$12</definedName>
    <definedName name="SelPeriod">'Executive Dashboard'!$C$12</definedName>
    <definedName name="TgtAlcoholPositive">Settings!$C$37</definedName>
    <definedName name="TgtAttendance">Settings!$C$36</definedName>
    <definedName name="TgtCA">Settings!$C$33</definedName>
    <definedName name="TgtCloseout">Settings!$C$35</definedName>
    <definedName name="TgtLTIFR">Settings!$C$39</definedName>
    <definedName name="TgtObs">Settings!$C$31</definedName>
    <definedName name="TgtPTW">Settings!$C$34</definedName>
    <definedName name="TgtTrain">Settings!$C$32</definedName>
    <definedName name="TgtTRIR">Settings!$C$38</definedName>
    <definedName name="TotalInc">Calculations!$DL$14</definedName>
    <definedName name="TrainCompliance">Calculations!$DL$29</definedName>
    <definedName name="TRIR">Calculations!$DL$12</definedName>
    <definedName name="TRIRmult">Settings!$C$27</definedName>
  </definedNames>
  <calcPr calcId="124519" fullCalcOnLoad="1"/>
</workbook>
</file>

<file path=xl/sharedStrings.xml><?xml version="1.0" encoding="utf-8"?>
<sst xmlns="http://schemas.openxmlformats.org/spreadsheetml/2006/main" count="16474" uniqueCount="2512">
  <si>
    <t>🗣️  TOOLBOX TALKS — DATA ENTRY</t>
  </si>
  <si>
    <t>Blue = user input   ·   Gray = auto-calculated   ·   use dropdowns where available</t>
  </si>
  <si>
    <t>TBT-1035</t>
  </si>
  <si>
    <t>Jan</t>
  </si>
  <si>
    <t>Manual Handling</t>
  </si>
  <si>
    <t>Logistics</t>
  </si>
  <si>
    <t>Boiler House</t>
  </si>
  <si>
    <t>A. Sharma</t>
  </si>
  <si>
    <t>Ergonomics</t>
  </si>
  <si>
    <t>Yes</t>
  </si>
  <si>
    <t>Excellent</t>
  </si>
  <si>
    <t>TBT-1036</t>
  </si>
  <si>
    <t>Chemical Safety</t>
  </si>
  <si>
    <t>Projects</t>
  </si>
  <si>
    <t>ETP Plant</t>
  </si>
  <si>
    <t>D. Singh</t>
  </si>
  <si>
    <t>Housekeeping</t>
  </si>
  <si>
    <t>Satisfactory</t>
  </si>
  <si>
    <t>TBT-1001</t>
  </si>
  <si>
    <t>Feb</t>
  </si>
  <si>
    <t>Slip Trip Fall</t>
  </si>
  <si>
    <t>Admin Block</t>
  </si>
  <si>
    <t>G. Das</t>
  </si>
  <si>
    <t>No</t>
  </si>
  <si>
    <t>Unsatisfactory</t>
  </si>
  <si>
    <t>TBT-1003</t>
  </si>
  <si>
    <t>Machine Guarding</t>
  </si>
  <si>
    <t>Operations</t>
  </si>
  <si>
    <t>T. Bose</t>
  </si>
  <si>
    <t>TBT-1029</t>
  </si>
  <si>
    <t>Hot Work</t>
  </si>
  <si>
    <t>Control Room</t>
  </si>
  <si>
    <t>L. Fernandes</t>
  </si>
  <si>
    <t>BBS</t>
  </si>
  <si>
    <t>TBT-1044</t>
  </si>
  <si>
    <t>Loading Bay</t>
  </si>
  <si>
    <t>P. Nair</t>
  </si>
  <si>
    <t>TBT-1046</t>
  </si>
  <si>
    <t>Emergency Procedures</t>
  </si>
  <si>
    <t>Engineering</t>
  </si>
  <si>
    <t>Office</t>
  </si>
  <si>
    <t>K. Reddy</t>
  </si>
  <si>
    <t>Good</t>
  </si>
  <si>
    <t>TBT-1013</t>
  </si>
  <si>
    <t>Mar</t>
  </si>
  <si>
    <t>Fire Safety</t>
  </si>
  <si>
    <t>Admin</t>
  </si>
  <si>
    <t>General</t>
  </si>
  <si>
    <t>TBT-1043</t>
  </si>
  <si>
    <t>Working at Heights</t>
  </si>
  <si>
    <t>Quality</t>
  </si>
  <si>
    <t>Tank Farm</t>
  </si>
  <si>
    <t>TBT-1042</t>
  </si>
  <si>
    <t>Apr</t>
  </si>
  <si>
    <t>Heat Stress</t>
  </si>
  <si>
    <t>Process Safety</t>
  </si>
  <si>
    <t>TBT-1045</t>
  </si>
  <si>
    <t>Electrical Safety</t>
  </si>
  <si>
    <t>Contractor</t>
  </si>
  <si>
    <t>TBT-1007</t>
  </si>
  <si>
    <t>May</t>
  </si>
  <si>
    <t>Confined Space</t>
  </si>
  <si>
    <t>V. Rao</t>
  </si>
  <si>
    <t>TBT-1028</t>
  </si>
  <si>
    <t>LOTO</t>
  </si>
  <si>
    <t>Safety</t>
  </si>
  <si>
    <t>S. Iyer</t>
  </si>
  <si>
    <t>TBT-1034</t>
  </si>
  <si>
    <t>H. Patel</t>
  </si>
  <si>
    <t>TBT-1039</t>
  </si>
  <si>
    <t>R. Verma</t>
  </si>
  <si>
    <t>TBT-1047</t>
  </si>
  <si>
    <t>TBT-1004</t>
  </si>
  <si>
    <t>Jun</t>
  </si>
  <si>
    <t>TBT-1024</t>
  </si>
  <si>
    <t>TBT-1006</t>
  </si>
  <si>
    <t>Jul</t>
  </si>
  <si>
    <t>Plant B</t>
  </si>
  <si>
    <t>J. Mehta</t>
  </si>
  <si>
    <t>TBT-1010</t>
  </si>
  <si>
    <t>Field Site</t>
  </si>
  <si>
    <t>TBT-1018</t>
  </si>
  <si>
    <t>Workshop</t>
  </si>
  <si>
    <t>TBT-1031</t>
  </si>
  <si>
    <t>TBT-1037</t>
  </si>
  <si>
    <t>TBT-1005</t>
  </si>
  <si>
    <t>Aug</t>
  </si>
  <si>
    <t>Plant A</t>
  </si>
  <si>
    <t>TBT-1011</t>
  </si>
  <si>
    <t>Construction</t>
  </si>
  <si>
    <t>TBT-1014</t>
  </si>
  <si>
    <t>PPE Usage</t>
  </si>
  <si>
    <t>Maintenance</t>
  </si>
  <si>
    <t>N. Gupta</t>
  </si>
  <si>
    <t>TBT-1020</t>
  </si>
  <si>
    <t>Warehouse</t>
  </si>
  <si>
    <t>Needs Improvement</t>
  </si>
  <si>
    <t>TBT-1025</t>
  </si>
  <si>
    <t>TBT-1026</t>
  </si>
  <si>
    <t>PPE</t>
  </si>
  <si>
    <t>TBT-1032</t>
  </si>
  <si>
    <t>TBT-1002</t>
  </si>
  <si>
    <t>Sep</t>
  </si>
  <si>
    <t>TBT-1027</t>
  </si>
  <si>
    <t>M. Khan</t>
  </si>
  <si>
    <t>TBT-1015</t>
  </si>
  <si>
    <t>Oct</t>
  </si>
  <si>
    <t>TBT-1016</t>
  </si>
  <si>
    <t>TBT-1021</t>
  </si>
  <si>
    <t>TBT-1030</t>
  </si>
  <si>
    <t>TBT-1009</t>
  </si>
  <si>
    <t>Nov</t>
  </si>
  <si>
    <t>TBT-1012</t>
  </si>
  <si>
    <t>TBT-1019</t>
  </si>
  <si>
    <t>TBT-1022</t>
  </si>
  <si>
    <t>TBT-1023</t>
  </si>
  <si>
    <t>TBT-1033</t>
  </si>
  <si>
    <t>TBT-1038</t>
  </si>
  <si>
    <t>TBT-1040</t>
  </si>
  <si>
    <t>TBT-1041</t>
  </si>
  <si>
    <t>TBT-1048</t>
  </si>
  <si>
    <t>TBT-1008</t>
  </si>
  <si>
    <t>Dec</t>
  </si>
  <si>
    <t>TBT-1017</t>
  </si>
  <si>
    <t>S.No</t>
  </si>
  <si>
    <t>Ref No.</t>
  </si>
  <si>
    <t>Date</t>
  </si>
  <si>
    <t>Month</t>
  </si>
  <si>
    <t>Topic</t>
  </si>
  <si>
    <t>Department</t>
  </si>
  <si>
    <t>Location</t>
  </si>
  <si>
    <t>Conducted By</t>
  </si>
  <si>
    <t>Target Attendees</t>
  </si>
  <si>
    <t>Actual Attendees</t>
  </si>
  <si>
    <t>Attendance %</t>
  </si>
  <si>
    <t>Duration (min)</t>
  </si>
  <si>
    <t>Safety Category</t>
  </si>
  <si>
    <t>Action Required</t>
  </si>
  <si>
    <t>Effectiveness</t>
  </si>
  <si>
    <t>Home</t>
  </si>
  <si>
    <t>⚠️  JSA RISK ASSESSMENT — DATA ENTRY</t>
  </si>
  <si>
    <t>JSA-1019</t>
  </si>
  <si>
    <t>Low</t>
  </si>
  <si>
    <t>Task RA</t>
  </si>
  <si>
    <t>Approved</t>
  </si>
  <si>
    <t>Partially Compliant</t>
  </si>
  <si>
    <t>JSA-1007</t>
  </si>
  <si>
    <t>Medium</t>
  </si>
  <si>
    <t>JSA</t>
  </si>
  <si>
    <t>Non-Compliant</t>
  </si>
  <si>
    <t>JSA-1031</t>
  </si>
  <si>
    <t>Critical</t>
  </si>
  <si>
    <t>What-If</t>
  </si>
  <si>
    <t>Pending Review</t>
  </si>
  <si>
    <t>JSA-1036</t>
  </si>
  <si>
    <t>HIRA</t>
  </si>
  <si>
    <t>Revision Required</t>
  </si>
  <si>
    <t>JSA-1001</t>
  </si>
  <si>
    <t>HAZOP</t>
  </si>
  <si>
    <t>Compliant</t>
  </si>
  <si>
    <t>JSA-1016</t>
  </si>
  <si>
    <t>Bow Tie</t>
  </si>
  <si>
    <t>Rejected</t>
  </si>
  <si>
    <t>JSA-1020</t>
  </si>
  <si>
    <t>High</t>
  </si>
  <si>
    <t>JSA-1021</t>
  </si>
  <si>
    <t>JSA-1026</t>
  </si>
  <si>
    <t>JSA-1029</t>
  </si>
  <si>
    <t>JSA-1034</t>
  </si>
  <si>
    <t>JSA-1040</t>
  </si>
  <si>
    <t>JSA-1002</t>
  </si>
  <si>
    <t>JSA-1033</t>
  </si>
  <si>
    <t>JSA-1044</t>
  </si>
  <si>
    <t>JSA-1004</t>
  </si>
  <si>
    <t>JSA-1006</t>
  </si>
  <si>
    <t>JSA-1015</t>
  </si>
  <si>
    <t>JSA-1041</t>
  </si>
  <si>
    <t>JSA-1009</t>
  </si>
  <si>
    <t>JSA-1023</t>
  </si>
  <si>
    <t>JSA-1024</t>
  </si>
  <si>
    <t>JSA-1039</t>
  </si>
  <si>
    <t>JSA-1012</t>
  </si>
  <si>
    <t>JSA-1022</t>
  </si>
  <si>
    <t>JSA-1045</t>
  </si>
  <si>
    <t>JSA-1046</t>
  </si>
  <si>
    <t>JSA-1003</t>
  </si>
  <si>
    <t>JSA-1005</t>
  </si>
  <si>
    <t>JSA-1008</t>
  </si>
  <si>
    <t>JSA-1010</t>
  </si>
  <si>
    <t>JSA-1011</t>
  </si>
  <si>
    <t>JSA-1013</t>
  </si>
  <si>
    <t>JSA-1027</t>
  </si>
  <si>
    <t>JSA-1030</t>
  </si>
  <si>
    <t>JSA-1038</t>
  </si>
  <si>
    <t>JSA-1017</t>
  </si>
  <si>
    <t>JSA-1018</t>
  </si>
  <si>
    <t>JSA-1032</t>
  </si>
  <si>
    <t>JSA-1035</t>
  </si>
  <si>
    <t>JSA-1047</t>
  </si>
  <si>
    <t>JSA-1028</t>
  </si>
  <si>
    <t>JSA-1037</t>
  </si>
  <si>
    <t>JSA-1043</t>
  </si>
  <si>
    <t>JSA-1048</t>
  </si>
  <si>
    <t>JSA-1025</t>
  </si>
  <si>
    <t>JSA-1014</t>
  </si>
  <si>
    <t>JSA-1042</t>
  </si>
  <si>
    <t>JSA No.</t>
  </si>
  <si>
    <t>Task/Activity</t>
  </si>
  <si>
    <t>Assessed By</t>
  </si>
  <si>
    <t>Approved By</t>
  </si>
  <si>
    <t>Risk Level</t>
  </si>
  <si>
    <t>Hazards Identified</t>
  </si>
  <si>
    <t>Assessment Type</t>
  </si>
  <si>
    <t>Approval Status</t>
  </si>
  <si>
    <t>Controls Implemented</t>
  </si>
  <si>
    <t>Compliance</t>
  </si>
  <si>
    <t>Likelihood</t>
  </si>
  <si>
    <t>Consequence</t>
  </si>
  <si>
    <t>🎓  TRAINING — DATA ENTRY</t>
  </si>
  <si>
    <t>TRN-1011</t>
  </si>
  <si>
    <t>Awareness</t>
  </si>
  <si>
    <t>Online</t>
  </si>
  <si>
    <t>Completed</t>
  </si>
  <si>
    <t>N/A</t>
  </si>
  <si>
    <t>TRN-1032</t>
  </si>
  <si>
    <t>On-the-Job</t>
  </si>
  <si>
    <t>In Progress</t>
  </si>
  <si>
    <t>Fail</t>
  </si>
  <si>
    <t>TRN-1043</t>
  </si>
  <si>
    <t>Induction</t>
  </si>
  <si>
    <t>External</t>
  </si>
  <si>
    <t>TRN-1044</t>
  </si>
  <si>
    <t>Internal</t>
  </si>
  <si>
    <t>Pass</t>
  </si>
  <si>
    <t>TRN-1010</t>
  </si>
  <si>
    <t>Advanced</t>
  </si>
  <si>
    <t>Scheduled</t>
  </si>
  <si>
    <t>TRN-1018</t>
  </si>
  <si>
    <t>Competency</t>
  </si>
  <si>
    <t>TRN-1021</t>
  </si>
  <si>
    <t>Refresher</t>
  </si>
  <si>
    <t>TRN-1022</t>
  </si>
  <si>
    <t>TRN-1033</t>
  </si>
  <si>
    <t>TRN-1038</t>
  </si>
  <si>
    <t>TRN-1039</t>
  </si>
  <si>
    <t>TRN-1007</t>
  </si>
  <si>
    <t>TRN-1024</t>
  </si>
  <si>
    <t>TRN-1025</t>
  </si>
  <si>
    <t>TRN-1034</t>
  </si>
  <si>
    <t>TRN-1037</t>
  </si>
  <si>
    <t>TRN-1048</t>
  </si>
  <si>
    <t>TRN-1023</t>
  </si>
  <si>
    <t>TRN-1045</t>
  </si>
  <si>
    <t>TRN-1015</t>
  </si>
  <si>
    <t>TRN-1019</t>
  </si>
  <si>
    <t>TRN-1027</t>
  </si>
  <si>
    <t>TRN-1028</t>
  </si>
  <si>
    <t>TRN-1031</t>
  </si>
  <si>
    <t>TRN-1005</t>
  </si>
  <si>
    <t>TRN-1012</t>
  </si>
  <si>
    <t>TRN-1013</t>
  </si>
  <si>
    <t>TRN-1016</t>
  </si>
  <si>
    <t>TRN-1026</t>
  </si>
  <si>
    <t>TRN-1029</t>
  </si>
  <si>
    <t>TRN-1036</t>
  </si>
  <si>
    <t>TRN-1047</t>
  </si>
  <si>
    <t>TRN-1001</t>
  </si>
  <si>
    <t>TRN-1002</t>
  </si>
  <si>
    <t>TRN-1004</t>
  </si>
  <si>
    <t>TRN-1008</t>
  </si>
  <si>
    <t>TRN-1014</t>
  </si>
  <si>
    <t>TRN-1020</t>
  </si>
  <si>
    <t>TRN-1035</t>
  </si>
  <si>
    <t>TRN-1041</t>
  </si>
  <si>
    <t>TRN-1042</t>
  </si>
  <si>
    <t>TRN-1003</t>
  </si>
  <si>
    <t>TRN-1006</t>
  </si>
  <si>
    <t>TRN-1009</t>
  </si>
  <si>
    <t>TRN-1040</t>
  </si>
  <si>
    <t>TRN-1030</t>
  </si>
  <si>
    <t>TRN-1046</t>
  </si>
  <si>
    <t>TRN-1017</t>
  </si>
  <si>
    <t>Training ID</t>
  </si>
  <si>
    <t>Course Name</t>
  </si>
  <si>
    <t>Training Type</t>
  </si>
  <si>
    <t>Trainer</t>
  </si>
  <si>
    <t>Mode</t>
  </si>
  <si>
    <t>Duration (hrs)</t>
  </si>
  <si>
    <t>Status</t>
  </si>
  <si>
    <t>Assessment Result</t>
  </si>
  <si>
    <t>Certificate Issued</t>
  </si>
  <si>
    <t>Certificate Expiry</t>
  </si>
  <si>
    <t>👁️  HSE OBSERVATIONS — DATA ENTRY</t>
  </si>
  <si>
    <t>OBS-1027</t>
  </si>
  <si>
    <t>Safe Act</t>
  </si>
  <si>
    <t>Verbal Warning</t>
  </si>
  <si>
    <t>OBS-1031</t>
  </si>
  <si>
    <t>Unsafe Condition</t>
  </si>
  <si>
    <t>Retraining</t>
  </si>
  <si>
    <t>OBS-1036</t>
  </si>
  <si>
    <t>Fine</t>
  </si>
  <si>
    <t>OBS-1046</t>
  </si>
  <si>
    <t>Unsafe Act</t>
  </si>
  <si>
    <t>Pending</t>
  </si>
  <si>
    <t>OBS-1004</t>
  </si>
  <si>
    <t>OBS-1009</t>
  </si>
  <si>
    <t>Suspension</t>
  </si>
  <si>
    <t>OBS-1017</t>
  </si>
  <si>
    <t>Written Warning</t>
  </si>
  <si>
    <t>OBS-1019</t>
  </si>
  <si>
    <t>Near Miss</t>
  </si>
  <si>
    <t>OBS-1042</t>
  </si>
  <si>
    <t>OBS-1044</t>
  </si>
  <si>
    <t>OBS-1005</t>
  </si>
  <si>
    <t>OBS-1006</t>
  </si>
  <si>
    <t>Safe Condition</t>
  </si>
  <si>
    <t>OBS-1007</t>
  </si>
  <si>
    <t>OBS-1029</t>
  </si>
  <si>
    <t>OBS-1032</t>
  </si>
  <si>
    <t>OBS-1037</t>
  </si>
  <si>
    <t>OBS-1014</t>
  </si>
  <si>
    <t>OBS-1024</t>
  </si>
  <si>
    <t>OBS-1030</t>
  </si>
  <si>
    <t>OBS-1048</t>
  </si>
  <si>
    <t>OBS-1033</t>
  </si>
  <si>
    <t>OBS-1035</t>
  </si>
  <si>
    <t>OBS-1043</t>
  </si>
  <si>
    <t>OBS-1016</t>
  </si>
  <si>
    <t>OBS-1018</t>
  </si>
  <si>
    <t>OBS-1028</t>
  </si>
  <si>
    <t>OBS-1002</t>
  </si>
  <si>
    <t>Overdue</t>
  </si>
  <si>
    <t>OBS-1010</t>
  </si>
  <si>
    <t>OBS-1011</t>
  </si>
  <si>
    <t>OBS-1026</t>
  </si>
  <si>
    <t>OBS-1034</t>
  </si>
  <si>
    <t>OBS-1045</t>
  </si>
  <si>
    <t>OBS-1012</t>
  </si>
  <si>
    <t>OBS-1021</t>
  </si>
  <si>
    <t>OBS-1001</t>
  </si>
  <si>
    <t>OBS-1013</t>
  </si>
  <si>
    <t>OBS-1025</t>
  </si>
  <si>
    <t>OBS-1039</t>
  </si>
  <si>
    <t>OBS-1041</t>
  </si>
  <si>
    <t>OBS-1003</t>
  </si>
  <si>
    <t>OBS-1008</t>
  </si>
  <si>
    <t>OBS-1023</t>
  </si>
  <si>
    <t>OBS-1038</t>
  </si>
  <si>
    <t>OBS-1047</t>
  </si>
  <si>
    <t>OBS-1015</t>
  </si>
  <si>
    <t>OBS-1020</t>
  </si>
  <si>
    <t>OBS-1022</t>
  </si>
  <si>
    <t>OBS-1040</t>
  </si>
  <si>
    <t>Obs No.</t>
  </si>
  <si>
    <t>Observation Type</t>
  </si>
  <si>
    <t>Description</t>
  </si>
  <si>
    <t>Observed By</t>
  </si>
  <si>
    <t>Responsible Person</t>
  </si>
  <si>
    <t>Category</t>
  </si>
  <si>
    <t>Action Taken</t>
  </si>
  <si>
    <t>Due Date</t>
  </si>
  <si>
    <t>🔍  WORKPLACE INSPECTIONS — DATA ENTRY</t>
  </si>
  <si>
    <t>WPI-1010</t>
  </si>
  <si>
    <t>WPI-1007</t>
  </si>
  <si>
    <t>WPI-1008</t>
  </si>
  <si>
    <t>WPI-1023</t>
  </si>
  <si>
    <t>WPI-1025</t>
  </si>
  <si>
    <t>WPI-1033</t>
  </si>
  <si>
    <t>WPI-1044</t>
  </si>
  <si>
    <t>WPI-1016</t>
  </si>
  <si>
    <t>WPI-1026</t>
  </si>
  <si>
    <t>WPI-1027</t>
  </si>
  <si>
    <t>WPI-1030</t>
  </si>
  <si>
    <t>WPI-1039</t>
  </si>
  <si>
    <t>WPI-1046</t>
  </si>
  <si>
    <t>WPI-1021</t>
  </si>
  <si>
    <t>WPI-1031</t>
  </si>
  <si>
    <t>WPI-1022</t>
  </si>
  <si>
    <t>WPI-1004</t>
  </si>
  <si>
    <t>WPI-1009</t>
  </si>
  <si>
    <t>WPI-1019</t>
  </si>
  <si>
    <t>WPI-1024</t>
  </si>
  <si>
    <t>WPI-1032</t>
  </si>
  <si>
    <t>WPI-1035</t>
  </si>
  <si>
    <t>WPI-1003</t>
  </si>
  <si>
    <t>WPI-1013</t>
  </si>
  <si>
    <t>WPI-1041</t>
  </si>
  <si>
    <t>WPI-1006</t>
  </si>
  <si>
    <t>WPI-1017</t>
  </si>
  <si>
    <t>WPI-1029</t>
  </si>
  <si>
    <t>WPI-1034</t>
  </si>
  <si>
    <t>WPI-1040</t>
  </si>
  <si>
    <t>WPI-1043</t>
  </si>
  <si>
    <t>WPI-1045</t>
  </si>
  <si>
    <t>WPI-1047</t>
  </si>
  <si>
    <t>WPI-1001</t>
  </si>
  <si>
    <t>WPI-1002</t>
  </si>
  <si>
    <t>WPI-1014</t>
  </si>
  <si>
    <t>WPI-1015</t>
  </si>
  <si>
    <t>WPI-1020</t>
  </si>
  <si>
    <t>WPI-1028</t>
  </si>
  <si>
    <t>WPI-1042</t>
  </si>
  <si>
    <t>WPI-1012</t>
  </si>
  <si>
    <t>WPI-1018</t>
  </si>
  <si>
    <t>WPI-1038</t>
  </si>
  <si>
    <t>WPI-1005</t>
  </si>
  <si>
    <t>WPI-1011</t>
  </si>
  <si>
    <t>WPI-1036</t>
  </si>
  <si>
    <t>WPI-1048</t>
  </si>
  <si>
    <t>WPI-1037</t>
  </si>
  <si>
    <t>Inspection Area/Item</t>
  </si>
  <si>
    <t>Inspector</t>
  </si>
  <si>
    <t>Checkpoints Inspected</t>
  </si>
  <si>
    <t>Non-Conformances</t>
  </si>
  <si>
    <t>Critical Findings</t>
  </si>
  <si>
    <t>Overall Rating</t>
  </si>
  <si>
    <t>Corrective Action</t>
  </si>
  <si>
    <t>🛠️  EQUIPMENT INSPECTIONS — DATA ENTRY</t>
  </si>
  <si>
    <t>EQI-1009</t>
  </si>
  <si>
    <t>EQI-1013</t>
  </si>
  <si>
    <t>EQI-1016</t>
  </si>
  <si>
    <t>EQI-1021</t>
  </si>
  <si>
    <t>EQI-1024</t>
  </si>
  <si>
    <t>EQI-1040</t>
  </si>
  <si>
    <t>EQI-1044</t>
  </si>
  <si>
    <t>EQI-1046</t>
  </si>
  <si>
    <t>EQI-1017</t>
  </si>
  <si>
    <t>EQI-1023</t>
  </si>
  <si>
    <t>EQI-1033</t>
  </si>
  <si>
    <t>EQI-1034</t>
  </si>
  <si>
    <t>EQI-1011</t>
  </si>
  <si>
    <t>EQI-1018</t>
  </si>
  <si>
    <t>EQI-1043</t>
  </si>
  <si>
    <t>EQI-1001</t>
  </si>
  <si>
    <t>EQI-1014</t>
  </si>
  <si>
    <t>EQI-1030</t>
  </si>
  <si>
    <t>EQI-1002</t>
  </si>
  <si>
    <t>EQI-1004</t>
  </si>
  <si>
    <t>EQI-1019</t>
  </si>
  <si>
    <t>EQI-1042</t>
  </si>
  <si>
    <t>EQI-1010</t>
  </si>
  <si>
    <t>EQI-1022</t>
  </si>
  <si>
    <t>EQI-1029</t>
  </si>
  <si>
    <t>EQI-1003</t>
  </si>
  <si>
    <t>EQI-1005</t>
  </si>
  <si>
    <t>EQI-1020</t>
  </si>
  <si>
    <t>EQI-1026</t>
  </si>
  <si>
    <t>EQI-1031</t>
  </si>
  <si>
    <t>EQI-1036</t>
  </si>
  <si>
    <t>EQI-1041</t>
  </si>
  <si>
    <t>EQI-1038</t>
  </si>
  <si>
    <t>EQI-1039</t>
  </si>
  <si>
    <t>EQI-1006</t>
  </si>
  <si>
    <t>EQI-1008</t>
  </si>
  <si>
    <t>EQI-1032</t>
  </si>
  <si>
    <t>EQI-1045</t>
  </si>
  <si>
    <t>EQI-1007</t>
  </si>
  <si>
    <t>EQI-1025</t>
  </si>
  <si>
    <t>EQI-1028</t>
  </si>
  <si>
    <t>EQI-1037</t>
  </si>
  <si>
    <t>EQI-1047</t>
  </si>
  <si>
    <t>EQI-1048</t>
  </si>
  <si>
    <t>EQI-1012</t>
  </si>
  <si>
    <t>EQI-1015</t>
  </si>
  <si>
    <t>EQI-1027</t>
  </si>
  <si>
    <t>EQI-1035</t>
  </si>
  <si>
    <t>🚶  SAFETY WALKTHROUGHS — DATA ENTRY</t>
  </si>
  <si>
    <t>SW-1020</t>
  </si>
  <si>
    <t>SW-1033</t>
  </si>
  <si>
    <t>SW-1036</t>
  </si>
  <si>
    <t>SW-1041</t>
  </si>
  <si>
    <t>SW-1044</t>
  </si>
  <si>
    <t>SW-1015</t>
  </si>
  <si>
    <t>SW-1023</t>
  </si>
  <si>
    <t>SW-1034</t>
  </si>
  <si>
    <t>SW-1043</t>
  </si>
  <si>
    <t>SW-1016</t>
  </si>
  <si>
    <t>SW-1029</t>
  </si>
  <si>
    <t>SW-1039</t>
  </si>
  <si>
    <t>SW-1001</t>
  </si>
  <si>
    <t>SW-1006</t>
  </si>
  <si>
    <t>SW-1009</t>
  </si>
  <si>
    <t>SW-1010</t>
  </si>
  <si>
    <t>SW-1035</t>
  </si>
  <si>
    <t>SW-1042</t>
  </si>
  <si>
    <t>SW-1004</t>
  </si>
  <si>
    <t>SW-1013</t>
  </si>
  <si>
    <t>SW-1025</t>
  </si>
  <si>
    <t>SW-1027</t>
  </si>
  <si>
    <t>SW-1037</t>
  </si>
  <si>
    <t>SW-1047</t>
  </si>
  <si>
    <t>SW-1018</t>
  </si>
  <si>
    <t>SW-1022</t>
  </si>
  <si>
    <t>SW-1024</t>
  </si>
  <si>
    <t>SW-1008</t>
  </si>
  <si>
    <t>SW-1011</t>
  </si>
  <si>
    <t>SW-1012</t>
  </si>
  <si>
    <t>SW-1019</t>
  </si>
  <si>
    <t>SW-1026</t>
  </si>
  <si>
    <t>SW-1032</t>
  </si>
  <si>
    <t>SW-1038</t>
  </si>
  <si>
    <t>SW-1005</t>
  </si>
  <si>
    <t>SW-1030</t>
  </si>
  <si>
    <t>SW-1031</t>
  </si>
  <si>
    <t>SW-1046</t>
  </si>
  <si>
    <t>SW-1048</t>
  </si>
  <si>
    <t>SW-1014</t>
  </si>
  <si>
    <t>SW-1045</t>
  </si>
  <si>
    <t>SW-1002</t>
  </si>
  <si>
    <t>SW-1003</t>
  </si>
  <si>
    <t>SW-1028</t>
  </si>
  <si>
    <t>SW-1040</t>
  </si>
  <si>
    <t>SW-1007</t>
  </si>
  <si>
    <t>SW-1017</t>
  </si>
  <si>
    <t>SW-1021</t>
  </si>
  <si>
    <t>👥  SAFETY MEETINGS — DATA ENTRY</t>
  </si>
  <si>
    <t>SM-1001</t>
  </si>
  <si>
    <t>Weekly</t>
  </si>
  <si>
    <t>SM-1012</t>
  </si>
  <si>
    <t>Annual</t>
  </si>
  <si>
    <t>SM-1015</t>
  </si>
  <si>
    <t>SM-1016</t>
  </si>
  <si>
    <t>Quarterly</t>
  </si>
  <si>
    <t>SM-1028</t>
  </si>
  <si>
    <t>Monthly</t>
  </si>
  <si>
    <t>SM-1029</t>
  </si>
  <si>
    <t>SM-1030</t>
  </si>
  <si>
    <t>SM-1037</t>
  </si>
  <si>
    <t>SM-1002</t>
  </si>
  <si>
    <t>SM-1003</t>
  </si>
  <si>
    <t>SM-1007</t>
  </si>
  <si>
    <t>SM-1020</t>
  </si>
  <si>
    <t>SM-1023</t>
  </si>
  <si>
    <t>SM-1032</t>
  </si>
  <si>
    <t>SM-1042</t>
  </si>
  <si>
    <t>SM-1005</t>
  </si>
  <si>
    <t>SM-1010</t>
  </si>
  <si>
    <t>SM-1014</t>
  </si>
  <si>
    <t>SM-1018</t>
  </si>
  <si>
    <t>SM-1025</t>
  </si>
  <si>
    <t>SM-1027</t>
  </si>
  <si>
    <t>SM-1044</t>
  </si>
  <si>
    <t>SM-1036</t>
  </si>
  <si>
    <t>SM-1038</t>
  </si>
  <si>
    <t>SM-1009</t>
  </si>
  <si>
    <t>SM-1019</t>
  </si>
  <si>
    <t>SM-1035</t>
  </si>
  <si>
    <t>SM-1040</t>
  </si>
  <si>
    <t>SM-1008</t>
  </si>
  <si>
    <t>SM-1006</t>
  </si>
  <si>
    <t>SM-1024</t>
  </si>
  <si>
    <t>SM-1041</t>
  </si>
  <si>
    <t>SM-1017</t>
  </si>
  <si>
    <t>SM-1034</t>
  </si>
  <si>
    <t>SM-1043</t>
  </si>
  <si>
    <t>SM-1046</t>
  </si>
  <si>
    <t>SM-1004</t>
  </si>
  <si>
    <t>SM-1013</t>
  </si>
  <si>
    <t>SM-1047</t>
  </si>
  <si>
    <t>SM-1021</t>
  </si>
  <si>
    <t>SM-1026</t>
  </si>
  <si>
    <t>SM-1033</t>
  </si>
  <si>
    <t>SM-1048</t>
  </si>
  <si>
    <t>SM-1011</t>
  </si>
  <si>
    <t>SM-1022</t>
  </si>
  <si>
    <t>SM-1031</t>
  </si>
  <si>
    <t>SM-1039</t>
  </si>
  <si>
    <t>SM-1045</t>
  </si>
  <si>
    <t>Meeting ID</t>
  </si>
  <si>
    <t>Frequency</t>
  </si>
  <si>
    <t>Topic/Agenda</t>
  </si>
  <si>
    <t>Chaired By</t>
  </si>
  <si>
    <t>Invited</t>
  </si>
  <si>
    <t>Attended</t>
  </si>
  <si>
    <t>Action Items Raised</t>
  </si>
  <si>
    <t>Actions Closed</t>
  </si>
  <si>
    <t>Close-out %</t>
  </si>
  <si>
    <t>MoM Circulated</t>
  </si>
  <si>
    <t>📢  SAFETY BULLETINS — DATA ENTRY</t>
  </si>
  <si>
    <t>SB-1002</t>
  </si>
  <si>
    <t>Lesson Learned</t>
  </si>
  <si>
    <t>Notice Board</t>
  </si>
  <si>
    <t>Closed</t>
  </si>
  <si>
    <t>SB-1005</t>
  </si>
  <si>
    <t>Best Practice</t>
  </si>
  <si>
    <t>App Notification</t>
  </si>
  <si>
    <t>SB-1017</t>
  </si>
  <si>
    <t>SB-1028</t>
  </si>
  <si>
    <t>Toolbox Topic</t>
  </si>
  <si>
    <t>All Channels</t>
  </si>
  <si>
    <t>Acknowledged</t>
  </si>
  <si>
    <t>SB-1023</t>
  </si>
  <si>
    <t>SB-1026</t>
  </si>
  <si>
    <t>Safety Alert</t>
  </si>
  <si>
    <t>Issued</t>
  </si>
  <si>
    <t>SB-1029</t>
  </si>
  <si>
    <t>Advisory</t>
  </si>
  <si>
    <t>SB-1030</t>
  </si>
  <si>
    <t>SB-1032</t>
  </si>
  <si>
    <t>SB-1009</t>
  </si>
  <si>
    <t>SB-1014</t>
  </si>
  <si>
    <t>Bulletin</t>
  </si>
  <si>
    <t>SB-1016</t>
  </si>
  <si>
    <t>SB-1025</t>
  </si>
  <si>
    <t>Email</t>
  </si>
  <si>
    <t>SB-1048</t>
  </si>
  <si>
    <t>SB-1004</t>
  </si>
  <si>
    <t>SB-1006</t>
  </si>
  <si>
    <t>SB-1035</t>
  </si>
  <si>
    <t>SB-1038</t>
  </si>
  <si>
    <t>SB-1011</t>
  </si>
  <si>
    <t>SB-1012</t>
  </si>
  <si>
    <t>SB-1040</t>
  </si>
  <si>
    <t>SB-1001</t>
  </si>
  <si>
    <t>SB-1003</t>
  </si>
  <si>
    <t>SB-1018</t>
  </si>
  <si>
    <t>SB-1021</t>
  </si>
  <si>
    <t>SB-1033</t>
  </si>
  <si>
    <t>SB-1036</t>
  </si>
  <si>
    <t>SB-1039</t>
  </si>
  <si>
    <t>SB-1031</t>
  </si>
  <si>
    <t>SB-1037</t>
  </si>
  <si>
    <t>SB-1041</t>
  </si>
  <si>
    <t>SB-1042</t>
  </si>
  <si>
    <t>SB-1047</t>
  </si>
  <si>
    <t>SB-1010</t>
  </si>
  <si>
    <t>SB-1020</t>
  </si>
  <si>
    <t>SB-1027</t>
  </si>
  <si>
    <t>SB-1043</t>
  </si>
  <si>
    <t>SB-1044</t>
  </si>
  <si>
    <t>SB-1022</t>
  </si>
  <si>
    <t>SB-1034</t>
  </si>
  <si>
    <t>SB-1046</t>
  </si>
  <si>
    <t>SB-1007</t>
  </si>
  <si>
    <t>SB-1008</t>
  </si>
  <si>
    <t>SB-1019</t>
  </si>
  <si>
    <t>SB-1024</t>
  </si>
  <si>
    <t>SB-1045</t>
  </si>
  <si>
    <t>SB-1013</t>
  </si>
  <si>
    <t>SB-1015</t>
  </si>
  <si>
    <t>Bulletin No.</t>
  </si>
  <si>
    <t>Date Issued</t>
  </si>
  <si>
    <t>Type</t>
  </si>
  <si>
    <t>Subject/Title</t>
  </si>
  <si>
    <t>Target Audience</t>
  </si>
  <si>
    <t>Issued By</t>
  </si>
  <si>
    <t>Distribution Method</t>
  </si>
  <si>
    <t>Priority</t>
  </si>
  <si>
    <t>Target Reach</t>
  </si>
  <si>
    <t>Actual Reach</t>
  </si>
  <si>
    <t>Reach %</t>
  </si>
  <si>
    <t>🚨  EMERGENCY DRILLS — DATA ENTRY</t>
  </si>
  <si>
    <t>ED-1007</t>
  </si>
  <si>
    <t>Fire Evacuation</t>
  </si>
  <si>
    <t>Action Pending</t>
  </si>
  <si>
    <t>ED-1030</t>
  </si>
  <si>
    <t>Medical Emergency</t>
  </si>
  <si>
    <t>ED-1041</t>
  </si>
  <si>
    <t>ED-1002</t>
  </si>
  <si>
    <t>Gas Leak</t>
  </si>
  <si>
    <t>ED-1003</t>
  </si>
  <si>
    <t>ED-1008</t>
  </si>
  <si>
    <t>Chemical Spill</t>
  </si>
  <si>
    <t>ED-1025</t>
  </si>
  <si>
    <t>ED-1028</t>
  </si>
  <si>
    <t>ED-1045</t>
  </si>
  <si>
    <t>ED-1010</t>
  </si>
  <si>
    <t>ED-1013</t>
  </si>
  <si>
    <t>Earthquake</t>
  </si>
  <si>
    <t>ED-1019</t>
  </si>
  <si>
    <t>ED-1011</t>
  </si>
  <si>
    <t>ED-1014</t>
  </si>
  <si>
    <t>ED-1021</t>
  </si>
  <si>
    <t>ED-1009</t>
  </si>
  <si>
    <t>ED-1023</t>
  </si>
  <si>
    <t>ED-1027</t>
  </si>
  <si>
    <t>ED-1031</t>
  </si>
  <si>
    <t>ED-1032</t>
  </si>
  <si>
    <t>ED-1035</t>
  </si>
  <si>
    <t>ED-1048</t>
  </si>
  <si>
    <t>Confined Space Rescue</t>
  </si>
  <si>
    <t>ED-1018</t>
  </si>
  <si>
    <t>ED-1022</t>
  </si>
  <si>
    <t>ED-1029</t>
  </si>
  <si>
    <t>ED-1036</t>
  </si>
  <si>
    <t>ED-1046</t>
  </si>
  <si>
    <t>ED-1001</t>
  </si>
  <si>
    <t>ED-1017</t>
  </si>
  <si>
    <t>ED-1024</t>
  </si>
  <si>
    <t>ED-1033</t>
  </si>
  <si>
    <t>ED-1038</t>
  </si>
  <si>
    <t>ED-1047</t>
  </si>
  <si>
    <t>ED-1005</t>
  </si>
  <si>
    <t>ED-1006</t>
  </si>
  <si>
    <t>ED-1012</t>
  </si>
  <si>
    <t>ED-1015</t>
  </si>
  <si>
    <t>ED-1016</t>
  </si>
  <si>
    <t>ED-1037</t>
  </si>
  <si>
    <t>Rescheduled</t>
  </si>
  <si>
    <t>ED-1039</t>
  </si>
  <si>
    <t>ED-1020</t>
  </si>
  <si>
    <t>ED-1026</t>
  </si>
  <si>
    <t>ED-1034</t>
  </si>
  <si>
    <t>ED-1040</t>
  </si>
  <si>
    <t>ED-1042</t>
  </si>
  <si>
    <t>ED-1044</t>
  </si>
  <si>
    <t>ED-1004</t>
  </si>
  <si>
    <t>ED-1043</t>
  </si>
  <si>
    <t>Drill ID</t>
  </si>
  <si>
    <t>Drill Type</t>
  </si>
  <si>
    <t>Drill Leader</t>
  </si>
  <si>
    <t>Target Participants</t>
  </si>
  <si>
    <t>Actual Participants</t>
  </si>
  <si>
    <t>Participation %</t>
  </si>
  <si>
    <t>Target Response (min)</t>
  </si>
  <si>
    <t>Actual Response (min)</t>
  </si>
  <si>
    <t>Improvement Areas</t>
  </si>
  <si>
    <t>📋  INTERNAL AUDITS — DATA ENTRY</t>
  </si>
  <si>
    <t>IA-1006</t>
  </si>
  <si>
    <t>Customer Audit</t>
  </si>
  <si>
    <t>IA-1008</t>
  </si>
  <si>
    <t>Regulatory Inspection</t>
  </si>
  <si>
    <t>IA-1014</t>
  </si>
  <si>
    <t>System Audit</t>
  </si>
  <si>
    <t>IA-1022</t>
  </si>
  <si>
    <t>Process Audit</t>
  </si>
  <si>
    <t>IA-1031</t>
  </si>
  <si>
    <t>IA-1002</t>
  </si>
  <si>
    <t>IA-1020</t>
  </si>
  <si>
    <t>IA-1021</t>
  </si>
  <si>
    <t>Surveillance</t>
  </si>
  <si>
    <t>IA-1025</t>
  </si>
  <si>
    <t>IA-1012</t>
  </si>
  <si>
    <t>IA-1023</t>
  </si>
  <si>
    <t>IA-1030</t>
  </si>
  <si>
    <t>IA-1004</t>
  </si>
  <si>
    <t>IA-1015</t>
  </si>
  <si>
    <t>IA-1033</t>
  </si>
  <si>
    <t>IA-1042</t>
  </si>
  <si>
    <t>Compliance Audit</t>
  </si>
  <si>
    <t>IA-1032</t>
  </si>
  <si>
    <t>IA-1003</t>
  </si>
  <si>
    <t>IA-1005</t>
  </si>
  <si>
    <t>IA-1019</t>
  </si>
  <si>
    <t>IA-1034</t>
  </si>
  <si>
    <t>IA-1039</t>
  </si>
  <si>
    <t>IA-1040</t>
  </si>
  <si>
    <t>IA-1013</t>
  </si>
  <si>
    <t>IA-1044</t>
  </si>
  <si>
    <t>IA-1046</t>
  </si>
  <si>
    <t>IA-1016</t>
  </si>
  <si>
    <t>IA-1017</t>
  </si>
  <si>
    <t>IA-1018</t>
  </si>
  <si>
    <t>IA-1024</t>
  </si>
  <si>
    <t>IA-1026</t>
  </si>
  <si>
    <t>IA-1029</t>
  </si>
  <si>
    <t>IA-1035</t>
  </si>
  <si>
    <t>IA-1043</t>
  </si>
  <si>
    <t>IA-1048</t>
  </si>
  <si>
    <t>IA-1007</t>
  </si>
  <si>
    <t>IA-1009</t>
  </si>
  <si>
    <t>IA-1038</t>
  </si>
  <si>
    <t>IA-1047</t>
  </si>
  <si>
    <t>IA-1001</t>
  </si>
  <si>
    <t>IA-1011</t>
  </si>
  <si>
    <t>IA-1041</t>
  </si>
  <si>
    <t>IA-1045</t>
  </si>
  <si>
    <t>IA-1010</t>
  </si>
  <si>
    <t>IA-1027</t>
  </si>
  <si>
    <t>IA-1028</t>
  </si>
  <si>
    <t>IA-1036</t>
  </si>
  <si>
    <t>IA-1037</t>
  </si>
  <si>
    <t>Audit No.</t>
  </si>
  <si>
    <t>Audit Scope</t>
  </si>
  <si>
    <t>Audit Type</t>
  </si>
  <si>
    <t>Lead Auditor</t>
  </si>
  <si>
    <t>Checklist Items</t>
  </si>
  <si>
    <t>Minor NC</t>
  </si>
  <si>
    <t>Major NC</t>
  </si>
  <si>
    <t>Observations</t>
  </si>
  <si>
    <t>Recommendations</t>
  </si>
  <si>
    <t>🏛️  EXTERNAL AUDITS — DATA ENTRY</t>
  </si>
  <si>
    <t>EA-1002</t>
  </si>
  <si>
    <t>EA-1010</t>
  </si>
  <si>
    <t>EA-1022</t>
  </si>
  <si>
    <t>EA-1030</t>
  </si>
  <si>
    <t>EA-1041</t>
  </si>
  <si>
    <t>EA-1021</t>
  </si>
  <si>
    <t>EA-1024</t>
  </si>
  <si>
    <t>EA-1026</t>
  </si>
  <si>
    <t>EA-1013</t>
  </si>
  <si>
    <t>EA-1019</t>
  </si>
  <si>
    <t>EA-1028</t>
  </si>
  <si>
    <t>EA-1040</t>
  </si>
  <si>
    <t>EA-1006</t>
  </si>
  <si>
    <t>EA-1011</t>
  </si>
  <si>
    <t>EA-1033</t>
  </si>
  <si>
    <t>EA-1044</t>
  </si>
  <si>
    <t>EA-1003</t>
  </si>
  <si>
    <t>EA-1008</t>
  </si>
  <si>
    <t>EA-1014</t>
  </si>
  <si>
    <t>EA-1020</t>
  </si>
  <si>
    <t>EA-1036</t>
  </si>
  <si>
    <t>EA-1037</t>
  </si>
  <si>
    <t>EA-1007</t>
  </si>
  <si>
    <t>EA-1012</t>
  </si>
  <si>
    <t>EA-1017</t>
  </si>
  <si>
    <t>EA-1027</t>
  </si>
  <si>
    <t>EA-1032</t>
  </si>
  <si>
    <t>EA-1034</t>
  </si>
  <si>
    <t>EA-1039</t>
  </si>
  <si>
    <t>EA-1015</t>
  </si>
  <si>
    <t>EA-1045</t>
  </si>
  <si>
    <t>EA-1018</t>
  </si>
  <si>
    <t>EA-1043</t>
  </si>
  <si>
    <t>EA-1047</t>
  </si>
  <si>
    <t>EA-1001</t>
  </si>
  <si>
    <t>EA-1005</t>
  </si>
  <si>
    <t>EA-1023</t>
  </si>
  <si>
    <t>EA-1042</t>
  </si>
  <si>
    <t>EA-1009</t>
  </si>
  <si>
    <t>EA-1016</t>
  </si>
  <si>
    <t>EA-1035</t>
  </si>
  <si>
    <t>EA-1038</t>
  </si>
  <si>
    <t>EA-1046</t>
  </si>
  <si>
    <t>EA-1048</t>
  </si>
  <si>
    <t>EA-1004</t>
  </si>
  <si>
    <t>EA-1025</t>
  </si>
  <si>
    <t>EA-1029</t>
  </si>
  <si>
    <t>EA-1031</t>
  </si>
  <si>
    <t>🤝  MANAGEMENT VISITS — DATA ENTRY</t>
  </si>
  <si>
    <t>MV-1001</t>
  </si>
  <si>
    <t>Safety Observation</t>
  </si>
  <si>
    <t>MV-1026</t>
  </si>
  <si>
    <t>MV-1037</t>
  </si>
  <si>
    <t>Site Walk</t>
  </si>
  <si>
    <t>MV-1043</t>
  </si>
  <si>
    <t>Project Visit</t>
  </si>
  <si>
    <t>MV-1007</t>
  </si>
  <si>
    <t>MV-1010</t>
  </si>
  <si>
    <t>Plant Visit</t>
  </si>
  <si>
    <t>MV-1012</t>
  </si>
  <si>
    <t>MV-1020</t>
  </si>
  <si>
    <t>MV-1023</t>
  </si>
  <si>
    <t>MV-1024</t>
  </si>
  <si>
    <t>MV-1047</t>
  </si>
  <si>
    <t>MV-1005</t>
  </si>
  <si>
    <t>MV-1022</t>
  </si>
  <si>
    <t>MV-1025</t>
  </si>
  <si>
    <t>MV-1032</t>
  </si>
  <si>
    <t>MV-1034</t>
  </si>
  <si>
    <t>MV-1036</t>
  </si>
  <si>
    <t>MV-1048</t>
  </si>
  <si>
    <t>MV-1006</t>
  </si>
  <si>
    <t>MV-1013</t>
  </si>
  <si>
    <t>MV-1016</t>
  </si>
  <si>
    <t>MV-1018</t>
  </si>
  <si>
    <t>MV-1030</t>
  </si>
  <si>
    <t>MV-1035</t>
  </si>
  <si>
    <t>MV-1008</t>
  </si>
  <si>
    <t>MV-1038</t>
  </si>
  <si>
    <t>MV-1002</t>
  </si>
  <si>
    <t>MV-1003</t>
  </si>
  <si>
    <t>MV-1017</t>
  </si>
  <si>
    <t>MV-1031</t>
  </si>
  <si>
    <t>MV-1033</t>
  </si>
  <si>
    <t>MV-1040</t>
  </si>
  <si>
    <t>MV-1009</t>
  </si>
  <si>
    <t>MV-1014</t>
  </si>
  <si>
    <t>MV-1019</t>
  </si>
  <si>
    <t>MV-1029</t>
  </si>
  <si>
    <t>MV-1039</t>
  </si>
  <si>
    <t>MV-1004</t>
  </si>
  <si>
    <t>MV-1011</t>
  </si>
  <si>
    <t>MV-1015</t>
  </si>
  <si>
    <t>MV-1027</t>
  </si>
  <si>
    <t>MV-1045</t>
  </si>
  <si>
    <t>MV-1028</t>
  </si>
  <si>
    <t>MV-1044</t>
  </si>
  <si>
    <t>MV-1046</t>
  </si>
  <si>
    <t>MV-1021</t>
  </si>
  <si>
    <t>MV-1041</t>
  </si>
  <si>
    <t>MV-1042</t>
  </si>
  <si>
    <t>Visit ID</t>
  </si>
  <si>
    <t>Visit Type</t>
  </si>
  <si>
    <t>Visited By</t>
  </si>
  <si>
    <t>Observations Made</t>
  </si>
  <si>
    <t>Actions Raised</t>
  </si>
  <si>
    <t>🧭  MANAGEMENT REVIEWS — DATA ENTRY</t>
  </si>
  <si>
    <t>MR-1045</t>
  </si>
  <si>
    <t>MR-1009</t>
  </si>
  <si>
    <t>MR-1023</t>
  </si>
  <si>
    <t>MR-1025</t>
  </si>
  <si>
    <t>MR-1041</t>
  </si>
  <si>
    <t>MR-1002</t>
  </si>
  <si>
    <t>MR-1004</t>
  </si>
  <si>
    <t>MR-1005</t>
  </si>
  <si>
    <t>MR-1012</t>
  </si>
  <si>
    <t>MR-1024</t>
  </si>
  <si>
    <t>MR-1028</t>
  </si>
  <si>
    <t>MR-1034</t>
  </si>
  <si>
    <t>MR-1047</t>
  </si>
  <si>
    <t>MR-1001</t>
  </si>
  <si>
    <t>MR-1015</t>
  </si>
  <si>
    <t>MR-1033</t>
  </si>
  <si>
    <t>MR-1021</t>
  </si>
  <si>
    <t>MR-1042</t>
  </si>
  <si>
    <t>MR-1006</t>
  </si>
  <si>
    <t>MR-1016</t>
  </si>
  <si>
    <t>MR-1031</t>
  </si>
  <si>
    <t>MR-1003</t>
  </si>
  <si>
    <t>MR-1013</t>
  </si>
  <si>
    <t>MR-1014</t>
  </si>
  <si>
    <t>MR-1018</t>
  </si>
  <si>
    <t>MR-1040</t>
  </si>
  <si>
    <t>MR-1048</t>
  </si>
  <si>
    <t>MR-1017</t>
  </si>
  <si>
    <t>MR-1022</t>
  </si>
  <si>
    <t>MR-1044</t>
  </si>
  <si>
    <t>MR-1007</t>
  </si>
  <si>
    <t>MR-1026</t>
  </si>
  <si>
    <t>MR-1019</t>
  </si>
  <si>
    <t>MR-1020</t>
  </si>
  <si>
    <t>MR-1027</t>
  </si>
  <si>
    <t>MR-1029</t>
  </si>
  <si>
    <t>MR-1030</t>
  </si>
  <si>
    <t>MR-1032</t>
  </si>
  <si>
    <t>MR-1036</t>
  </si>
  <si>
    <t>MR-1037</t>
  </si>
  <si>
    <t>MR-1038</t>
  </si>
  <si>
    <t>MR-1039</t>
  </si>
  <si>
    <t>MR-1008</t>
  </si>
  <si>
    <t>MR-1035</t>
  </si>
  <si>
    <t>MR-1043</t>
  </si>
  <si>
    <t>MR-1046</t>
  </si>
  <si>
    <t>MR-1010</t>
  </si>
  <si>
    <t>MR-1011</t>
  </si>
  <si>
    <t>Review ID</t>
  </si>
  <si>
    <t>Review Topic</t>
  </si>
  <si>
    <t>Members Invited</t>
  </si>
  <si>
    <t>Members Attended</t>
  </si>
  <si>
    <t>Decisions Made</t>
  </si>
  <si>
    <t>Actions Assigned</t>
  </si>
  <si>
    <t>MoM Distributed</t>
  </si>
  <si>
    <t>⚖️  DISCIPLINARY ACTIONS — DATA ENTRY</t>
  </si>
  <si>
    <t>DA-1021</t>
  </si>
  <si>
    <t>Substance Abuse</t>
  </si>
  <si>
    <t>Termination</t>
  </si>
  <si>
    <t>1st Offense</t>
  </si>
  <si>
    <t>Under Review</t>
  </si>
  <si>
    <t>DA-1022</t>
  </si>
  <si>
    <t>3rd Offense</t>
  </si>
  <si>
    <t>Appealed</t>
  </si>
  <si>
    <t>DA-1023</t>
  </si>
  <si>
    <t>Reckless Behavior</t>
  </si>
  <si>
    <t>DA-1024</t>
  </si>
  <si>
    <t>Safety Rule Breach</t>
  </si>
  <si>
    <t>2nd Offense</t>
  </si>
  <si>
    <t>DA-1031</t>
  </si>
  <si>
    <t>DA-1032</t>
  </si>
  <si>
    <t>Repeat</t>
  </si>
  <si>
    <t>DA-1040</t>
  </si>
  <si>
    <t>Unauthorized Work</t>
  </si>
  <si>
    <t>DA-1003</t>
  </si>
  <si>
    <t>DA-1035</t>
  </si>
  <si>
    <t>PPE Violation</t>
  </si>
  <si>
    <t>DA-1011</t>
  </si>
  <si>
    <t>DA-1013</t>
  </si>
  <si>
    <t>DA-1018</t>
  </si>
  <si>
    <t>DA-1045</t>
  </si>
  <si>
    <t>DA-1001</t>
  </si>
  <si>
    <t>DA-1033</t>
  </si>
  <si>
    <t>DA-1037</t>
  </si>
  <si>
    <t>DA-1006</t>
  </si>
  <si>
    <t>DA-1004</t>
  </si>
  <si>
    <t>DA-1027</t>
  </si>
  <si>
    <t>DA-1029</t>
  </si>
  <si>
    <t>DA-1042</t>
  </si>
  <si>
    <t>DA-1044</t>
  </si>
  <si>
    <t>DA-1048</t>
  </si>
  <si>
    <t>DA-1007</t>
  </si>
  <si>
    <t>DA-1008</t>
  </si>
  <si>
    <t>DA-1014</t>
  </si>
  <si>
    <t>DA-1020</t>
  </si>
  <si>
    <t>DA-1036</t>
  </si>
  <si>
    <t>DA-1009</t>
  </si>
  <si>
    <t>DA-1025</t>
  </si>
  <si>
    <t>DA-1028</t>
  </si>
  <si>
    <t>DA-1039</t>
  </si>
  <si>
    <t>DA-1046</t>
  </si>
  <si>
    <t>DA-1002</t>
  </si>
  <si>
    <t>Permit Violation</t>
  </si>
  <si>
    <t>DA-1005</t>
  </si>
  <si>
    <t>DA-1012</t>
  </si>
  <si>
    <t>DA-1015</t>
  </si>
  <si>
    <t>DA-1019</t>
  </si>
  <si>
    <t>DA-1030</t>
  </si>
  <si>
    <t>DA-1047</t>
  </si>
  <si>
    <t>DA-1016</t>
  </si>
  <si>
    <t>DA-1038</t>
  </si>
  <si>
    <t>DA-1010</t>
  </si>
  <si>
    <t>DA-1017</t>
  </si>
  <si>
    <t>DA-1034</t>
  </si>
  <si>
    <t>DA-1041</t>
  </si>
  <si>
    <t>DA-1043</t>
  </si>
  <si>
    <t>DA-1026</t>
  </si>
  <si>
    <t>Case No.</t>
  </si>
  <si>
    <t>Violation Type</t>
  </si>
  <si>
    <t>Employee Name</t>
  </si>
  <si>
    <t>Offense Level</t>
  </si>
  <si>
    <t>🏆  SAFETY AWARDS — DATA ENTRY</t>
  </si>
  <si>
    <t>AW-1010</t>
  </si>
  <si>
    <t>Safe Worker of Month</t>
  </si>
  <si>
    <t>Cash Bonus</t>
  </si>
  <si>
    <t>Presented</t>
  </si>
  <si>
    <t>AW-1047</t>
  </si>
  <si>
    <t>Recognition Letter</t>
  </si>
  <si>
    <t>AW-1001</t>
  </si>
  <si>
    <t>Best Safety Suggestion</t>
  </si>
  <si>
    <t>Gift Voucher</t>
  </si>
  <si>
    <t>AW-1005</t>
  </si>
  <si>
    <t>Safety Innovation</t>
  </si>
  <si>
    <t>AW-1017</t>
  </si>
  <si>
    <t>Best Department</t>
  </si>
  <si>
    <t>Trophy</t>
  </si>
  <si>
    <t>AW-1025</t>
  </si>
  <si>
    <t>AW-1042</t>
  </si>
  <si>
    <t>AW-1032</t>
  </si>
  <si>
    <t>Zero Incident Award</t>
  </si>
  <si>
    <t>AW-1034</t>
  </si>
  <si>
    <t>HSE Champion</t>
  </si>
  <si>
    <t>Certificate</t>
  </si>
  <si>
    <t>Nominated</t>
  </si>
  <si>
    <t>AW-1004</t>
  </si>
  <si>
    <t>AW-1011</t>
  </si>
  <si>
    <t>AW-1020</t>
  </si>
  <si>
    <t>AW-1033</t>
  </si>
  <si>
    <t>AW-1035</t>
  </si>
  <si>
    <t>AW-1002</t>
  </si>
  <si>
    <t>AW-1007</t>
  </si>
  <si>
    <t>AW-1014</t>
  </si>
  <si>
    <t>AW-1018</t>
  </si>
  <si>
    <t>AW-1008</t>
  </si>
  <si>
    <t>AW-1023</t>
  </si>
  <si>
    <t>AW-1037</t>
  </si>
  <si>
    <t>AW-1046</t>
  </si>
  <si>
    <t>AW-1029</t>
  </si>
  <si>
    <t>AW-1006</t>
  </si>
  <si>
    <t>AW-1016</t>
  </si>
  <si>
    <t>AW-1036</t>
  </si>
  <si>
    <t>AW-1040</t>
  </si>
  <si>
    <t>AW-1048</t>
  </si>
  <si>
    <t>AW-1021</t>
  </si>
  <si>
    <t>AW-1024</t>
  </si>
  <si>
    <t>AW-1039</t>
  </si>
  <si>
    <t>AW-1044</t>
  </si>
  <si>
    <t>AW-1015</t>
  </si>
  <si>
    <t>AW-1026</t>
  </si>
  <si>
    <t>AW-1028</t>
  </si>
  <si>
    <t>AW-1003</t>
  </si>
  <si>
    <t>AW-1009</t>
  </si>
  <si>
    <t>AW-1012</t>
  </si>
  <si>
    <t>AW-1013</t>
  </si>
  <si>
    <t>AW-1022</t>
  </si>
  <si>
    <t>AW-1027</t>
  </si>
  <si>
    <t>AW-1041</t>
  </si>
  <si>
    <t>AW-1043</t>
  </si>
  <si>
    <t>AW-1019</t>
  </si>
  <si>
    <t>AW-1030</t>
  </si>
  <si>
    <t>AW-1031</t>
  </si>
  <si>
    <t>AW-1038</t>
  </si>
  <si>
    <t>AW-1045</t>
  </si>
  <si>
    <t>Award ID</t>
  </si>
  <si>
    <t>Award Category</t>
  </si>
  <si>
    <t>Recipient</t>
  </si>
  <si>
    <t>Reward Type</t>
  </si>
  <si>
    <t>Presented By</t>
  </si>
  <si>
    <t>✋  STOP WORK AUTHORITY — DATA ENTRY</t>
  </si>
  <si>
    <t>SWA-1002</t>
  </si>
  <si>
    <t>Resolved</t>
  </si>
  <si>
    <t>SWA-1009</t>
  </si>
  <si>
    <t>Permanent Fix Applied</t>
  </si>
  <si>
    <t>SWA-1011</t>
  </si>
  <si>
    <t>SWA-1042</t>
  </si>
  <si>
    <t>SWA-1045</t>
  </si>
  <si>
    <t>SWA-1032</t>
  </si>
  <si>
    <t>SWA-1046</t>
  </si>
  <si>
    <t>SWA-1015</t>
  </si>
  <si>
    <t>Under Investigation</t>
  </si>
  <si>
    <t>SWA-1038</t>
  </si>
  <si>
    <t>SWA-1005</t>
  </si>
  <si>
    <t>SWA-1008</t>
  </si>
  <si>
    <t>SWA-1033</t>
  </si>
  <si>
    <t>SWA-1041</t>
  </si>
  <si>
    <t>SWA-1022</t>
  </si>
  <si>
    <t>SWA-1029</t>
  </si>
  <si>
    <t>SWA-1021</t>
  </si>
  <si>
    <t>SWA-1030</t>
  </si>
  <si>
    <t>SWA-1016</t>
  </si>
  <si>
    <t>SWA-1017</t>
  </si>
  <si>
    <t>SWA-1018</t>
  </si>
  <si>
    <t>SWA-1020</t>
  </si>
  <si>
    <t>SWA-1037</t>
  </si>
  <si>
    <t>SWA-1043</t>
  </si>
  <si>
    <t>SWA-1001</t>
  </si>
  <si>
    <t>SWA-1004</t>
  </si>
  <si>
    <t>SWA-1019</t>
  </si>
  <si>
    <t>SWA-1027</t>
  </si>
  <si>
    <t>SWA-1034</t>
  </si>
  <si>
    <t>SWA-1044</t>
  </si>
  <si>
    <t>SWA-1003</t>
  </si>
  <si>
    <t>SWA-1023</t>
  </si>
  <si>
    <t>SWA-1047</t>
  </si>
  <si>
    <t>SWA-1026</t>
  </si>
  <si>
    <t>SWA-1028</t>
  </si>
  <si>
    <t>SWA-1031</t>
  </si>
  <si>
    <t>SWA-1035</t>
  </si>
  <si>
    <t>SWA-1039</t>
  </si>
  <si>
    <t>SWA-1040</t>
  </si>
  <si>
    <t>SWA-1007</t>
  </si>
  <si>
    <t>SWA-1013</t>
  </si>
  <si>
    <t>SWA-1024</t>
  </si>
  <si>
    <t>SWA-1025</t>
  </si>
  <si>
    <t>SWA-1036</t>
  </si>
  <si>
    <t>SWA-1006</t>
  </si>
  <si>
    <t>SWA-1010</t>
  </si>
  <si>
    <t>SWA-1012</t>
  </si>
  <si>
    <t>SWA-1014</t>
  </si>
  <si>
    <t>SWA-1048</t>
  </si>
  <si>
    <t>SWA No.</t>
  </si>
  <si>
    <t>Reason for Stop Work</t>
  </si>
  <si>
    <t>Initiated By</t>
  </si>
  <si>
    <t>Authorized By</t>
  </si>
  <si>
    <t>Downtime (min)</t>
  </si>
  <si>
    <t>Severity</t>
  </si>
  <si>
    <t>Resolution</t>
  </si>
  <si>
    <t>Investigation Done</t>
  </si>
  <si>
    <t>🧪  ALCOHOL TESTS — DATA ENTRY</t>
  </si>
  <si>
    <t>AT-1018</t>
  </si>
  <si>
    <t>Random</t>
  </si>
  <si>
    <t>Negative</t>
  </si>
  <si>
    <t>AT-1003</t>
  </si>
  <si>
    <t>Pre-Shift</t>
  </si>
  <si>
    <t>Positive</t>
  </si>
  <si>
    <t>Open</t>
  </si>
  <si>
    <t>AT-1029</t>
  </si>
  <si>
    <t>AT-1031</t>
  </si>
  <si>
    <t>Reasonable Suspicion</t>
  </si>
  <si>
    <t>AT-1016</t>
  </si>
  <si>
    <t>AT-1022</t>
  </si>
  <si>
    <t>AT-1027</t>
  </si>
  <si>
    <t>AT-1030</t>
  </si>
  <si>
    <t>Post-Incident</t>
  </si>
  <si>
    <t>AT-1041</t>
  </si>
  <si>
    <t>AT-1005</t>
  </si>
  <si>
    <t>AT-1014</t>
  </si>
  <si>
    <t>AT-1017</t>
  </si>
  <si>
    <t>AT-1028</t>
  </si>
  <si>
    <t>AT-1036</t>
  </si>
  <si>
    <t>AT-1038</t>
  </si>
  <si>
    <t>AT-1048</t>
  </si>
  <si>
    <t>AT-1001</t>
  </si>
  <si>
    <t>AT-1002</t>
  </si>
  <si>
    <t>AT-1015</t>
  </si>
  <si>
    <t>AT-1034</t>
  </si>
  <si>
    <t>AT-1008</t>
  </si>
  <si>
    <t>AT-1009</t>
  </si>
  <si>
    <t>AT-1026</t>
  </si>
  <si>
    <t>AT-1046</t>
  </si>
  <si>
    <t>AT-1047</t>
  </si>
  <si>
    <t>AT-1006</t>
  </si>
  <si>
    <t>AT-1020</t>
  </si>
  <si>
    <t>AT-1033</t>
  </si>
  <si>
    <t>AT-1037</t>
  </si>
  <si>
    <t>AT-1011</t>
  </si>
  <si>
    <t>AT-1024</t>
  </si>
  <si>
    <t>AT-1044</t>
  </si>
  <si>
    <t>AT-1010</t>
  </si>
  <si>
    <t>AT-1012</t>
  </si>
  <si>
    <t>AT-1013</t>
  </si>
  <si>
    <t>AT-1019</t>
  </si>
  <si>
    <t>AT-1035</t>
  </si>
  <si>
    <t>AT-1043</t>
  </si>
  <si>
    <t>AT-1004</t>
  </si>
  <si>
    <t>AT-1007</t>
  </si>
  <si>
    <t>AT-1021</t>
  </si>
  <si>
    <t>AT-1023</t>
  </si>
  <si>
    <t>AT-1025</t>
  </si>
  <si>
    <t>AT-1040</t>
  </si>
  <si>
    <t>AT-1042</t>
  </si>
  <si>
    <t>AT-1045</t>
  </si>
  <si>
    <t>AT-1032</t>
  </si>
  <si>
    <t>AT-1039</t>
  </si>
  <si>
    <t>Test ID</t>
  </si>
  <si>
    <t>Employee Tested</t>
  </si>
  <si>
    <t>Test Type</t>
  </si>
  <si>
    <t>Result</t>
  </si>
  <si>
    <t>Tested By</t>
  </si>
  <si>
    <t>📝  PTW AUDITS — DATA ENTRY</t>
  </si>
  <si>
    <t>PTA-1011</t>
  </si>
  <si>
    <t>Lifting</t>
  </si>
  <si>
    <t>PTA-1026</t>
  </si>
  <si>
    <t>PTA-1046</t>
  </si>
  <si>
    <t>Electrical</t>
  </si>
  <si>
    <t>PTA-1008</t>
  </si>
  <si>
    <t>PTA-1013</t>
  </si>
  <si>
    <t>PTA-1030</t>
  </si>
  <si>
    <t>PTA-1041</t>
  </si>
  <si>
    <t>Working at Height</t>
  </si>
  <si>
    <t>PTA-1016</t>
  </si>
  <si>
    <t>PTA-1032</t>
  </si>
  <si>
    <t>PTA-1047</t>
  </si>
  <si>
    <t>Excavation</t>
  </si>
  <si>
    <t>PTA-1014</t>
  </si>
  <si>
    <t>PTA-1027</t>
  </si>
  <si>
    <t>PTA-1045</t>
  </si>
  <si>
    <t>PTA-1003</t>
  </si>
  <si>
    <t>PTA-1005</t>
  </si>
  <si>
    <t>Cold Work</t>
  </si>
  <si>
    <t>PTA-1006</t>
  </si>
  <si>
    <t>PTA-1018</t>
  </si>
  <si>
    <t>PTA-1029</t>
  </si>
  <si>
    <t>PTA-1036</t>
  </si>
  <si>
    <t>PTA-1010</t>
  </si>
  <si>
    <t>PTA-1012</t>
  </si>
  <si>
    <t>PTA-1021</t>
  </si>
  <si>
    <t>PTA-1042</t>
  </si>
  <si>
    <t>PTA-1044</t>
  </si>
  <si>
    <t>PTA-1002</t>
  </si>
  <si>
    <t>PTA-1019</t>
  </si>
  <si>
    <t>PTA-1043</t>
  </si>
  <si>
    <t>PTA-1001</t>
  </si>
  <si>
    <t>PTA-1009</t>
  </si>
  <si>
    <t>PTA-1028</t>
  </si>
  <si>
    <t>PTA-1031</t>
  </si>
  <si>
    <t>PTA-1033</t>
  </si>
  <si>
    <t>PTA-1037</t>
  </si>
  <si>
    <t>PTA-1038</t>
  </si>
  <si>
    <t>PTA-1024</t>
  </si>
  <si>
    <t>PTA-1025</t>
  </si>
  <si>
    <t>PTA-1035</t>
  </si>
  <si>
    <t>PTA-1007</t>
  </si>
  <si>
    <t>PTA-1020</t>
  </si>
  <si>
    <t>PTA-1022</t>
  </si>
  <si>
    <t>PTA-1023</t>
  </si>
  <si>
    <t>PTA-1040</t>
  </si>
  <si>
    <t>PTA-1004</t>
  </si>
  <si>
    <t>PTA-1039</t>
  </si>
  <si>
    <t>PTA-1015</t>
  </si>
  <si>
    <t>PTA-1017</t>
  </si>
  <si>
    <t>PTA-1034</t>
  </si>
  <si>
    <t>PTA-1048</t>
  </si>
  <si>
    <t>Permit Type Audited</t>
  </si>
  <si>
    <t>Auditor</t>
  </si>
  <si>
    <t>Permits Reviewed</t>
  </si>
  <si>
    <t>Deviations Found</t>
  </si>
  <si>
    <t>Total Checkpoints</t>
  </si>
  <si>
    <t>Compliance %</t>
  </si>
  <si>
    <t>Verdict</t>
  </si>
  <si>
    <t>🔧  CORRECTIVE ACTIONS — DATA ENTRY</t>
  </si>
  <si>
    <t>CA-1009</t>
  </si>
  <si>
    <t>Management Review</t>
  </si>
  <si>
    <t>CA-1015</t>
  </si>
  <si>
    <t>Audit Finding</t>
  </si>
  <si>
    <t>CA-1020</t>
  </si>
  <si>
    <t>Inspection Finding</t>
  </si>
  <si>
    <t>Cancelled</t>
  </si>
  <si>
    <t>CA-1045</t>
  </si>
  <si>
    <t>CA-1005</t>
  </si>
  <si>
    <t>Drill Finding</t>
  </si>
  <si>
    <t>CA-1024</t>
  </si>
  <si>
    <t>Incident Follow-up</t>
  </si>
  <si>
    <t>CA-1002</t>
  </si>
  <si>
    <t>CA-1019</t>
  </si>
  <si>
    <t>CA-1023</t>
  </si>
  <si>
    <t>CA-1026</t>
  </si>
  <si>
    <t>CA-1027</t>
  </si>
  <si>
    <t>CA-1038</t>
  </si>
  <si>
    <t>CA-1042</t>
  </si>
  <si>
    <t>Observation</t>
  </si>
  <si>
    <t>CA-1029</t>
  </si>
  <si>
    <t>CA-1006</t>
  </si>
  <si>
    <t>CA-1033</t>
  </si>
  <si>
    <t>CA-1010</t>
  </si>
  <si>
    <t>CA-1012</t>
  </si>
  <si>
    <t>CA-1025</t>
  </si>
  <si>
    <t>CA-1037</t>
  </si>
  <si>
    <t>CA-1004</t>
  </si>
  <si>
    <t>CA-1007</t>
  </si>
  <si>
    <t>CA-1021</t>
  </si>
  <si>
    <t>CA-1032</t>
  </si>
  <si>
    <t>CA-1046</t>
  </si>
  <si>
    <t>CA-1048</t>
  </si>
  <si>
    <t>CA-1001</t>
  </si>
  <si>
    <t>CA-1028</t>
  </si>
  <si>
    <t>CA-1035</t>
  </si>
  <si>
    <t>CA-1047</t>
  </si>
  <si>
    <t>CA-1008</t>
  </si>
  <si>
    <t>CA-1011</t>
  </si>
  <si>
    <t>CA-1018</t>
  </si>
  <si>
    <t>CA-1040</t>
  </si>
  <si>
    <t>CA-1016</t>
  </si>
  <si>
    <t>CA-1017</t>
  </si>
  <si>
    <t>CA-1022</t>
  </si>
  <si>
    <t>CA-1030</t>
  </si>
  <si>
    <t>CA-1036</t>
  </si>
  <si>
    <t>CA-1039</t>
  </si>
  <si>
    <t>CA-1041</t>
  </si>
  <si>
    <t>CA-1003</t>
  </si>
  <si>
    <t>CA-1014</t>
  </si>
  <si>
    <t>CA-1043</t>
  </si>
  <si>
    <t>CA-1013</t>
  </si>
  <si>
    <t>CA-1031</t>
  </si>
  <si>
    <t>CA-1034</t>
  </si>
  <si>
    <t>CA-1044</t>
  </si>
  <si>
    <t>CA No.</t>
  </si>
  <si>
    <t>Date Raised</t>
  </si>
  <si>
    <t>Source</t>
  </si>
  <si>
    <t>Assigned To</t>
  </si>
  <si>
    <t>Verified By</t>
  </si>
  <si>
    <t>Completion Date</t>
  </si>
  <si>
    <t>Timeliness</t>
  </si>
  <si>
    <t>🚩  NC MANAGEMENT — DATA ENTRY</t>
  </si>
  <si>
    <t>NC-1005</t>
  </si>
  <si>
    <t>Major</t>
  </si>
  <si>
    <t>NC-1022</t>
  </si>
  <si>
    <t>NC-1024</t>
  </si>
  <si>
    <t>PPE Not Used</t>
  </si>
  <si>
    <t>NC-1040</t>
  </si>
  <si>
    <t>Minor</t>
  </si>
  <si>
    <t>Equipment Failure</t>
  </si>
  <si>
    <t>NC-1041</t>
  </si>
  <si>
    <t>NC-1047</t>
  </si>
  <si>
    <t>NC-1012</t>
  </si>
  <si>
    <t>Poor Housekeeping</t>
  </si>
  <si>
    <t>NC-1032</t>
  </si>
  <si>
    <t>Inadequate Procedure</t>
  </si>
  <si>
    <t>NC-1044</t>
  </si>
  <si>
    <t>NC-1010</t>
  </si>
  <si>
    <t>Human Error</t>
  </si>
  <si>
    <t>NC-1013</t>
  </si>
  <si>
    <t>NC-1026</t>
  </si>
  <si>
    <t>NC-1045</t>
  </si>
  <si>
    <t>NC-1001</t>
  </si>
  <si>
    <t>NC-1003</t>
  </si>
  <si>
    <t>NC-1017</t>
  </si>
  <si>
    <t>NC-1021</t>
  </si>
  <si>
    <t>NC-1029</t>
  </si>
  <si>
    <t>NC-1039</t>
  </si>
  <si>
    <t>NC-1043</t>
  </si>
  <si>
    <t>NC-1014</t>
  </si>
  <si>
    <t>NC-1002</t>
  </si>
  <si>
    <t>NC-1019</t>
  </si>
  <si>
    <t>NC-1023</t>
  </si>
  <si>
    <t>NC-1009</t>
  </si>
  <si>
    <t>NC-1030</t>
  </si>
  <si>
    <t>NC-1031</t>
  </si>
  <si>
    <t>Lack of Training</t>
  </si>
  <si>
    <t>NC-1034</t>
  </si>
  <si>
    <t>NC-1037</t>
  </si>
  <si>
    <t>NC-1018</t>
  </si>
  <si>
    <t>NC-1025</t>
  </si>
  <si>
    <t>NC-1046</t>
  </si>
  <si>
    <t>NC-1006</t>
  </si>
  <si>
    <t>NC-1016</t>
  </si>
  <si>
    <t>NC-1020</t>
  </si>
  <si>
    <t>NC-1028</t>
  </si>
  <si>
    <t>NC-1042</t>
  </si>
  <si>
    <t>NC-1004</t>
  </si>
  <si>
    <t>NC-1007</t>
  </si>
  <si>
    <t>NC-1015</t>
  </si>
  <si>
    <t>NC-1036</t>
  </si>
  <si>
    <t>NC-1038</t>
  </si>
  <si>
    <t>NC-1027</t>
  </si>
  <si>
    <t>NC-1048</t>
  </si>
  <si>
    <t>NC-1008</t>
  </si>
  <si>
    <t>NC-1011</t>
  </si>
  <si>
    <t>NC-1033</t>
  </si>
  <si>
    <t>NC-1035</t>
  </si>
  <si>
    <t>NC No.</t>
  </si>
  <si>
    <t>NC Description</t>
  </si>
  <si>
    <t>Target Close Date</t>
  </si>
  <si>
    <t>Actual Close Date</t>
  </si>
  <si>
    <t>Root Cause / CAPA</t>
  </si>
  <si>
    <t>🚫  UNSAFE ACTS — DATA ENTRY</t>
  </si>
  <si>
    <t>UA-1017</t>
  </si>
  <si>
    <t>Operating Without Authorization</t>
  </si>
  <si>
    <t>UA-1046</t>
  </si>
  <si>
    <t>Wrong Tool for the Job</t>
  </si>
  <si>
    <t>UA-1007</t>
  </si>
  <si>
    <t>UA-1012</t>
  </si>
  <si>
    <t>Improper Lifting Technique</t>
  </si>
  <si>
    <t>UA-1016</t>
  </si>
  <si>
    <t>Bypassing Safety Device</t>
  </si>
  <si>
    <t>UA-1027</t>
  </si>
  <si>
    <t>Using Defective Equipment</t>
  </si>
  <si>
    <t>UA-1031</t>
  </si>
  <si>
    <t>UA-1003</t>
  </si>
  <si>
    <t>Horseplay</t>
  </si>
  <si>
    <t>UA-1026</t>
  </si>
  <si>
    <t>UA-1037</t>
  </si>
  <si>
    <t>Not Using PPE</t>
  </si>
  <si>
    <t>UA-1038</t>
  </si>
  <si>
    <t>UA-1047</t>
  </si>
  <si>
    <t>UA-1048</t>
  </si>
  <si>
    <t>UA-1004</t>
  </si>
  <si>
    <t>UA-1005</t>
  </si>
  <si>
    <t>UA-1008</t>
  </si>
  <si>
    <t>UA-1009</t>
  </si>
  <si>
    <t>UA-1013</t>
  </si>
  <si>
    <t>UA-1018</t>
  </si>
  <si>
    <t>LOTO Not Followed</t>
  </si>
  <si>
    <t>UA-1033</t>
  </si>
  <si>
    <t>UA-1035</t>
  </si>
  <si>
    <t>UA-1020</t>
  </si>
  <si>
    <t>UA-1006</t>
  </si>
  <si>
    <t>UA-1019</t>
  </si>
  <si>
    <t>UA-1032</t>
  </si>
  <si>
    <t>Vehicle/Forklift Overspeeding</t>
  </si>
  <si>
    <t>UA-1001</t>
  </si>
  <si>
    <t>UA-1014</t>
  </si>
  <si>
    <t>UA-1015</t>
  </si>
  <si>
    <t>UA-1039</t>
  </si>
  <si>
    <t>Working Without Permit</t>
  </si>
  <si>
    <t>UA-1040</t>
  </si>
  <si>
    <t>UA-1041</t>
  </si>
  <si>
    <t>UA-1002</t>
  </si>
  <si>
    <t>UA-1023</t>
  </si>
  <si>
    <t>UA-1045</t>
  </si>
  <si>
    <t>UA-1011</t>
  </si>
  <si>
    <t>UA-1025</t>
  </si>
  <si>
    <t>UA-1028</t>
  </si>
  <si>
    <t>UA-1034</t>
  </si>
  <si>
    <t>UA-1024</t>
  </si>
  <si>
    <t>UA-1030</t>
  </si>
  <si>
    <t>UA-1042</t>
  </si>
  <si>
    <t>UA-1010</t>
  </si>
  <si>
    <t>UA-1022</t>
  </si>
  <si>
    <t>UA-1036</t>
  </si>
  <si>
    <t>UA-1043</t>
  </si>
  <si>
    <t>UA-1021</t>
  </si>
  <si>
    <t>UA-1029</t>
  </si>
  <si>
    <t>UA-1044</t>
  </si>
  <si>
    <t>Report No.</t>
  </si>
  <si>
    <t>Reported By</t>
  </si>
  <si>
    <t>Immediate Action</t>
  </si>
  <si>
    <t>⛔  UNSAFE CONDITIONS — DATA ENTRY</t>
  </si>
  <si>
    <t>UC-1022</t>
  </si>
  <si>
    <t>Inadequate Lighting</t>
  </si>
  <si>
    <t>UC-1039</t>
  </si>
  <si>
    <t>UC-1014</t>
  </si>
  <si>
    <t>Exposed Wiring</t>
  </si>
  <si>
    <t>UC-1023</t>
  </si>
  <si>
    <t>Missing Signage</t>
  </si>
  <si>
    <t>UC-1025</t>
  </si>
  <si>
    <t>Slippery Floor</t>
  </si>
  <si>
    <t>UC-1037</t>
  </si>
  <si>
    <t>UC-1045</t>
  </si>
  <si>
    <t>Faulty Ladder/Scaffold</t>
  </si>
  <si>
    <t>UC-1032</t>
  </si>
  <si>
    <t>UC-1035</t>
  </si>
  <si>
    <t>UC-1048</t>
  </si>
  <si>
    <t>UC-1003</t>
  </si>
  <si>
    <t>Damaged Machine Guard</t>
  </si>
  <si>
    <t>UC-1006</t>
  </si>
  <si>
    <t>Blocked Walkway/Aisle</t>
  </si>
  <si>
    <t>UC-1011</t>
  </si>
  <si>
    <t>Blocked Fire Exit</t>
  </si>
  <si>
    <t>UC-1004</t>
  </si>
  <si>
    <t>UC-1005</t>
  </si>
  <si>
    <t>UC-1008</t>
  </si>
  <si>
    <t>UC-1016</t>
  </si>
  <si>
    <t>UC-1036</t>
  </si>
  <si>
    <t>Chemical Leak</t>
  </si>
  <si>
    <t>UC-1042</t>
  </si>
  <si>
    <t>UC-1044</t>
  </si>
  <si>
    <t>UC-1012</t>
  </si>
  <si>
    <t>UC-1019</t>
  </si>
  <si>
    <t>UC-1033</t>
  </si>
  <si>
    <t>UC-1001</t>
  </si>
  <si>
    <t>UC-1010</t>
  </si>
  <si>
    <t>UC-1017</t>
  </si>
  <si>
    <t>UC-1024</t>
  </si>
  <si>
    <t>UC-1038</t>
  </si>
  <si>
    <t>UC-1013</t>
  </si>
  <si>
    <t>UC-1015</t>
  </si>
  <si>
    <t>UC-1021</t>
  </si>
  <si>
    <t>UC-1028</t>
  </si>
  <si>
    <t>UC-1030</t>
  </si>
  <si>
    <t>UC-1034</t>
  </si>
  <si>
    <t>UC-1047</t>
  </si>
  <si>
    <t>UC-1002</t>
  </si>
  <si>
    <t>UC-1027</t>
  </si>
  <si>
    <t>UC-1031</t>
  </si>
  <si>
    <t>UC-1040</t>
  </si>
  <si>
    <t>UC-1009</t>
  </si>
  <si>
    <t>UC-1018</t>
  </si>
  <si>
    <t>UC-1020</t>
  </si>
  <si>
    <t>UC-1026</t>
  </si>
  <si>
    <t>UC-1029</t>
  </si>
  <si>
    <t>UC-1041</t>
  </si>
  <si>
    <t>UC-1043</t>
  </si>
  <si>
    <t>UC-1007</t>
  </si>
  <si>
    <t>UC-1046</t>
  </si>
  <si>
    <t>🔥  INCIDENT — DATA ENTRY</t>
  </si>
  <si>
    <t>INC-1007</t>
  </si>
  <si>
    <t>W1</t>
  </si>
  <si>
    <t>Q1</t>
  </si>
  <si>
    <t>FY2026-2027</t>
  </si>
  <si>
    <t>Line 1</t>
  </si>
  <si>
    <t>Shift A</t>
  </si>
  <si>
    <t>Vehicle</t>
  </si>
  <si>
    <t>Employee</t>
  </si>
  <si>
    <t>Foot/Leg</t>
  </si>
  <si>
    <t>INC-1013</t>
  </si>
  <si>
    <t>W2</t>
  </si>
  <si>
    <t>Line 2</t>
  </si>
  <si>
    <t>Property Damage</t>
  </si>
  <si>
    <t>Medical Treatment</t>
  </si>
  <si>
    <t>INC-1021</t>
  </si>
  <si>
    <t>Line 4</t>
  </si>
  <si>
    <t>Shift B</t>
  </si>
  <si>
    <t>Environmental</t>
  </si>
  <si>
    <t>Head</t>
  </si>
  <si>
    <t>INC-1030</t>
  </si>
  <si>
    <t>Can Line</t>
  </si>
  <si>
    <t>Shift C</t>
  </si>
  <si>
    <t>Restricted Work</t>
  </si>
  <si>
    <t>INC-1038</t>
  </si>
  <si>
    <t>W4</t>
  </si>
  <si>
    <t>First Aid</t>
  </si>
  <si>
    <t>Multiple</t>
  </si>
  <si>
    <t>INC-1003</t>
  </si>
  <si>
    <t>W3</t>
  </si>
  <si>
    <t>Third Party</t>
  </si>
  <si>
    <t>INC-1039</t>
  </si>
  <si>
    <t>Eye</t>
  </si>
  <si>
    <t>INC-1016</t>
  </si>
  <si>
    <t>Fire</t>
  </si>
  <si>
    <t>Visitor</t>
  </si>
  <si>
    <t>Torso</t>
  </si>
  <si>
    <t>INC-1022</t>
  </si>
  <si>
    <t>Line 3</t>
  </si>
  <si>
    <t>Injury/Illness</t>
  </si>
  <si>
    <t>INC-1026</t>
  </si>
  <si>
    <t>Hand/Finger</t>
  </si>
  <si>
    <t>INC-1034</t>
  </si>
  <si>
    <t>INC-1012</t>
  </si>
  <si>
    <t>Q2</t>
  </si>
  <si>
    <t>INC-1024</t>
  </si>
  <si>
    <t>INC-1027</t>
  </si>
  <si>
    <t>INC-1048</t>
  </si>
  <si>
    <t>INC-1004</t>
  </si>
  <si>
    <t>INC-1006</t>
  </si>
  <si>
    <t>Back</t>
  </si>
  <si>
    <t>INC-1035</t>
  </si>
  <si>
    <t>INC-1041</t>
  </si>
  <si>
    <t>INC-1043</t>
  </si>
  <si>
    <t>INC-1047</t>
  </si>
  <si>
    <t>Arm</t>
  </si>
  <si>
    <t>INC-1017</t>
  </si>
  <si>
    <t>INC-1031</t>
  </si>
  <si>
    <t>Lost Time Injury</t>
  </si>
  <si>
    <t>INC-1037</t>
  </si>
  <si>
    <t>INC-1005</t>
  </si>
  <si>
    <t>Q3</t>
  </si>
  <si>
    <t>INC-1008</t>
  </si>
  <si>
    <t>INC-1015</t>
  </si>
  <si>
    <t>INC-1019</t>
  </si>
  <si>
    <t>PET Line</t>
  </si>
  <si>
    <t>INC-1046</t>
  </si>
  <si>
    <t>INC-1001</t>
  </si>
  <si>
    <t>INC-1033</t>
  </si>
  <si>
    <t>INC-1045</t>
  </si>
  <si>
    <t>INC-1009</t>
  </si>
  <si>
    <t>INC-1010</t>
  </si>
  <si>
    <t>INC-1032</t>
  </si>
  <si>
    <t>INC-1040</t>
  </si>
  <si>
    <t>INC-1042</t>
  </si>
  <si>
    <t>INC-1044</t>
  </si>
  <si>
    <t>INC-1011</t>
  </si>
  <si>
    <t>Q4</t>
  </si>
  <si>
    <t>INC-1025</t>
  </si>
  <si>
    <t>INC-1014</t>
  </si>
  <si>
    <t>INC-1018</t>
  </si>
  <si>
    <t>INC-1020</t>
  </si>
  <si>
    <t>INC-1029</t>
  </si>
  <si>
    <t>INC-1036</t>
  </si>
  <si>
    <t>INC-1002</t>
  </si>
  <si>
    <t>INC-1023</t>
  </si>
  <si>
    <t>INC-1028</t>
  </si>
  <si>
    <t>Incident ID</t>
  </si>
  <si>
    <t>Week</t>
  </si>
  <si>
    <t>Quarter</t>
  </si>
  <si>
    <t>Financial Year</t>
  </si>
  <si>
    <t>Area</t>
  </si>
  <si>
    <t>Production Line</t>
  </si>
  <si>
    <t>Shift</t>
  </si>
  <si>
    <t>Incident Type</t>
  </si>
  <si>
    <t>Classification</t>
  </si>
  <si>
    <t>Person Involved</t>
  </si>
  <si>
    <t>Person Type</t>
  </si>
  <si>
    <t>Body Part</t>
  </si>
  <si>
    <t>Immediate Cause</t>
  </si>
  <si>
    <t>Root Cause</t>
  </si>
  <si>
    <t>Risk Rating</t>
  </si>
  <si>
    <t>Lost Days</t>
  </si>
  <si>
    <t>Preventive Action</t>
  </si>
  <si>
    <t>Responsible</t>
  </si>
  <si>
    <t>Target Date</t>
  </si>
  <si>
    <t>Closure Date</t>
  </si>
  <si>
    <t>Ageing (Days)</t>
  </si>
  <si>
    <t>Evidence Link</t>
  </si>
  <si>
    <t>🌱  ENVIRONMENTAL PERF — DATA ENTRY</t>
  </si>
  <si>
    <t>ENV-1004</t>
  </si>
  <si>
    <t>Organic/Food Waste</t>
  </si>
  <si>
    <t>Awaiting pollution board clearance</t>
  </si>
  <si>
    <t>ENV-1010</t>
  </si>
  <si>
    <t>Recycling vendor collection delayed</t>
  </si>
  <si>
    <t>ENV-1024</t>
  </si>
  <si>
    <t>ENV-1048</t>
  </si>
  <si>
    <t>General Waste</t>
  </si>
  <si>
    <t>Segregation improved this month</t>
  </si>
  <si>
    <t>ENV-1006</t>
  </si>
  <si>
    <t>Metal Scrap</t>
  </si>
  <si>
    <t>No deviation observed</t>
  </si>
  <si>
    <t>ENV-1017</t>
  </si>
  <si>
    <t>Hazardous Waste</t>
  </si>
  <si>
    <t>Within permitted limits</t>
  </si>
  <si>
    <t>ENV-1019</t>
  </si>
  <si>
    <t>Water reuse system commissioned</t>
  </si>
  <si>
    <t>ENV-1025</t>
  </si>
  <si>
    <t>ENV-1008</t>
  </si>
  <si>
    <t>Plastic</t>
  </si>
  <si>
    <t>ENV-1023</t>
  </si>
  <si>
    <t>ENV-1033</t>
  </si>
  <si>
    <t>ENV-1041</t>
  </si>
  <si>
    <t>ENV-1007</t>
  </si>
  <si>
    <t>New effluent treatment measure adopted</t>
  </si>
  <si>
    <t>ENV-1036</t>
  </si>
  <si>
    <t>ENV-1002</t>
  </si>
  <si>
    <t>E-Waste</t>
  </si>
  <si>
    <t>ENV-1013</t>
  </si>
  <si>
    <t>ENV-1035</t>
  </si>
  <si>
    <t>ENV-1044</t>
  </si>
  <si>
    <t>Energy-saving initiative in progress</t>
  </si>
  <si>
    <t>ENV-1047</t>
  </si>
  <si>
    <t>ENV-1012</t>
  </si>
  <si>
    <t>ENV-1018</t>
  </si>
  <si>
    <t>ENV-1021</t>
  </si>
  <si>
    <t>ENV-1026</t>
  </si>
  <si>
    <t>ENV-1028</t>
  </si>
  <si>
    <t>ENV-1032</t>
  </si>
  <si>
    <t>ENV-1043</t>
  </si>
  <si>
    <t>ENV-1046</t>
  </si>
  <si>
    <t>ENV-1001</t>
  </si>
  <si>
    <t>ENV-1009</t>
  </si>
  <si>
    <t>ENV-1015</t>
  </si>
  <si>
    <t>ENV-1016</t>
  </si>
  <si>
    <t>ENV-1011</t>
  </si>
  <si>
    <t>ENV-1022</t>
  </si>
  <si>
    <t>ENV-1039</t>
  </si>
  <si>
    <t>ENV-1042</t>
  </si>
  <si>
    <t>ENV-1020</t>
  </si>
  <si>
    <t>ENV-1003</t>
  </si>
  <si>
    <t>ENV-1005</t>
  </si>
  <si>
    <t>ENV-1027</t>
  </si>
  <si>
    <t>ENV-1030</t>
  </si>
  <si>
    <t>ENV-1031</t>
  </si>
  <si>
    <t>ENV-1038</t>
  </si>
  <si>
    <t>ENV-1014</t>
  </si>
  <si>
    <t>ENV-1029</t>
  </si>
  <si>
    <t>ENV-1034</t>
  </si>
  <si>
    <t>ENV-1037</t>
  </si>
  <si>
    <t>ENV-1040</t>
  </si>
  <si>
    <t>ENV-1045</t>
  </si>
  <si>
    <t>Record No.</t>
  </si>
  <si>
    <t>Waste Type</t>
  </si>
  <si>
    <t>Waste Generated (kg)</t>
  </si>
  <si>
    <t>Waste Recycled (kg)</t>
  </si>
  <si>
    <t>Recycle Rate %</t>
  </si>
  <si>
    <t>Energy Consumption (kWh)</t>
  </si>
  <si>
    <t>Water Consumption (m3)</t>
  </si>
  <si>
    <t>Fuel Consumption (L)</t>
  </si>
  <si>
    <t>Remarks</t>
  </si>
  <si>
    <t>📚  MASTER DATA — single source of truth for dropdown lists</t>
  </si>
  <si>
    <t>Rating</t>
  </si>
  <si>
    <t>F_Month</t>
  </si>
  <si>
    <t>All</t>
  </si>
  <si>
    <t>F_Dept</t>
  </si>
  <si>
    <t>F_Period</t>
  </si>
  <si>
    <t>⚙️  SYSTEM SETTINGS — central configuration</t>
  </si>
  <si>
    <t>ORGANISATION</t>
  </si>
  <si>
    <t>Company Name</t>
  </si>
  <si>
    <t>RCPL — Campa Cola</t>
  </si>
  <si>
    <t>Plant / Site</t>
  </si>
  <si>
    <t>CSD Manufacturing Plant</t>
  </si>
  <si>
    <t>India</t>
  </si>
  <si>
    <t>Reporting Year</t>
  </si>
  <si>
    <t>EHS CALCULATION PARAMETERS</t>
  </si>
  <si>
    <t>Monthly Man-Hours Worked</t>
  </si>
  <si>
    <t>Edit per month for accuracy — TRIR/LTIFR use the exact hours for the selected period, not a flat average.</t>
  </si>
  <si>
    <t>Total Man-Hours (annual, auto-sum)</t>
  </si>
  <si>
    <t>TRIR Multiplier</t>
  </si>
  <si>
    <t>OSHA standard = 200,000</t>
  </si>
  <si>
    <t>LTIFR Multiplier</t>
  </si>
  <si>
    <t>Per million man-hours</t>
  </si>
  <si>
    <t>TARGETS / RAG THRESHOLDS</t>
  </si>
  <si>
    <t>Observation Closure Target</t>
  </si>
  <si>
    <t>Green if ≥ target</t>
  </si>
  <si>
    <t>Training Compliance Target</t>
  </si>
  <si>
    <t>Corrective Action Closure Target</t>
  </si>
  <si>
    <t>PTW Compliance Target</t>
  </si>
  <si>
    <t>Generic Close-out % Target</t>
  </si>
  <si>
    <t>Used by Meetings/Visits/Insp/Unsafe-Act/NC/JSA/Bulletin closure-type KPIs</t>
  </si>
  <si>
    <t>Generic Attendance/Participation % Target</t>
  </si>
  <si>
    <t>Used by Toolbox/Drill/Mgmt-Review attendance-type KPIs</t>
  </si>
  <si>
    <t>Alcohol Positive Rate Target (max acceptable)</t>
  </si>
  <si>
    <t>Green if actual ≤ target</t>
  </si>
  <si>
    <t>TRIR Target (max acceptable)</t>
  </si>
  <si>
    <t>LTIFR Target (max acceptable)</t>
  </si>
  <si>
    <t>RAG Amber band (fraction of target)</t>
  </si>
  <si>
    <t>Below this vs target = Red</t>
  </si>
  <si>
    <t>COST PARAMETERS  ·  used only by the optional cost-impact rollups</t>
  </si>
  <si>
    <t>Downtime Cost per Minute (₹)</t>
  </si>
  <si>
    <t>Stop Work Authority downtime → estimated cost</t>
  </si>
  <si>
    <t>Lost-Day Cost per Day (₹)</t>
  </si>
  <si>
    <t>Incident lost days → estimated cost</t>
  </si>
  <si>
    <t>PPE ISSUED / USED  ·  used by the Executive Snapshot dashboard</t>
  </si>
  <si>
    <t>Used</t>
  </si>
  <si>
    <t>INDUSTRY BENCHMARKING</t>
  </si>
  <si>
    <t>Industry Benchmark TRIR</t>
  </si>
  <si>
    <t>Reference line on the Executive TRIR trend chart</t>
  </si>
  <si>
    <t>Industry Benchmark LTIFR</t>
  </si>
  <si>
    <t>Reference line on the Executive LTIFR trend chart</t>
  </si>
  <si>
    <t>TRAINING PARAMETERS</t>
  </si>
  <si>
    <t>Certificate Validity (days)</t>
  </si>
  <si>
    <t>Certificate Issued date + this many days = expiry (Training dashboard)</t>
  </si>
  <si>
    <t>PRIOR YEAR ACTUALS  ·  type in last year's year-end figures for a genuine YoY comparison (left blank/0 until entered - never fabricated)</t>
  </si>
  <si>
    <t>Prior Year TRIR</t>
  </si>
  <si>
    <t>Prior Year LTIFR</t>
  </si>
  <si>
    <t>Prior Year Total Incidents</t>
  </si>
  <si>
    <t>Prior Year Training Compliance %</t>
  </si>
  <si>
    <t>Prior Year Obs Closure %</t>
  </si>
  <si>
    <t>Prior Year CA Closure %</t>
  </si>
  <si>
    <t>❓  Help &amp; User Guide — Integrated EHS Management System</t>
  </si>
  <si>
    <t>⌂ Back to Home</t>
  </si>
  <si>
    <t>Purpose</t>
  </si>
  <si>
    <t>Single-workbook EHS system: 25 registers, each with its own live dashboard, plus Executive &amp; Leadership rollups.</t>
  </si>
  <si>
    <t>Enter data</t>
  </si>
  <si>
    <t>Open any register (colored tab), type new rows under the table. Blue = input, Gray = auto-calculated.</t>
  </si>
  <si>
    <t>Dropdowns</t>
  </si>
  <si>
    <t>Driven by the Master Data sheet — edit a list there and every register dropdown updates.</t>
  </si>
  <si>
    <t>Filters</t>
  </si>
  <si>
    <t>Executive Dashboard has Month &amp; Department drop-downs that drive the rollups.</t>
  </si>
  <si>
    <t>Refresh</t>
  </si>
  <si>
    <t>Click Refresh (or press F9). Workbook is set to automatic calculation.</t>
  </si>
  <si>
    <t>TRIR</t>
  </si>
  <si>
    <t>Recordable × TRIR-multiplier ÷ man-hours (man-hours &amp; multipliers live on the Settings sheet).</t>
  </si>
  <si>
    <t>LTIFR</t>
  </si>
  <si>
    <t>(LTI + Fatality) × LTIFR-multiplier ÷ man-hours.</t>
  </si>
  <si>
    <t>RAG logic</t>
  </si>
  <si>
    <t>🟢 Green = meets target · 🟡 Amber = within amber band · 🔴 Red = below.</t>
  </si>
  <si>
    <t>Scalability</t>
  </si>
  <si>
    <t>Each register + dashboard supports thousands of rows; add rows and refresh — no manual updates.</t>
  </si>
  <si>
    <t>Extending</t>
  </si>
  <si>
    <t>New registers follow the same 3-row header pattern (title / legend / column headers).</t>
  </si>
  <si>
    <t>🔎  DATA QUALITY — automatic integrity checks across all 25 registers</t>
  </si>
  <si>
    <t>Recalculates on every Refresh. A register only needs attention if a count is greater than 0.</t>
  </si>
  <si>
    <t>Register</t>
  </si>
  <si>
    <t>Records</t>
  </si>
  <si>
    <t>Blank Dept</t>
  </si>
  <si>
    <t>Blank Date</t>
  </si>
  <si>
    <t>Duplicate IDs</t>
  </si>
  <si>
    <t>Outside Report Year</t>
  </si>
  <si>
    <t>Date-Logic Issues</t>
  </si>
  <si>
    <t>Flag</t>
  </si>
  <si>
    <t>Toolbox Talks</t>
  </si>
  <si>
    <t>n/a</t>
  </si>
  <si>
    <t>JSA Risk Assessment</t>
  </si>
  <si>
    <t>Training</t>
  </si>
  <si>
    <t>HSE Observations</t>
  </si>
  <si>
    <t>Workplace Inspections</t>
  </si>
  <si>
    <t>Equipment Inspections</t>
  </si>
  <si>
    <t>Safety Walkthroughs</t>
  </si>
  <si>
    <t>Safety Meetings</t>
  </si>
  <si>
    <t>Safety Bulletins</t>
  </si>
  <si>
    <t>Emergency Drills</t>
  </si>
  <si>
    <t>Internal Audits</t>
  </si>
  <si>
    <t>External Audits</t>
  </si>
  <si>
    <t>Management Visits</t>
  </si>
  <si>
    <t>Management Reviews</t>
  </si>
  <si>
    <t>Disciplinary Actions</t>
  </si>
  <si>
    <t>Safety Awards</t>
  </si>
  <si>
    <t>Stop Work Authority</t>
  </si>
  <si>
    <t>Alcohol Tests</t>
  </si>
  <si>
    <t>PTW Audits</t>
  </si>
  <si>
    <t>Corrective Actions</t>
  </si>
  <si>
    <t>NC Management</t>
  </si>
  <si>
    <t>Unsafe Acts</t>
  </si>
  <si>
    <t>Unsafe Conditions</t>
  </si>
  <si>
    <t>Incident</t>
  </si>
  <si>
    <t>Environmental Perf</t>
  </si>
  <si>
    <t>TOTAL ISSUES (all registers)</t>
  </si>
  <si>
    <t>🔬  INVESTIGATION LOG — 5-Why Root-Cause Analysis  —  DATA ENTRY</t>
  </si>
  <si>
    <t>Pick an Incident ID OR an NC No. (not both) — Department &amp; Classification/Severity auto-fill. Blue = user input   ·   Gray = auto-calculated</t>
  </si>
  <si>
    <t>Investigation ID</t>
  </si>
  <si>
    <t>Classification / Severity</t>
  </si>
  <si>
    <t>Why 1</t>
  </si>
  <si>
    <t>Why 2</t>
  </si>
  <si>
    <t>Why 3</t>
  </si>
  <si>
    <t>Why 4</t>
  </si>
  <si>
    <t>Why 5</t>
  </si>
  <si>
    <t>Investigator</t>
  </si>
  <si>
    <t>📝  CHANGE LOG — automatic audit trail of register edits (who, what, when)</t>
  </si>
  <si>
    <t>Populated automatically by Workbook_SheetChange whenever a register cell is edited. Old Value shows '(n/a)' for multi-cell pastes (only single-cell edits are tracked before/after).</t>
  </si>
  <si>
    <t>Timestamp</t>
  </si>
  <si>
    <t>Sheet</t>
  </si>
  <si>
    <t>Cell</t>
  </si>
  <si>
    <t>Old Value</t>
  </si>
  <si>
    <t>New Value</t>
  </si>
  <si>
    <t>User</t>
  </si>
  <si>
    <t>EHS ROLLUP ENGINE — auto-recalculates from every register</t>
  </si>
  <si>
    <t>Resolved Filters</t>
  </si>
  <si>
    <t>Month criteria</t>
  </si>
  <si>
    <t>Dept criteria</t>
  </si>
  <si>
    <t>PERIOD ENGINE (current vs prior)</t>
  </si>
  <si>
    <t>IsQuarter</t>
  </si>
  <si>
    <t>CurQ</t>
  </si>
  <si>
    <t>CurMonthNo</t>
  </si>
  <si>
    <t>Cur</t>
  </si>
  <si>
    <t>Prior</t>
  </si>
  <si>
    <t>recordable</t>
  </si>
  <si>
    <t>ltifat</t>
  </si>
  <si>
    <t>nearmiss</t>
  </si>
  <si>
    <t>firstaid</t>
  </si>
  <si>
    <t>medical</t>
  </si>
  <si>
    <t>restricted</t>
  </si>
  <si>
    <t>lti</t>
  </si>
  <si>
    <t>fatality</t>
  </si>
  <si>
    <t>lostdays</t>
  </si>
  <si>
    <t>totalinc</t>
  </si>
  <si>
    <t>disc</t>
  </si>
  <si>
    <t>nc_open</t>
  </si>
  <si>
    <t>training_total</t>
  </si>
  <si>
    <t>train_completed</t>
  </si>
  <si>
    <t>obs_total</t>
  </si>
  <si>
    <t>obs_closed</t>
  </si>
  <si>
    <t>toolbox</t>
  </si>
  <si>
    <t>inspections</t>
  </si>
  <si>
    <t>audits</t>
  </si>
  <si>
    <t>ptw_total</t>
  </si>
  <si>
    <t>ptw_compliant</t>
  </si>
  <si>
    <t>drills</t>
  </si>
  <si>
    <t>ca_total</t>
  </si>
  <si>
    <t>ca_closed</t>
  </si>
  <si>
    <t>jsa</t>
  </si>
  <si>
    <t>meetings</t>
  </si>
  <si>
    <t>unsafe_reports</t>
  </si>
  <si>
    <t>ua_m</t>
  </si>
  <si>
    <t>uc_m</t>
  </si>
  <si>
    <t>toolbox_att_actual</t>
  </si>
  <si>
    <t>toolbox_att_target</t>
  </si>
  <si>
    <t>jsa_approved</t>
  </si>
  <si>
    <t>wpinsp_total</t>
  </si>
  <si>
    <t>wpinsp_closed</t>
  </si>
  <si>
    <t>eqinsp_total</t>
  </si>
  <si>
    <t>eqinsp_critical</t>
  </si>
  <si>
    <t>walk_total</t>
  </si>
  <si>
    <t>meetings_raised</t>
  </si>
  <si>
    <t>meetings_closed</t>
  </si>
  <si>
    <t>bulletins_total</t>
  </si>
  <si>
    <t>bulletins_target</t>
  </si>
  <si>
    <t>bulletins_actual</t>
  </si>
  <si>
    <t>drills_target</t>
  </si>
  <si>
    <t>drills_actual</t>
  </si>
  <si>
    <t>iaudit_total</t>
  </si>
  <si>
    <t>iaudit_nc</t>
  </si>
  <si>
    <t>eaudit_total</t>
  </si>
  <si>
    <t>eaudit_nc</t>
  </si>
  <si>
    <t>mgmtvisit_total</t>
  </si>
  <si>
    <t>mgmtvisit_raised</t>
  </si>
  <si>
    <t>mgmtvisit_closed</t>
  </si>
  <si>
    <t>mgmtreview_total</t>
  </si>
  <si>
    <t>mgmtreview_attended</t>
  </si>
  <si>
    <t>mgmtreview_invited</t>
  </si>
  <si>
    <t>awards_total</t>
  </si>
  <si>
    <t>swa_total</t>
  </si>
  <si>
    <t>alcohol_total</t>
  </si>
  <si>
    <t>alcohol_positive</t>
  </si>
  <si>
    <t>unsafeact_total</t>
  </si>
  <si>
    <t>unsafeact_closed</t>
  </si>
  <si>
    <t>unsafecond_total</t>
  </si>
  <si>
    <t>unsafecond_closed</t>
  </si>
  <si>
    <t>nc_total</t>
  </si>
  <si>
    <t>nc_closed</t>
  </si>
  <si>
    <t>induction_total</t>
  </si>
  <si>
    <t>hseobs_safe</t>
  </si>
  <si>
    <t>hseobs_atrisk</t>
  </si>
  <si>
    <t>drill_resp_actual</t>
  </si>
  <si>
    <t>drill_resp_target</t>
  </si>
  <si>
    <t>iaudit_major</t>
  </si>
  <si>
    <t>eaudit_major</t>
  </si>
  <si>
    <t>mgmtreview_decisions</t>
  </si>
  <si>
    <t>mgmtreview_actions</t>
  </si>
  <si>
    <t>swa_downtime</t>
  </si>
  <si>
    <t>training_hours</t>
  </si>
  <si>
    <t>wpinsp_nc</t>
  </si>
  <si>
    <t>ca_ontime</t>
  </si>
  <si>
    <t>ca_delayed</t>
  </si>
  <si>
    <t>jsa_critical</t>
  </si>
  <si>
    <t>jsa_high</t>
  </si>
  <si>
    <t>jsa_medium</t>
  </si>
  <si>
    <t>jsa_low</t>
  </si>
  <si>
    <t>trir_m</t>
  </si>
  <si>
    <t>ltifr_m</t>
  </si>
  <si>
    <t>bench_trir_m</t>
  </si>
  <si>
    <t>bench_ltifr_m</t>
  </si>
  <si>
    <t>alcohol_rate_m</t>
  </si>
  <si>
    <t>leading_total</t>
  </si>
  <si>
    <t>lagging_total</t>
  </si>
  <si>
    <t>leadlag_ratio</t>
  </si>
  <si>
    <t>Period</t>
  </si>
  <si>
    <t>Target</t>
  </si>
  <si>
    <t>Actual</t>
  </si>
  <si>
    <t>Next (fcst)</t>
  </si>
  <si>
    <t>Executive KPI (period variance)</t>
  </si>
  <si>
    <t>KPI</t>
  </si>
  <si>
    <t>Band</t>
  </si>
  <si>
    <t>Delta%</t>
  </si>
  <si>
    <t>Lagging</t>
  </si>
  <si>
    <t>Total Incidents</t>
  </si>
  <si>
    <t>Recordable</t>
  </si>
  <si>
    <t>LTI + Fatality</t>
  </si>
  <si>
    <t>Disciplinary</t>
  </si>
  <si>
    <t>Open NCs</t>
  </si>
  <si>
    <t>NC Closure</t>
  </si>
  <si>
    <t>Alcohol Positive %</t>
  </si>
  <si>
    <t>Leading</t>
  </si>
  <si>
    <t>Toolbox Avg Attendance</t>
  </si>
  <si>
    <t>JSA Assessments</t>
  </si>
  <si>
    <t>JSA % Approved</t>
  </si>
  <si>
    <t>Trainings</t>
  </si>
  <si>
    <t>Training Compliance</t>
  </si>
  <si>
    <t>Obs Closure</t>
  </si>
  <si>
    <t>Workplace Insp. Closure</t>
  </si>
  <si>
    <t>Equipment Critical Findings</t>
  </si>
  <si>
    <t>Meetings Close-out</t>
  </si>
  <si>
    <t>Bulletin Reach</t>
  </si>
  <si>
    <t>Drill Participation</t>
  </si>
  <si>
    <t>Internal Audit NCs</t>
  </si>
  <si>
    <t>External Audit NCs</t>
  </si>
  <si>
    <t>Mgmt Visit Close-out</t>
  </si>
  <si>
    <t>Mgmt Review Attendance</t>
  </si>
  <si>
    <t>PTW Compliance</t>
  </si>
  <si>
    <t>CA Closure</t>
  </si>
  <si>
    <t>Unsafe Acts Reported</t>
  </si>
  <si>
    <t>Unsafe Act Closure</t>
  </si>
  <si>
    <t>Unsafe Conditions Reported</t>
  </si>
  <si>
    <t>Unsafe Condition Closure</t>
  </si>
  <si>
    <t>Gauge helpers</t>
  </si>
  <si>
    <t>PTW Audit</t>
  </si>
  <si>
    <t>Inspection</t>
  </si>
  <si>
    <t>Statutory</t>
  </si>
  <si>
    <t>Incident Pyramid (period)</t>
  </si>
  <si>
    <t>Count</t>
  </si>
  <si>
    <t>Fatality</t>
  </si>
  <si>
    <t>At-Risk Obs</t>
  </si>
  <si>
    <t>Leading Activity</t>
  </si>
  <si>
    <t>Toolbox</t>
  </si>
  <si>
    <t>Inspections</t>
  </si>
  <si>
    <t>Audits</t>
  </si>
  <si>
    <t>Drills</t>
  </si>
  <si>
    <t>Meetings</t>
  </si>
  <si>
    <t>Lagging Outcome</t>
  </si>
  <si>
    <t>Total Inc</t>
  </si>
  <si>
    <t>LTI+Fatal</t>
  </si>
  <si>
    <t>Open NC</t>
  </si>
  <si>
    <t>Incident Trend</t>
  </si>
  <si>
    <t>Inc</t>
  </si>
  <si>
    <t>RAG</t>
  </si>
  <si>
    <t>Act</t>
  </si>
  <si>
    <t>Tgt</t>
  </si>
  <si>
    <t>MoveScore</t>
  </si>
  <si>
    <t>Adj</t>
  </si>
  <si>
    <t>Top 3 Improved</t>
  </si>
  <si>
    <t>Δ%</t>
  </si>
  <si>
    <t>Top 3 Regressed</t>
  </si>
  <si>
    <t>CROSS-TRACKER ANALYTICS  (filtered by Register Month &amp; Department)</t>
  </si>
  <si>
    <t>Sorted Cause</t>
  </si>
  <si>
    <t>Sorted Count</t>
  </si>
  <si>
    <t>Cumulative %</t>
  </si>
  <si>
    <t>Score</t>
  </si>
  <si>
    <t>L \ Dept</t>
  </si>
  <si>
    <t>Operatio</t>
  </si>
  <si>
    <t>Maintena</t>
  </si>
  <si>
    <t>Engineer</t>
  </si>
  <si>
    <t>Construc</t>
  </si>
  <si>
    <t>Logistic</t>
  </si>
  <si>
    <t>Top 10 Unsafe Act</t>
  </si>
  <si>
    <t>Rank Item</t>
  </si>
  <si>
    <t>Rank Count</t>
  </si>
  <si>
    <t>Top 10 Unsafe Condition</t>
  </si>
  <si>
    <t>Top 10 High-Risk Area</t>
  </si>
  <si>
    <t>Radar Metric</t>
  </si>
  <si>
    <t>Workplace Insp.</t>
  </si>
  <si>
    <t>NC Mgmt</t>
  </si>
  <si>
    <t>Avg Reach %</t>
  </si>
  <si>
    <t>Permit Type</t>
  </si>
  <si>
    <t>Avg Compliance %</t>
  </si>
  <si>
    <t>L \ C</t>
  </si>
  <si>
    <t>Pass Rate %</t>
  </si>
  <si>
    <t>Avg Downtime (min)</t>
  </si>
  <si>
    <t>Top 10 NC Root Cause</t>
  </si>
  <si>
    <t>Inspection Area</t>
  </si>
  <si>
    <t>Sorted Area</t>
  </si>
  <si>
    <t>Sorted NCs</t>
  </si>
  <si>
    <t>Ageing Bucket (open)</t>
  </si>
  <si>
    <t>0-7 days</t>
  </si>
  <si>
    <t>8-15 days</t>
  </si>
  <si>
    <t>16-30 days</t>
  </si>
  <si>
    <t>31+ days</t>
  </si>
  <si>
    <t>Topic \ Dept</t>
  </si>
  <si>
    <t>Window</t>
  </si>
  <si>
    <t>Next 30 days</t>
  </si>
  <si>
    <t>Next 60 days</t>
  </si>
  <si>
    <t>Next 90 days</t>
  </si>
  <si>
    <t>Expiring (90d)</t>
  </si>
  <si>
    <t>Ageing (open)</t>
  </si>
  <si>
    <t>Tracker</t>
  </si>
  <si>
    <t>Overdue Count</t>
  </si>
  <si>
    <t>Ageing Bucket (system-wide)</t>
  </si>
  <si>
    <t>TOTAL SYSTEM BACKLOG</t>
  </si>
  <si>
    <t>Training %</t>
  </si>
  <si>
    <t>Obs Closure %</t>
  </si>
  <si>
    <t>CA Closure %</t>
  </si>
  <si>
    <t>Rank Dept</t>
  </si>
  <si>
    <t>Rank Score</t>
  </si>
  <si>
    <t>Metric</t>
  </si>
  <si>
    <t>Value</t>
  </si>
  <si>
    <t>Inductions (period)</t>
  </si>
  <si>
    <t>Work Permits Issued</t>
  </si>
  <si>
    <t>Work Permit Deviations</t>
  </si>
  <si>
    <t>Lost-Day Cost (period)</t>
  </si>
  <si>
    <t>Downtime Cost (period)</t>
  </si>
  <si>
    <t>Case Type</t>
  </si>
  <si>
    <t>Injuries (Recordable)</t>
  </si>
  <si>
    <t>Cost Component</t>
  </si>
  <si>
    <t>Est. Cost (Rs)</t>
  </si>
  <si>
    <t>Lost-Day Cost</t>
  </si>
  <si>
    <t>Stop-Work Downtime Cost</t>
  </si>
  <si>
    <t>Permit Status</t>
  </si>
  <si>
    <t>Deviations</t>
  </si>
  <si>
    <t>▸ Toolbox Talks</t>
  </si>
  <si>
    <t>Total</t>
  </si>
  <si>
    <t>Action: Yes</t>
  </si>
  <si>
    <t>Action: No</t>
  </si>
  <si>
    <t>Avg Attendance</t>
  </si>
  <si>
    <t>Total Target</t>
  </si>
  <si>
    <t>Total Actual</t>
  </si>
  <si>
    <t>Avg Duration</t>
  </si>
  <si>
    <t>Topics Covered</t>
  </si>
  <si>
    <t>Avg Attendance %</t>
  </si>
  <si>
    <t>YTD</t>
  </si>
  <si>
    <t>▸ JSA Risk Assessment</t>
  </si>
  <si>
    <t>Total JSAs</t>
  </si>
  <si>
    <t>High Risk</t>
  </si>
  <si>
    <t>Medium Risk</t>
  </si>
  <si>
    <t>Low Risk</t>
  </si>
  <si>
    <t>Total Hazards</t>
  </si>
  <si>
    <t>Controls Done</t>
  </si>
  <si>
    <t>Closed %</t>
  </si>
  <si>
    <t>Closed/Completed %</t>
  </si>
  <si>
    <t>▸ Training</t>
  </si>
  <si>
    <t>Total Trainings</t>
  </si>
  <si>
    <t>Total Hours</t>
  </si>
  <si>
    <t>Pass Rate</t>
  </si>
  <si>
    <t>Certificates</t>
  </si>
  <si>
    <t>▸ HSE Observations</t>
  </si>
  <si>
    <t>Total Obs</t>
  </si>
  <si>
    <t>Safe Acts</t>
  </si>
  <si>
    <t>Comp %</t>
  </si>
  <si>
    <t>▸ Workplace Inspections</t>
  </si>
  <si>
    <t>Checkpoints</t>
  </si>
  <si>
    <t>Non-Conf</t>
  </si>
  <si>
    <t>NC Rate</t>
  </si>
  <si>
    <t>▸ Equipment Inspections</t>
  </si>
  <si>
    <t>▸ Safety Walkthroughs</t>
  </si>
  <si>
    <t>▸ Safety Meetings</t>
  </si>
  <si>
    <t>Total Meetings</t>
  </si>
  <si>
    <t>MoM Done</t>
  </si>
  <si>
    <t>MoM Pending</t>
  </si>
  <si>
    <t>▸ Safety Bulletins</t>
  </si>
  <si>
    <t>High Priority</t>
  </si>
  <si>
    <t>▸ Emergency Drills</t>
  </si>
  <si>
    <t>Total Drills</t>
  </si>
  <si>
    <t>Avg Participation</t>
  </si>
  <si>
    <t>Target Resp</t>
  </si>
  <si>
    <t>Actual Resp</t>
  </si>
  <si>
    <t>Total Participants</t>
  </si>
  <si>
    <t>Improvements</t>
  </si>
  <si>
    <t>Avg Participation %</t>
  </si>
  <si>
    <t>▸ Internal Audits</t>
  </si>
  <si>
    <t>Total Audits</t>
  </si>
  <si>
    <t>▸ External Audits</t>
  </si>
  <si>
    <t>▸ Management Visits</t>
  </si>
  <si>
    <t>Total Visits</t>
  </si>
  <si>
    <t>Avg Close-out %</t>
  </si>
  <si>
    <t>▸ Management Reviews</t>
  </si>
  <si>
    <t>Total Reviews</t>
  </si>
  <si>
    <t>Decisions</t>
  </si>
  <si>
    <t>Actions</t>
  </si>
  <si>
    <t>Close-out</t>
  </si>
  <si>
    <t>▸ Disciplinary Actions</t>
  </si>
  <si>
    <t>Total Cases</t>
  </si>
  <si>
    <t>Suspensions</t>
  </si>
  <si>
    <t>Terminations</t>
  </si>
  <si>
    <t>▸ Safety Awards</t>
  </si>
  <si>
    <t>Total Awards</t>
  </si>
  <si>
    <t>Trophies</t>
  </si>
  <si>
    <t>Vouchers</t>
  </si>
  <si>
    <t>▸ Stop Work Authority</t>
  </si>
  <si>
    <t>Total SWA</t>
  </si>
  <si>
    <t>Investigating</t>
  </si>
  <si>
    <t>Fixed</t>
  </si>
  <si>
    <t>Total Downtime</t>
  </si>
  <si>
    <t>Investigated</t>
  </si>
  <si>
    <t>▸ Alcohol Tests</t>
  </si>
  <si>
    <t>Total Tests</t>
  </si>
  <si>
    <t>Random Tests</t>
  </si>
  <si>
    <t>Suspicion</t>
  </si>
  <si>
    <t>▸ PTW Audits</t>
  </si>
  <si>
    <t>Partial</t>
  </si>
  <si>
    <t>Avg Compliance</t>
  </si>
  <si>
    <t>Compliance Rate</t>
  </si>
  <si>
    <t>▸ Corrective Actions</t>
  </si>
  <si>
    <t>Total CAs</t>
  </si>
  <si>
    <t>▸ NC Management</t>
  </si>
  <si>
    <t>Total NCs</t>
  </si>
  <si>
    <t>Closure %</t>
  </si>
  <si>
    <t>▸ Unsafe Acts</t>
  </si>
  <si>
    <t>Total Reports</t>
  </si>
  <si>
    <t>▸ Unsafe Conditions</t>
  </si>
  <si>
    <t>▸ Incident</t>
  </si>
  <si>
    <t>LTI+Fatality</t>
  </si>
  <si>
    <t>Avg Close (d)</t>
  </si>
  <si>
    <t>▸ Environmental Perf</t>
  </si>
  <si>
    <t>Total Records</t>
  </si>
  <si>
    <t>Avg Recycle Rate</t>
  </si>
  <si>
    <t>Energy (kWh)</t>
  </si>
  <si>
    <t>Water (m3)</t>
  </si>
  <si>
    <t>Fuel (L)</t>
  </si>
  <si>
    <t>Hazardous Waste Events</t>
  </si>
  <si>
    <t>Avg Recycle Rate %</t>
  </si>
  <si>
    <t>RCPL INTEGRATED EHS MANAGEMENT SYSTEM</t>
  </si>
  <si>
    <t>Executive Safety Board Pack  ·  Reliance Consumer Products Ltd  ·  Campa Cola CSD Plant</t>
  </si>
  <si>
    <t>Prepared for:</t>
  </si>
  <si>
    <t>Plant Head / Leadership Team</t>
  </si>
  <si>
    <t>Report period:</t>
  </si>
  <si>
    <t>Generated:</t>
  </si>
  <si>
    <t>HEADLINE SAFETY PERFORMANCE</t>
  </si>
  <si>
    <t>TOTAL INCIDENTS</t>
  </si>
  <si>
    <t>TRAINING COMPLIANCE</t>
  </si>
  <si>
    <t>This board pack combines the Executive Dashboard and Leadership Review into a single PDF via the ExportBoardPack macro (Home). Every figure is live at the moment of export.</t>
  </si>
  <si>
    <t>Reliance Consumer Products Ltd  ·  Campa Cola CSD Plant  ·  25 Registers · 25 Dashboards</t>
  </si>
  <si>
    <t>Last Refresh:</t>
  </si>
  <si>
    <t>EXECUTIVE VIEWS</t>
  </si>
  <si>
    <t>🏆  EXECUTIVE DASHBOARD</t>
  </si>
  <si>
    <t>🧭  LEADERSHIP REVIEW</t>
  </si>
  <si>
    <t>📸  EXECUTIVE SNAPSHOT</t>
  </si>
  <si>
    <t>TRACKER REGISTERS &amp; DASHBOARDS  (click either link)</t>
  </si>
  <si>
    <t>🗣️  Toolbox Talks</t>
  </si>
  <si>
    <t>Dashboard</t>
  </si>
  <si>
    <t>⚠️  JSA Risk Assessment</t>
  </si>
  <si>
    <t>🎓  Training</t>
  </si>
  <si>
    <t>👁️  HSE Observations</t>
  </si>
  <si>
    <t>🔍  Workplace Inspections</t>
  </si>
  <si>
    <t>🛠️  Equipment Inspections</t>
  </si>
  <si>
    <t>🚶  Safety Walkthroughs</t>
  </si>
  <si>
    <t>👥  Safety Meetings</t>
  </si>
  <si>
    <t>📢  Safety Bulletins</t>
  </si>
  <si>
    <t>🚨  Emergency Drills</t>
  </si>
  <si>
    <t>📋  Internal Audits</t>
  </si>
  <si>
    <t>🏛️  External Audits</t>
  </si>
  <si>
    <t>🤝  Management Visits</t>
  </si>
  <si>
    <t>🧭  Management Reviews</t>
  </si>
  <si>
    <t>⚖️  Disciplinary Actions</t>
  </si>
  <si>
    <t>🏆  Safety Awards</t>
  </si>
  <si>
    <t>✋  Stop Work Authority</t>
  </si>
  <si>
    <t>🧪  Alcohol Tests</t>
  </si>
  <si>
    <t>📝  PTW Audits</t>
  </si>
  <si>
    <t>🔧  Corrective Actions</t>
  </si>
  <si>
    <t>🚩  NC Management</t>
  </si>
  <si>
    <t>🚫  Unsafe Acts</t>
  </si>
  <si>
    <t>⛔  Unsafe Conditions</t>
  </si>
  <si>
    <t>🔥  Incident</t>
  </si>
  <si>
    <t>🌱  Environmental Perf</t>
  </si>
  <si>
    <t>DATA &amp; CONFIGURATION</t>
  </si>
  <si>
    <t>Master Data</t>
  </si>
  <si>
    <t>Settings</t>
  </si>
  <si>
    <t>Help</t>
  </si>
  <si>
    <t>Calculations</t>
  </si>
  <si>
    <t>Incident Register</t>
  </si>
  <si>
    <t>Data Quality</t>
  </si>
  <si>
    <t>Investigation Log</t>
  </si>
  <si>
    <t>Fully dynamic: every KPI, chart and RAG status recalculates automatically from the 25 registers. Set your man-hours &amp; targets on the Settings sheet, choose a Period (month/quarter) &amp; Department on the Executive Dashboard, add rows to any register and click ⟳ Refresh — no manual updates required.</t>
  </si>
  <si>
    <t>🏆  EXECUTIVE EHS DASHBOARD</t>
  </si>
  <si>
    <t>All 24 trackers  ·  Leading vs Lagging  ·  period-on-period variance</t>
  </si>
  <si>
    <t>RCPL  ·  campa</t>
  </si>
  <si>
    <t>⌂ Home</t>
  </si>
  <si>
    <t>Executive</t>
  </si>
  <si>
    <t>Leadership</t>
  </si>
  <si>
    <t>FILTERS  ·  select a period to compare against the previous period</t>
  </si>
  <si>
    <t>Register Month</t>
  </si>
  <si>
    <t>Period drives the KPI wall vs prior. Register Month drives cross-tracker analytics &amp; all 25 tracker dashboards.</t>
  </si>
  <si>
    <t>🟥  LAGGING INDICATORS  —  reactive outcomes (lower is better)  ·  click a card to drill down</t>
  </si>
  <si>
    <t>RECORDABLE</t>
  </si>
  <si>
    <t>LTI + FATALITY</t>
  </si>
  <si>
    <t>NEAR MISS</t>
  </si>
  <si>
    <t>FIRST AID</t>
  </si>
  <si>
    <t>LOST DAYS</t>
  </si>
  <si>
    <t>DISCIPLINARY</t>
  </si>
  <si>
    <t>OPEN NCS</t>
  </si>
  <si>
    <t>NC CLOSURE</t>
  </si>
  <si>
    <t>ALCOHOL POSITIVE %</t>
  </si>
  <si>
    <t>🟩  LEADING INDICATORS  —  proactive activity across all trackers (higher is better)  ·  click a card to drill down</t>
  </si>
  <si>
    <t>TOOLBOX TALKS</t>
  </si>
  <si>
    <t>TOOLBOX AVG ATTENDANCE</t>
  </si>
  <si>
    <t>JSA ASSESSMENTS</t>
  </si>
  <si>
    <t>JSA % APPROVED</t>
  </si>
  <si>
    <t>TRAININGS</t>
  </si>
  <si>
    <t>HSE OBSERVATIONS</t>
  </si>
  <si>
    <t>OBS CLOSURE</t>
  </si>
  <si>
    <t>WORKPLACE INSPECTIONS</t>
  </si>
  <si>
    <t>WORKPLACE INSP. CLOSURE</t>
  </si>
  <si>
    <t>EQUIPMENT INSPECTIONS</t>
  </si>
  <si>
    <t>EQUIPMENT CRITICAL FINDINGS</t>
  </si>
  <si>
    <t>SAFETY WALKTHROUGHS</t>
  </si>
  <si>
    <t>SAFETY MEETINGS</t>
  </si>
  <si>
    <t>MEETINGS CLOSE-OUT</t>
  </si>
  <si>
    <t>SAFETY BULLETINS</t>
  </si>
  <si>
    <t>BULLETIN REACH</t>
  </si>
  <si>
    <t>EMERGENCY DRILLS</t>
  </si>
  <si>
    <t>DRILL PARTICIPATION</t>
  </si>
  <si>
    <t>INTERNAL AUDITS</t>
  </si>
  <si>
    <t>INTERNAL AUDIT NCS</t>
  </si>
  <si>
    <t>EXTERNAL AUDITS</t>
  </si>
  <si>
    <t>EXTERNAL AUDIT NCS</t>
  </si>
  <si>
    <t>MANAGEMENT VISITS</t>
  </si>
  <si>
    <t>MGMT VISIT CLOSE-OUT</t>
  </si>
  <si>
    <t>MANAGEMENT REVIEWS</t>
  </si>
  <si>
    <t>MGMT REVIEW ATTENDANCE</t>
  </si>
  <si>
    <t>SAFETY AWARDS</t>
  </si>
  <si>
    <t>STOP WORK AUTHORITY</t>
  </si>
  <si>
    <t>ALCOHOL TESTS</t>
  </si>
  <si>
    <t>PTW AUDITS</t>
  </si>
  <si>
    <t>PTW COMPLIANCE</t>
  </si>
  <si>
    <t>CORRECTIVE ACTIONS</t>
  </si>
  <si>
    <t>CA CLOSURE</t>
  </si>
  <si>
    <t>UNSAFE ACTS REPORTED</t>
  </si>
  <si>
    <t>UNSAFE ACT CLOSURE</t>
  </si>
  <si>
    <t>UNSAFE CONDITIONS REPORTED</t>
  </si>
  <si>
    <t>UNSAFE CONDITION CLOSURE</t>
  </si>
  <si>
    <t>MONTHLY TRENDS</t>
  </si>
  <si>
    <t>RISK PROFILE &amp; TOP-10 ANALYSIS</t>
  </si>
  <si>
    <t>Risk Heat Map (Risk Level × Department) — see 'Calculations' sheet, range: Calculations!C158:H161 (auto colour-scaled green→red)</t>
  </si>
  <si>
    <t>TRUE RISK MATRIX  ·  Likelihood × Consequence (JSA Risk Assessment)  ·  colour = fixed risk band, number = live count</t>
  </si>
  <si>
    <t>LIKELIHOOD ▼ / CONSEQUENCE ▶</t>
  </si>
  <si>
    <t>1 Negligible</t>
  </si>
  <si>
    <t>2 Minor</t>
  </si>
  <si>
    <t>3 Moderate</t>
  </si>
  <si>
    <t>4 Major</t>
  </si>
  <si>
    <t>5 Catastrophic</t>
  </si>
  <si>
    <t>5 Almost Certain</t>
  </si>
  <si>
    <t>4 Likely</t>
  </si>
  <si>
    <t>3 Possible</t>
  </si>
  <si>
    <t>2 Unlikely</t>
  </si>
  <si>
    <t>1 Rare</t>
  </si>
  <si>
    <t>🟢 Low (score 1-4)   🟡 Medium (5-9)   🟠 High (10-14)   🔴 Extreme (15-25)   ·  score = Likelihood × Consequence (both rated 1-5 on the JSA Risk Assessment register)</t>
  </si>
  <si>
    <t>COMPLIANCE GAUGES  ·  cross-tracker leading vs lagging</t>
  </si>
  <si>
    <t>RAG COMPLIANCE SCORECARD</t>
  </si>
  <si>
    <t>🧭  EXECUTIVE LEADERSHIP REVIEW</t>
  </si>
  <si>
    <t>Monthly corporate safety scorecard  ·  prepared for Plant Head</t>
  </si>
  <si>
    <t>CORPORATE SAFETY SCORECARD</t>
  </si>
  <si>
    <t>OBS CLOSURE %</t>
  </si>
  <si>
    <t>TRAINING %</t>
  </si>
  <si>
    <t>CA CLOSURE %</t>
  </si>
  <si>
    <t>INCIDENT PROFILE &amp; LEADING ACTIVITY</t>
  </si>
  <si>
    <t>TOP MOVERS  ·  biggest change vs prior period, normalised across all 24 trackers</t>
  </si>
  <si>
    <t>🟢 BEST IMPROVEMENT</t>
  </si>
  <si>
    <t>🔴 BIGGEST REGRESSION</t>
  </si>
  <si>
    <t>SYSTEM HEALTH  ·  RAG status of all 24 trackers, at a glance</t>
  </si>
  <si>
    <t>Health Metric</t>
  </si>
  <si>
    <t>DEPARTMENT LEAGUE TABLE  ·  score = avg(Training %, Obs Closure %, CA Closure %) − Recordable×5</t>
  </si>
  <si>
    <t>Rank</t>
  </si>
  <si>
    <t>SYSTEM-WIDE ACTION BACKLOG  ·  open/overdue items across CA, NC, Inspections &amp; Unsafe Act/Condition registers</t>
  </si>
  <si>
    <t>LEADING : LAGGING RATIO  &amp;  QUARTERLY TREND</t>
  </si>
  <si>
    <t>Metric (quarterly)</t>
  </si>
  <si>
    <t>Training Compliance %</t>
  </si>
  <si>
    <t>YEAR-OVER-YEAR COMPARISON  ·  current year-to-date vs last year's actuals (enter last year's figures on Settings)</t>
  </si>
  <si>
    <t>Current YTD</t>
  </si>
  <si>
    <t>Prior Year</t>
  </si>
  <si>
    <t>Δ vs Prior Year</t>
  </si>
  <si>
    <t>KEY INSIGHTS  ·  auto-generated from this period's data</t>
  </si>
  <si>
    <t>📸  EHS EXECUTIVE SNAPSHOT</t>
  </si>
  <si>
    <t>One-page board view  ·  12-month rollup  ·  every figure live</t>
  </si>
  <si>
    <t>HEADLINE KPIs</t>
  </si>
  <si>
    <t>INDUCTIONS DONE</t>
  </si>
  <si>
    <t>live · auto-calculated</t>
  </si>
  <si>
    <t>AWARENESS PROGRAMS</t>
  </si>
  <si>
    <t>FIRST AID CASES</t>
  </si>
  <si>
    <t>RECORDABLE INJURIES</t>
  </si>
  <si>
    <t>WORK PERMITS ISSUED</t>
  </si>
  <si>
    <t>EST. EHS COST IMPACT</t>
  </si>
  <si>
    <t>COST, COMPLIANCE &amp; PPE</t>
  </si>
  <si>
    <t>AUDITS, PERMITS &amp; SHOPFLOOR SNAPSHOT</t>
  </si>
  <si>
    <t>Safety Audit</t>
  </si>
  <si>
    <t>In-process audit to ensure compliance</t>
  </si>
  <si>
    <t>Awareness Training</t>
  </si>
  <si>
    <t>Toolbox talks &amp; safety training</t>
  </si>
  <si>
    <t>PPE Check</t>
  </si>
  <si>
    <t>Issued vs used, verified by site</t>
  </si>
  <si>
    <t>Permit Verification</t>
  </si>
  <si>
    <t>Valid permits ensure safe operations</t>
  </si>
  <si>
    <t>SUMMARY TABLES</t>
  </si>
  <si>
    <t>EHS SUMMARY</t>
  </si>
  <si>
    <t>Parameter</t>
  </si>
  <si>
    <t>SAFETY CASES</t>
  </si>
  <si>
    <t>Recordable Injuries</t>
  </si>
  <si>
    <t>COST STATUS</t>
  </si>
  <si>
    <t>Component</t>
  </si>
  <si>
    <t>Est. Rs</t>
  </si>
  <si>
    <t>Downtime Cost</t>
  </si>
  <si>
    <t>AUDITS CONDUCTED</t>
  </si>
  <si>
    <t>WORK PERMIT STATUS</t>
  </si>
  <si>
    <t>PPE STATUS (by Location)</t>
  </si>
  <si>
    <t>🗣️  TOOLBOX TALKS PERFORMANCE</t>
  </si>
  <si>
    <t>Live data from the Toolbox Talks register  ·  filtered by Register Month &amp; Department</t>
  </si>
  <si>
    <t>◀ Register</t>
  </si>
  <si>
    <t>KEY METRICS</t>
  </si>
  <si>
    <t>TOTAL</t>
  </si>
  <si>
    <t>ACTION: YES</t>
  </si>
  <si>
    <t>ACTION: NO</t>
  </si>
  <si>
    <t>AVG ATTENDANCE</t>
  </si>
  <si>
    <t>TOTAL TARGET</t>
  </si>
  <si>
    <t>TOTAL ACTUAL</t>
  </si>
  <si>
    <t>AVG DURATION</t>
  </si>
  <si>
    <t>TOPICS COVERED</t>
  </si>
  <si>
    <t>MONTHLY VOLUME &amp; SIGNATURE ANALYSIS</t>
  </si>
  <si>
    <t>TOPIC × DEPARTMENT COVERAGE  ·  brighter = more sessions delivered</t>
  </si>
  <si>
    <t>DEPARTMENT PERFORMANCE</t>
  </si>
  <si>
    <t>MONTHLY PERFORMANCE MATRIX</t>
  </si>
  <si>
    <t>ADVANCED ANALYSIS</t>
  </si>
  <si>
    <t>⚠️  JSA RISK ASSESSMENT PERFORMANCE</t>
  </si>
  <si>
    <t>Live data from the JSA Risk Assessment register  ·  filtered by Register Month &amp; Department</t>
  </si>
  <si>
    <t>TOTAL JSAS</t>
  </si>
  <si>
    <t>APPROVED</t>
  </si>
  <si>
    <t>PENDING</t>
  </si>
  <si>
    <t>HIGH RISK</t>
  </si>
  <si>
    <t>MEDIUM RISK</t>
  </si>
  <si>
    <t>LOW RISK</t>
  </si>
  <si>
    <t>TOTAL HAZARDS</t>
  </si>
  <si>
    <t>CONTROLS DONE</t>
  </si>
  <si>
    <t>Severity Count</t>
  </si>
  <si>
    <t>🎓  TRAINING PERFORMANCE</t>
  </si>
  <si>
    <t>Live data from the Training register  ·  filtered by Register Month &amp; Department</t>
  </si>
  <si>
    <t>TOTAL TRAININGS</t>
  </si>
  <si>
    <t>COMPLETED</t>
  </si>
  <si>
    <t>IN PROGRESS</t>
  </si>
  <si>
    <t>SCHEDULED</t>
  </si>
  <si>
    <t>AVG ATTENDANCE %</t>
  </si>
  <si>
    <t>TOTAL HOURS</t>
  </si>
  <si>
    <t>PASS RATE</t>
  </si>
  <si>
    <t>CERTIFICATES</t>
  </si>
  <si>
    <t>👁️  HSE OBSERVATIONS PERFORMANCE</t>
  </si>
  <si>
    <t>Live data from the HSE Observations register  ·  filtered by Register Month &amp; Department</t>
  </si>
  <si>
    <t>TOTAL OBS</t>
  </si>
  <si>
    <t>OVERDUE</t>
  </si>
  <si>
    <t>SAFE ACTS</t>
  </si>
  <si>
    <t>UNSAFE ACTS</t>
  </si>
  <si>
    <t>COMP %</t>
  </si>
  <si>
    <t>🔍  WORKPLACE INSPECTIONS PERFORMANCE</t>
  </si>
  <si>
    <t>Live data from the Workplace Inspections register  ·  filtered by Register Month &amp; Department</t>
  </si>
  <si>
    <t>CRITICAL</t>
  </si>
  <si>
    <t>CHECKPOINTS</t>
  </si>
  <si>
    <t>NON-CONF</t>
  </si>
  <si>
    <t>NC RATE</t>
  </si>
  <si>
    <t>🛠️  EQUIPMENT INSPECTIONS PERFORMANCE</t>
  </si>
  <si>
    <t>Live data from the Equipment Inspections register  ·  filtered by Register Month &amp; Department</t>
  </si>
  <si>
    <t>🚶  SAFETY WALKTHROUGHS PERFORMANCE</t>
  </si>
  <si>
    <t>Live data from the Safety Walkthroughs register  ·  filtered by Register Month &amp; Department</t>
  </si>
  <si>
    <t>👥  SAFETY MEETINGS PERFORMANCE</t>
  </si>
  <si>
    <t>Live data from the Safety Meetings register  ·  filtered by Register Month &amp; Department</t>
  </si>
  <si>
    <t>TOTAL MEETINGS</t>
  </si>
  <si>
    <t>ACTIONS RAISED</t>
  </si>
  <si>
    <t>ACTIONS CLOSED</t>
  </si>
  <si>
    <t>CLOSE-OUT %</t>
  </si>
  <si>
    <t>MOM DONE</t>
  </si>
  <si>
    <t>MOM PENDING</t>
  </si>
  <si>
    <t>📢  SAFETY BULLETINS PERFORMANCE</t>
  </si>
  <si>
    <t>Live data from the Safety Bulletins register  ·  filtered by Register Month &amp; Department</t>
  </si>
  <si>
    <t>ISSUED</t>
  </si>
  <si>
    <t>ACKNOWLEDGED</t>
  </si>
  <si>
    <t>CLOSED</t>
  </si>
  <si>
    <t>TARGET REACH</t>
  </si>
  <si>
    <t>ACTUAL REACH</t>
  </si>
  <si>
    <t>REACH %</t>
  </si>
  <si>
    <t>HIGH PRIORITY</t>
  </si>
  <si>
    <t>🚨  EMERGENCY DRILLS PERFORMANCE</t>
  </si>
  <si>
    <t>Live data from the Emergency Drills register  ·  filtered by Register Month &amp; Department</t>
  </si>
  <si>
    <t>TOTAL DRILLS</t>
  </si>
  <si>
    <t>AVG PARTICIPATION</t>
  </si>
  <si>
    <t>TARGET RESP</t>
  </si>
  <si>
    <t>ACTUAL RESP</t>
  </si>
  <si>
    <t>TOTAL PARTICIPANTS</t>
  </si>
  <si>
    <t>IMPROVEMENTS</t>
  </si>
  <si>
    <t>📋  INTERNAL AUDITS PERFORMANCE</t>
  </si>
  <si>
    <t>Live data from the Internal Audits register  ·  filtered by Register Month &amp; Department</t>
  </si>
  <si>
    <t>TOTAL AUDITS</t>
  </si>
  <si>
    <t>CHECKLIST ITEMS</t>
  </si>
  <si>
    <t>MINOR NC</t>
  </si>
  <si>
    <t>MAJOR NC</t>
  </si>
  <si>
    <t>OBSERVATIONS</t>
  </si>
  <si>
    <t>🏛️  EXTERNAL AUDITS PERFORMANCE</t>
  </si>
  <si>
    <t>Live data from the External Audits register  ·  filtered by Register Month &amp; Department</t>
  </si>
  <si>
    <t>🤝  MANAGEMENT VISITS PERFORMANCE</t>
  </si>
  <si>
    <t>Live data from the Management Visits register  ·  filtered by Register Month &amp; Department</t>
  </si>
  <si>
    <t>TOTAL VISITS</t>
  </si>
  <si>
    <t>ACTION PENDING</t>
  </si>
  <si>
    <t>🧭  MANAGEMENT REVIEWS PERFORMANCE</t>
  </si>
  <si>
    <t>Live data from the Management Reviews register  ·  filtered by Register Month &amp; Department</t>
  </si>
  <si>
    <t>TOTAL REVIEWS</t>
  </si>
  <si>
    <t>DECISIONS</t>
  </si>
  <si>
    <t>ACTIONS</t>
  </si>
  <si>
    <t>CLOSE-OUT</t>
  </si>
  <si>
    <t>⚖️  DISCIPLINARY ACTIONS PERFORMANCE</t>
  </si>
  <si>
    <t>Live data from the Disciplinary Actions register  ·  filtered by Register Month &amp; Department</t>
  </si>
  <si>
    <t>TOTAL CASES</t>
  </si>
  <si>
    <t>UNDER REVIEW</t>
  </si>
  <si>
    <t>APPEALED</t>
  </si>
  <si>
    <t>1ST OFFENSE</t>
  </si>
  <si>
    <t>REPEAT</t>
  </si>
  <si>
    <t>SUSPENSIONS</t>
  </si>
  <si>
    <t>TERMINATIONS</t>
  </si>
  <si>
    <t>🏆  SAFETY AWARDS PERFORMANCE</t>
  </si>
  <si>
    <t>Live data from the Safety Awards register  ·  filtered by Register Month &amp; Department</t>
  </si>
  <si>
    <t>TOTAL AWARDS</t>
  </si>
  <si>
    <t>PRESENTED</t>
  </si>
  <si>
    <t>NOMINATED</t>
  </si>
  <si>
    <t>CASH BONUS</t>
  </si>
  <si>
    <t>TROPHIES</t>
  </si>
  <si>
    <t>VOUCHERS</t>
  </si>
  <si>
    <t>✋  STOP WORK AUTHORITY PERFORMANCE</t>
  </si>
  <si>
    <t>Live data from the Stop Work Authority register  ·  filtered by Register Month &amp; Department</t>
  </si>
  <si>
    <t>TOTAL SWA</t>
  </si>
  <si>
    <t>RESOLVED</t>
  </si>
  <si>
    <t>INVESTIGATING</t>
  </si>
  <si>
    <t>FIXED</t>
  </si>
  <si>
    <t>HIGH</t>
  </si>
  <si>
    <t>TOTAL DOWNTIME</t>
  </si>
  <si>
    <t>INVESTIGATED</t>
  </si>
  <si>
    <t>ESTIMATED DOWNTIME COST (this Register Month)</t>
  </si>
  <si>
    <t>🧪  ALCOHOL TESTS PERFORMANCE</t>
  </si>
  <si>
    <t>Live data from the Alcohol Tests register  ·  filtered by Register Month &amp; Department</t>
  </si>
  <si>
    <t>TOTAL TESTS</t>
  </si>
  <si>
    <t>NEGATIVE</t>
  </si>
  <si>
    <t>POSITIVE</t>
  </si>
  <si>
    <t>RANDOM TESTS</t>
  </si>
  <si>
    <t>PRE-SHIFT</t>
  </si>
  <si>
    <t>POST-INCIDENT</t>
  </si>
  <si>
    <t>SUSPICION</t>
  </si>
  <si>
    <t>📝  PTW AUDITS PERFORMANCE</t>
  </si>
  <si>
    <t>Live data from the PTW Audits register  ·  filtered by Register Month &amp; Department</t>
  </si>
  <si>
    <t>COMPLIANT</t>
  </si>
  <si>
    <t>NON-COMPLIANT</t>
  </si>
  <si>
    <t>PARTIAL</t>
  </si>
  <si>
    <t>PERMITS REVIEWED</t>
  </si>
  <si>
    <t>DEVIATIONS</t>
  </si>
  <si>
    <t>AVG COMPLIANCE</t>
  </si>
  <si>
    <t>COMPLIANCE RATE</t>
  </si>
  <si>
    <t>🔧  CORRECTIVE ACTIONS PERFORMANCE</t>
  </si>
  <si>
    <t>Live data from the Corrective Actions register  ·  filtered by Register Month &amp; Department</t>
  </si>
  <si>
    <t>TOTAL CAS</t>
  </si>
  <si>
    <t>MEDIUM</t>
  </si>
  <si>
    <t>LOW</t>
  </si>
  <si>
    <t>🚩  NC MANAGEMENT PERFORMANCE</t>
  </si>
  <si>
    <t>Live data from the NC Management register  ·  filtered by Register Month &amp; Department</t>
  </si>
  <si>
    <t>TOTAL NCS</t>
  </si>
  <si>
    <t>OPEN</t>
  </si>
  <si>
    <t>CLOSURE %</t>
  </si>
  <si>
    <t>MAJOR</t>
  </si>
  <si>
    <t>MINOR</t>
  </si>
  <si>
    <t>🚫  UNSAFE ACTS PERFORMANCE</t>
  </si>
  <si>
    <t>Live data from the Unsafe Acts register  ·  filtered by Register Month &amp; Department</t>
  </si>
  <si>
    <t>TOTAL REPORTS</t>
  </si>
  <si>
    <t>⛔  UNSAFE CONDITIONS PERFORMANCE</t>
  </si>
  <si>
    <t>Live data from the Unsafe Conditions register  ·  filtered by Register Month &amp; Department</t>
  </si>
  <si>
    <t>🔥  INCIDENT PERFORMANCE</t>
  </si>
  <si>
    <t>Live data from the Incident register  ·  filtered by Register Month &amp; Department</t>
  </si>
  <si>
    <t>LTI+FATALITY</t>
  </si>
  <si>
    <t>AVG CLOSE (D)</t>
  </si>
  <si>
    <t>ESTIMATED LOST-DAY COST (this Register Month)</t>
  </si>
  <si>
    <t>🌱  ENVIRONMENTAL PERF PERFORMANCE</t>
  </si>
  <si>
    <t>Live data from the Environmental Perf register  ·  filtered by Register Month &amp; Department</t>
  </si>
  <si>
    <t>TOTAL RECORDS</t>
  </si>
  <si>
    <t>WASTE GENERATED (KG)</t>
  </si>
  <si>
    <t>WASTE RECYCLED (KG)</t>
  </si>
  <si>
    <t>AVG RECYCLE RATE</t>
  </si>
  <si>
    <t>ENERGY (KWH)</t>
  </si>
  <si>
    <t>WATER (M3)</t>
  </si>
  <si>
    <t>FUEL (L)</t>
  </si>
  <si>
    <t>HAZARDOUS WASTE EVENTS</t>
  </si>
</sst>
</file>

<file path=xl/styles.xml><?xml version="1.0" encoding="utf-8"?>
<styleSheet xmlns="http://schemas.openxmlformats.org/spreadsheetml/2006/main">
  <numFmts count="8">
    <numFmt numFmtId="164" formatCode="0.0&quot;%&quot;"/>
    <numFmt numFmtId="165" formatCode="dd-mmm-yy"/>
    <numFmt numFmtId="166" formatCode="#,##0"/>
    <numFmt numFmtId="167" formatCode="0.00000"/>
    <numFmt numFmtId="168" formatCode="+0.0%;-0.0%"/>
    <numFmt numFmtId="169" formatCode="dd-mmm-yyyy hh:mm"/>
    <numFmt numFmtId="170" formatCode="0.00"/>
    <numFmt numFmtId="171" formatCode="&quot;₹&quot;#,##0"/>
  </numFmts>
  <fonts count="52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5"/>
      <color rgb="FFFFFFFF"/>
      <name val="Segoe UI"/>
      <family val="2"/>
    </font>
    <font>
      <i/>
      <sz val="9"/>
      <color rgb="FF0F3D6E"/>
      <name val="Segoe UI"/>
      <family val="2"/>
    </font>
    <font>
      <sz val="9"/>
      <color rgb="FF64748B"/>
      <name val="Segoe UI"/>
      <family val="2"/>
    </font>
    <font>
      <b/>
      <sz val="12"/>
      <color rgb="FF0F3D6E"/>
      <name val="Segoe UI"/>
      <family val="2"/>
    </font>
    <font>
      <b/>
      <sz val="9"/>
      <color rgb="FFFFFFFF"/>
      <name val="Segoe UI"/>
      <family val="2"/>
    </font>
    <font>
      <b/>
      <sz val="12"/>
      <color rgb="FF0B6EA8"/>
      <name val="Segoe UI"/>
      <family val="2"/>
    </font>
    <font>
      <sz val="10"/>
      <color rgb="FF1F2937"/>
      <name val="Segoe UI"/>
      <family val="2"/>
    </font>
    <font>
      <b/>
      <sz val="10"/>
      <color rgb="FF0F3D6E"/>
      <name val="Segoe UI"/>
      <family val="2"/>
    </font>
    <font>
      <b/>
      <sz val="10"/>
      <color rgb="FF1F2937"/>
      <name val="Segoe UI"/>
      <family val="2"/>
    </font>
    <font>
      <i/>
      <sz val="9"/>
      <color rgb="FF64748B"/>
      <name val="Segoe UI"/>
      <family val="2"/>
    </font>
    <font>
      <b/>
      <sz val="17"/>
      <color rgb="FF0F3D6E"/>
      <name val="Segoe UI"/>
      <family val="2"/>
    </font>
    <font>
      <b/>
      <sz val="11"/>
      <color rgb="FFDC2626"/>
      <name val="Segoe UI"/>
      <family val="2"/>
    </font>
    <font>
      <b/>
      <sz val="9"/>
      <color theme="1"/>
      <name val="Segoe UI"/>
      <family val="2"/>
    </font>
    <font>
      <b/>
      <sz val="32"/>
      <color rgb="FFE5E9F0"/>
      <name val="Segoe UI"/>
      <family val="2"/>
    </font>
    <font>
      <sz val="13"/>
      <color rgb="FF14B8A6"/>
      <name val="Segoe UI"/>
      <family val="2"/>
    </font>
    <font>
      <i/>
      <sz val="9"/>
      <color rgb="FF93A2BE"/>
      <name val="Segoe UI"/>
      <family val="2"/>
    </font>
    <font>
      <b/>
      <sz val="10"/>
      <color rgb="FFE5E9F0"/>
      <name val="Segoe UI"/>
      <family val="2"/>
    </font>
    <font>
      <b/>
      <sz val="9"/>
      <color rgb="FF14B8A6"/>
      <name val="Segoe UI"/>
      <family val="2"/>
    </font>
    <font>
      <b/>
      <sz val="12"/>
      <color rgb="FF14B8A6"/>
      <name val="Segoe UI"/>
      <family val="2"/>
    </font>
    <font>
      <b/>
      <sz val="8.5"/>
      <color rgb="FF93A2BE"/>
      <name val="Segoe UI"/>
      <family val="2"/>
    </font>
    <font>
      <b/>
      <sz val="19"/>
      <color rgb="FFE5E9F0"/>
      <name val="Segoe UI"/>
      <family val="2"/>
    </font>
    <font>
      <sz val="8"/>
      <color rgb="FF93A2BE"/>
      <name val="Segoe UI"/>
      <family val="2"/>
    </font>
    <font>
      <sz val="9"/>
      <color rgb="FF93A2BE"/>
      <name val="Segoe UI"/>
      <family val="2"/>
    </font>
    <font>
      <b/>
      <sz val="30"/>
      <color rgb="FFE5E9F0"/>
      <name val="Segoe UI"/>
      <family val="2"/>
    </font>
    <font>
      <sz val="12"/>
      <color rgb="FF14B8A6"/>
      <name val="Segoe UI"/>
      <family val="2"/>
    </font>
    <font>
      <b/>
      <sz val="12"/>
      <color rgb="FF0B1220"/>
      <name val="Segoe UI"/>
      <family val="2"/>
    </font>
    <font>
      <b/>
      <sz val="9.5"/>
      <color rgb="FFE5E9F0"/>
      <name val="Segoe UI"/>
      <family val="2"/>
    </font>
    <font>
      <b/>
      <u/>
      <sz val="9.5"/>
      <color rgb="FF0B1220"/>
      <name val="Segoe UI"/>
      <family val="2"/>
    </font>
    <font>
      <b/>
      <u/>
      <sz val="9.5"/>
      <color rgb="FF93A2BE"/>
      <name val="Segoe UI"/>
      <family val="2"/>
    </font>
    <font>
      <b/>
      <sz val="22"/>
      <color rgb="FFE5E9F0"/>
      <name val="Segoe UI"/>
      <family val="2"/>
    </font>
    <font>
      <b/>
      <sz val="13"/>
      <color rgb="FF0B1220"/>
      <name val="Segoe UI"/>
      <family val="2"/>
    </font>
    <font>
      <sz val="10"/>
      <color rgb="FF14B8A6"/>
      <name val="Segoe UI"/>
      <family val="2"/>
    </font>
    <font>
      <b/>
      <sz val="9"/>
      <color rgb="FF0B1220"/>
      <name val="Segoe UI"/>
      <family val="2"/>
    </font>
    <font>
      <b/>
      <sz val="10"/>
      <color rgb="FF0B1220"/>
      <name val="Segoe UI"/>
      <family val="2"/>
    </font>
    <font>
      <b/>
      <sz val="12"/>
      <color rgb="FFFFFFFF"/>
      <name val="Segoe UI"/>
      <family val="2"/>
    </font>
    <font>
      <b/>
      <sz val="8"/>
      <color rgb="FF15A34A"/>
      <name val="Segoe UI"/>
      <family val="2"/>
    </font>
    <font>
      <b/>
      <sz val="8"/>
      <color rgb="FFE5E9F0"/>
      <name val="Segoe UI"/>
      <family val="2"/>
    </font>
    <font>
      <sz val="8.5"/>
      <color rgb="FF93A2BE"/>
      <name val="Segoe UI"/>
      <family val="2"/>
    </font>
    <font>
      <b/>
      <sz val="13"/>
      <color rgb="FFF5A524"/>
      <name val="Segoe UI"/>
      <family val="2"/>
    </font>
    <font>
      <sz val="9"/>
      <color rgb="FFE5E9F0"/>
      <name val="Segoe UI"/>
      <family val="2"/>
    </font>
    <font>
      <b/>
      <sz val="10"/>
      <color rgb="FF15A34A"/>
      <name val="Segoe UI"/>
      <family val="2"/>
    </font>
    <font>
      <b/>
      <sz val="10"/>
      <color rgb="FFDC2626"/>
      <name val="Segoe UI"/>
      <family val="2"/>
    </font>
    <font>
      <b/>
      <sz val="9"/>
      <color rgb="FF93A2BE"/>
      <name val="Segoe UI"/>
      <family val="2"/>
    </font>
    <font>
      <b/>
      <sz val="26"/>
      <color rgb="FFF0625A"/>
      <name val="Segoe UI"/>
      <family val="2"/>
    </font>
    <font>
      <sz val="10"/>
      <color rgb="FFE5E9F0"/>
      <name val="Segoe UI"/>
      <family val="2"/>
    </font>
    <font>
      <b/>
      <sz val="9"/>
      <color rgb="FFE5E9F0"/>
      <name val="Segoe UI"/>
      <family val="2"/>
    </font>
    <font>
      <sz val="7.5"/>
      <color rgb="FF93A2BE"/>
      <name val="Segoe UI"/>
      <family val="2"/>
    </font>
    <font>
      <b/>
      <sz val="9.5"/>
      <color rgb="FF14B8A6"/>
      <name val="Segoe UI"/>
      <family val="2"/>
    </font>
    <font>
      <b/>
      <sz val="17"/>
      <color rgb="FFF5A524"/>
      <name val="Segoe UI"/>
      <family val="2"/>
    </font>
    <font>
      <b/>
      <sz val="17"/>
      <color rgb="FF0B1220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rgb="FFFBFD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3D6E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0B6EA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B1220"/>
        <bgColor indexed="64"/>
      </patternFill>
    </fill>
    <fill>
      <patternFill patternType="solid">
        <fgColor rgb="FF111C33"/>
        <bgColor indexed="64"/>
      </patternFill>
    </fill>
    <fill>
      <patternFill patternType="solid">
        <fgColor rgb="FF14B8A6"/>
        <bgColor indexed="64"/>
      </patternFill>
    </fill>
    <fill>
      <patternFill patternType="solid">
        <fgColor rgb="FFF0625A"/>
        <bgColor indexed="64"/>
      </patternFill>
    </fill>
    <fill>
      <patternFill patternType="solid">
        <fgColor rgb="FFF5A524"/>
        <bgColor indexed="64"/>
      </patternFill>
    </fill>
    <fill>
      <patternFill patternType="solid">
        <fgColor rgb="FFDC2626"/>
        <bgColor indexed="64"/>
      </patternFill>
    </fill>
    <fill>
      <patternFill patternType="solid">
        <fgColor rgb="FF22314F"/>
        <bgColor indexed="64"/>
      </patternFill>
    </fill>
    <fill>
      <patternFill patternType="solid">
        <fgColor rgb="FF15A34A"/>
        <bgColor indexed="64"/>
      </patternFill>
    </fill>
    <fill>
      <patternFill patternType="solid">
        <fgColor rgb="FFF2994A"/>
        <bgColor indexed="64"/>
      </patternFill>
    </fill>
    <fill>
      <patternFill patternType="solid">
        <fgColor rgb="FF162440"/>
        <bgColor indexed="64"/>
      </patternFill>
    </fill>
    <fill>
      <patternFill patternType="solid">
        <fgColor rgb="FF8B5CF6"/>
        <bgColor indexed="64"/>
      </patternFill>
    </fill>
  </fills>
  <borders count="1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0B6EA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8E1EB"/>
      </left>
      <right style="thin">
        <color rgb="FFD8E1EB"/>
      </right>
      <top style="thin">
        <color rgb="FFD8E1EB"/>
      </top>
      <bottom style="thin">
        <color rgb="FFD8E1EB"/>
      </bottom>
      <diagonal/>
    </border>
    <border>
      <left style="thin">
        <color rgb="FFE2C97A"/>
      </left>
      <right style="thin">
        <color rgb="FFE2C97A"/>
      </right>
      <top style="thin">
        <color rgb="FFE2C97A"/>
      </top>
      <bottom style="thin">
        <color rgb="FFE2C97A"/>
      </bottom>
      <diagonal/>
    </border>
    <border>
      <left/>
      <right/>
      <top/>
      <bottom style="medium">
        <color rgb="FF14B8A6"/>
      </bottom>
      <diagonal/>
    </border>
    <border>
      <left style="thin">
        <color rgb="FF22314F"/>
      </left>
      <right style="thin">
        <color rgb="FF22314F"/>
      </right>
      <top/>
      <bottom/>
      <diagonal/>
    </border>
    <border>
      <left style="thin">
        <color rgb="FF22314F"/>
      </left>
      <right style="thin">
        <color rgb="FF22314F"/>
      </right>
      <top/>
      <bottom style="thin">
        <color rgb="FF22314F"/>
      </bottom>
      <diagonal/>
    </border>
    <border>
      <left style="medium">
        <color rgb="FF0B1220"/>
      </left>
      <right style="medium">
        <color rgb="FF0B1220"/>
      </right>
      <top style="medium">
        <color rgb="FF0B1220"/>
      </top>
      <bottom style="medium">
        <color rgb="FF0B1220"/>
      </bottom>
      <diagonal/>
    </border>
    <border>
      <left style="thin">
        <color rgb="FF22314F"/>
      </left>
      <right style="thin">
        <color rgb="FF22314F"/>
      </right>
      <top style="thin">
        <color rgb="FF22314F"/>
      </top>
      <bottom style="thin">
        <color rgb="FF22314F"/>
      </bottom>
      <diagonal/>
    </border>
    <border>
      <left style="thin">
        <color rgb="FF0B1220"/>
      </left>
      <right style="thin">
        <color rgb="FF0B1220"/>
      </right>
      <top style="thin">
        <color rgb="FF0B1220"/>
      </top>
      <bottom style="thin">
        <color rgb="FF0B1220"/>
      </bottom>
      <diagonal/>
    </border>
    <border>
      <left style="thin">
        <color rgb="FFF5A524"/>
      </left>
      <right style="thin">
        <color rgb="FFF5A524"/>
      </right>
      <top style="thin">
        <color rgb="FFF5A524"/>
      </top>
      <bottom style="thin">
        <color rgb="FFF5A52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164" fontId="1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65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center"/>
    </xf>
    <xf numFmtId="0" fontId="6" fillId="6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7" borderId="5" xfId="0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  <xf numFmtId="166" fontId="9" fillId="3" borderId="4" xfId="0" applyNumberFormat="1" applyFont="1" applyFill="1" applyBorder="1" applyAlignment="1">
      <alignment horizontal="center" vertical="center"/>
    </xf>
    <xf numFmtId="0" fontId="12" fillId="0" borderId="0" xfId="0" applyFont="1"/>
    <xf numFmtId="0" fontId="8" fillId="0" borderId="0" xfId="0" applyFont="1" applyAlignment="1">
      <alignment vertical="top" wrapText="1"/>
    </xf>
    <xf numFmtId="16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168" fontId="1" fillId="0" borderId="4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0" fontId="0" fillId="8" borderId="0" xfId="0" applyFill="1"/>
    <xf numFmtId="0" fontId="15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0" fillId="10" borderId="0" xfId="0" applyFill="1"/>
    <xf numFmtId="0" fontId="17" fillId="8" borderId="0" xfId="0" applyFont="1" applyFill="1" applyAlignment="1">
      <alignment horizontal="right" vertical="center"/>
    </xf>
    <xf numFmtId="0" fontId="18" fillId="8" borderId="0" xfId="0" applyFont="1" applyFill="1" applyAlignment="1">
      <alignment vertical="top"/>
    </xf>
    <xf numFmtId="169" fontId="19" fillId="8" borderId="0" xfId="0" applyNumberFormat="1" applyFont="1" applyFill="1" applyAlignment="1">
      <alignment horizontal="left" vertical="center"/>
    </xf>
    <xf numFmtId="0" fontId="20" fillId="8" borderId="6" xfId="0" applyFont="1" applyFill="1" applyBorder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21" fillId="9" borderId="7" xfId="0" applyFont="1" applyFill="1" applyBorder="1" applyAlignment="1">
      <alignment horizontal="left" vertical="center"/>
    </xf>
    <xf numFmtId="170" fontId="22" fillId="9" borderId="7" xfId="0" applyNumberFormat="1" applyFont="1" applyFill="1" applyBorder="1" applyAlignment="1">
      <alignment horizontal="left" vertical="center"/>
    </xf>
    <xf numFmtId="166" fontId="22" fillId="9" borderId="7" xfId="0" applyNumberFormat="1" applyFont="1" applyFill="1" applyBorder="1" applyAlignment="1">
      <alignment horizontal="left" vertical="center"/>
    </xf>
    <xf numFmtId="164" fontId="22" fillId="9" borderId="7" xfId="0" applyNumberFormat="1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0" fontId="24" fillId="8" borderId="0" xfId="0" applyFont="1" applyFill="1" applyAlignment="1">
      <alignment vertical="top" wrapText="1"/>
    </xf>
    <xf numFmtId="0" fontId="25" fillId="9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7" fillId="10" borderId="9" xfId="0" applyFont="1" applyFill="1" applyBorder="1" applyAlignment="1">
      <alignment horizontal="center" vertical="center"/>
    </xf>
    <xf numFmtId="0" fontId="27" fillId="11" borderId="9" xfId="0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left" vertical="center"/>
    </xf>
    <xf numFmtId="0" fontId="29" fillId="10" borderId="10" xfId="0" applyFont="1" applyFill="1" applyBorder="1" applyAlignment="1">
      <alignment horizontal="center" vertical="center"/>
    </xf>
    <xf numFmtId="0" fontId="30" fillId="9" borderId="10" xfId="0" applyFont="1" applyFill="1" applyBorder="1" applyAlignment="1">
      <alignment horizontal="center" vertical="center"/>
    </xf>
    <xf numFmtId="0" fontId="31" fillId="9" borderId="0" xfId="0" applyFont="1" applyFill="1" applyAlignment="1">
      <alignment horizontal="left" vertical="center"/>
    </xf>
    <xf numFmtId="0" fontId="32" fillId="10" borderId="9" xfId="0" applyFont="1" applyFill="1" applyBorder="1" applyAlignment="1">
      <alignment horizontal="center" vertical="center"/>
    </xf>
    <xf numFmtId="0" fontId="33" fillId="9" borderId="0" xfId="0" applyFont="1" applyFill="1" applyAlignment="1">
      <alignment horizontal="left" vertical="center"/>
    </xf>
    <xf numFmtId="0" fontId="34" fillId="10" borderId="11" xfId="0" applyFont="1" applyFill="1" applyBorder="1" applyAlignment="1">
      <alignment horizontal="center" vertical="center"/>
    </xf>
    <xf numFmtId="0" fontId="34" fillId="10" borderId="11" xfId="0" applyFont="1" applyFill="1" applyBorder="1" applyAlignment="1">
      <alignment horizontal="center" vertical="center" wrapText="1"/>
    </xf>
    <xf numFmtId="0" fontId="35" fillId="12" borderId="12" xfId="0" applyFont="1" applyFill="1" applyBorder="1" applyAlignment="1" applyProtection="1">
      <alignment horizontal="center" vertical="center"/>
      <protection locked="0"/>
    </xf>
    <xf numFmtId="0" fontId="36" fillId="13" borderId="0" xfId="0" applyFont="1" applyFill="1" applyAlignment="1">
      <alignment horizontal="left" vertical="center" indent="1"/>
    </xf>
    <xf numFmtId="0" fontId="0" fillId="14" borderId="0" xfId="0" applyFill="1"/>
    <xf numFmtId="0" fontId="37" fillId="9" borderId="8" xfId="0" applyFont="1" applyFill="1" applyBorder="1" applyAlignment="1">
      <alignment horizontal="left" vertical="center"/>
    </xf>
    <xf numFmtId="0" fontId="36" fillId="15" borderId="0" xfId="0" applyFont="1" applyFill="1" applyAlignment="1">
      <alignment horizontal="left" vertical="center" indent="1"/>
    </xf>
    <xf numFmtId="0" fontId="38" fillId="9" borderId="10" xfId="0" applyFont="1" applyFill="1" applyBorder="1" applyAlignment="1">
      <alignment horizontal="center" vertical="center" wrapText="1"/>
    </xf>
    <xf numFmtId="0" fontId="32" fillId="12" borderId="11" xfId="0" applyFont="1" applyFill="1" applyBorder="1" applyAlignment="1">
      <alignment horizontal="center" vertical="center"/>
    </xf>
    <xf numFmtId="0" fontId="32" fillId="16" borderId="11" xfId="0" applyFont="1" applyFill="1" applyBorder="1" applyAlignment="1">
      <alignment horizontal="center" vertical="center"/>
    </xf>
    <xf numFmtId="0" fontId="32" fillId="11" borderId="11" xfId="0" applyFont="1" applyFill="1" applyBorder="1" applyAlignment="1">
      <alignment horizontal="center" vertical="center"/>
    </xf>
    <xf numFmtId="0" fontId="32" fillId="10" borderId="11" xfId="0" applyFont="1" applyFill="1" applyBorder="1" applyAlignment="1">
      <alignment horizontal="center" vertical="center"/>
    </xf>
    <xf numFmtId="0" fontId="39" fillId="8" borderId="0" xfId="0" applyFont="1" applyFill="1" applyAlignment="1">
      <alignment horizontal="left" vertical="center"/>
    </xf>
    <xf numFmtId="164" fontId="40" fillId="17" borderId="0" xfId="0" applyNumberFormat="1" applyFont="1" applyFill="1" applyAlignment="1">
      <alignment horizontal="center" vertical="center"/>
    </xf>
    <xf numFmtId="0" fontId="41" fillId="9" borderId="10" xfId="0" applyFont="1" applyFill="1" applyBorder="1" applyAlignment="1">
      <alignment horizontal="left" vertical="center"/>
    </xf>
    <xf numFmtId="0" fontId="41" fillId="9" borderId="10" xfId="0" applyFont="1" applyFill="1" applyBorder="1" applyAlignment="1">
      <alignment horizontal="center" vertical="center"/>
    </xf>
    <xf numFmtId="0" fontId="42" fillId="9" borderId="10" xfId="0" applyFont="1" applyFill="1" applyBorder="1" applyAlignment="1">
      <alignment horizontal="left" vertical="center"/>
    </xf>
    <xf numFmtId="168" fontId="18" fillId="9" borderId="10" xfId="0" applyNumberFormat="1" applyFont="1" applyFill="1" applyBorder="1" applyAlignment="1">
      <alignment horizontal="center" vertical="center"/>
    </xf>
    <xf numFmtId="0" fontId="43" fillId="9" borderId="10" xfId="0" applyFont="1" applyFill="1" applyBorder="1" applyAlignment="1">
      <alignment horizontal="left" vertical="center"/>
    </xf>
    <xf numFmtId="166" fontId="41" fillId="9" borderId="10" xfId="0" applyNumberFormat="1" applyFont="1" applyFill="1" applyBorder="1" applyAlignment="1">
      <alignment horizontal="center" vertical="center"/>
    </xf>
    <xf numFmtId="164" fontId="41" fillId="9" borderId="10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46" fillId="9" borderId="10" xfId="0" applyFont="1" applyFill="1" applyBorder="1" applyAlignment="1">
      <alignment horizontal="left" vertical="center" indent="1" wrapText="1"/>
    </xf>
    <xf numFmtId="0" fontId="0" fillId="18" borderId="0" xfId="0" applyFill="1"/>
    <xf numFmtId="0" fontId="0" fillId="9" borderId="10" xfId="0" applyFill="1" applyBorder="1"/>
    <xf numFmtId="0" fontId="47" fillId="9" borderId="0" xfId="0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 wrapText="1"/>
    </xf>
    <xf numFmtId="0" fontId="49" fillId="9" borderId="10" xfId="0" applyFont="1" applyFill="1" applyBorder="1" applyAlignment="1">
      <alignment horizontal="left" vertical="center" indent="1"/>
    </xf>
    <xf numFmtId="1" fontId="34" fillId="0" borderId="11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left" vertical="center"/>
    </xf>
    <xf numFmtId="0" fontId="50" fillId="8" borderId="0" xfId="0" applyFont="1" applyFill="1" applyAlignment="1">
      <alignment horizontal="left" vertical="center"/>
    </xf>
    <xf numFmtId="0" fontId="44" fillId="8" borderId="0" xfId="0" applyFont="1" applyFill="1" applyAlignment="1">
      <alignment horizontal="left" vertical="center" indent="1"/>
    </xf>
    <xf numFmtId="171" fontId="51" fillId="12" borderId="12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b/>
        <color rgb="FFDC2626"/>
      </font>
      <fill>
        <patternFill>
          <bgColor rgb="FFFEE2E2"/>
        </patternFill>
      </fill>
    </dxf>
    <dxf>
      <font>
        <b/>
        <color rgb="FF15A34A"/>
      </font>
      <fill>
        <patternFill>
          <bgColor rgb="FFDCFCE7"/>
        </patternFill>
      </fill>
    </dxf>
    <dxf>
      <fill>
        <patternFill>
          <bgColor rgb="FF15A34A"/>
        </patternFill>
      </fill>
    </dxf>
    <dxf>
      <fill>
        <patternFill>
          <bgColor rgb="FFF59E0B"/>
        </patternFill>
      </fill>
    </dxf>
    <dxf>
      <fill>
        <patternFill>
          <bgColor rgb="FFDC2626"/>
        </patternFill>
      </fill>
    </dxf>
    <dxf>
      <font>
        <b/>
        <color rgb="FFDC2626"/>
      </font>
      <fill>
        <patternFill>
          <bgColor rgb="FF111C33"/>
        </patternFill>
      </fill>
      <border>
        <left style="thin">
          <color rgb="FF22314F"/>
        </left>
        <right style="thin">
          <color rgb="FF22314F"/>
        </right>
        <top/>
        <bottom style="thin">
          <color rgb="FF22314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Incident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0F3D6E"/>
              </a:solidFill>
            </a:ln>
          </c:spPr>
          <c:marker>
            <c:symbol val="circle"/>
            <c:size val="5"/>
            <c:spPr>
              <a:solidFill>
                <a:srgbClr val="0F3D6E"/>
              </a:solidFill>
              <a:ln>
                <a:noFill/>
              </a:ln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Calculations!$O$12:$O$23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First Aid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First Aid</c:v>
          </c:tx>
          <c:spPr>
            <a:solidFill>
              <a:srgbClr val="F59E0B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Calculations!$I$12:$I$23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Near Miss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Near Miss</c:v>
          </c:tx>
          <c:spPr>
            <a:solidFill>
              <a:srgbClr val="15A34A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Calculations!$H$12:$H$23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0F3D6E"/>
                </a:solidFill>
                <a:latin typeface="Segoe UI"/>
              </a:defRPr>
            </a:pPr>
            <a:r>
              <a:rPr lang="en-US" sz="1050" b="1" baseline="0">
                <a:solidFill>
                  <a:srgbClr val="0F3D6E"/>
                </a:solidFill>
                <a:latin typeface="Segoe UI"/>
              </a:rPr>
              <a:t>TRIR &amp; LTIFR Trend vs Industry Benchmark (dual-axis)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TRIR</c:v>
          </c:tx>
          <c:spPr>
            <a:ln w="28575">
              <a:solidFill>
                <a:srgbClr val="DC2626"/>
              </a:solidFill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Calculations!$CJ$12:$CJ$23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Industry Benchmark TRIR</c:v>
          </c:tx>
          <c:spPr>
            <a:ln w="19050">
              <a:solidFill>
                <a:srgbClr val="64748B"/>
              </a:solidFill>
              <a:prstDash val="dash"/>
            </a:ln>
          </c:spPr>
          <c:marker>
            <c:symbol val="none"/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Calculations!$CL$12:$CL$23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2"/>
          <c:order val="2"/>
          <c:tx>
            <c:v>LTIFR</c:v>
          </c:tx>
          <c:spPr>
            <a:ln w="28575">
              <a:solidFill>
                <a:srgbClr val="D71920"/>
              </a:solidFill>
            </a:ln>
          </c:spPr>
          <c:marker>
            <c:symbol val="circle"/>
            <c:size val="5"/>
            <c:spPr>
              <a:solidFill>
                <a:srgbClr val="D71920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Calculations!$CK$12:$CK$23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Industry Benchmark LTIFR</c:v>
          </c:tx>
          <c:spPr>
            <a:ln w="19050">
              <a:solidFill>
                <a:srgbClr val="334155"/>
              </a:solidFill>
              <a:prstDash val="dash"/>
            </a:ln>
          </c:spPr>
          <c:marker>
            <c:symbol val="none"/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Calculations!$CM$12:$CM$23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tickLblPos val="none"/>
        <c:crossAx val="60040002"/>
        <c:crosses val="autoZero"/>
        <c:auto val="1"/>
        <c:lblAlgn val="ctr"/>
        <c:lblOffset val="100"/>
      </c:cat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Unsafe Act vs Unsafe Condition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Unsafe Act</c:v>
          </c:tx>
          <c:spPr>
            <a:solidFill>
              <a:srgbClr val="F59E0B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Calculations!$AG$12:$AG$23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Unsafe Condition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Calculations!$AH$12:$AH$23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Incident Classification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C2626"/>
              </a:solidFill>
            </c:spPr>
          </c:dPt>
          <c:dPt>
            <c:idx val="1"/>
            <c:spPr>
              <a:solidFill>
                <a:srgbClr val="EA580C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AB308"/>
              </a:solidFill>
            </c:spPr>
          </c:dPt>
          <c:dPt>
            <c:idx val="4"/>
            <c:spPr>
              <a:solidFill>
                <a:srgbClr val="15A34A"/>
              </a:solidFill>
            </c:spPr>
          </c:dPt>
          <c:dPt>
            <c:idx val="5"/>
            <c:spPr>
              <a:solidFill>
                <a:srgbClr val="0B6EA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Calculations!$E$1114:$E$1119</c:f>
              <c:strCache>
                <c:ptCount val="6"/>
                <c:pt idx="0">
                  <c:v>Near Miss</c:v>
                </c:pt>
                <c:pt idx="1">
                  <c:v>First Aid</c:v>
                </c:pt>
                <c:pt idx="2">
                  <c:v>Medical Treatment</c:v>
                </c:pt>
                <c:pt idx="3">
                  <c:v>Restricted Work</c:v>
                </c:pt>
                <c:pt idx="4">
                  <c:v>Lost Time Injury</c:v>
                </c:pt>
                <c:pt idx="5">
                  <c:v>Fatality</c:v>
                </c:pt>
              </c:strCache>
            </c:strRef>
          </c:cat>
          <c:val>
            <c:numRef>
              <c:f>Calculations!$F$1114:$F$1119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Safety Observation Trend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spPr>
            <a:solidFill>
              <a:srgbClr val="0B6EA8">
                <a:alpha val="60000"/>
              </a:srgbClr>
            </a:solidFill>
            <a:ln>
              <a:solidFill>
                <a:srgbClr val="0B6EA8"/>
              </a:solidFill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Calculations!$T$12:$T$23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70001"/>
        <c:axId val="50070002"/>
      </c:areaChart>
      <c:catAx>
        <c:axId val="5007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70001"/>
        <c:crosses val="autoZero"/>
        <c:crossBetween val="midCat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Root Cause Analysis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Calculations!$E$136:$E$143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Calculations!$F$136:$F$143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Department-wise Safety Score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Calculations!$B$146:$B$155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Calculations!$C$146:$C$155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Compliance Profile: Actual vs Target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v>Actual</c:v>
          </c:tx>
          <c:spPr>
            <a:solidFill>
              <a:srgbClr val="E8F1FA">
                <a:alpha val="70000"/>
              </a:srgbClr>
            </a:solidFill>
            <a:ln w="25400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F3D6E"/>
              </a:solidFill>
            </c:spPr>
          </c:marker>
          <c:cat>
            <c:strRef>
              <c:f>Calculations!$B$199:$B$206</c:f>
              <c:strCache>
                <c:ptCount val="8"/>
                <c:pt idx="0">
                  <c:v>Training</c:v>
                </c:pt>
                <c:pt idx="1">
                  <c:v>PTW Audit</c:v>
                </c:pt>
                <c:pt idx="2">
                  <c:v>HSE Observations</c:v>
                </c:pt>
                <c:pt idx="3">
                  <c:v>Workplace Insp.</c:v>
                </c:pt>
                <c:pt idx="4">
                  <c:v>Corrective Actions</c:v>
                </c:pt>
                <c:pt idx="5">
                  <c:v>NC Mgmt</c:v>
                </c:pt>
                <c:pt idx="6">
                  <c:v>Bulletin Reach</c:v>
                </c:pt>
                <c:pt idx="7">
                  <c:v>Unsafe Act Closure</c:v>
                </c:pt>
              </c:strCache>
            </c:strRef>
          </c:cat>
          <c:val>
            <c:numRef>
              <c:f>Calculations!$C$199:$C$206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Target</c:v>
          </c:tx>
          <c:spPr>
            <a:ln w="19050">
              <a:solidFill>
                <a:srgbClr val="D71920"/>
              </a:solidFill>
              <a:prstDash val="dash"/>
            </a:ln>
          </c:spPr>
          <c:marker>
            <c:symbol val="diamond"/>
            <c:size val="4"/>
            <c:spPr>
              <a:solidFill>
                <a:srgbClr val="D71920"/>
              </a:solidFill>
            </c:spPr>
          </c:marker>
          <c:cat>
            <c:strRef>
              <c:f>Calculations!$B$199:$B$206</c:f>
              <c:strCache>
                <c:ptCount val="8"/>
                <c:pt idx="0">
                  <c:v>Training</c:v>
                </c:pt>
                <c:pt idx="1">
                  <c:v>PTW Audit</c:v>
                </c:pt>
                <c:pt idx="2">
                  <c:v>HSE Observations</c:v>
                </c:pt>
                <c:pt idx="3">
                  <c:v>Workplace Insp.</c:v>
                </c:pt>
                <c:pt idx="4">
                  <c:v>Corrective Actions</c:v>
                </c:pt>
                <c:pt idx="5">
                  <c:v>NC Mgmt</c:v>
                </c:pt>
                <c:pt idx="6">
                  <c:v>Bulletin Reach</c:v>
                </c:pt>
                <c:pt idx="7">
                  <c:v>Unsafe Act Closure</c:v>
                </c:pt>
              </c:strCache>
            </c:strRef>
          </c:cat>
          <c:val>
            <c:numRef>
              <c:f>Calculations!$D$199:$D$206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100001"/>
        <c:axId val="50100002"/>
      </c:radarChart>
      <c:catAx>
        <c:axId val="50100001"/>
        <c:scaling>
          <c:orientation val="minMax"/>
        </c:scaling>
        <c:axPos val="b"/>
        <c:majorGridlines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Top 10 Unsafe Acts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Calculations!$E$163:$E$172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Calculations!$F$163:$F$172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Top 10 Unsafe Conditions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C262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Calculations!$E$175:$E$184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Calculations!$F$175:$F$184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Top 10 High-Risk Areas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71920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Calculations!$E$187:$E$196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Calculations!$F$187:$F$196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13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E5E9F0"/>
                </a:solidFill>
              </a:defRPr>
            </a:pPr>
            <a:r>
              <a:rPr lang="en-US" sz="950" b="1" baseline="0">
                <a:solidFill>
                  <a:srgbClr val="E5E9F0"/>
                </a:solidFill>
              </a:rPr>
              <a:t>Training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22314F"/>
              </a:solidFill>
            </c:spPr>
          </c:dPt>
          <c:dPt>
            <c:idx val="2"/>
            <c:spPr>
              <a:noFill/>
            </c:spPr>
          </c:dPt>
          <c:val>
            <c:numRef>
              <c:f>Calculations!$DK$65:$DM$65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</c:ser>
        <c:firstSliceAng val="270"/>
        <c:holeSize val="62"/>
      </c:doughnutChart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E5E9F0"/>
                </a:solidFill>
              </a:defRPr>
            </a:pPr>
            <a:r>
              <a:rPr lang="en-US" sz="950" b="1" baseline="0">
                <a:solidFill>
                  <a:srgbClr val="E5E9F0"/>
                </a:solidFill>
              </a:rPr>
              <a:t>PTW Audit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22314F"/>
              </a:solidFill>
            </c:spPr>
          </c:dPt>
          <c:dPt>
            <c:idx val="2"/>
            <c:spPr>
              <a:noFill/>
            </c:spPr>
          </c:dPt>
          <c:val>
            <c:numRef>
              <c:f>Calculations!$DK$66:$DM$66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</c:ser>
        <c:firstSliceAng val="270"/>
        <c:holeSize val="62"/>
      </c:doughnutChart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E5E9F0"/>
                </a:solidFill>
              </a:defRPr>
            </a:pPr>
            <a:r>
              <a:rPr lang="en-US" sz="950" b="1" baseline="0">
                <a:solidFill>
                  <a:srgbClr val="E5E9F0"/>
                </a:solidFill>
              </a:rPr>
              <a:t>Obs Closure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22314F"/>
              </a:solidFill>
            </c:spPr>
          </c:dPt>
          <c:dPt>
            <c:idx val="2"/>
            <c:spPr>
              <a:noFill/>
            </c:spPr>
          </c:dPt>
          <c:val>
            <c:numRef>
              <c:f>Calculations!$DK$67:$DM$67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</c:ser>
        <c:firstSliceAng val="270"/>
        <c:holeSize val="62"/>
      </c:doughnutChart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E5E9F0"/>
                </a:solidFill>
              </a:defRPr>
            </a:pPr>
            <a:r>
              <a:rPr lang="en-US" sz="950" b="1" baseline="0">
                <a:solidFill>
                  <a:srgbClr val="E5E9F0"/>
                </a:solidFill>
              </a:rPr>
              <a:t>CA Closure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22314F"/>
              </a:solidFill>
            </c:spPr>
          </c:dPt>
          <c:dPt>
            <c:idx val="2"/>
            <c:spPr>
              <a:noFill/>
            </c:spPr>
          </c:dPt>
          <c:val>
            <c:numRef>
              <c:f>Calculations!$DK$68:$DM$68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</c:ser>
        <c:firstSliceAng val="270"/>
        <c:holeSize val="62"/>
      </c:doughnutChart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E5E9F0"/>
                </a:solidFill>
              </a:defRPr>
            </a:pPr>
            <a:r>
              <a:rPr lang="en-US" sz="950" b="1" baseline="0">
                <a:solidFill>
                  <a:srgbClr val="E5E9F0"/>
                </a:solidFill>
              </a:rPr>
              <a:t>Inspection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22314F"/>
              </a:solidFill>
            </c:spPr>
          </c:dPt>
          <c:dPt>
            <c:idx val="2"/>
            <c:spPr>
              <a:noFill/>
            </c:spPr>
          </c:dPt>
          <c:val>
            <c:numRef>
              <c:f>Calculations!$DK$69:$DM$69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</c:ser>
        <c:firstSliceAng val="270"/>
        <c:holeSize val="62"/>
      </c:doughnutChart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50" b="1" baseline="0">
                <a:solidFill>
                  <a:srgbClr val="E5E9F0"/>
                </a:solidFill>
              </a:defRPr>
            </a:pPr>
            <a:r>
              <a:rPr lang="en-US" sz="950" b="1" baseline="0">
                <a:solidFill>
                  <a:srgbClr val="E5E9F0"/>
                </a:solidFill>
              </a:rPr>
              <a:t>Statutory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22314F"/>
              </a:solidFill>
            </c:spPr>
          </c:dPt>
          <c:dPt>
            <c:idx val="2"/>
            <c:spPr>
              <a:noFill/>
            </c:spPr>
          </c:dPt>
          <c:val>
            <c:numRef>
              <c:f>Calculations!$DK$70:$DM$70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</c:ser>
        <c:firstSliceAng val="270"/>
        <c:holeSize val="62"/>
      </c:doughnutChart>
    </c:plotArea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Leading Activity Volume (period)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5A34A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Calculations!$DS$20:$DS$28</c:f>
              <c:strCache>
                <c:ptCount val="9"/>
                <c:pt idx="0">
                  <c:v>Toolbox</c:v>
                </c:pt>
                <c:pt idx="1">
                  <c:v>Trainings</c:v>
                </c:pt>
                <c:pt idx="2">
                  <c:v>Observations</c:v>
                </c:pt>
                <c:pt idx="3">
                  <c:v>Inspections</c:v>
                </c:pt>
                <c:pt idx="4">
                  <c:v>Audits</c:v>
                </c:pt>
                <c:pt idx="5">
                  <c:v>Drills</c:v>
                </c:pt>
                <c:pt idx="6">
                  <c:v>PTW Audits</c:v>
                </c:pt>
                <c:pt idx="7">
                  <c:v>Meetings</c:v>
                </c:pt>
                <c:pt idx="8">
                  <c:v>JSA</c:v>
                </c:pt>
              </c:strCache>
            </c:strRef>
          </c:cat>
          <c:val>
            <c:numRef>
              <c:f>Calculations!$DT$20:$DT$28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0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Lagging Outcomes (period)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C262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Calculations!$DS$31:$DS$38</c:f>
              <c:strCache>
                <c:ptCount val="8"/>
                <c:pt idx="0">
                  <c:v>Total Inc</c:v>
                </c:pt>
                <c:pt idx="1">
                  <c:v>Recordable</c:v>
                </c:pt>
                <c:pt idx="2">
                  <c:v>Near Miss</c:v>
                </c:pt>
                <c:pt idx="3">
                  <c:v>First Aid</c:v>
                </c:pt>
                <c:pt idx="4">
                  <c:v>LTI+Fatal</c:v>
                </c:pt>
                <c:pt idx="5">
                  <c:v>Lost Days</c:v>
                </c:pt>
                <c:pt idx="6">
                  <c:v>Disciplinary</c:v>
                </c:pt>
                <c:pt idx="7">
                  <c:v>Open NC</c:v>
                </c:pt>
              </c:strCache>
            </c:strRef>
          </c:cat>
          <c:val>
            <c:numRef>
              <c:f>Calculations!$DT$31:$DT$38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1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Incident Pyramid (Heinrich)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71920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Calculations!$DS$11:$DS$17</c:f>
              <c:strCache>
                <c:ptCount val="7"/>
                <c:pt idx="0">
                  <c:v>Fatality</c:v>
                </c:pt>
                <c:pt idx="1">
                  <c:v>Lost Time Injury</c:v>
                </c:pt>
                <c:pt idx="2">
                  <c:v>Restricted Work</c:v>
                </c:pt>
                <c:pt idx="3">
                  <c:v>Medical Treatment</c:v>
                </c:pt>
                <c:pt idx="4">
                  <c:v>First Aid</c:v>
                </c:pt>
                <c:pt idx="5">
                  <c:v>Near Miss</c:v>
                </c:pt>
                <c:pt idx="6">
                  <c:v>At-Risk Obs</c:v>
                </c:pt>
              </c:strCache>
            </c:strRef>
          </c:cat>
          <c:val>
            <c:numRef>
              <c:f>Calculations!$DT$11:$DT$17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Incident Severity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C2626"/>
              </a:solidFill>
            </c:spPr>
          </c:dPt>
          <c:dPt>
            <c:idx val="1"/>
            <c:spPr>
              <a:solidFill>
                <a:srgbClr val="EA580C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AB308"/>
              </a:solidFill>
            </c:spPr>
          </c:dPt>
          <c:dPt>
            <c:idx val="4"/>
            <c:spPr>
              <a:solidFill>
                <a:srgbClr val="15A34A"/>
              </a:solidFill>
            </c:spPr>
          </c:dPt>
          <c:dPt>
            <c:idx val="5"/>
            <c:spPr>
              <a:solidFill>
                <a:srgbClr val="0B6EA8"/>
              </a:solidFill>
            </c:spPr>
          </c:dPt>
          <c:dPt>
            <c:idx val="6"/>
            <c:spPr>
              <a:solidFill>
                <a:srgbClr val="64748B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Calculations!$DS$11:$DS$17</c:f>
              <c:strCache>
                <c:ptCount val="7"/>
                <c:pt idx="0">
                  <c:v>Fatality</c:v>
                </c:pt>
                <c:pt idx="1">
                  <c:v>Lost Time Injury</c:v>
                </c:pt>
                <c:pt idx="2">
                  <c:v>Restricted Work</c:v>
                </c:pt>
                <c:pt idx="3">
                  <c:v>Medical Treatment</c:v>
                </c:pt>
                <c:pt idx="4">
                  <c:v>First Aid</c:v>
                </c:pt>
                <c:pt idx="5">
                  <c:v>Near Miss</c:v>
                </c:pt>
                <c:pt idx="6">
                  <c:v>At-Risk Obs</c:v>
                </c:pt>
              </c:strCache>
            </c:strRef>
          </c:cat>
          <c:val>
            <c:numRef>
              <c:f>Calculations!$DT$11:$DT$17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12-Month Incident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Incidents</c:v>
          </c:tx>
          <c:spPr>
            <a:solidFill>
              <a:srgbClr val="D71920"/>
            </a:solidFill>
            <a:ln>
              <a:noFill/>
            </a:ln>
          </c:spPr>
          <c:cat>
            <c:strRef>
              <c:f>Calculations!$DV$11:$DV$22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Calculations!$DW$11:$DW$22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4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Leading Indicators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5A34A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Calculations!$DS$20:$DS$28</c:f>
              <c:strCache>
                <c:ptCount val="9"/>
                <c:pt idx="0">
                  <c:v>Toolbox</c:v>
                </c:pt>
                <c:pt idx="1">
                  <c:v>Trainings</c:v>
                </c:pt>
                <c:pt idx="2">
                  <c:v>Observations</c:v>
                </c:pt>
                <c:pt idx="3">
                  <c:v>Inspections</c:v>
                </c:pt>
                <c:pt idx="4">
                  <c:v>Audits</c:v>
                </c:pt>
                <c:pt idx="5">
                  <c:v>Drills</c:v>
                </c:pt>
                <c:pt idx="6">
                  <c:v>PTW Audits</c:v>
                </c:pt>
                <c:pt idx="7">
                  <c:v>Meetings</c:v>
                </c:pt>
                <c:pt idx="8">
                  <c:v>JSA</c:v>
                </c:pt>
              </c:strCache>
            </c:strRef>
          </c:cat>
          <c:val>
            <c:numRef>
              <c:f>Calculations!$DT$20:$DT$28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5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System Health  (0 = Red · 1 = Amber · 2 = Green)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spPr>
            <a:ln w="25400">
              <a:solidFill>
                <a:srgbClr val="0B6EA8"/>
              </a:solidFill>
            </a:ln>
          </c:spPr>
          <c:marker>
            <c:symbol val="circle"/>
            <c:size val="4"/>
            <c:spPr>
              <a:solidFill>
                <a:srgbClr val="0F3D6E"/>
              </a:solidFill>
            </c:spPr>
          </c:marker>
          <c:cat>
            <c:strRef>
              <c:f>'Leadership Review'!$B$51:$B$74</c:f>
              <c:strCache>
                <c:ptCount val="24"/>
                <c:pt idx="0">
                  <c:v>Toolbox Talks</c:v>
                </c:pt>
                <c:pt idx="1">
                  <c:v>JSA Risk Assessment</c:v>
                </c:pt>
                <c:pt idx="2">
                  <c:v>Training</c:v>
                </c:pt>
                <c:pt idx="3">
                  <c:v>HSE Observations</c:v>
                </c:pt>
                <c:pt idx="4">
                  <c:v>Workplace Inspections</c:v>
                </c:pt>
                <c:pt idx="5">
                  <c:v>Equipment Inspections</c:v>
                </c:pt>
                <c:pt idx="6">
                  <c:v>Safety Walkthroughs</c:v>
                </c:pt>
                <c:pt idx="7">
                  <c:v>Safety Meetings</c:v>
                </c:pt>
                <c:pt idx="8">
                  <c:v>Safety Bulletins</c:v>
                </c:pt>
                <c:pt idx="9">
                  <c:v>Emergency Drills</c:v>
                </c:pt>
                <c:pt idx="10">
                  <c:v>Internal Audits</c:v>
                </c:pt>
                <c:pt idx="11">
                  <c:v>External Audits</c:v>
                </c:pt>
                <c:pt idx="12">
                  <c:v>Management Visits</c:v>
                </c:pt>
                <c:pt idx="13">
                  <c:v>Management Reviews</c:v>
                </c:pt>
                <c:pt idx="14">
                  <c:v>Disciplinary Actions</c:v>
                </c:pt>
                <c:pt idx="15">
                  <c:v>Safety Awards</c:v>
                </c:pt>
                <c:pt idx="16">
                  <c:v>Stop Work Authority</c:v>
                </c:pt>
                <c:pt idx="17">
                  <c:v>Alcohol Tests</c:v>
                </c:pt>
                <c:pt idx="18">
                  <c:v>PTW Audits</c:v>
                </c:pt>
                <c:pt idx="19">
                  <c:v>Corrective Actions</c:v>
                </c:pt>
                <c:pt idx="20">
                  <c:v>NC Management</c:v>
                </c:pt>
                <c:pt idx="21">
                  <c:v>Unsafe Acts</c:v>
                </c:pt>
                <c:pt idx="22">
                  <c:v>Unsafe Conditions</c:v>
                </c:pt>
                <c:pt idx="23">
                  <c:v>Incident</c:v>
                </c:pt>
              </c:strCache>
            </c:strRef>
          </c:cat>
          <c:val>
            <c:numRef>
              <c:f>'Leadership Review'!$D$51:$D$74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260001"/>
        <c:axId val="50260002"/>
      </c:radarChart>
      <c:catAx>
        <c:axId val="50260001"/>
        <c:scaling>
          <c:orientation val="minMax"/>
        </c:scaling>
        <c:axPos val="b"/>
        <c:majorGridlines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2"/>
          <c:min val="0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260001"/>
        <c:crosses val="autoZero"/>
        <c:crossBetween val="between"/>
        <c:majorUnit val="1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Items by Tracker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C262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Calculations!$B$352:$B$359</c:f>
              <c:strCache>
                <c:ptCount val="8"/>
                <c:pt idx="0">
                  <c:v>Corrective Actions</c:v>
                </c:pt>
                <c:pt idx="1">
                  <c:v>NC Management</c:v>
                </c:pt>
                <c:pt idx="2">
                  <c:v>HSE Observations</c:v>
                </c:pt>
                <c:pt idx="3">
                  <c:v>Workplace Inspections</c:v>
                </c:pt>
                <c:pt idx="4">
                  <c:v>Equipment Inspections</c:v>
                </c:pt>
                <c:pt idx="5">
                  <c:v>Safety Walkthroughs</c:v>
                </c:pt>
                <c:pt idx="6">
                  <c:v>Unsafe Acts</c:v>
                </c:pt>
                <c:pt idx="7">
                  <c:v>Unsafe Conditions</c:v>
                </c:pt>
              </c:strCache>
            </c:strRef>
          </c:cat>
          <c:val>
            <c:numRef>
              <c:f>Calculations!$C$352:$C$359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7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Ageing Mix (open items)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5A34A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EA580C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Calculations!$B$362:$B$365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Calculations!$C$362:$C$365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Leading : Lagging Ratio (12-Month Trend)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15A34A"/>
              </a:solidFill>
            </a:ln>
          </c:spPr>
          <c:marker>
            <c:symbol val="circle"/>
            <c:size val="5"/>
            <c:spPr>
              <a:solidFill>
                <a:srgbClr val="15A34A"/>
              </a:solidFill>
              <a:ln>
                <a:noFill/>
              </a:ln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Calculations!$CQ$12:$CQ$23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29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Inductions Done — Monthly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Inductions</c:v>
          </c:tx>
          <c:spPr>
            <a:solidFill>
              <a:srgbClr val="14B8A6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Calculations!$BR$12:$BR$23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300001"/>
        <c:axId val="50300002"/>
      </c:barChart>
      <c:catAx>
        <c:axId val="5030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EHS Awareness Programs — Monthly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Awareness Programs</c:v>
          </c:tx>
          <c:spPr>
            <a:solidFill>
              <a:srgbClr val="F5A524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Calculations!$V$12:$V$23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310001"/>
        <c:axId val="50310002"/>
      </c:barChart>
      <c:catAx>
        <c:axId val="503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1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First Aid / Injuries / Near Miss (period)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0625A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Calculations!$B$498:$B$500</c:f>
              <c:strCache>
                <c:ptCount val="3"/>
                <c:pt idx="0">
                  <c:v>Case Type</c:v>
                </c:pt>
                <c:pt idx="1">
                  <c:v>First Aid</c:v>
                </c:pt>
                <c:pt idx="2">
                  <c:v>Injuries (Recordable)</c:v>
                </c:pt>
              </c:strCache>
            </c:strRef>
          </c:cat>
          <c:val>
            <c:numRef>
              <c:f>Calculations!$C$498:$C$500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Est. EHS Cost Breakdown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A524"/>
              </a:solidFill>
            </c:spPr>
          </c:dPt>
          <c:dPt>
            <c:idx val="1"/>
            <c:spPr>
              <a:solidFill>
                <a:srgbClr val="F0625A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Calculations!$B$503:$B$504</c:f>
              <c:strCache>
                <c:ptCount val="2"/>
                <c:pt idx="0">
                  <c:v>Cost Component</c:v>
                </c:pt>
                <c:pt idx="1">
                  <c:v>Lost-Day Cost</c:v>
                </c:pt>
              </c:strCache>
            </c:strRef>
          </c:cat>
          <c:val>
            <c:numRef>
              <c:f>Calculations!$C$503:$C$504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NC / NCR — Monthly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F0625A"/>
              </a:solidFill>
            </a:ln>
          </c:spPr>
          <c:marker>
            <c:symbol val="circle"/>
            <c:size val="5"/>
            <c:spPr>
              <a:solidFill>
                <a:srgbClr val="F0625A"/>
              </a:solidFill>
              <a:ln>
                <a:noFill/>
              </a:ln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Calculations!$BP$12:$BP$23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4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PPE Issued vs Used by Location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Issued</c:v>
          </c:tx>
          <c:spPr>
            <a:solidFill>
              <a:srgbClr val="14B8A6"/>
            </a:solidFill>
            <a:ln>
              <a:noFill/>
            </a:ln>
          </c:spPr>
          <c:cat>
            <c:strRef>
              <c:f>Settings!$B$48:$B$52</c:f>
              <c:strCache>
                <c:ptCount val="5"/>
                <c:pt idx="0">
                  <c:v>Plant A</c:v>
                </c:pt>
                <c:pt idx="1">
                  <c:v>Plant B</c:v>
                </c:pt>
                <c:pt idx="2">
                  <c:v>Warehouse</c:v>
                </c:pt>
                <c:pt idx="3">
                  <c:v>Workshop</c:v>
                </c:pt>
                <c:pt idx="4">
                  <c:v>Tank Farm</c:v>
                </c:pt>
              </c:strCache>
            </c:strRef>
          </c:cat>
          <c:val>
            <c:numRef>
              <c:f>Settings!$C$48:$C$52</c:f>
              <c:numCache>
                <c:formatCode>General</c:formatCode>
                <c:ptCount val="5"/>
                <c:pt idx="0">
                  <c:v>500</c:v>
                </c:pt>
                <c:pt idx="1">
                  <c:v>340</c:v>
                </c:pt>
                <c:pt idx="2">
                  <c:v>210</c:v>
                </c:pt>
                <c:pt idx="3">
                  <c:v>302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v>Used</c:v>
          </c:tx>
          <c:spPr>
            <a:solidFill>
              <a:srgbClr val="F5A524"/>
            </a:solidFill>
            <a:ln>
              <a:noFill/>
            </a:ln>
          </c:spPr>
          <c:cat>
            <c:strRef>
              <c:f>Settings!$B$48:$B$52</c:f>
              <c:strCache>
                <c:ptCount val="5"/>
                <c:pt idx="0">
                  <c:v>Plant A</c:v>
                </c:pt>
                <c:pt idx="1">
                  <c:v>Plant B</c:v>
                </c:pt>
                <c:pt idx="2">
                  <c:v>Warehouse</c:v>
                </c:pt>
                <c:pt idx="3">
                  <c:v>Workshop</c:v>
                </c:pt>
                <c:pt idx="4">
                  <c:v>Tank Farm</c:v>
                </c:pt>
              </c:strCache>
            </c:strRef>
          </c:cat>
          <c:val>
            <c:numRef>
              <c:f>Settings!$D$48:$D$52</c:f>
              <c:numCache>
                <c:formatCode>General</c:formatCode>
                <c:ptCount val="5"/>
                <c:pt idx="0">
                  <c:v>460</c:v>
                </c:pt>
                <c:pt idx="1">
                  <c:v>300</c:v>
                </c:pt>
                <c:pt idx="2">
                  <c:v>200</c:v>
                </c:pt>
                <c:pt idx="3">
                  <c:v>280</c:v>
                </c:pt>
                <c:pt idx="4">
                  <c:v>165</c:v>
                </c:pt>
              </c:numCache>
            </c:numRef>
          </c:val>
        </c:ser>
        <c:gapWidth val="50"/>
        <c:axId val="50350001"/>
        <c:axId val="50350002"/>
      </c:barChart>
      <c:catAx>
        <c:axId val="503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5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Audits Conducted (Internal vs External)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4B8A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Calculations!$B$507:$B$508</c:f>
              <c:strCache>
                <c:ptCount val="2"/>
                <c:pt idx="0">
                  <c:v>Audit Type</c:v>
                </c:pt>
                <c:pt idx="1">
                  <c:v>Internal Audits</c:v>
                </c:pt>
              </c:strCache>
            </c:strRef>
          </c:cat>
          <c:val>
            <c:numRef>
              <c:f>Calculations!$C$507:$C$508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Work Permit Status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A524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Calculations!$B$511:$B$512</c:f>
              <c:strCache>
                <c:ptCount val="2"/>
                <c:pt idx="0">
                  <c:v>Permit Status</c:v>
                </c:pt>
                <c:pt idx="1">
                  <c:v>Issued</c:v>
                </c:pt>
              </c:strCache>
            </c:strRef>
          </c:cat>
          <c:val>
            <c:numRef>
              <c:f>Calculations!$C$511:$C$512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7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Calculations!$B$516:$B$527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Calculations!$C$516:$C$527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380001"/>
        <c:axId val="50380002"/>
      </c:barChart>
      <c:catAx>
        <c:axId val="5038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38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Effectiveness Rating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5A34A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Calculations!$G$516:$G$520</c:f>
              <c:strCache>
                <c:ptCount val="5"/>
                <c:pt idx="0">
                  <c:v>Excellent</c:v>
                </c:pt>
                <c:pt idx="1">
                  <c:v>Good</c:v>
                </c:pt>
                <c:pt idx="2">
                  <c:v>Satisfactory</c:v>
                </c:pt>
                <c:pt idx="3">
                  <c:v>Needs Improvement</c:v>
                </c:pt>
                <c:pt idx="4">
                  <c:v>Unsatisfactory</c:v>
                </c:pt>
              </c:strCache>
            </c:strRef>
          </c:cat>
          <c:val>
            <c:numRef>
              <c:f>Calculations!$H$516:$H$520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Calculations!$P$516:$P$525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Calculations!$Q$516:$Q$525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0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Attendees: Target vs Actual + Next-Month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</c:v>
          </c:tx>
          <c:spPr>
            <a:ln w="22225">
              <a:solidFill>
                <a:srgbClr val="64748B"/>
              </a:solidFill>
              <a:prstDash val="dash"/>
            </a:ln>
          </c:spPr>
          <c:marker>
            <c:symbol val="square"/>
            <c:size val="4"/>
            <c:spPr>
              <a:solidFill>
                <a:srgbClr val="64748B"/>
              </a:solidFill>
            </c:spPr>
          </c:marker>
          <c:cat>
            <c:strRef>
              <c:f>Calculations!$CR$26:$CR$38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Calculations!$CS$26:$CS$38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Actual</c:v>
          </c:tx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</c:spPr>
          </c:marker>
          <c:cat>
            <c:strRef>
              <c:f>Calculations!$CR$26:$CR$38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Calculations!$CT$26:$CT$38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1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Calculations!$B$542:$B$553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Calculations!$C$542:$C$553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420001"/>
        <c:axId val="50420002"/>
      </c:barChart>
      <c:catAx>
        <c:axId val="5042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2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Risk Level Mix Trend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Critical</c:v>
          </c:tx>
          <c:spPr>
            <a:solidFill>
              <a:srgbClr val="DC2626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Calculations!$CF$12:$CF$23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High</c:v>
          </c:tx>
          <c:spPr>
            <a:solidFill>
              <a:srgbClr val="F59E0B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Calculations!$CG$12:$CG$23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v>Medium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Calculations!$CH$12:$CH$23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v>Low</c:v>
          </c:tx>
          <c:spPr>
            <a:solidFill>
              <a:srgbClr val="15A34A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Calculations!$CI$12:$CI$23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100"/>
        <c:axId val="50430001"/>
        <c:axId val="50430002"/>
      </c:barChart>
      <c:catAx>
        <c:axId val="5043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3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Approval Status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Calculations!$J$542:$J$545</c:f>
              <c:strCache>
                <c:ptCount val="4"/>
                <c:pt idx="0">
                  <c:v>Approved</c:v>
                </c:pt>
                <c:pt idx="1">
                  <c:v>Pending Review</c:v>
                </c:pt>
                <c:pt idx="2">
                  <c:v>Revision Required</c:v>
                </c:pt>
                <c:pt idx="3">
                  <c:v>Rejected</c:v>
                </c:pt>
              </c:strCache>
            </c:strRef>
          </c:cat>
          <c:val>
            <c:numRef>
              <c:f>Calculations!$K$542:$K$545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4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Calculations!$P$542:$P$551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Calculations!$Q$542:$Q$551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5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Calculations!$J$542:$J$545</c:f>
              <c:strCache>
                <c:ptCount val="4"/>
                <c:pt idx="0">
                  <c:v>Approved</c:v>
                </c:pt>
                <c:pt idx="1">
                  <c:v>Pending Review</c:v>
                </c:pt>
                <c:pt idx="2">
                  <c:v>Revision Required</c:v>
                </c:pt>
                <c:pt idx="3">
                  <c:v>Rejected</c:v>
                </c:pt>
              </c:strCache>
            </c:strRef>
          </c:cat>
          <c:val>
            <c:numRef>
              <c:f>Calculations!$K$542:$K$545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Calculations!$B$568:$B$579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Calculations!$C$568:$C$579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470001"/>
        <c:axId val="50470002"/>
      </c:barChart>
      <c:catAx>
        <c:axId val="5047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7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Training Hours</a:t>
            </a:r>
          </a:p>
        </c:rich>
      </c:tx>
      <c:layout/>
    </c:title>
    <c:plotArea>
      <c:layout/>
      <c:lineChart>
        <c:grouping val="stacked"/>
        <c:ser>
          <c:idx val="0"/>
          <c:order val="0"/>
          <c:tx>
            <c:v>Cumulative Hours</c:v>
          </c:tx>
          <c:spPr>
            <a:solidFill>
              <a:srgbClr val="E8F1FA"/>
            </a:solidFill>
            <a:ln w="28575">
              <a:solidFill>
                <a:srgbClr val="0B6EA8"/>
              </a:solidFill>
            </a:ln>
          </c:spPr>
          <c:marker>
            <c:symbol val="none"/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Calculations!$CB$12:$CB$23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Pass Rate % by Training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5A34A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Calculations!$B$231:$B$236</c:f>
              <c:strCache>
                <c:ptCount val="6"/>
                <c:pt idx="0">
                  <c:v>Induction</c:v>
                </c:pt>
                <c:pt idx="1">
                  <c:v>Refresher</c:v>
                </c:pt>
                <c:pt idx="2">
                  <c:v>Advanced</c:v>
                </c:pt>
                <c:pt idx="3">
                  <c:v>On-the-Job</c:v>
                </c:pt>
                <c:pt idx="4">
                  <c:v>Awareness</c:v>
                </c:pt>
                <c:pt idx="5">
                  <c:v>Competency</c:v>
                </c:pt>
              </c:strCache>
            </c:strRef>
          </c:cat>
          <c:val>
            <c:numRef>
              <c:f>Calculations!$C$231:$C$236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49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Calculations!$P$568:$P$577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Calculations!$Q$568:$Q$577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0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Calculations!$J$568:$J$570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Scheduled</c:v>
                </c:pt>
              </c:strCache>
            </c:strRef>
          </c:cat>
          <c:val>
            <c:numRef>
              <c:f>Calculations!$K$568:$K$570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Certificates Expiring Within 90 Days, by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Calculations!$B$292:$B$301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Calculations!$C$292:$C$301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Calculations!$B$594:$B$605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Calculations!$C$594:$C$605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530001"/>
        <c:axId val="50530002"/>
      </c:barChart>
      <c:catAx>
        <c:axId val="5053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3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Safe vs At-Risk Observations (BBS)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Safe</c:v>
          </c:tx>
          <c:spPr>
            <a:ln w="28575">
              <a:solidFill>
                <a:srgbClr val="15A34A"/>
              </a:solidFill>
            </a:ln>
          </c:spPr>
          <c:marker>
            <c:symbol val="circle"/>
            <c:size val="5"/>
            <c:spPr>
              <a:solidFill>
                <a:srgbClr val="15A34A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Calculations!$BS$12:$BS$23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At-Risk</c:v>
          </c:tx>
          <c:spPr>
            <a:ln w="28575">
              <a:solidFill>
                <a:srgbClr val="DC2626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DC2626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Calculations!$BT$12:$BT$23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4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Category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B6EA8"/>
              </a:solidFill>
            </c:spPr>
          </c:dPt>
          <c:dPt>
            <c:idx val="1"/>
            <c:spPr>
              <a:solidFill>
                <a:srgbClr val="15A34A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Calculations!$G$594:$G$599</c:f>
              <c:strCache>
                <c:ptCount val="6"/>
                <c:pt idx="0">
                  <c:v>BBS</c:v>
                </c:pt>
                <c:pt idx="1">
                  <c:v>General</c:v>
                </c:pt>
                <c:pt idx="2">
                  <c:v>PPE</c:v>
                </c:pt>
                <c:pt idx="3">
                  <c:v>Housekeeping</c:v>
                </c:pt>
                <c:pt idx="4">
                  <c:v>Ergonomics</c:v>
                </c:pt>
                <c:pt idx="5">
                  <c:v>Process Safety</c:v>
                </c:pt>
              </c:strCache>
            </c:strRef>
          </c:cat>
          <c:val>
            <c:numRef>
              <c:f>Calculations!$H$594:$H$599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Calculations!$P$594:$P$603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Calculations!$Q$594:$Q$603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560001"/>
        <c:axId val="50560002"/>
      </c:barChart>
      <c:catAx>
        <c:axId val="505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Calculations!$J$594:$J$597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  <c:pt idx="3">
                  <c:v>Overdue</c:v>
                </c:pt>
              </c:strCache>
            </c:strRef>
          </c:cat>
          <c:val>
            <c:numRef>
              <c:f>Calculations!$K$594:$K$597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Calculations!$B$316:$B$319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Calculations!$C$316:$C$319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Calculations!$B$620:$B$631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Calculations!$C$620:$C$631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590001"/>
        <c:axId val="50590002"/>
      </c:barChart>
      <c:catAx>
        <c:axId val="5059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59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Non-Conformances by Area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C262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Calculations!$E$255:$E$262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Calculations!$F$255:$F$262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0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Non-Conformance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NCs</c:v>
          </c:tx>
          <c:spPr>
            <a:solidFill>
              <a:srgbClr val="F59E0B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Calculations!$CC$12:$CC$23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610001"/>
        <c:axId val="50610002"/>
      </c:barChart>
      <c:catAx>
        <c:axId val="506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1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Calculations!$P$620:$P$629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Calculations!$Q$620:$Q$629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620001"/>
        <c:axId val="50620002"/>
      </c:barChart>
      <c:catAx>
        <c:axId val="506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Calculations!$B$322:$B$325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Calculations!$C$322:$C$325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630001"/>
        <c:axId val="50630002"/>
      </c:barChart>
      <c:catAx>
        <c:axId val="5063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3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Calculations!$B$646:$B$657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Calculations!$C$646:$C$657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640001"/>
        <c:axId val="50640002"/>
      </c:barChart>
      <c:catAx>
        <c:axId val="506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4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Critical Findings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Critical Findings</c:v>
          </c:tx>
          <c:spPr>
            <a:solidFill>
              <a:srgbClr val="DC2626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Calculations!$AO$12:$AO$23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650001"/>
        <c:axId val="50650002"/>
      </c:barChart>
      <c:catAx>
        <c:axId val="506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5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Calculations!$P$646:$P$655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Calculations!$Q$646:$Q$655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660001"/>
        <c:axId val="50660002"/>
      </c:barChart>
      <c:catAx>
        <c:axId val="506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Calculations!$B$328:$B$331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Calculations!$C$328:$C$331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670001"/>
        <c:axId val="50670002"/>
      </c:barChart>
      <c:catAx>
        <c:axId val="5067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7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Calculations!$B$672:$B$683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Calculations!$C$672:$C$683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680001"/>
        <c:axId val="50680002"/>
      </c:barChart>
      <c:catAx>
        <c:axId val="5068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8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Walkthrough Frequency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  <a:ln>
                <a:noFill/>
              </a:ln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Calculations!$AP$12:$AP$23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69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Calculations!$P$672:$P$681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Calculations!$Q$672:$Q$681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0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Calculations!$B$334:$B$337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Calculations!$C$334:$C$337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710001"/>
        <c:axId val="50710002"/>
      </c:barChart>
      <c:catAx>
        <c:axId val="5071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1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Calculations!$B$698:$B$709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Calculations!$C$698:$C$709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720001"/>
        <c:axId val="50720002"/>
      </c:barChart>
      <c:catAx>
        <c:axId val="5072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2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Action Items: Raised vs Closed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Raised</c:v>
          </c:tx>
          <c:spPr>
            <a:ln w="28575">
              <a:solidFill>
                <a:srgbClr val="F59E0B"/>
              </a:solidFill>
            </a:ln>
          </c:spPr>
          <c:marker>
            <c:symbol val="circle"/>
            <c:size val="5"/>
            <c:spPr>
              <a:solidFill>
                <a:srgbClr val="F59E0B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Calculations!$AQ$12:$AQ$23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Closed</c:v>
          </c:tx>
          <c:spPr>
            <a:ln w="28575">
              <a:solidFill>
                <a:srgbClr val="15A34A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15A34A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Calculations!$AR$12:$AR$23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3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Calculations!$P$698:$P$707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Calculations!$Q$698:$Q$707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740001"/>
        <c:axId val="50740002"/>
      </c:barChart>
      <c:catAx>
        <c:axId val="5074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40002"/>
        <c:crosses val="autoZero"/>
        <c:auto val="1"/>
        <c:lblAlgn val="ctr"/>
        <c:lblOffset val="100"/>
      </c:catAx>
      <c:valAx>
        <c:axId val="5074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4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Calculations!$B$724:$B$735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Calculations!$C$724:$C$735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750001"/>
        <c:axId val="50750002"/>
      </c:barChart>
      <c:catAx>
        <c:axId val="507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5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Reach % by Distribution Method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Calculations!$B$209:$B$212</c:f>
              <c:strCache>
                <c:ptCount val="4"/>
                <c:pt idx="0">
                  <c:v>Email</c:v>
                </c:pt>
                <c:pt idx="1">
                  <c:v>Notice Board</c:v>
                </c:pt>
                <c:pt idx="2">
                  <c:v>App Notification</c:v>
                </c:pt>
                <c:pt idx="3">
                  <c:v>All Channels</c:v>
                </c:pt>
              </c:strCache>
            </c:strRef>
          </c:cat>
          <c:val>
            <c:numRef>
              <c:f>Calculations!$C$209:$C$212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0760001"/>
        <c:axId val="50760002"/>
      </c:barChart>
      <c:catAx>
        <c:axId val="507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Bulletin Type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B6EA8"/>
              </a:solidFill>
            </c:spPr>
          </c:dPt>
          <c:dPt>
            <c:idx val="1"/>
            <c:spPr>
              <a:solidFill>
                <a:srgbClr val="15A34A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Calculations!$E$724:$E$729</c:f>
              <c:strCache>
                <c:ptCount val="6"/>
                <c:pt idx="0">
                  <c:v>Safety Alert</c:v>
                </c:pt>
                <c:pt idx="1">
                  <c:v>Bulletin</c:v>
                </c:pt>
                <c:pt idx="2">
                  <c:v>Toolbox Topic</c:v>
                </c:pt>
                <c:pt idx="3">
                  <c:v>Lesson Learned</c:v>
                </c:pt>
                <c:pt idx="4">
                  <c:v>Best Practice</c:v>
                </c:pt>
                <c:pt idx="5">
                  <c:v>Advisory</c:v>
                </c:pt>
              </c:strCache>
            </c:strRef>
          </c:cat>
          <c:val>
            <c:numRef>
              <c:f>Calculations!$F$724:$F$729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Calculations!$J$724:$J$726</c:f>
              <c:strCache>
                <c:ptCount val="3"/>
                <c:pt idx="0">
                  <c:v>Closed</c:v>
                </c:pt>
                <c:pt idx="1">
                  <c:v>Acknowledged</c:v>
                </c:pt>
                <c:pt idx="2">
                  <c:v>Issued</c:v>
                </c:pt>
              </c:strCache>
            </c:strRef>
          </c:cat>
          <c:val>
            <c:numRef>
              <c:f>Calculations!$K$724:$K$726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Reach: Target vs Actual + Next-Month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</c:v>
          </c:tx>
          <c:spPr>
            <a:ln w="22225">
              <a:solidFill>
                <a:srgbClr val="64748B"/>
              </a:solidFill>
              <a:prstDash val="dash"/>
            </a:ln>
          </c:spPr>
          <c:marker>
            <c:symbol val="square"/>
            <c:size val="4"/>
            <c:spPr>
              <a:solidFill>
                <a:srgbClr val="64748B"/>
              </a:solidFill>
            </c:spPr>
          </c:marker>
          <c:cat>
            <c:strRef>
              <c:f>Calculations!$CV$26:$CV$38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Calculations!$CW$26:$CW$38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Actual</c:v>
          </c:tx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</c:spPr>
          </c:marker>
          <c:cat>
            <c:strRef>
              <c:f>Calculations!$CV$26:$CV$38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Calculations!$CX$26:$CX$38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90002"/>
        <c:crosses val="autoZero"/>
        <c:auto val="1"/>
        <c:lblAlgn val="ctr"/>
        <c:lblOffset val="100"/>
      </c:catAx>
      <c:valAx>
        <c:axId val="5079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79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Calculations!$B$750:$B$761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Calculations!$C$750:$C$761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800001"/>
        <c:axId val="50800002"/>
      </c:barChart>
      <c:catAx>
        <c:axId val="5080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00002"/>
        <c:crosses val="autoZero"/>
        <c:auto val="1"/>
        <c:lblAlgn val="ctr"/>
        <c:lblOffset val="100"/>
      </c:catAx>
      <c:valAx>
        <c:axId val="508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Emergency Response Time: Actual vs Target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(min)</c:v>
          </c:tx>
          <c:spPr>
            <a:ln w="28575">
              <a:solidFill>
                <a:srgbClr val="DC2626"/>
              </a:solidFill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Calculations!$BU$12:$BU$23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Target (min)</c:v>
          </c:tx>
          <c:spPr>
            <a:ln w="28575">
              <a:solidFill>
                <a:srgbClr val="0B6EA8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0B6EA8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Calculations!$BV$12:$BV$23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1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Drill Type Coverage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5A34A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Calculations!$E$750:$E$755</c:f>
              <c:strCache>
                <c:ptCount val="6"/>
                <c:pt idx="0">
                  <c:v>Fire Evacuation</c:v>
                </c:pt>
                <c:pt idx="1">
                  <c:v>Chemical Spill</c:v>
                </c:pt>
                <c:pt idx="2">
                  <c:v>Medical Emergency</c:v>
                </c:pt>
                <c:pt idx="3">
                  <c:v>Gas Leak</c:v>
                </c:pt>
                <c:pt idx="4">
                  <c:v>Confined Space Rescue</c:v>
                </c:pt>
                <c:pt idx="5">
                  <c:v>Earthquake</c:v>
                </c:pt>
              </c:strCache>
            </c:strRef>
          </c:cat>
          <c:val>
            <c:numRef>
              <c:f>Calculations!$F$750:$F$755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820001"/>
        <c:axId val="50820002"/>
      </c:barChart>
      <c:catAx>
        <c:axId val="508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Calculations!$J$750:$J$752</c:f>
              <c:strCache>
                <c:ptCount val="3"/>
                <c:pt idx="0">
                  <c:v>Action Pending</c:v>
                </c:pt>
                <c:pt idx="1">
                  <c:v>Completed</c:v>
                </c:pt>
                <c:pt idx="2">
                  <c:v>Rescheduled</c:v>
                </c:pt>
              </c:strCache>
            </c:strRef>
          </c:cat>
          <c:val>
            <c:numRef>
              <c:f>Calculations!$K$750:$K$752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Participants: Target vs Actual + Next-Month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</c:v>
          </c:tx>
          <c:spPr>
            <a:ln w="22225">
              <a:solidFill>
                <a:srgbClr val="64748B"/>
              </a:solidFill>
              <a:prstDash val="dash"/>
            </a:ln>
          </c:spPr>
          <c:marker>
            <c:symbol val="square"/>
            <c:size val="4"/>
            <c:spPr>
              <a:solidFill>
                <a:srgbClr val="64748B"/>
              </a:solidFill>
            </c:spPr>
          </c:marker>
          <c:cat>
            <c:strRef>
              <c:f>Calculations!$CZ$26:$CZ$38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Calculations!$DA$26:$DA$38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Actual</c:v>
          </c:tx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</c:spPr>
          </c:marker>
          <c:cat>
            <c:strRef>
              <c:f>Calculations!$CZ$26:$CZ$38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Calculations!$DB$26:$DB$38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40002"/>
        <c:crosses val="autoZero"/>
        <c:auto val="1"/>
        <c:lblAlgn val="ctr"/>
        <c:lblOffset val="100"/>
      </c:catAx>
      <c:valAx>
        <c:axId val="508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4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Calculations!$B$776:$B$787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Calculations!$C$776:$C$787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850001"/>
        <c:axId val="50850002"/>
      </c:barChart>
      <c:catAx>
        <c:axId val="508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50002"/>
        <c:crosses val="autoZero"/>
        <c:auto val="1"/>
        <c:lblAlgn val="ctr"/>
        <c:lblOffset val="100"/>
      </c:catAx>
      <c:valAx>
        <c:axId val="508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5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Major NC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Major NC</c:v>
          </c:tx>
          <c:spPr>
            <a:solidFill>
              <a:srgbClr val="DC2626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Calculations!$BW$12:$BW$23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860001"/>
        <c:axId val="50860002"/>
      </c:barChart>
      <c:catAx>
        <c:axId val="5086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60002"/>
        <c:crosses val="autoZero"/>
        <c:auto val="1"/>
        <c:lblAlgn val="ctr"/>
        <c:lblOffset val="100"/>
      </c:catAx>
      <c:valAx>
        <c:axId val="5086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6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Internal vs External Major NC 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Internal</c:v>
          </c:tx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Calculations!$BW$12:$BW$23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External</c:v>
          </c:tx>
          <c:spPr>
            <a:ln w="28575">
              <a:solidFill>
                <a:srgbClr val="D71920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D71920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Calculations!$BX$12:$BX$23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7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Calculations!$P$776:$P$785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Calculations!$Q$776:$Q$785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880001"/>
        <c:axId val="50880002"/>
      </c:barChart>
      <c:catAx>
        <c:axId val="5088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Calculations!$B$802:$B$813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Calculations!$C$802:$C$813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890001"/>
        <c:axId val="50890002"/>
      </c:barChart>
      <c:catAx>
        <c:axId val="5089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90002"/>
        <c:crosses val="autoZero"/>
        <c:auto val="1"/>
        <c:lblAlgn val="ctr"/>
        <c:lblOffset val="100"/>
      </c:catAx>
      <c:valAx>
        <c:axId val="5089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89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Major NC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Major NC</c:v>
          </c:tx>
          <c:spPr>
            <a:solidFill>
              <a:srgbClr val="DC2626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Calculations!$BX$12:$BX$23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900001"/>
        <c:axId val="50900002"/>
      </c:barChart>
      <c:catAx>
        <c:axId val="5090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00002"/>
        <c:crosses val="autoZero"/>
        <c:auto val="1"/>
        <c:lblAlgn val="ctr"/>
        <c:lblOffset val="100"/>
      </c:catAx>
      <c:valAx>
        <c:axId val="509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Internal vs External Major NC Rate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Internal</c:v>
          </c:tx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Calculations!$BW$12:$BW$23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External</c:v>
          </c:tx>
          <c:spPr>
            <a:ln w="28575">
              <a:solidFill>
                <a:srgbClr val="D71920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D71920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Calculations!$BX$12:$BX$23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10002"/>
        <c:crosses val="autoZero"/>
        <c:auto val="1"/>
        <c:lblAlgn val="ctr"/>
        <c:lblOffset val="100"/>
      </c:catAx>
      <c:valAx>
        <c:axId val="509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1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Calculations!$P$802:$P$811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Calculations!$Q$802:$Q$811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920001"/>
        <c:axId val="50920002"/>
      </c:barChart>
      <c:catAx>
        <c:axId val="509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20002"/>
        <c:crosses val="autoZero"/>
        <c:auto val="1"/>
        <c:lblAlgn val="ctr"/>
        <c:lblOffset val="100"/>
      </c:catAx>
      <c:valAx>
        <c:axId val="509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Calculations!$B$828:$B$839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Calculations!$C$828:$C$839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930001"/>
        <c:axId val="50930002"/>
      </c:barChart>
      <c:catAx>
        <c:axId val="5093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3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Visits by Department (leadership equity)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Calculations!$P$828:$P$837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Calculations!$Q$828:$Q$837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940001"/>
        <c:axId val="50940002"/>
      </c:barChart>
      <c:catAx>
        <c:axId val="5094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4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Calculations!$P$828:$P$837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Calculations!$Q$828:$Q$837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950001"/>
        <c:axId val="50950002"/>
      </c:barChart>
      <c:catAx>
        <c:axId val="5095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50002"/>
        <c:crosses val="autoZero"/>
        <c:auto val="1"/>
        <c:lblAlgn val="ctr"/>
        <c:lblOffset val="100"/>
      </c:catAx>
      <c:valAx>
        <c:axId val="5095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5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Calculations!$B$854:$B$865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Calculations!$C$854:$C$865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960001"/>
        <c:axId val="50960002"/>
      </c:barChart>
      <c:catAx>
        <c:axId val="5096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60002"/>
        <c:crosses val="autoZero"/>
        <c:auto val="1"/>
        <c:lblAlgn val="ctr"/>
        <c:lblOffset val="100"/>
      </c:catAx>
      <c:valAx>
        <c:axId val="5096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6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Decisions vs Actions Assigned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Decisions Made</c:v>
          </c:tx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Calculations!$BY$12:$BY$23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Actions Assigned</c:v>
          </c:tx>
          <c:spPr>
            <a:ln w="28575">
              <a:solidFill>
                <a:srgbClr val="F59E0B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F59E0B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Calculations!$BZ$12:$BZ$23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70002"/>
        <c:crosses val="autoZero"/>
        <c:auto val="1"/>
        <c:lblAlgn val="ctr"/>
        <c:lblOffset val="100"/>
      </c:catAx>
      <c:valAx>
        <c:axId val="5097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7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Calculations!$J$854:$J$856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Scheduled</c:v>
                </c:pt>
              </c:strCache>
            </c:strRef>
          </c:cat>
          <c:val>
            <c:numRef>
              <c:f>Calculations!$K$854:$K$856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Attendance: Target vs Actual + Next-Month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</c:v>
          </c:tx>
          <c:spPr>
            <a:ln w="22225">
              <a:solidFill>
                <a:srgbClr val="64748B"/>
              </a:solidFill>
              <a:prstDash val="dash"/>
            </a:ln>
          </c:spPr>
          <c:marker>
            <c:symbol val="square"/>
            <c:size val="4"/>
            <c:spPr>
              <a:solidFill>
                <a:srgbClr val="64748B"/>
              </a:solidFill>
            </c:spPr>
          </c:marker>
          <c:cat>
            <c:strRef>
              <c:f>Calculations!$DD$26:$DD$38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Calculations!$DE$26:$DE$38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Actual</c:v>
          </c:tx>
          <c:spPr>
            <a:ln w="28575">
              <a:solidFill>
                <a:srgbClr val="0B6EA8"/>
              </a:solidFill>
            </a:ln>
          </c:spPr>
          <c:marker>
            <c:symbol val="circle"/>
            <c:size val="5"/>
            <c:spPr>
              <a:solidFill>
                <a:srgbClr val="0B6EA8"/>
              </a:solidFill>
            </c:spPr>
          </c:marker>
          <c:cat>
            <c:strRef>
              <c:f>Calculations!$DD$26:$DD$38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Next (fcst)</c:v>
                </c:pt>
              </c:strCache>
            </c:strRef>
          </c:cat>
          <c:val>
            <c:numRef>
              <c:f>Calculations!$DF$26:$DF$38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90002"/>
        <c:crosses val="autoZero"/>
        <c:auto val="1"/>
        <c:lblAlgn val="ctr"/>
        <c:lblOffset val="100"/>
      </c:catAx>
      <c:valAx>
        <c:axId val="5099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099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Calculations!$B$880:$B$891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Calculations!$C$880:$C$891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000001"/>
        <c:axId val="51000002"/>
      </c:barChart>
      <c:catAx>
        <c:axId val="5100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00002"/>
        <c:crosses val="autoZero"/>
        <c:auto val="1"/>
        <c:lblAlgn val="ctr"/>
        <c:lblOffset val="100"/>
      </c:catAx>
      <c:valAx>
        <c:axId val="510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Violation Type (Pareto)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C262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Calculations!$E$880:$E$885</c:f>
              <c:strCache>
                <c:ptCount val="6"/>
                <c:pt idx="0">
                  <c:v>PPE Violation</c:v>
                </c:pt>
                <c:pt idx="1">
                  <c:v>Safety Rule Breach</c:v>
                </c:pt>
                <c:pt idx="2">
                  <c:v>Permit Violation</c:v>
                </c:pt>
                <c:pt idx="3">
                  <c:v>Unauthorized Work</c:v>
                </c:pt>
                <c:pt idx="4">
                  <c:v>Reckless Behavior</c:v>
                </c:pt>
                <c:pt idx="5">
                  <c:v>Substance Abuse</c:v>
                </c:pt>
              </c:strCache>
            </c:strRef>
          </c:cat>
          <c:val>
            <c:numRef>
              <c:f>Calculations!$F$880:$F$885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1010001"/>
        <c:axId val="51010002"/>
      </c:barChart>
      <c:catAx>
        <c:axId val="5101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10002"/>
        <c:crosses val="autoZero"/>
        <c:auto val="1"/>
        <c:lblAlgn val="ctr"/>
        <c:lblOffset val="100"/>
      </c:catAx>
      <c:valAx>
        <c:axId val="5101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1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Offense Level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5A34A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DC262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Calculations!$G$880:$G$882</c:f>
              <c:strCache>
                <c:ptCount val="3"/>
                <c:pt idx="0">
                  <c:v>1st Offense</c:v>
                </c:pt>
                <c:pt idx="1">
                  <c:v>2nd Offense</c:v>
                </c:pt>
                <c:pt idx="2">
                  <c:v>3rd Offense</c:v>
                </c:pt>
              </c:strCache>
            </c:strRef>
          </c:cat>
          <c:val>
            <c:numRef>
              <c:f>Calculations!$H$880:$H$882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Calculations!$P$880:$P$889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Calculations!$Q$880:$Q$889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030001"/>
        <c:axId val="51030002"/>
      </c:barChart>
      <c:catAx>
        <c:axId val="5103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30002"/>
        <c:crosses val="autoZero"/>
        <c:auto val="1"/>
        <c:lblAlgn val="ctr"/>
        <c:lblOffset val="100"/>
      </c:catAx>
      <c:valAx>
        <c:axId val="5103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3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Calculations!$J$880:$J$882</c:f>
              <c:strCache>
                <c:ptCount val="3"/>
                <c:pt idx="0">
                  <c:v>Under Review</c:v>
                </c:pt>
                <c:pt idx="1">
                  <c:v>Appealed</c:v>
                </c:pt>
                <c:pt idx="2">
                  <c:v>Completed</c:v>
                </c:pt>
              </c:strCache>
            </c:strRef>
          </c:cat>
          <c:val>
            <c:numRef>
              <c:f>Calculations!$K$880:$K$882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Calculations!$B$906:$B$917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Calculations!$C$906:$C$917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050001"/>
        <c:axId val="51050002"/>
      </c:barChart>
      <c:catAx>
        <c:axId val="510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50002"/>
        <c:crosses val="autoZero"/>
        <c:auto val="1"/>
        <c:lblAlgn val="ctr"/>
        <c:lblOffset val="100"/>
      </c:catAx>
      <c:valAx>
        <c:axId val="510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5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Recognition by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5A34A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Calculations!$P$906:$P$915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Calculations!$Q$906:$Q$915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060001"/>
        <c:axId val="51060002"/>
      </c:barChart>
      <c:catAx>
        <c:axId val="510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60002"/>
        <c:crosses val="autoZero"/>
        <c:auto val="1"/>
        <c:lblAlgn val="ctr"/>
        <c:lblOffset val="100"/>
      </c:catAx>
      <c:valAx>
        <c:axId val="510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Award Category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B6EA8"/>
              </a:solidFill>
            </c:spPr>
          </c:dPt>
          <c:dPt>
            <c:idx val="1"/>
            <c:spPr>
              <a:solidFill>
                <a:srgbClr val="15A34A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Calculations!$E$906:$E$911</c:f>
              <c:strCache>
                <c:ptCount val="6"/>
                <c:pt idx="0">
                  <c:v>Safe Worker of Month</c:v>
                </c:pt>
                <c:pt idx="1">
                  <c:v>Best Safety Suggestion</c:v>
                </c:pt>
                <c:pt idx="2">
                  <c:v>Zero Incident Award</c:v>
                </c:pt>
                <c:pt idx="3">
                  <c:v>HSE Champion</c:v>
                </c:pt>
                <c:pt idx="4">
                  <c:v>Safety Innovation</c:v>
                </c:pt>
                <c:pt idx="5">
                  <c:v>Best Department</c:v>
                </c:pt>
              </c:strCache>
            </c:strRef>
          </c:cat>
          <c:val>
            <c:numRef>
              <c:f>Calculations!$F$906:$F$911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Calculations!$P$906:$P$915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Calculations!$Q$906:$Q$915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080001"/>
        <c:axId val="51080002"/>
      </c:barChart>
      <c:catAx>
        <c:axId val="5108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80002"/>
        <c:crosses val="autoZero"/>
        <c:auto val="1"/>
        <c:lblAlgn val="ctr"/>
        <c:lblOffset val="100"/>
      </c:catAx>
      <c:valAx>
        <c:axId val="5108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0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Calculations!$J$906:$J$908</c:f>
              <c:strCache>
                <c:ptCount val="3"/>
                <c:pt idx="0">
                  <c:v>Presented</c:v>
                </c:pt>
                <c:pt idx="1">
                  <c:v>Scheduled</c:v>
                </c:pt>
                <c:pt idx="2">
                  <c:v>Nominated</c:v>
                </c:pt>
              </c:strCache>
            </c:strRef>
          </c:cat>
          <c:val>
            <c:numRef>
              <c:f>Calculations!$K$906:$K$908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Calculations!$B$932:$B$943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Calculations!$C$932:$C$943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100001"/>
        <c:axId val="51100002"/>
      </c:barChart>
      <c:catAx>
        <c:axId val="5110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00002"/>
        <c:crosses val="autoZero"/>
        <c:auto val="1"/>
        <c:lblAlgn val="ctr"/>
        <c:lblOffset val="100"/>
      </c:catAx>
      <c:valAx>
        <c:axId val="511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Stop-Work Downtime Trend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Downtime (min)</c:v>
          </c:tx>
          <c:spPr>
            <a:solidFill>
              <a:srgbClr val="DC2626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Calculations!$CA$12:$CA$23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110001"/>
        <c:axId val="51110002"/>
      </c:barChart>
      <c:catAx>
        <c:axId val="511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10002"/>
        <c:crosses val="autoZero"/>
        <c:auto val="1"/>
        <c:lblAlgn val="ctr"/>
        <c:lblOffset val="100"/>
      </c:catAx>
      <c:valAx>
        <c:axId val="511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1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Avg Downtime by Severity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Calculations!$B$239:$B$242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Calculations!$C$239:$C$242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1120001"/>
        <c:axId val="51120002"/>
      </c:barChart>
      <c:catAx>
        <c:axId val="511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20002"/>
        <c:crosses val="autoZero"/>
        <c:auto val="1"/>
        <c:lblAlgn val="ctr"/>
        <c:lblOffset val="100"/>
      </c:catAx>
      <c:valAx>
        <c:axId val="511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Calculations!$P$932:$P$941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Calculations!$Q$932:$Q$941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130001"/>
        <c:axId val="51130002"/>
      </c:barChart>
      <c:catAx>
        <c:axId val="5113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30002"/>
        <c:crosses val="autoZero"/>
        <c:auto val="1"/>
        <c:lblAlgn val="ctr"/>
        <c:lblOffset val="100"/>
      </c:catAx>
      <c:valAx>
        <c:axId val="5113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3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Calculations!$B$958:$B$969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Calculations!$C$958:$C$969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140001"/>
        <c:axId val="51140002"/>
      </c:barChart>
      <c:catAx>
        <c:axId val="511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40002"/>
        <c:crosses val="autoZero"/>
        <c:auto val="1"/>
        <c:lblAlgn val="ctr"/>
        <c:lblOffset val="100"/>
      </c:catAx>
      <c:valAx>
        <c:axId val="511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4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Positive Test Rate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DC2626"/>
              </a:solidFill>
            </a:ln>
          </c:spPr>
          <c:marker>
            <c:symbol val="circle"/>
            <c:size val="5"/>
            <c:spPr>
              <a:solidFill>
                <a:srgbClr val="DC2626"/>
              </a:solidFill>
              <a:ln>
                <a:noFill/>
              </a:ln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Calculations!$CN$12:$CN$23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1150001"/>
        <c:axId val="51150002"/>
      </c:lineChart>
      <c:catAx>
        <c:axId val="511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50002"/>
        <c:crosses val="autoZero"/>
        <c:auto val="1"/>
        <c:lblAlgn val="ctr"/>
        <c:lblOffset val="100"/>
      </c:catAx>
      <c:valAx>
        <c:axId val="511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5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Calculations!$P$958:$P$967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Calculations!$Q$958:$Q$967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160001"/>
        <c:axId val="51160002"/>
      </c:barChart>
      <c:catAx>
        <c:axId val="511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60002"/>
        <c:crosses val="autoZero"/>
        <c:auto val="1"/>
        <c:lblAlgn val="ctr"/>
        <c:lblOffset val="100"/>
      </c:catAx>
      <c:valAx>
        <c:axId val="511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Calculations!$J$958:$J$961</c:f>
              <c:strCache>
                <c:ptCount val="4"/>
                <c:pt idx="0">
                  <c:v>Closed</c:v>
                </c:pt>
                <c:pt idx="1">
                  <c:v>Open</c:v>
                </c:pt>
                <c:pt idx="2">
                  <c:v>In Progress</c:v>
                </c:pt>
                <c:pt idx="3">
                  <c:v>Overdue</c:v>
                </c:pt>
              </c:strCache>
            </c:strRef>
          </c:cat>
          <c:val>
            <c:numRef>
              <c:f>Calculations!$K$958:$K$961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Calculations!$B$984:$B$995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Calculations!$C$984:$C$995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180001"/>
        <c:axId val="51180002"/>
      </c:barChart>
      <c:catAx>
        <c:axId val="5118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80002"/>
        <c:crosses val="autoZero"/>
        <c:auto val="1"/>
        <c:lblAlgn val="ctr"/>
        <c:lblOffset val="100"/>
      </c:catAx>
      <c:valAx>
        <c:axId val="5118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8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Compliance % by Permit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Calculations!$B$215:$B$221</c:f>
              <c:strCache>
                <c:ptCount val="7"/>
                <c:pt idx="0">
                  <c:v>Hot Work</c:v>
                </c:pt>
                <c:pt idx="1">
                  <c:v>Confined Space</c:v>
                </c:pt>
                <c:pt idx="2">
                  <c:v>Working at Height</c:v>
                </c:pt>
                <c:pt idx="3">
                  <c:v>Electrical</c:v>
                </c:pt>
                <c:pt idx="4">
                  <c:v>Cold Work</c:v>
                </c:pt>
                <c:pt idx="5">
                  <c:v>Lifting</c:v>
                </c:pt>
                <c:pt idx="6">
                  <c:v>Excavation</c:v>
                </c:pt>
              </c:strCache>
            </c:strRef>
          </c:cat>
          <c:val>
            <c:numRef>
              <c:f>Calculations!$C$215:$C$221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1190001"/>
        <c:axId val="51190002"/>
      </c:barChart>
      <c:catAx>
        <c:axId val="5119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90002"/>
        <c:crosses val="autoZero"/>
        <c:auto val="1"/>
        <c:lblAlgn val="ctr"/>
        <c:lblOffset val="100"/>
      </c:catAx>
      <c:valAx>
        <c:axId val="5119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19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Calculations!$P$984:$P$993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Calculations!$Q$984:$Q$993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200001"/>
        <c:axId val="51200002"/>
      </c:barChart>
      <c:catAx>
        <c:axId val="5120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00002"/>
        <c:crosses val="autoZero"/>
        <c:auto val="1"/>
        <c:lblAlgn val="ctr"/>
        <c:lblOffset val="100"/>
      </c:catAx>
      <c:valAx>
        <c:axId val="5120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0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Calculations!$B$1010:$B$1021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Calculations!$C$1010:$C$1021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210001"/>
        <c:axId val="51210002"/>
      </c:barChart>
      <c:catAx>
        <c:axId val="5121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10002"/>
        <c:crosses val="autoZero"/>
        <c:auto val="1"/>
        <c:lblAlgn val="ctr"/>
        <c:lblOffset val="100"/>
      </c:catAx>
      <c:valAx>
        <c:axId val="5121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1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On-Time vs Delayed Trend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On-Time</c:v>
          </c:tx>
          <c:spPr>
            <a:solidFill>
              <a:srgbClr val="15A34A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Calculations!$CD$12:$CD$23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Delayed</c:v>
          </c:tx>
          <c:spPr>
            <a:solidFill>
              <a:srgbClr val="DC2626"/>
            </a:solidFill>
            <a:ln>
              <a:noFill/>
            </a:ln>
          </c:spP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Calculations!$CE$12:$CE$23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overlap val="100"/>
        <c:axId val="51220001"/>
        <c:axId val="51220002"/>
      </c:barChart>
      <c:catAx>
        <c:axId val="5122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20002"/>
        <c:crosses val="autoZero"/>
        <c:auto val="1"/>
        <c:lblAlgn val="ctr"/>
        <c:lblOffset val="100"/>
      </c:catAx>
      <c:valAx>
        <c:axId val="5122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2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CAPA Source (Pareto)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Calculations!$E$1010:$E$1015</c:f>
              <c:strCache>
                <c:ptCount val="6"/>
                <c:pt idx="0">
                  <c:v>Audit Finding</c:v>
                </c:pt>
                <c:pt idx="1">
                  <c:v>Inspection Finding</c:v>
                </c:pt>
                <c:pt idx="2">
                  <c:v>Incident Follow-up</c:v>
                </c:pt>
                <c:pt idx="3">
                  <c:v>Observation</c:v>
                </c:pt>
                <c:pt idx="4">
                  <c:v>Drill Finding</c:v>
                </c:pt>
                <c:pt idx="5">
                  <c:v>Management Review</c:v>
                </c:pt>
              </c:strCache>
            </c:strRef>
          </c:cat>
          <c:val>
            <c:numRef>
              <c:f>Calculations!$F$1010:$F$1015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1230001"/>
        <c:axId val="51230002"/>
      </c:barChart>
      <c:catAx>
        <c:axId val="5123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30002"/>
        <c:crosses val="autoZero"/>
        <c:auto val="1"/>
        <c:lblAlgn val="ctr"/>
        <c:lblOffset val="100"/>
      </c:catAx>
      <c:valAx>
        <c:axId val="5123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3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Calculations!$P$1010:$P$1019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Calculations!$Q$1010:$Q$1019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240001"/>
        <c:axId val="51240002"/>
      </c:barChart>
      <c:catAx>
        <c:axId val="5124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40002"/>
        <c:crosses val="autoZero"/>
        <c:auto val="1"/>
        <c:lblAlgn val="ctr"/>
        <c:lblOffset val="100"/>
      </c:catAx>
      <c:valAx>
        <c:axId val="5124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4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Calculations!$J$1010:$J$1014</c:f>
              <c:strCache>
                <c:ptCount val="5"/>
                <c:pt idx="0">
                  <c:v>Pending</c:v>
                </c:pt>
                <c:pt idx="1">
                  <c:v>Completed</c:v>
                </c:pt>
                <c:pt idx="2">
                  <c:v>Cancelled</c:v>
                </c:pt>
                <c:pt idx="3">
                  <c:v>In Progress</c:v>
                </c:pt>
                <c:pt idx="4">
                  <c:v>Overdue</c:v>
                </c:pt>
              </c:strCache>
            </c:strRef>
          </c:cat>
          <c:val>
            <c:numRef>
              <c:f>Calculations!$K$1010:$K$1014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Calculations!$B$304:$B$307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Calculations!$C$304:$C$307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1260001"/>
        <c:axId val="51260002"/>
      </c:barChart>
      <c:catAx>
        <c:axId val="512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60002"/>
        <c:crosses val="autoZero"/>
        <c:auto val="1"/>
        <c:lblAlgn val="ctr"/>
        <c:lblOffset val="100"/>
      </c:catAx>
      <c:valAx>
        <c:axId val="512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Calculations!$B$1036:$B$1047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Calculations!$C$1036:$C$1047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270001"/>
        <c:axId val="51270002"/>
      </c:barChart>
      <c:catAx>
        <c:axId val="5127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70002"/>
        <c:crosses val="autoZero"/>
        <c:auto val="1"/>
        <c:lblAlgn val="ctr"/>
        <c:lblOffset val="100"/>
      </c:catAx>
      <c:valAx>
        <c:axId val="5127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7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Root Cause (Pareto)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DC262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Calculations!$E$245:$E$252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Calculations!$F$245:$F$252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1280001"/>
        <c:axId val="51280002"/>
      </c:barChart>
      <c:catAx>
        <c:axId val="5128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80002"/>
        <c:crosses val="autoZero"/>
        <c:auto val="1"/>
        <c:lblAlgn val="ctr"/>
        <c:lblOffset val="100"/>
      </c:catAx>
      <c:valAx>
        <c:axId val="5128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2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Severity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C2626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0B6EA8"/>
              </a:solidFill>
            </c:spPr>
          </c:dPt>
          <c:dPt>
            <c:idx val="3"/>
            <c:spPr>
              <a:solidFill>
                <a:srgbClr val="15A34A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Calculations!$E$1036:$E$1039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Calculations!$F$1036:$F$1039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Calculations!$P$1036:$P$1045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Calculations!$Q$1036:$Q$1045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300001"/>
        <c:axId val="51300002"/>
      </c:barChart>
      <c:catAx>
        <c:axId val="5130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00002"/>
        <c:crosses val="autoZero"/>
        <c:auto val="1"/>
        <c:lblAlgn val="ctr"/>
        <c:lblOffset val="100"/>
      </c:catAx>
      <c:valAx>
        <c:axId val="5130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0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Calculations!$J$1036:$J$1039</c:f>
              <c:strCache>
                <c:ptCount val="4"/>
                <c:pt idx="0">
                  <c:v>Closed</c:v>
                </c:pt>
                <c:pt idx="1">
                  <c:v>Open</c:v>
                </c:pt>
                <c:pt idx="2">
                  <c:v>Under Review</c:v>
                </c:pt>
                <c:pt idx="3">
                  <c:v>Overdue</c:v>
                </c:pt>
              </c:strCache>
            </c:strRef>
          </c:cat>
          <c:val>
            <c:numRef>
              <c:f>Calculations!$K$1036:$K$1039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Calculations!$B$310:$B$313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Calculations!$C$310:$C$313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1320001"/>
        <c:axId val="51320002"/>
      </c:barChart>
      <c:catAx>
        <c:axId val="513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20002"/>
        <c:crosses val="autoZero"/>
        <c:auto val="1"/>
        <c:lblAlgn val="ctr"/>
        <c:lblOffset val="100"/>
      </c:catAx>
      <c:valAx>
        <c:axId val="513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Calculations!$B$1062:$B$1073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Calculations!$C$1062:$C$1073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330001"/>
        <c:axId val="51330002"/>
      </c:barChart>
      <c:catAx>
        <c:axId val="5133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30002"/>
        <c:crosses val="autoZero"/>
        <c:auto val="1"/>
        <c:lblAlgn val="ctr"/>
        <c:lblOffset val="100"/>
      </c:catAx>
      <c:valAx>
        <c:axId val="5133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3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Unsafe Act vs Condition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Unsafe Acts</c:v>
          </c:tx>
          <c:spPr>
            <a:ln w="28575">
              <a:solidFill>
                <a:srgbClr val="F59E0B"/>
              </a:solidFill>
            </a:ln>
          </c:spPr>
          <c:marker>
            <c:symbol val="circle"/>
            <c:size val="5"/>
            <c:spPr>
              <a:solidFill>
                <a:srgbClr val="F59E0B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Calculations!$C$1062:$C$1073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Unsafe Conditions</c:v>
          </c:tx>
          <c:spPr>
            <a:ln w="28575">
              <a:solidFill>
                <a:srgbClr val="0B6EA8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0B6EA8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Calculations!$C$1088:$C$1099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1340001"/>
        <c:axId val="51340002"/>
      </c:lineChart>
      <c:catAx>
        <c:axId val="5134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40002"/>
        <c:crosses val="autoZero"/>
        <c:auto val="1"/>
        <c:lblAlgn val="ctr"/>
        <c:lblOffset val="100"/>
      </c:catAx>
      <c:valAx>
        <c:axId val="5134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4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Top 10 Types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Calculations!$E$163:$E$172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Calculations!$F$163:$F$172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350001"/>
        <c:axId val="51350002"/>
      </c:barChart>
      <c:catAx>
        <c:axId val="5135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50002"/>
        <c:crosses val="autoZero"/>
        <c:auto val="1"/>
        <c:lblAlgn val="ctr"/>
        <c:lblOffset val="100"/>
      </c:catAx>
      <c:valAx>
        <c:axId val="5135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5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Calculations!$P$1062:$P$1071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Calculations!$Q$1062:$Q$1071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360001"/>
        <c:axId val="51360002"/>
      </c:barChart>
      <c:catAx>
        <c:axId val="513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60002"/>
        <c:crosses val="autoZero"/>
        <c:auto val="1"/>
        <c:lblAlgn val="ctr"/>
        <c:lblOffset val="100"/>
      </c:catAx>
      <c:valAx>
        <c:axId val="513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Calculations!$J$1062:$J$1065</c:f>
              <c:strCache>
                <c:ptCount val="4"/>
                <c:pt idx="0">
                  <c:v>In Progress</c:v>
                </c:pt>
                <c:pt idx="1">
                  <c:v>Completed</c:v>
                </c:pt>
                <c:pt idx="2">
                  <c:v>Overdue</c:v>
                </c:pt>
                <c:pt idx="3">
                  <c:v>Pending</c:v>
                </c:pt>
              </c:strCache>
            </c:strRef>
          </c:cat>
          <c:val>
            <c:numRef>
              <c:f>Calculations!$K$1062:$K$1065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Calculations!$B$340:$B$343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Calculations!$C$340:$C$343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1380001"/>
        <c:axId val="51380002"/>
      </c:barChart>
      <c:catAx>
        <c:axId val="5138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80002"/>
        <c:crosses val="autoZero"/>
        <c:auto val="1"/>
        <c:lblAlgn val="ctr"/>
        <c:lblOffset val="100"/>
      </c:catAx>
      <c:valAx>
        <c:axId val="5138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Calculations!$B$1088:$B$1099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Calculations!$C$1088:$C$1099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390001"/>
        <c:axId val="51390002"/>
      </c:barChart>
      <c:catAx>
        <c:axId val="5139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90002"/>
        <c:crosses val="autoZero"/>
        <c:auto val="1"/>
        <c:lblAlgn val="ctr"/>
        <c:lblOffset val="100"/>
      </c:catAx>
      <c:valAx>
        <c:axId val="5139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39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Unsafe Act vs Condition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Unsafe Acts</c:v>
          </c:tx>
          <c:spPr>
            <a:ln w="28575">
              <a:solidFill>
                <a:srgbClr val="F59E0B"/>
              </a:solidFill>
            </a:ln>
          </c:spPr>
          <c:marker>
            <c:symbol val="circle"/>
            <c:size val="5"/>
            <c:spPr>
              <a:solidFill>
                <a:srgbClr val="F59E0B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Calculations!$C$1062:$C$1073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Unsafe Conditions</c:v>
          </c:tx>
          <c:spPr>
            <a:ln w="28575">
              <a:solidFill>
                <a:srgbClr val="0B6EA8"/>
              </a:solidFill>
              <a:prstDash val="dash"/>
            </a:ln>
          </c:spPr>
          <c:marker>
            <c:symbol val="diamond"/>
            <c:size val="5"/>
            <c:spPr>
              <a:solidFill>
                <a:srgbClr val="0B6EA8"/>
              </a:solidFill>
            </c:spPr>
          </c:marker>
          <c:cat>
            <c:strRef>
              <c:f>Calculations!$B$12:$B$23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Calculations!$C$1088:$C$1099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1400001"/>
        <c:axId val="51400002"/>
      </c:lineChart>
      <c:catAx>
        <c:axId val="5140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00002"/>
        <c:crosses val="autoZero"/>
        <c:auto val="1"/>
        <c:lblAlgn val="ctr"/>
        <c:lblOffset val="100"/>
      </c:catAx>
      <c:valAx>
        <c:axId val="514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Top 10 Types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numRef>
              <c:f>Calculations!$E$175:$E$184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Calculations!$F$175:$F$184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410001"/>
        <c:axId val="51410002"/>
      </c:barChart>
      <c:catAx>
        <c:axId val="5141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10002"/>
        <c:crosses val="autoZero"/>
        <c:auto val="1"/>
        <c:lblAlgn val="ctr"/>
        <c:lblOffset val="100"/>
      </c:catAx>
      <c:valAx>
        <c:axId val="5141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1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Calculations!$P$1088:$P$1097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Calculations!$Q$1088:$Q$1097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420001"/>
        <c:axId val="51420002"/>
      </c:barChart>
      <c:catAx>
        <c:axId val="514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20002"/>
        <c:crosses val="autoZero"/>
        <c:auto val="1"/>
        <c:lblAlgn val="ctr"/>
        <c:lblOffset val="100"/>
      </c:catAx>
      <c:valAx>
        <c:axId val="514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Calculations!$J$1088:$J$1091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  <c:pt idx="3">
                  <c:v>Overdue</c:v>
                </c:pt>
              </c:strCache>
            </c:strRef>
          </c:cat>
          <c:val>
            <c:numRef>
              <c:f>Calculations!$K$1088:$K$1091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Overdue Ageing (open items)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Calculations!$B$346:$B$349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Calculations!$C$346:$C$349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1440001"/>
        <c:axId val="51440002"/>
      </c:barChart>
      <c:catAx>
        <c:axId val="5144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40002"/>
        <c:crosses val="autoZero"/>
        <c:auto val="1"/>
        <c:lblAlgn val="ctr"/>
        <c:lblOffset val="100"/>
      </c:catAx>
      <c:valAx>
        <c:axId val="5144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4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Calculations!$B$1114:$B$1125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Calculations!$C$1114:$C$1125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450001"/>
        <c:axId val="51450002"/>
      </c:barChart>
      <c:catAx>
        <c:axId val="5145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50002"/>
        <c:crosses val="autoZero"/>
        <c:auto val="1"/>
        <c:lblAlgn val="ctr"/>
        <c:lblOffset val="100"/>
      </c:catAx>
      <c:valAx>
        <c:axId val="5145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5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Open Incident Ageing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Calculations!$B$265:$B$268</c:f>
              <c:strCache>
                <c:ptCount val="4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31+ days</c:v>
                </c:pt>
              </c:strCache>
            </c:strRef>
          </c:cat>
          <c:val>
            <c:numRef>
              <c:f>Calculations!$C$265:$C$268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axId val="51460001"/>
        <c:axId val="51460002"/>
      </c:barChart>
      <c:catAx>
        <c:axId val="5146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60002"/>
        <c:crosses val="autoZero"/>
        <c:auto val="1"/>
        <c:lblAlgn val="ctr"/>
        <c:lblOffset val="100"/>
      </c:catAx>
      <c:valAx>
        <c:axId val="5146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6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Person Type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0B6EA8"/>
              </a:solidFill>
            </c:spPr>
          </c:dPt>
          <c:dPt>
            <c:idx val="1"/>
            <c:spPr>
              <a:solidFill>
                <a:srgbClr val="15A34A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Calculations!$B$271:$B$274</c:f>
              <c:strCache>
                <c:ptCount val="4"/>
                <c:pt idx="0">
                  <c:v>Employee</c:v>
                </c:pt>
                <c:pt idx="1">
                  <c:v>Contractor</c:v>
                </c:pt>
                <c:pt idx="2">
                  <c:v>Visitor</c:v>
                </c:pt>
                <c:pt idx="3">
                  <c:v>Third Party</c:v>
                </c:pt>
              </c:strCache>
            </c:strRef>
          </c:cat>
          <c:val>
            <c:numRef>
              <c:f>Calculations!$C$271:$C$274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Calculations!$P$1114:$P$1123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Calculations!$Q$1114:$Q$1123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480001"/>
        <c:axId val="51480002"/>
      </c:barChart>
      <c:catAx>
        <c:axId val="5148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80002"/>
        <c:crosses val="autoZero"/>
        <c:auto val="1"/>
        <c:lblAlgn val="ctr"/>
        <c:lblOffset val="100"/>
      </c:catAx>
      <c:valAx>
        <c:axId val="5148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48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Status Distribution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59E0B"/>
              </a:solidFill>
            </c:spPr>
          </c:dPt>
          <c:dPt>
            <c:idx val="1"/>
            <c:spPr>
              <a:solidFill>
                <a:srgbClr val="0B6EA8"/>
              </a:solidFill>
            </c:spPr>
          </c:dPt>
          <c:dPt>
            <c:idx val="2"/>
            <c:spPr>
              <a:solidFill>
                <a:srgbClr val="15A34A"/>
              </a:solidFill>
            </c:spPr>
          </c:dPt>
          <c:dPt>
            <c:idx val="3"/>
            <c:spPr>
              <a:solidFill>
                <a:srgbClr val="DC2626"/>
              </a:solidFill>
            </c:spPr>
          </c:dPt>
          <c:dPt>
            <c:idx val="4"/>
            <c:spPr>
              <a:solidFill>
                <a:srgbClr val="64748B"/>
              </a:solidFill>
            </c:spPr>
          </c:dPt>
          <c:dPt>
            <c:idx val="5"/>
            <c:spPr>
              <a:solidFill>
                <a:srgbClr val="8B5CF6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Calculations!$J$1114:$J$1116</c:f>
              <c:strCache>
                <c:ptCount val="3"/>
                <c:pt idx="0">
                  <c:v>Closed</c:v>
                </c:pt>
                <c:pt idx="1">
                  <c:v>In Progress</c:v>
                </c:pt>
                <c:pt idx="2">
                  <c:v>Open</c:v>
                </c:pt>
              </c:strCache>
            </c:strRef>
          </c:cat>
          <c:val>
            <c:numRef>
              <c:f>Calculations!$K$1114:$K$1116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Monthly Volume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Volume</c:v>
          </c:tx>
          <c:spPr>
            <a:solidFill>
              <a:srgbClr val="0B6EA8"/>
            </a:solidFill>
            <a:ln>
              <a:noFill/>
            </a:ln>
          </c:spPr>
          <c:cat>
            <c:strRef>
              <c:f>Calculations!$B$1140:$B$1151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Calculations!$C$1140:$C$1151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1500001"/>
        <c:axId val="51500002"/>
      </c:barChart>
      <c:catAx>
        <c:axId val="51500001"/>
        <c:scaling>
          <c:orientation val="minMax"/>
        </c:scaling>
        <c:axPos val="b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500002"/>
        <c:crosses val="autoZero"/>
        <c:auto val="1"/>
        <c:lblAlgn val="ctr"/>
        <c:lblOffset val="100"/>
      </c:catAx>
      <c:valAx>
        <c:axId val="51500002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500001"/>
        <c:crosses val="autoZero"/>
        <c:crossBetween val="between"/>
      </c:valAx>
      <c:spPr>
        <a:solidFill>
          <a:srgbClr val="162440"/>
        </a:solidFill>
      </c:spPr>
    </c:plotArea>
    <c:legend>
      <c:legendPos val="b"/>
      <c:layout/>
      <c:txPr>
        <a:bodyPr/>
        <a:lstStyle/>
        <a:p>
          <a:pPr>
            <a:defRPr sz="800" baseline="0">
              <a:solidFill>
                <a:srgbClr val="93A2BE"/>
              </a:solidFill>
            </a:defRPr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Waste Type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4B8A6"/>
              </a:solidFill>
            </c:spPr>
          </c:dPt>
          <c:dPt>
            <c:idx val="1"/>
            <c:spPr>
              <a:solidFill>
                <a:srgbClr val="F0625A"/>
              </a:solidFill>
            </c:spPr>
          </c:dPt>
          <c:dPt>
            <c:idx val="2"/>
            <c:spPr>
              <a:solidFill>
                <a:srgbClr val="F5A524"/>
              </a:solidFill>
            </c:spPr>
          </c:dPt>
          <c:dPt>
            <c:idx val="3"/>
            <c:spPr>
              <a:solidFill>
                <a:srgbClr val="F2994A"/>
              </a:solidFill>
            </c:spPr>
          </c:dPt>
          <c:dPt>
            <c:idx val="4"/>
            <c:spPr>
              <a:solidFill>
                <a:srgbClr val="8B5CF6"/>
              </a:solidFill>
            </c:spPr>
          </c:dPt>
          <c:dPt>
            <c:idx val="5"/>
            <c:spPr>
              <a:solidFill>
                <a:srgbClr val="0B6EA8"/>
              </a:solidFill>
            </c:spPr>
          </c:dPt>
          <c:dLbls>
            <c:txPr>
              <a:bodyPr/>
              <a:lstStyle/>
              <a:p>
                <a:pPr>
                  <a:defRPr sz="8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Calculations!$E$1140:$E$1145</c:f>
              <c:strCache>
                <c:ptCount val="6"/>
                <c:pt idx="0">
                  <c:v>Organic/Food Waste</c:v>
                </c:pt>
                <c:pt idx="1">
                  <c:v>General Waste</c:v>
                </c:pt>
                <c:pt idx="2">
                  <c:v>Metal Scrap</c:v>
                </c:pt>
                <c:pt idx="3">
                  <c:v>Hazardous Waste</c:v>
                </c:pt>
                <c:pt idx="4">
                  <c:v>Plastic</c:v>
                </c:pt>
                <c:pt idx="5">
                  <c:v>E-Waste</c:v>
                </c:pt>
              </c:strCache>
            </c:strRef>
          </c:cat>
          <c:val>
            <c:numRef>
              <c:f>Calculations!$F$1140:$F$1145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2"/>
      </c:doughnutChart>
      <c:spPr>
        <a:solidFill>
          <a:srgbClr val="162440"/>
        </a:solidFill>
      </c:spPr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Records by Department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14B8A6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Calculations!$P$1140:$P$1149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Calculations!$Q$1140:$Q$1149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520001"/>
        <c:axId val="51520002"/>
      </c:barChart>
      <c:catAx>
        <c:axId val="5152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520002"/>
        <c:crosses val="autoZero"/>
        <c:auto val="1"/>
        <c:lblAlgn val="ctr"/>
        <c:lblOffset val="100"/>
      </c:catAx>
      <c:valAx>
        <c:axId val="5152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52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 b="1" baseline="0">
                <a:solidFill>
                  <a:srgbClr val="E5E9F0"/>
                </a:solidFill>
                <a:latin typeface="Segoe UI"/>
              </a:defRPr>
            </a:pPr>
            <a:r>
              <a:rPr lang="en-US" sz="1050" b="1" baseline="0">
                <a:solidFill>
                  <a:srgbClr val="E5E9F0"/>
                </a:solidFill>
                <a:latin typeface="Segoe UI"/>
              </a:rPr>
              <a:t>Department Volume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B6EA8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Calculations!$P$1140:$P$1149</c:f>
              <c:strCache>
                <c:ptCount val="10"/>
                <c:pt idx="0">
                  <c:v>Operations</c:v>
                </c:pt>
                <c:pt idx="1">
                  <c:v>Maintenance</c:v>
                </c:pt>
                <c:pt idx="2">
                  <c:v>Engineering</c:v>
                </c:pt>
                <c:pt idx="3">
                  <c:v>Construction</c:v>
                </c:pt>
                <c:pt idx="4">
                  <c:v>Safety</c:v>
                </c:pt>
                <c:pt idx="5">
                  <c:v>Logistics</c:v>
                </c:pt>
                <c:pt idx="6">
                  <c:v>Quality</c:v>
                </c:pt>
                <c:pt idx="7">
                  <c:v>Admin</c:v>
                </c:pt>
                <c:pt idx="8">
                  <c:v>Projects</c:v>
                </c:pt>
                <c:pt idx="9">
                  <c:v>Contractor</c:v>
                </c:pt>
              </c:strCache>
            </c:strRef>
          </c:cat>
          <c:val>
            <c:numRef>
              <c:f>Calculations!$Q$1140:$Q$1149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1530001"/>
        <c:axId val="51530002"/>
      </c:barChart>
      <c:catAx>
        <c:axId val="51530001"/>
        <c:scaling>
          <c:orientation val="minMax"/>
        </c:scaling>
        <c:axPos val="l"/>
        <c:majorGridlines>
          <c:spPr>
            <a:ln>
              <a:solidFill>
                <a:srgbClr val="22314F"/>
              </a:solidFill>
            </a:ln>
          </c:spPr>
        </c:majorGridlines>
        <c:tickLblPos val="nextTo"/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530002"/>
        <c:crosses val="autoZero"/>
        <c:auto val="1"/>
        <c:lblAlgn val="ctr"/>
        <c:lblOffset val="100"/>
      </c:catAx>
      <c:valAx>
        <c:axId val="51530002"/>
        <c:scaling>
          <c:orientation val="minMax"/>
        </c:scaling>
        <c:axPos val="b"/>
        <c:majorGridlines/>
        <c:numFmt formatCode="General" sourceLinked="1"/>
        <c:tickLblPos val="nextTo"/>
        <c:spPr>
          <a:ln>
            <a:solidFill>
              <a:srgbClr val="22314F"/>
            </a:solidFill>
          </a:ln>
        </c:spPr>
        <c:txPr>
          <a:bodyPr/>
          <a:lstStyle/>
          <a:p>
            <a:pPr>
              <a:defRPr sz="800" baseline="0">
                <a:solidFill>
                  <a:srgbClr val="93A2BE"/>
                </a:solidFill>
              </a:defRPr>
            </a:pPr>
            <a:endParaRPr lang="en-US"/>
          </a:p>
        </c:txPr>
        <c:crossAx val="51530001"/>
        <c:crosses val="autoZero"/>
        <c:crossBetween val="between"/>
      </c:valAx>
      <c:spPr>
        <a:solidFill>
          <a:srgbClr val="162440"/>
        </a:solidFill>
      </c:spPr>
    </c:plotArea>
    <c:plotVisOnly val="1"/>
  </c:chart>
  <c:spPr>
    <a:solidFill>
      <a:srgbClr val="162440"/>
    </a:solidFill>
    <a:ln>
      <a:solidFill>
        <a:srgbClr val="22314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Relationship Id="rId4" Type="http://schemas.openxmlformats.org/officeDocument/2006/relationships/chart" Target="../charts/chart26.xml"/><Relationship Id="rId5" Type="http://schemas.openxmlformats.org/officeDocument/2006/relationships/chart" Target="../charts/chart27.xml"/><Relationship Id="rId6" Type="http://schemas.openxmlformats.org/officeDocument/2006/relationships/chart" Target="../charts/chart28.xml"/><Relationship Id="rId7" Type="http://schemas.openxmlformats.org/officeDocument/2006/relationships/chart" Target="../charts/chart29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chart" Target="../charts/chart30.xml"/><Relationship Id="rId6" Type="http://schemas.openxmlformats.org/officeDocument/2006/relationships/chart" Target="../charts/chart31.xml"/><Relationship Id="rId7" Type="http://schemas.openxmlformats.org/officeDocument/2006/relationships/chart" Target="../charts/chart32.xml"/><Relationship Id="rId8" Type="http://schemas.openxmlformats.org/officeDocument/2006/relationships/chart" Target="../charts/chart33.xml"/><Relationship Id="rId9" Type="http://schemas.openxmlformats.org/officeDocument/2006/relationships/chart" Target="../charts/chart34.xml"/><Relationship Id="rId10" Type="http://schemas.openxmlformats.org/officeDocument/2006/relationships/chart" Target="../charts/chart35.xml"/><Relationship Id="rId11" Type="http://schemas.openxmlformats.org/officeDocument/2006/relationships/chart" Target="../charts/chart36.xml"/><Relationship Id="rId12" Type="http://schemas.openxmlformats.org/officeDocument/2006/relationships/chart" Target="../charts/chart37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chart" Target="../charts/chart41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Relationship Id="rId3" Type="http://schemas.openxmlformats.org/officeDocument/2006/relationships/chart" Target="../charts/chart44.xml"/><Relationship Id="rId4" Type="http://schemas.openxmlformats.org/officeDocument/2006/relationships/chart" Target="../charts/chart45.xml"/><Relationship Id="rId5" Type="http://schemas.openxmlformats.org/officeDocument/2006/relationships/chart" Target="../charts/chart46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Relationship Id="rId4" Type="http://schemas.openxmlformats.org/officeDocument/2006/relationships/chart" Target="../charts/chart50.xml"/><Relationship Id="rId5" Type="http://schemas.openxmlformats.org/officeDocument/2006/relationships/chart" Target="../charts/chart51.xml"/><Relationship Id="rId6" Type="http://schemas.openxmlformats.org/officeDocument/2006/relationships/chart" Target="../charts/chart52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Relationship Id="rId4" Type="http://schemas.openxmlformats.org/officeDocument/2006/relationships/chart" Target="../charts/chart56.xml"/><Relationship Id="rId5" Type="http://schemas.openxmlformats.org/officeDocument/2006/relationships/chart" Target="../charts/chart57.xml"/><Relationship Id="rId6" Type="http://schemas.openxmlformats.org/officeDocument/2006/relationships/chart" Target="../charts/chart58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Relationship Id="rId3" Type="http://schemas.openxmlformats.org/officeDocument/2006/relationships/chart" Target="../charts/chart61.xml"/><Relationship Id="rId4" Type="http://schemas.openxmlformats.org/officeDocument/2006/relationships/chart" Target="../charts/chart62.xml"/><Relationship Id="rId5" Type="http://schemas.openxmlformats.org/officeDocument/2006/relationships/chart" Target="../charts/chart63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Relationship Id="rId4" Type="http://schemas.openxmlformats.org/officeDocument/2006/relationships/chart" Target="../charts/chart6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Relationship Id="rId3" Type="http://schemas.openxmlformats.org/officeDocument/2006/relationships/chart" Target="../charts/chart70.xml"/><Relationship Id="rId4" Type="http://schemas.openxmlformats.org/officeDocument/2006/relationships/chart" Target="../charts/chart71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72.xml"/><Relationship Id="rId2" Type="http://schemas.openxmlformats.org/officeDocument/2006/relationships/chart" Target="../charts/chart73.xml"/><Relationship Id="rId3" Type="http://schemas.openxmlformats.org/officeDocument/2006/relationships/chart" Target="../charts/chart74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5.xml"/><Relationship Id="rId2" Type="http://schemas.openxmlformats.org/officeDocument/2006/relationships/chart" Target="../charts/chart76.xml"/><Relationship Id="rId3" Type="http://schemas.openxmlformats.org/officeDocument/2006/relationships/chart" Target="../charts/chart77.xml"/><Relationship Id="rId4" Type="http://schemas.openxmlformats.org/officeDocument/2006/relationships/chart" Target="../charts/chart78.xml"/><Relationship Id="rId5" Type="http://schemas.openxmlformats.org/officeDocument/2006/relationships/chart" Target="../charts/chart79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0.xml"/><Relationship Id="rId2" Type="http://schemas.openxmlformats.org/officeDocument/2006/relationships/chart" Target="../charts/chart81.xml"/><Relationship Id="rId3" Type="http://schemas.openxmlformats.org/officeDocument/2006/relationships/chart" Target="../charts/chart82.xml"/><Relationship Id="rId4" Type="http://schemas.openxmlformats.org/officeDocument/2006/relationships/chart" Target="../charts/chart83.xml"/><Relationship Id="rId5" Type="http://schemas.openxmlformats.org/officeDocument/2006/relationships/chart" Target="../charts/chart84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Relationship Id="rId3" Type="http://schemas.openxmlformats.org/officeDocument/2006/relationships/chart" Target="../charts/chart87.xml"/><Relationship Id="rId4" Type="http://schemas.openxmlformats.org/officeDocument/2006/relationships/chart" Target="../charts/chart88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9.xml"/><Relationship Id="rId2" Type="http://schemas.openxmlformats.org/officeDocument/2006/relationships/chart" Target="../charts/chart90.xml"/><Relationship Id="rId3" Type="http://schemas.openxmlformats.org/officeDocument/2006/relationships/chart" Target="../charts/chart91.xml"/><Relationship Id="rId4" Type="http://schemas.openxmlformats.org/officeDocument/2006/relationships/chart" Target="../charts/chart92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3.xml"/><Relationship Id="rId2" Type="http://schemas.openxmlformats.org/officeDocument/2006/relationships/chart" Target="../charts/chart94.xml"/><Relationship Id="rId3" Type="http://schemas.openxmlformats.org/officeDocument/2006/relationships/chart" Target="../charts/chart95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96.xml"/><Relationship Id="rId2" Type="http://schemas.openxmlformats.org/officeDocument/2006/relationships/chart" Target="../charts/chart97.xml"/><Relationship Id="rId3" Type="http://schemas.openxmlformats.org/officeDocument/2006/relationships/chart" Target="../charts/chart98.xml"/><Relationship Id="rId4" Type="http://schemas.openxmlformats.org/officeDocument/2006/relationships/chart" Target="../charts/chart99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0.xml"/><Relationship Id="rId2" Type="http://schemas.openxmlformats.org/officeDocument/2006/relationships/chart" Target="../charts/chart101.xml"/><Relationship Id="rId3" Type="http://schemas.openxmlformats.org/officeDocument/2006/relationships/chart" Target="../charts/chart102.xml"/><Relationship Id="rId4" Type="http://schemas.openxmlformats.org/officeDocument/2006/relationships/chart" Target="../charts/chart103.xml"/><Relationship Id="rId5" Type="http://schemas.openxmlformats.org/officeDocument/2006/relationships/chart" Target="../charts/chart104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5.xml"/><Relationship Id="rId2" Type="http://schemas.openxmlformats.org/officeDocument/2006/relationships/chart" Target="../charts/chart106.xml"/><Relationship Id="rId3" Type="http://schemas.openxmlformats.org/officeDocument/2006/relationships/chart" Target="../charts/chart107.xml"/><Relationship Id="rId4" Type="http://schemas.openxmlformats.org/officeDocument/2006/relationships/chart" Target="../charts/chart108.xml"/><Relationship Id="rId5" Type="http://schemas.openxmlformats.org/officeDocument/2006/relationships/chart" Target="../charts/chart10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0.xml"/><Relationship Id="rId2" Type="http://schemas.openxmlformats.org/officeDocument/2006/relationships/chart" Target="../charts/chart111.xml"/><Relationship Id="rId3" Type="http://schemas.openxmlformats.org/officeDocument/2006/relationships/chart" Target="../charts/chart112.xml"/><Relationship Id="rId4" Type="http://schemas.openxmlformats.org/officeDocument/2006/relationships/chart" Target="../charts/chart113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4.xml"/><Relationship Id="rId2" Type="http://schemas.openxmlformats.org/officeDocument/2006/relationships/chart" Target="../charts/chart115.xml"/><Relationship Id="rId3" Type="http://schemas.openxmlformats.org/officeDocument/2006/relationships/chart" Target="../charts/chart116.xml"/><Relationship Id="rId4" Type="http://schemas.openxmlformats.org/officeDocument/2006/relationships/chart" Target="../charts/chart117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8.xml"/><Relationship Id="rId2" Type="http://schemas.openxmlformats.org/officeDocument/2006/relationships/chart" Target="../charts/chart119.xml"/><Relationship Id="rId3" Type="http://schemas.openxmlformats.org/officeDocument/2006/relationships/chart" Target="../charts/chart120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1.xml"/><Relationship Id="rId2" Type="http://schemas.openxmlformats.org/officeDocument/2006/relationships/chart" Target="../charts/chart122.xml"/><Relationship Id="rId3" Type="http://schemas.openxmlformats.org/officeDocument/2006/relationships/chart" Target="../charts/chart123.xml"/><Relationship Id="rId4" Type="http://schemas.openxmlformats.org/officeDocument/2006/relationships/chart" Target="../charts/chart124.xml"/><Relationship Id="rId5" Type="http://schemas.openxmlformats.org/officeDocument/2006/relationships/chart" Target="../charts/chart125.xml"/><Relationship Id="rId6" Type="http://schemas.openxmlformats.org/officeDocument/2006/relationships/chart" Target="../charts/chart126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7.xml"/><Relationship Id="rId2" Type="http://schemas.openxmlformats.org/officeDocument/2006/relationships/chart" Target="../charts/chart128.xml"/><Relationship Id="rId3" Type="http://schemas.openxmlformats.org/officeDocument/2006/relationships/chart" Target="../charts/chart129.xml"/><Relationship Id="rId4" Type="http://schemas.openxmlformats.org/officeDocument/2006/relationships/chart" Target="../charts/chart130.xml"/><Relationship Id="rId5" Type="http://schemas.openxmlformats.org/officeDocument/2006/relationships/chart" Target="../charts/chart131.xml"/><Relationship Id="rId6" Type="http://schemas.openxmlformats.org/officeDocument/2006/relationships/chart" Target="../charts/chart132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3.xml"/><Relationship Id="rId2" Type="http://schemas.openxmlformats.org/officeDocument/2006/relationships/chart" Target="../charts/chart134.xml"/><Relationship Id="rId3" Type="http://schemas.openxmlformats.org/officeDocument/2006/relationships/chart" Target="../charts/chart135.xml"/><Relationship Id="rId4" Type="http://schemas.openxmlformats.org/officeDocument/2006/relationships/chart" Target="../charts/chart136.xml"/><Relationship Id="rId5" Type="http://schemas.openxmlformats.org/officeDocument/2006/relationships/chart" Target="../charts/chart137.xml"/><Relationship Id="rId6" Type="http://schemas.openxmlformats.org/officeDocument/2006/relationships/chart" Target="../charts/chart138.xml"/></Relationships>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9.xml"/><Relationship Id="rId2" Type="http://schemas.openxmlformats.org/officeDocument/2006/relationships/chart" Target="../charts/chart140.xml"/><Relationship Id="rId3" Type="http://schemas.openxmlformats.org/officeDocument/2006/relationships/chart" Target="../charts/chart141.xml"/><Relationship Id="rId4" Type="http://schemas.openxmlformats.org/officeDocument/2006/relationships/chart" Target="../charts/chart142.xml"/><Relationship Id="rId5" Type="http://schemas.openxmlformats.org/officeDocument/2006/relationships/chart" Target="../charts/chart143.xml"/><Relationship Id="rId6" Type="http://schemas.openxmlformats.org/officeDocument/2006/relationships/chart" Target="../charts/chart144.xml"/></Relationships>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5.xml"/><Relationship Id="rId2" Type="http://schemas.openxmlformats.org/officeDocument/2006/relationships/chart" Target="../charts/chart146.xml"/><Relationship Id="rId3" Type="http://schemas.openxmlformats.org/officeDocument/2006/relationships/chart" Target="../charts/chart147.xml"/><Relationship Id="rId4" Type="http://schemas.openxmlformats.org/officeDocument/2006/relationships/chart" Target="../charts/chart148.xml"/><Relationship Id="rId5" Type="http://schemas.openxmlformats.org/officeDocument/2006/relationships/chart" Target="../charts/chart149.xml"/></Relationships>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0.xml"/><Relationship Id="rId2" Type="http://schemas.openxmlformats.org/officeDocument/2006/relationships/chart" Target="../charts/chart151.xml"/><Relationship Id="rId3" Type="http://schemas.openxmlformats.org/officeDocument/2006/relationships/chart" Target="../charts/chart152.xml"/><Relationship Id="rId4" Type="http://schemas.openxmlformats.org/officeDocument/2006/relationships/chart" Target="../charts/chart1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8</xdr:col>
      <xdr:colOff>161925</xdr:colOff>
      <xdr:row>86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72</xdr:row>
      <xdr:rowOff>0</xdr:rowOff>
    </xdr:from>
    <xdr:to>
      <xdr:col>14</xdr:col>
      <xdr:colOff>161925</xdr:colOff>
      <xdr:row>86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72</xdr:row>
      <xdr:rowOff>0</xdr:rowOff>
    </xdr:from>
    <xdr:to>
      <xdr:col>20</xdr:col>
      <xdr:colOff>190500</xdr:colOff>
      <xdr:row>86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87</xdr:row>
      <xdr:rowOff>0</xdr:rowOff>
    </xdr:from>
    <xdr:to>
      <xdr:col>8</xdr:col>
      <xdr:colOff>161925</xdr:colOff>
      <xdr:row>101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87</xdr:row>
      <xdr:rowOff>0</xdr:rowOff>
    </xdr:from>
    <xdr:to>
      <xdr:col>14</xdr:col>
      <xdr:colOff>161925</xdr:colOff>
      <xdr:row>101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87</xdr:row>
      <xdr:rowOff>0</xdr:rowOff>
    </xdr:from>
    <xdr:to>
      <xdr:col>20</xdr:col>
      <xdr:colOff>190500</xdr:colOff>
      <xdr:row>101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8</xdr:col>
      <xdr:colOff>161925</xdr:colOff>
      <xdr:row>116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102</xdr:row>
      <xdr:rowOff>0</xdr:rowOff>
    </xdr:from>
    <xdr:to>
      <xdr:col>14</xdr:col>
      <xdr:colOff>161925</xdr:colOff>
      <xdr:row>116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20</xdr:col>
      <xdr:colOff>190500</xdr:colOff>
      <xdr:row>116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118</xdr:row>
      <xdr:rowOff>0</xdr:rowOff>
    </xdr:from>
    <xdr:to>
      <xdr:col>8</xdr:col>
      <xdr:colOff>161925</xdr:colOff>
      <xdr:row>133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118</xdr:row>
      <xdr:rowOff>0</xdr:rowOff>
    </xdr:from>
    <xdr:to>
      <xdr:col>14</xdr:col>
      <xdr:colOff>161925</xdr:colOff>
      <xdr:row>133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118</xdr:row>
      <xdr:rowOff>0</xdr:rowOff>
    </xdr:from>
    <xdr:to>
      <xdr:col>20</xdr:col>
      <xdr:colOff>190500</xdr:colOff>
      <xdr:row>133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135</xdr:row>
      <xdr:rowOff>0</xdr:rowOff>
    </xdr:from>
    <xdr:to>
      <xdr:col>8</xdr:col>
      <xdr:colOff>161925</xdr:colOff>
      <xdr:row>150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162</xdr:row>
      <xdr:rowOff>0</xdr:rowOff>
    </xdr:from>
    <xdr:to>
      <xdr:col>4</xdr:col>
      <xdr:colOff>466725</xdr:colOff>
      <xdr:row>171</xdr:row>
      <xdr:rowOff>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162</xdr:row>
      <xdr:rowOff>0</xdr:rowOff>
    </xdr:from>
    <xdr:to>
      <xdr:col>7</xdr:col>
      <xdr:colOff>466725</xdr:colOff>
      <xdr:row>171</xdr:row>
      <xdr:rowOff>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0</xdr:colOff>
      <xdr:row>162</xdr:row>
      <xdr:rowOff>0</xdr:rowOff>
    </xdr:from>
    <xdr:to>
      <xdr:col>10</xdr:col>
      <xdr:colOff>466725</xdr:colOff>
      <xdr:row>171</xdr:row>
      <xdr:rowOff>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0</xdr:colOff>
      <xdr:row>162</xdr:row>
      <xdr:rowOff>0</xdr:rowOff>
    </xdr:from>
    <xdr:to>
      <xdr:col>13</xdr:col>
      <xdr:colOff>466725</xdr:colOff>
      <xdr:row>171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0</xdr:colOff>
      <xdr:row>162</xdr:row>
      <xdr:rowOff>0</xdr:rowOff>
    </xdr:from>
    <xdr:to>
      <xdr:col>16</xdr:col>
      <xdr:colOff>466725</xdr:colOff>
      <xdr:row>171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16</xdr:col>
      <xdr:colOff>0</xdr:colOff>
      <xdr:row>162</xdr:row>
      <xdr:rowOff>0</xdr:rowOff>
    </xdr:from>
    <xdr:to>
      <xdr:col>19</xdr:col>
      <xdr:colOff>466725</xdr:colOff>
      <xdr:row>171</xdr:row>
      <xdr:rowOff>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173</xdr:row>
      <xdr:rowOff>0</xdr:rowOff>
    </xdr:from>
    <xdr:to>
      <xdr:col>8</xdr:col>
      <xdr:colOff>161925</xdr:colOff>
      <xdr:row>187</xdr:row>
      <xdr:rowOff>95250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0</xdr:colOff>
      <xdr:row>173</xdr:row>
      <xdr:rowOff>0</xdr:rowOff>
    </xdr:from>
    <xdr:to>
      <xdr:col>14</xdr:col>
      <xdr:colOff>161925</xdr:colOff>
      <xdr:row>187</xdr:row>
      <xdr:rowOff>95250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</xdr:col>
      <xdr:colOff>0</xdr:colOff>
      <xdr:row>173</xdr:row>
      <xdr:rowOff>0</xdr:rowOff>
    </xdr:from>
    <xdr:to>
      <xdr:col>20</xdr:col>
      <xdr:colOff>190500</xdr:colOff>
      <xdr:row>187</xdr:row>
      <xdr:rowOff>95250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8</xdr:col>
      <xdr:colOff>161925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161925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24</xdr:row>
      <xdr:rowOff>0</xdr:rowOff>
    </xdr:from>
    <xdr:to>
      <xdr:col>20</xdr:col>
      <xdr:colOff>190500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17</xdr:col>
      <xdr:colOff>285750</xdr:colOff>
      <xdr:row>70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8</xdr:col>
      <xdr:colOff>161925</xdr:colOff>
      <xdr:row>103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89</xdr:row>
      <xdr:rowOff>0</xdr:rowOff>
    </xdr:from>
    <xdr:to>
      <xdr:col>14</xdr:col>
      <xdr:colOff>161925</xdr:colOff>
      <xdr:row>103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8</xdr:col>
      <xdr:colOff>161925</xdr:colOff>
      <xdr:row>120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58</xdr:row>
      <xdr:rowOff>57150</xdr:rowOff>
    </xdr:from>
    <xdr:to>
      <xdr:col>13</xdr:col>
      <xdr:colOff>541783</xdr:colOff>
      <xdr:row>59</xdr:row>
      <xdr:rowOff>122683</xdr:rowOff>
    </xdr:to>
    <xdr:pic>
      <xdr:nvPicPr>
        <xdr:cNvPr id="2" name="Picture 1" descr="icon_shieldchec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4825" y="10553700"/>
          <a:ext cx="256033" cy="256033"/>
        </a:xfrm>
        <a:prstGeom prst="rect">
          <a:avLst/>
        </a:prstGeom>
      </xdr:spPr>
    </xdr:pic>
    <xdr:clientData/>
  </xdr:twoCellAnchor>
  <xdr:twoCellAnchor editAs="oneCell">
    <xdr:from>
      <xdr:col>15</xdr:col>
      <xdr:colOff>285750</xdr:colOff>
      <xdr:row>58</xdr:row>
      <xdr:rowOff>57150</xdr:rowOff>
    </xdr:from>
    <xdr:to>
      <xdr:col>15</xdr:col>
      <xdr:colOff>541783</xdr:colOff>
      <xdr:row>59</xdr:row>
      <xdr:rowOff>122683</xdr:rowOff>
    </xdr:to>
    <xdr:pic>
      <xdr:nvPicPr>
        <xdr:cNvPr id="3" name="Picture 2" descr="icon_megaphon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1175" y="10553700"/>
          <a:ext cx="256033" cy="256033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285750</xdr:colOff>
      <xdr:row>58</xdr:row>
      <xdr:rowOff>57150</xdr:rowOff>
    </xdr:from>
    <xdr:to>
      <xdr:col>17</xdr:col>
      <xdr:colOff>541783</xdr:colOff>
      <xdr:row>59</xdr:row>
      <xdr:rowOff>122683</xdr:rowOff>
    </xdr:to>
    <xdr:pic>
      <xdr:nvPicPr>
        <xdr:cNvPr id="4" name="Picture 3" descr="icon_hardha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77525" y="10553700"/>
          <a:ext cx="256033" cy="256033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285750</xdr:colOff>
      <xdr:row>58</xdr:row>
      <xdr:rowOff>57150</xdr:rowOff>
    </xdr:from>
    <xdr:to>
      <xdr:col>19</xdr:col>
      <xdr:colOff>541783</xdr:colOff>
      <xdr:row>59</xdr:row>
      <xdr:rowOff>122683</xdr:rowOff>
    </xdr:to>
    <xdr:pic>
      <xdr:nvPicPr>
        <xdr:cNvPr id="5" name="Picture 4" descr="icon_clipboar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53875" y="10553700"/>
          <a:ext cx="256033" cy="2560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8</xdr:col>
      <xdr:colOff>161925</xdr:colOff>
      <xdr:row>38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161925</xdr:colOff>
      <xdr:row>38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24</xdr:row>
      <xdr:rowOff>0</xdr:rowOff>
    </xdr:from>
    <xdr:to>
      <xdr:col>20</xdr:col>
      <xdr:colOff>190500</xdr:colOff>
      <xdr:row>38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8</xdr:col>
      <xdr:colOff>161925</xdr:colOff>
      <xdr:row>55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41</xdr:row>
      <xdr:rowOff>0</xdr:rowOff>
    </xdr:from>
    <xdr:to>
      <xdr:col>14</xdr:col>
      <xdr:colOff>161925</xdr:colOff>
      <xdr:row>55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41</xdr:row>
      <xdr:rowOff>0</xdr:rowOff>
    </xdr:from>
    <xdr:to>
      <xdr:col>20</xdr:col>
      <xdr:colOff>190500</xdr:colOff>
      <xdr:row>55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8</xdr:col>
      <xdr:colOff>161925</xdr:colOff>
      <xdr:row>72</xdr:row>
      <xdr:rowOff>95250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0</xdr:colOff>
      <xdr:row>58</xdr:row>
      <xdr:rowOff>0</xdr:rowOff>
    </xdr:from>
    <xdr:to>
      <xdr:col>14</xdr:col>
      <xdr:colOff>161925</xdr:colOff>
      <xdr:row>72</xdr:row>
      <xdr:rowOff>95250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55</xdr:row>
      <xdr:rowOff>0</xdr:rowOff>
    </xdr:from>
    <xdr:to>
      <xdr:col>8</xdr:col>
      <xdr:colOff>161925</xdr:colOff>
      <xdr:row>69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82</xdr:row>
      <xdr:rowOff>0</xdr:rowOff>
    </xdr:from>
    <xdr:to>
      <xdr:col>8</xdr:col>
      <xdr:colOff>161925</xdr:colOff>
      <xdr:row>96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8</xdr:col>
      <xdr:colOff>161925</xdr:colOff>
      <xdr:row>66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52</xdr:row>
      <xdr:rowOff>0</xdr:rowOff>
    </xdr:from>
    <xdr:to>
      <xdr:col>14</xdr:col>
      <xdr:colOff>161925</xdr:colOff>
      <xdr:row>66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73</xdr:row>
      <xdr:rowOff>0</xdr:rowOff>
    </xdr:from>
    <xdr:to>
      <xdr:col>8</xdr:col>
      <xdr:colOff>161925</xdr:colOff>
      <xdr:row>87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8</xdr:col>
      <xdr:colOff>161925</xdr:colOff>
      <xdr:row>84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14</xdr:col>
      <xdr:colOff>161925</xdr:colOff>
      <xdr:row>57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8</xdr:col>
      <xdr:colOff>161925</xdr:colOff>
      <xdr:row>40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161925</xdr:colOff>
      <xdr:row>40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190500</xdr:colOff>
      <xdr:row>40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8</xdr:col>
      <xdr:colOff>161925</xdr:colOff>
      <xdr:row>57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_toolbox" displayName="t_toolbox" ref="A3:O1004" totalsRowShown="0">
  <autoFilter ref="A3:O1004"/>
  <tableColumns count="15">
    <tableColumn id="1" name="S.No"/>
    <tableColumn id="2" name="Ref No."/>
    <tableColumn id="3" name="Date"/>
    <tableColumn id="4" name="Month"/>
    <tableColumn id="5" name="Topic"/>
    <tableColumn id="6" name="Department"/>
    <tableColumn id="7" name="Location"/>
    <tableColumn id="8" name="Conducted By"/>
    <tableColumn id="9" name="Target Attendees"/>
    <tableColumn id="10" name="Actual Attendees"/>
    <tableColumn id="11" name="Attendance %"/>
    <tableColumn id="12" name="Duration (min)"/>
    <tableColumn id="13" name="Safety Category"/>
    <tableColumn id="14" name="Action Required"/>
    <tableColumn id="15" name="Effectivenes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jsa" displayName="t_jsa" ref="A3:Q1004" totalsRowShown="0">
  <autoFilter ref="A3:Q1004"/>
  <tableColumns count="17">
    <tableColumn id="1" name="S.No"/>
    <tableColumn id="2" name="JSA No."/>
    <tableColumn id="3" name="Date"/>
    <tableColumn id="4" name="Month"/>
    <tableColumn id="5" name="Task/Activity"/>
    <tableColumn id="6" name="Department"/>
    <tableColumn id="7" name="Location"/>
    <tableColumn id="8" name="Assessed By"/>
    <tableColumn id="9" name="Approved By"/>
    <tableColumn id="10" name="Risk Level"/>
    <tableColumn id="11" name="Hazards Identified"/>
    <tableColumn id="12" name="Assessment Type"/>
    <tableColumn id="13" name="Approval Status"/>
    <tableColumn id="14" name="Controls Implemented"/>
    <tableColumn id="15" name="Compliance"/>
    <tableColumn id="16" name="Likelihood"/>
    <tableColumn id="17" name="Conseque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training" displayName="t_training" ref="A3:Q1004" totalsRowShown="0">
  <autoFilter ref="A3:Q1004"/>
  <tableColumns count="17">
    <tableColumn id="1" name="S.No"/>
    <tableColumn id="2" name="Training ID"/>
    <tableColumn id="3" name="Date"/>
    <tableColumn id="4" name="Month"/>
    <tableColumn id="5" name="Course Name"/>
    <tableColumn id="6" name="Training Type"/>
    <tableColumn id="7" name="Department"/>
    <tableColumn id="8" name="Trainer"/>
    <tableColumn id="9" name="Mode"/>
    <tableColumn id="10" name="Target Attendees"/>
    <tableColumn id="11" name="Actual Attendees"/>
    <tableColumn id="12" name="Attendance %"/>
    <tableColumn id="13" name="Duration (hrs)"/>
    <tableColumn id="14" name="Status"/>
    <tableColumn id="15" name="Assessment Result"/>
    <tableColumn id="16" name="Certificate Issued"/>
    <tableColumn id="17" name="Certificate Expir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hseobs" displayName="t_hseobs" ref="A3:O1004" totalsRowShown="0">
  <autoFilter ref="A3:O1004"/>
  <tableColumns count="15">
    <tableColumn id="1" name="S.No"/>
    <tableColumn id="2" name="Obs No."/>
    <tableColumn id="3" name="Date"/>
    <tableColumn id="4" name="Month"/>
    <tableColumn id="5" name="Observation Type"/>
    <tableColumn id="6" name="Description"/>
    <tableColumn id="7" name="Department"/>
    <tableColumn id="8" name="Location"/>
    <tableColumn id="9" name="Observed By"/>
    <tableColumn id="10" name="Responsible Person"/>
    <tableColumn id="11" name="Category"/>
    <tableColumn id="12" name="Risk Level"/>
    <tableColumn id="13" name="Status"/>
    <tableColumn id="14" name="Action Taken"/>
    <tableColumn id="15" name="Due D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wpinsp" displayName="t_wpinsp" ref="A3:O1004" totalsRowShown="0">
  <autoFilter ref="A3:O1004"/>
  <tableColumns count="15">
    <tableColumn id="1" name="S.No"/>
    <tableColumn id="2" name="Ref No."/>
    <tableColumn id="3" name="Date"/>
    <tableColumn id="4" name="Month"/>
    <tableColumn id="5" name="Inspection Area/Item"/>
    <tableColumn id="6" name="Department"/>
    <tableColumn id="7" name="Location"/>
    <tableColumn id="8" name="Inspector"/>
    <tableColumn id="9" name="Checkpoints Inspected"/>
    <tableColumn id="10" name="Non-Conformances"/>
    <tableColumn id="11" name="Critical Findings"/>
    <tableColumn id="12" name="Overall Rating"/>
    <tableColumn id="13" name="Status"/>
    <tableColumn id="14" name="Corrective Action"/>
    <tableColumn id="15" name="Due 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eqinsp" displayName="t_eqinsp" ref="A3:O1004" totalsRowShown="0">
  <autoFilter ref="A3:O1004"/>
  <tableColumns count="15">
    <tableColumn id="1" name="S.No"/>
    <tableColumn id="2" name="Ref No."/>
    <tableColumn id="3" name="Date"/>
    <tableColumn id="4" name="Month"/>
    <tableColumn id="5" name="Inspection Area/Item"/>
    <tableColumn id="6" name="Department"/>
    <tableColumn id="7" name="Location"/>
    <tableColumn id="8" name="Inspector"/>
    <tableColumn id="9" name="Checkpoints Inspected"/>
    <tableColumn id="10" name="Non-Conformances"/>
    <tableColumn id="11" name="Critical Findings"/>
    <tableColumn id="12" name="Overall Rating"/>
    <tableColumn id="13" name="Status"/>
    <tableColumn id="14" name="Corrective Action"/>
    <tableColumn id="15" name="Due Da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_walk" displayName="t_walk" ref="A3:O1004" totalsRowShown="0">
  <autoFilter ref="A3:O1004"/>
  <tableColumns count="15">
    <tableColumn id="1" name="S.No"/>
    <tableColumn id="2" name="Ref No."/>
    <tableColumn id="3" name="Date"/>
    <tableColumn id="4" name="Month"/>
    <tableColumn id="5" name="Inspection Area/Item"/>
    <tableColumn id="6" name="Department"/>
    <tableColumn id="7" name="Location"/>
    <tableColumn id="8" name="Inspector"/>
    <tableColumn id="9" name="Checkpoints Inspected"/>
    <tableColumn id="10" name="Non-Conformances"/>
    <tableColumn id="11" name="Critical Findings"/>
    <tableColumn id="12" name="Overall Rating"/>
    <tableColumn id="13" name="Status"/>
    <tableColumn id="14" name="Corrective Action"/>
    <tableColumn id="15" name="Due Dat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_meetings" displayName="t_meetings" ref="A3:P1004" totalsRowShown="0">
  <autoFilter ref="A3:P1004"/>
  <tableColumns count="16">
    <tableColumn id="1" name="S.No"/>
    <tableColumn id="2" name="Meeting ID"/>
    <tableColumn id="3" name="Date"/>
    <tableColumn id="4" name="Month"/>
    <tableColumn id="5" name="Frequency"/>
    <tableColumn id="6" name="Topic/Agenda"/>
    <tableColumn id="7" name="Department"/>
    <tableColumn id="8" name="Chaired By"/>
    <tableColumn id="9" name="Invited"/>
    <tableColumn id="10" name="Attended"/>
    <tableColumn id="11" name="Attendance %"/>
    <tableColumn id="12" name="Duration (min)"/>
    <tableColumn id="13" name="Action Items Raised"/>
    <tableColumn id="14" name="Actions Closed"/>
    <tableColumn id="15" name="Close-out %"/>
    <tableColumn id="16" name="MoM Circulate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_bulletins" displayName="t_bulletins" ref="A3:N1004" totalsRowShown="0">
  <autoFilter ref="A3:N1004"/>
  <tableColumns count="14">
    <tableColumn id="1" name="S.No"/>
    <tableColumn id="2" name="Bulletin No."/>
    <tableColumn id="3" name="Date Issued"/>
    <tableColumn id="4" name="Month"/>
    <tableColumn id="5" name="Type"/>
    <tableColumn id="6" name="Subject/Title"/>
    <tableColumn id="7" name="Target Audience"/>
    <tableColumn id="8" name="Issued By"/>
    <tableColumn id="9" name="Distribution Method"/>
    <tableColumn id="10" name="Priority"/>
    <tableColumn id="11" name="Status"/>
    <tableColumn id="12" name="Target Reach"/>
    <tableColumn id="13" name="Actual Reach"/>
    <tableColumn id="14" name="Reach %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_drills" displayName="t_drills" ref="A3:O1004" totalsRowShown="0">
  <autoFilter ref="A3:O1004"/>
  <tableColumns count="15">
    <tableColumn id="1" name="S.No"/>
    <tableColumn id="2" name="Drill ID"/>
    <tableColumn id="3" name="Date"/>
    <tableColumn id="4" name="Month"/>
    <tableColumn id="5" name="Drill Type"/>
    <tableColumn id="6" name="Location"/>
    <tableColumn id="7" name="Drill Leader"/>
    <tableColumn id="8" name="Target Participants"/>
    <tableColumn id="9" name="Actual Participants"/>
    <tableColumn id="10" name="Participation %"/>
    <tableColumn id="11" name="Target Response (min)"/>
    <tableColumn id="12" name="Actual Response (min)"/>
    <tableColumn id="13" name="Overall Rating"/>
    <tableColumn id="14" name="Improvement Areas"/>
    <tableColumn id="15" name="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_iaudit" displayName="t_iaudit" ref="A3:P1004" totalsRowShown="0">
  <autoFilter ref="A3:P1004"/>
  <tableColumns count="16">
    <tableColumn id="1" name="S.No"/>
    <tableColumn id="2" name="Audit No."/>
    <tableColumn id="3" name="Date"/>
    <tableColumn id="4" name="Month"/>
    <tableColumn id="5" name="Audit Scope"/>
    <tableColumn id="6" name="Audit Type"/>
    <tableColumn id="7" name="Department"/>
    <tableColumn id="8" name="Location"/>
    <tableColumn id="9" name="Lead Auditor"/>
    <tableColumn id="10" name="Approved By"/>
    <tableColumn id="11" name="Checklist Items"/>
    <tableColumn id="12" name="Minor NC"/>
    <tableColumn id="13" name="Major NC"/>
    <tableColumn id="14" name="Observations"/>
    <tableColumn id="15" name="Recommendations"/>
    <tableColumn id="16" name="Stat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_eaudit" displayName="t_eaudit" ref="A3:P1004" totalsRowShown="0">
  <autoFilter ref="A3:P1004"/>
  <tableColumns count="16">
    <tableColumn id="1" name="S.No"/>
    <tableColumn id="2" name="Audit No."/>
    <tableColumn id="3" name="Date"/>
    <tableColumn id="4" name="Month"/>
    <tableColumn id="5" name="Audit Scope"/>
    <tableColumn id="6" name="Audit Type"/>
    <tableColumn id="7" name="Department"/>
    <tableColumn id="8" name="Location"/>
    <tableColumn id="9" name="Lead Auditor"/>
    <tableColumn id="10" name="Approved By"/>
    <tableColumn id="11" name="Checklist Items"/>
    <tableColumn id="12" name="Minor NC"/>
    <tableColumn id="13" name="Major NC"/>
    <tableColumn id="14" name="Observations"/>
    <tableColumn id="15" name="Recommendations"/>
    <tableColumn id="16" name="Statu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_mgmtvisit" displayName="t_mgmtvisit" ref="A3:N1004" totalsRowShown="0">
  <autoFilter ref="A3:N1004"/>
  <tableColumns count="14">
    <tableColumn id="1" name="S.No"/>
    <tableColumn id="2" name="Visit ID"/>
    <tableColumn id="3" name="Date"/>
    <tableColumn id="4" name="Month"/>
    <tableColumn id="5" name="Visit Type"/>
    <tableColumn id="6" name="Department"/>
    <tableColumn id="7" name="Location"/>
    <tableColumn id="8" name="Visited By"/>
    <tableColumn id="9" name="Duration (min)"/>
    <tableColumn id="10" name="Observations Made"/>
    <tableColumn id="11" name="Actions Raised"/>
    <tableColumn id="12" name="Actions Closed"/>
    <tableColumn id="13" name="Close-out %"/>
    <tableColumn id="14" name="Statu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_mgmtreview" displayName="t_mgmtreview" ref="A3:O1004" totalsRowShown="0">
  <autoFilter ref="A3:O1004"/>
  <tableColumns count="15">
    <tableColumn id="1" name="S.No"/>
    <tableColumn id="2" name="Review ID"/>
    <tableColumn id="3" name="Date"/>
    <tableColumn id="4" name="Month"/>
    <tableColumn id="5" name="Review Topic"/>
    <tableColumn id="6" name="Chaired By"/>
    <tableColumn id="7" name="Members Invited"/>
    <tableColumn id="8" name="Members Attended"/>
    <tableColumn id="9" name="Attendance %"/>
    <tableColumn id="10" name="Duration (min)"/>
    <tableColumn id="11" name="Decisions Made"/>
    <tableColumn id="12" name="Actions Assigned"/>
    <tableColumn id="13" name="Close-out %"/>
    <tableColumn id="14" name="MoM Distributed"/>
    <tableColumn id="15" name="Statu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_disc" displayName="t_disc" ref="A3:K1004" totalsRowShown="0">
  <autoFilter ref="A3:K1004"/>
  <tableColumns count="11">
    <tableColumn id="1" name="S.No"/>
    <tableColumn id="2" name="Case No."/>
    <tableColumn id="3" name="Date"/>
    <tableColumn id="4" name="Month"/>
    <tableColumn id="5" name="Violation Type"/>
    <tableColumn id="6" name="Department"/>
    <tableColumn id="7" name="Employee Name"/>
    <tableColumn id="8" name="Action Taken"/>
    <tableColumn id="9" name="Offense Level"/>
    <tableColumn id="10" name="Approved By"/>
    <tableColumn id="11" name="Statu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_awards" displayName="t_awards" ref="A3:J1004" totalsRowShown="0">
  <autoFilter ref="A3:J1004"/>
  <tableColumns count="10">
    <tableColumn id="1" name="S.No"/>
    <tableColumn id="2" name="Award ID"/>
    <tableColumn id="3" name="Date"/>
    <tableColumn id="4" name="Month"/>
    <tableColumn id="5" name="Award Category"/>
    <tableColumn id="6" name="Department"/>
    <tableColumn id="7" name="Recipient"/>
    <tableColumn id="8" name="Reward Type"/>
    <tableColumn id="9" name="Presented By"/>
    <tableColumn id="10" name="Statu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_swa" displayName="t_swa" ref="A3:M1004" totalsRowShown="0">
  <autoFilter ref="A3:M1004"/>
  <tableColumns count="13">
    <tableColumn id="1" name="S.No"/>
    <tableColumn id="2" name="SWA No."/>
    <tableColumn id="3" name="Date"/>
    <tableColumn id="4" name="Month"/>
    <tableColumn id="5" name="Reason for Stop Work"/>
    <tableColumn id="6" name="Department"/>
    <tableColumn id="7" name="Location"/>
    <tableColumn id="8" name="Initiated By"/>
    <tableColumn id="9" name="Authorized By"/>
    <tableColumn id="10" name="Downtime (min)"/>
    <tableColumn id="11" name="Severity"/>
    <tableColumn id="12" name="Resolution"/>
    <tableColumn id="13" name="Investigation D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_alcohol" displayName="t_alcohol" ref="A3:J1004" totalsRowShown="0">
  <autoFilter ref="A3:J1004"/>
  <tableColumns count="10">
    <tableColumn id="1" name="S.No"/>
    <tableColumn id="2" name="Test ID"/>
    <tableColumn id="3" name="Date"/>
    <tableColumn id="4" name="Month"/>
    <tableColumn id="5" name="Department"/>
    <tableColumn id="6" name="Employee Tested"/>
    <tableColumn id="7" name="Test Type"/>
    <tableColumn id="8" name="Result"/>
    <tableColumn id="9" name="Tested By"/>
    <tableColumn id="10" name="Statu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_ptwaudit" displayName="t_ptwaudit" ref="A3:N1004" totalsRowShown="0">
  <autoFilter ref="A3:N1004"/>
  <tableColumns count="14">
    <tableColumn id="1" name="S.No"/>
    <tableColumn id="2" name="Audit No."/>
    <tableColumn id="3" name="Date"/>
    <tableColumn id="4" name="Month"/>
    <tableColumn id="5" name="Permit Type Audited"/>
    <tableColumn id="6" name="Department"/>
    <tableColumn id="7" name="Location"/>
    <tableColumn id="8" name="Auditor"/>
    <tableColumn id="9" name="Permits Reviewed"/>
    <tableColumn id="10" name="Deviations Found"/>
    <tableColumn id="11" name="Total Checkpoints"/>
    <tableColumn id="12" name="Compliance %"/>
    <tableColumn id="13" name="Verdict"/>
    <tableColumn id="14" name="Action Required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_ca" displayName="t_ca" ref="A3:O1004" totalsRowShown="0">
  <autoFilter ref="A3:O1004"/>
  <tableColumns count="15">
    <tableColumn id="1" name="S.No"/>
    <tableColumn id="2" name="CA No."/>
    <tableColumn id="3" name="Date Raised"/>
    <tableColumn id="4" name="Month"/>
    <tableColumn id="5" name="Source"/>
    <tableColumn id="6" name="Department"/>
    <tableColumn id="7" name="Location"/>
    <tableColumn id="8" name="Corrective Action"/>
    <tableColumn id="9" name="Priority"/>
    <tableColumn id="10" name="Assigned To"/>
    <tableColumn id="11" name="Verified By"/>
    <tableColumn id="12" name="Due Date"/>
    <tableColumn id="13" name="Completion Date"/>
    <tableColumn id="14" name="Status"/>
    <tableColumn id="15" name="Timelines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_nc" displayName="t_nc" ref="A3:N1004" totalsRowShown="0">
  <autoFilter ref="A3:N1004"/>
  <tableColumns count="14">
    <tableColumn id="1" name="S.No"/>
    <tableColumn id="2" name="NC No."/>
    <tableColumn id="3" name="Date Raised"/>
    <tableColumn id="4" name="Month"/>
    <tableColumn id="5" name="Source"/>
    <tableColumn id="6" name="Severity"/>
    <tableColumn id="7" name="Department"/>
    <tableColumn id="8" name="NC Description"/>
    <tableColumn id="9" name="Assigned To"/>
    <tableColumn id="10" name="Approved By"/>
    <tableColumn id="11" name="Target Close Date"/>
    <tableColumn id="12" name="Actual Close Date"/>
    <tableColumn id="13" name="Status"/>
    <tableColumn id="14" name="Root Cause / CAP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_unsafeact" displayName="t_unsafeact" ref="A3:M1004" totalsRowShown="0">
  <autoFilter ref="A3:M1004"/>
  <tableColumns count="13">
    <tableColumn id="1" name="S.No"/>
    <tableColumn id="2" name="Report No."/>
    <tableColumn id="3" name="Date"/>
    <tableColumn id="4" name="Month"/>
    <tableColumn id="5" name="Description"/>
    <tableColumn id="6" name="Department"/>
    <tableColumn id="7" name="Location"/>
    <tableColumn id="8" name="Reported By"/>
    <tableColumn id="9" name="Risk Level"/>
    <tableColumn id="10" name="Immediate Action"/>
    <tableColumn id="11" name="Corrective Action"/>
    <tableColumn id="12" name="Due Date"/>
    <tableColumn id="13" name="Status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_unsafecond" displayName="t_unsafecond" ref="A3:M1004" totalsRowShown="0">
  <autoFilter ref="A3:M1004"/>
  <tableColumns count="13">
    <tableColumn id="1" name="S.No"/>
    <tableColumn id="2" name="Report No."/>
    <tableColumn id="3" name="Date"/>
    <tableColumn id="4" name="Month"/>
    <tableColumn id="5" name="Description"/>
    <tableColumn id="6" name="Department"/>
    <tableColumn id="7" name="Location"/>
    <tableColumn id="8" name="Reported By"/>
    <tableColumn id="9" name="Risk Level"/>
    <tableColumn id="10" name="Immediate Action"/>
    <tableColumn id="11" name="Corrective Action"/>
    <tableColumn id="12" name="Due Date"/>
    <tableColumn id="13" name="Status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_incident" displayName="t_incident" ref="A3:AD1004" totalsRowShown="0">
  <autoFilter ref="A3:AD1004"/>
  <tableColumns count="30">
    <tableColumn id="1" name="S.No"/>
    <tableColumn id="2" name="Incident ID"/>
    <tableColumn id="3" name="Date"/>
    <tableColumn id="4" name="Month"/>
    <tableColumn id="5" name="Week"/>
    <tableColumn id="6" name="Quarter"/>
    <tableColumn id="7" name="Financial Year"/>
    <tableColumn id="8" name="Department"/>
    <tableColumn id="9" name="Area"/>
    <tableColumn id="10" name="Production Line"/>
    <tableColumn id="11" name="Shift"/>
    <tableColumn id="12" name="Location"/>
    <tableColumn id="13" name="Incident Type"/>
    <tableColumn id="14" name="Classification"/>
    <tableColumn id="15" name="Person Involved"/>
    <tableColumn id="16" name="Person Type"/>
    <tableColumn id="17" name="Body Part"/>
    <tableColumn id="18" name="Description"/>
    <tableColumn id="19" name="Immediate Cause"/>
    <tableColumn id="20" name="Root Cause"/>
    <tableColumn id="21" name="Risk Rating"/>
    <tableColumn id="22" name="Lost Days"/>
    <tableColumn id="23" name="Corrective Action"/>
    <tableColumn id="24" name="Preventive Action"/>
    <tableColumn id="25" name="Responsible"/>
    <tableColumn id="26" name="Target Date"/>
    <tableColumn id="27" name="Closure Date"/>
    <tableColumn id="28" name="Status"/>
    <tableColumn id="29" name="Ageing (Days)"/>
    <tableColumn id="30" name="Evidence Link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_environment" displayName="t_environment" ref="A3:N1004" totalsRowShown="0">
  <autoFilter ref="A3:N1004"/>
  <tableColumns count="14">
    <tableColumn id="1" name="S.No"/>
    <tableColumn id="2" name="Record No."/>
    <tableColumn id="3" name="Date"/>
    <tableColumn id="4" name="Month"/>
    <tableColumn id="5" name="Department"/>
    <tableColumn id="6" name="Location"/>
    <tableColumn id="7" name="Waste Type"/>
    <tableColumn id="8" name="Waste Generated (kg)"/>
    <tableColumn id="9" name="Waste Recycled (kg)"/>
    <tableColumn id="10" name="Recycle Rate %"/>
    <tableColumn id="11" name="Energy Consumption (kWh)"/>
    <tableColumn id="12" name="Water Consumption (m3)"/>
    <tableColumn id="13" name="Fuel Consumption (L)"/>
    <tableColumn id="14" name="Remarks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_investigation" displayName="t_investigation" ref="A3:P303" totalsRowShown="0">
  <autoFilter ref="A3:P303"/>
  <tableColumns count="16">
    <tableColumn id="1" name="S.No"/>
    <tableColumn id="2" name="Investigation ID"/>
    <tableColumn id="3" name="Date"/>
    <tableColumn id="4" name="Incident ID"/>
    <tableColumn id="5" name="NC No."/>
    <tableColumn id="6" name="Department"/>
    <tableColumn id="7" name="Classification / Severity"/>
    <tableColumn id="8" name="Why 1"/>
    <tableColumn id="9" name="Why 2"/>
    <tableColumn id="10" name="Why 3"/>
    <tableColumn id="11" name="Why 4"/>
    <tableColumn id="12" name="Why 5"/>
    <tableColumn id="13" name="Root Cause"/>
    <tableColumn id="14" name="Corrective Action"/>
    <tableColumn id="15" name="Investigator"/>
    <tableColumn id="16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
<Relationships xmlns="http://schemas.openxmlformats.org/package/2006/relationships"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rgb="FF64748B"/>
    <pageSetUpPr fitToPage="1"/>
  </sheetPr>
  <dimension ref="A1:Q1003"/>
  <sheetViews>
    <sheetView tabSelected="1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5" width="9.7109375" style="1" customWidth="1"/>
    <col min="6" max="6" width="12.7109375" style="1" customWidth="1"/>
    <col min="7" max="7" width="10.7109375" style="1" customWidth="1"/>
    <col min="8" max="8" width="14.7109375" style="1" customWidth="1"/>
    <col min="9" max="10" width="18.7109375" style="1" customWidth="1"/>
    <col min="11" max="11" width="14.7109375" style="2" customWidth="1"/>
    <col min="12" max="12" width="16.7109375" style="1" customWidth="1"/>
    <col min="13" max="14" width="17.7109375" style="1" customWidth="1"/>
    <col min="15" max="15" width="15.7109375" style="1" customWidth="1"/>
  </cols>
  <sheetData>
    <row r="1" spans="1:17" ht="22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125</v>
      </c>
      <c r="C3" s="1" t="s">
        <v>126</v>
      </c>
      <c r="D3" s="1" t="s">
        <v>127</v>
      </c>
      <c r="E3" s="1" t="s">
        <v>128</v>
      </c>
      <c r="F3" s="1" t="s">
        <v>129</v>
      </c>
      <c r="G3" s="1" t="s">
        <v>130</v>
      </c>
      <c r="H3" s="1" t="s">
        <v>131</v>
      </c>
      <c r="I3" s="1" t="s">
        <v>132</v>
      </c>
      <c r="J3" s="1" t="s">
        <v>133</v>
      </c>
      <c r="K3" s="2" t="s">
        <v>134</v>
      </c>
      <c r="L3" s="1" t="s">
        <v>135</v>
      </c>
      <c r="M3" s="1" t="s">
        <v>136</v>
      </c>
      <c r="N3" s="1" t="s">
        <v>137</v>
      </c>
      <c r="O3" s="1" t="s">
        <v>138</v>
      </c>
    </row>
    <row r="4" spans="1:17">
      <c r="A4" s="1">
        <v>1</v>
      </c>
      <c r="B4" s="1" t="s">
        <v>2</v>
      </c>
      <c r="C4" s="5">
        <v>46040</v>
      </c>
      <c r="D4" s="1" t="s">
        <v>3</v>
      </c>
      <c r="E4" s="6" t="s">
        <v>4</v>
      </c>
      <c r="F4" s="6" t="s">
        <v>5</v>
      </c>
      <c r="G4" s="1" t="s">
        <v>6</v>
      </c>
      <c r="H4" s="1" t="s">
        <v>7</v>
      </c>
      <c r="I4" s="1">
        <v>56</v>
      </c>
      <c r="J4" s="1">
        <v>17</v>
      </c>
      <c r="K4" s="2">
        <f>IFERROR(J4/I4*100,0)</f>
        <v>0</v>
      </c>
      <c r="L4" s="1">
        <v>35</v>
      </c>
      <c r="M4" s="1" t="s">
        <v>8</v>
      </c>
      <c r="N4" s="1" t="s">
        <v>9</v>
      </c>
      <c r="O4" s="1" t="s">
        <v>10</v>
      </c>
    </row>
    <row r="5" spans="1:17">
      <c r="A5" s="1">
        <v>2</v>
      </c>
      <c r="B5" s="1" t="s">
        <v>11</v>
      </c>
      <c r="C5" s="5">
        <v>46027</v>
      </c>
      <c r="D5" s="1" t="s">
        <v>3</v>
      </c>
      <c r="E5" s="6" t="s">
        <v>12</v>
      </c>
      <c r="F5" s="6" t="s">
        <v>13</v>
      </c>
      <c r="G5" s="1" t="s">
        <v>14</v>
      </c>
      <c r="H5" s="1" t="s">
        <v>15</v>
      </c>
      <c r="I5" s="1">
        <v>51</v>
      </c>
      <c r="J5" s="1">
        <v>29</v>
      </c>
      <c r="K5" s="2">
        <f>IFERROR(J5/I5*100,0)</f>
        <v>0</v>
      </c>
      <c r="L5" s="1">
        <v>18</v>
      </c>
      <c r="M5" s="1" t="s">
        <v>16</v>
      </c>
      <c r="N5" s="1" t="s">
        <v>9</v>
      </c>
      <c r="O5" s="1" t="s">
        <v>17</v>
      </c>
    </row>
    <row r="6" spans="1:17">
      <c r="A6" s="1">
        <v>3</v>
      </c>
      <c r="B6" s="1" t="s">
        <v>18</v>
      </c>
      <c r="C6" s="5">
        <v>46064</v>
      </c>
      <c r="D6" s="1" t="s">
        <v>19</v>
      </c>
      <c r="E6" s="6" t="s">
        <v>20</v>
      </c>
      <c r="F6" s="6" t="s">
        <v>13</v>
      </c>
      <c r="G6" s="1" t="s">
        <v>21</v>
      </c>
      <c r="H6" s="1" t="s">
        <v>22</v>
      </c>
      <c r="I6" s="1">
        <v>16</v>
      </c>
      <c r="J6" s="1">
        <v>24</v>
      </c>
      <c r="K6" s="2">
        <f>IFERROR(J6/I6*100,0)</f>
        <v>0</v>
      </c>
      <c r="L6" s="1">
        <v>91</v>
      </c>
      <c r="M6" s="1" t="s">
        <v>8</v>
      </c>
      <c r="N6" s="1" t="s">
        <v>23</v>
      </c>
      <c r="O6" s="1" t="s">
        <v>24</v>
      </c>
    </row>
    <row r="7" spans="1:17">
      <c r="A7" s="1">
        <v>4</v>
      </c>
      <c r="B7" s="1" t="s">
        <v>25</v>
      </c>
      <c r="C7" s="5">
        <v>46068</v>
      </c>
      <c r="D7" s="1" t="s">
        <v>19</v>
      </c>
      <c r="E7" s="6" t="s">
        <v>26</v>
      </c>
      <c r="F7" s="6" t="s">
        <v>27</v>
      </c>
      <c r="G7" s="1" t="s">
        <v>21</v>
      </c>
      <c r="H7" s="1" t="s">
        <v>28</v>
      </c>
      <c r="I7" s="1">
        <v>53</v>
      </c>
      <c r="J7" s="1">
        <v>30</v>
      </c>
      <c r="K7" s="2">
        <f>IFERROR(J7/I7*100,0)</f>
        <v>0</v>
      </c>
      <c r="L7" s="1">
        <v>41</v>
      </c>
      <c r="M7" s="1" t="s">
        <v>16</v>
      </c>
      <c r="N7" s="1" t="s">
        <v>23</v>
      </c>
      <c r="O7" s="1" t="s">
        <v>17</v>
      </c>
    </row>
    <row r="8" spans="1:17">
      <c r="A8" s="1">
        <v>5</v>
      </c>
      <c r="B8" s="1" t="s">
        <v>29</v>
      </c>
      <c r="C8" s="5">
        <v>46075</v>
      </c>
      <c r="D8" s="1" t="s">
        <v>19</v>
      </c>
      <c r="E8" s="6" t="s">
        <v>30</v>
      </c>
      <c r="F8" s="6" t="s">
        <v>27</v>
      </c>
      <c r="G8" s="1" t="s">
        <v>31</v>
      </c>
      <c r="H8" s="1" t="s">
        <v>32</v>
      </c>
      <c r="I8" s="1">
        <v>21</v>
      </c>
      <c r="J8" s="1">
        <v>51</v>
      </c>
      <c r="K8" s="2">
        <f>IFERROR(J8/I8*100,0)</f>
        <v>0</v>
      </c>
      <c r="L8" s="1">
        <v>95</v>
      </c>
      <c r="M8" s="1" t="s">
        <v>33</v>
      </c>
      <c r="N8" s="1" t="s">
        <v>23</v>
      </c>
      <c r="O8" s="1" t="s">
        <v>17</v>
      </c>
    </row>
    <row r="9" spans="1:17">
      <c r="A9" s="1">
        <v>6</v>
      </c>
      <c r="B9" s="1" t="s">
        <v>34</v>
      </c>
      <c r="C9" s="5">
        <v>46063</v>
      </c>
      <c r="D9" s="1" t="s">
        <v>19</v>
      </c>
      <c r="E9" s="6" t="s">
        <v>20</v>
      </c>
      <c r="F9" s="6" t="s">
        <v>5</v>
      </c>
      <c r="G9" s="1" t="s">
        <v>35</v>
      </c>
      <c r="H9" s="1" t="s">
        <v>36</v>
      </c>
      <c r="I9" s="1">
        <v>18</v>
      </c>
      <c r="J9" s="1">
        <v>55</v>
      </c>
      <c r="K9" s="2">
        <f>IFERROR(J9/I9*100,0)</f>
        <v>0</v>
      </c>
      <c r="L9" s="1">
        <v>109</v>
      </c>
      <c r="M9" s="1" t="s">
        <v>33</v>
      </c>
      <c r="N9" s="1" t="s">
        <v>9</v>
      </c>
      <c r="O9" s="1" t="s">
        <v>24</v>
      </c>
    </row>
    <row r="10" spans="1:17">
      <c r="A10" s="1">
        <v>7</v>
      </c>
      <c r="B10" s="1" t="s">
        <v>37</v>
      </c>
      <c r="C10" s="5">
        <v>46056</v>
      </c>
      <c r="D10" s="1" t="s">
        <v>19</v>
      </c>
      <c r="E10" s="6" t="s">
        <v>38</v>
      </c>
      <c r="F10" s="6" t="s">
        <v>39</v>
      </c>
      <c r="G10" s="1" t="s">
        <v>40</v>
      </c>
      <c r="H10" s="1" t="s">
        <v>41</v>
      </c>
      <c r="I10" s="1">
        <v>45</v>
      </c>
      <c r="J10" s="1">
        <v>26</v>
      </c>
      <c r="K10" s="2">
        <f>IFERROR(J10/I10*100,0)</f>
        <v>0</v>
      </c>
      <c r="L10" s="1">
        <v>54</v>
      </c>
      <c r="M10" s="1" t="s">
        <v>33</v>
      </c>
      <c r="N10" s="1" t="s">
        <v>9</v>
      </c>
      <c r="O10" s="1" t="s">
        <v>42</v>
      </c>
    </row>
    <row r="11" spans="1:17">
      <c r="A11" s="1">
        <v>8</v>
      </c>
      <c r="B11" s="1" t="s">
        <v>43</v>
      </c>
      <c r="C11" s="5">
        <v>46095</v>
      </c>
      <c r="D11" s="1" t="s">
        <v>44</v>
      </c>
      <c r="E11" s="6" t="s">
        <v>45</v>
      </c>
      <c r="F11" s="6" t="s">
        <v>46</v>
      </c>
      <c r="G11" s="1" t="s">
        <v>21</v>
      </c>
      <c r="H11" s="1" t="s">
        <v>36</v>
      </c>
      <c r="I11" s="1">
        <v>41</v>
      </c>
      <c r="J11" s="1">
        <v>33</v>
      </c>
      <c r="K11" s="2">
        <f>IFERROR(J11/I11*100,0)</f>
        <v>0</v>
      </c>
      <c r="L11" s="1">
        <v>27</v>
      </c>
      <c r="M11" s="1" t="s">
        <v>47</v>
      </c>
      <c r="N11" s="1" t="s">
        <v>23</v>
      </c>
      <c r="O11" s="1" t="s">
        <v>42</v>
      </c>
    </row>
    <row r="12" spans="1:17">
      <c r="A12" s="1">
        <v>9</v>
      </c>
      <c r="B12" s="1" t="s">
        <v>48</v>
      </c>
      <c r="C12" s="5">
        <v>46102</v>
      </c>
      <c r="D12" s="1" t="s">
        <v>44</v>
      </c>
      <c r="E12" s="6" t="s">
        <v>49</v>
      </c>
      <c r="F12" s="6" t="s">
        <v>50</v>
      </c>
      <c r="G12" s="1" t="s">
        <v>51</v>
      </c>
      <c r="H12" s="1" t="s">
        <v>7</v>
      </c>
      <c r="I12" s="1">
        <v>32</v>
      </c>
      <c r="J12" s="1">
        <v>43</v>
      </c>
      <c r="K12" s="2">
        <f>IFERROR(J12/I12*100,0)</f>
        <v>0</v>
      </c>
      <c r="L12" s="1">
        <v>104</v>
      </c>
      <c r="M12" s="1" t="s">
        <v>16</v>
      </c>
      <c r="N12" s="1" t="s">
        <v>9</v>
      </c>
      <c r="O12" s="1" t="s">
        <v>42</v>
      </c>
    </row>
    <row r="13" spans="1:17">
      <c r="A13" s="1">
        <v>10</v>
      </c>
      <c r="B13" s="1" t="s">
        <v>52</v>
      </c>
      <c r="C13" s="5">
        <v>46124</v>
      </c>
      <c r="D13" s="1" t="s">
        <v>53</v>
      </c>
      <c r="E13" s="6" t="s">
        <v>54</v>
      </c>
      <c r="F13" s="6" t="s">
        <v>5</v>
      </c>
      <c r="G13" s="1" t="s">
        <v>21</v>
      </c>
      <c r="H13" s="1" t="s">
        <v>28</v>
      </c>
      <c r="I13" s="1">
        <v>45</v>
      </c>
      <c r="J13" s="1">
        <v>40</v>
      </c>
      <c r="K13" s="2">
        <f>IFERROR(J13/I13*100,0)</f>
        <v>0</v>
      </c>
      <c r="L13" s="1">
        <v>115</v>
      </c>
      <c r="M13" s="1" t="s">
        <v>55</v>
      </c>
      <c r="N13" s="1" t="s">
        <v>23</v>
      </c>
      <c r="O13" s="1" t="s">
        <v>42</v>
      </c>
    </row>
    <row r="14" spans="1:17">
      <c r="A14" s="1">
        <v>11</v>
      </c>
      <c r="B14" s="1" t="s">
        <v>56</v>
      </c>
      <c r="C14" s="5">
        <v>46140</v>
      </c>
      <c r="D14" s="1" t="s">
        <v>53</v>
      </c>
      <c r="E14" s="6" t="s">
        <v>57</v>
      </c>
      <c r="F14" s="6" t="s">
        <v>58</v>
      </c>
      <c r="G14" s="1" t="s">
        <v>14</v>
      </c>
      <c r="H14" s="1" t="s">
        <v>7</v>
      </c>
      <c r="I14" s="1">
        <v>35</v>
      </c>
      <c r="J14" s="1">
        <v>34</v>
      </c>
      <c r="K14" s="2">
        <f>IFERROR(J14/I14*100,0)</f>
        <v>0</v>
      </c>
      <c r="L14" s="1">
        <v>83</v>
      </c>
      <c r="M14" s="1" t="s">
        <v>8</v>
      </c>
      <c r="N14" s="1" t="s">
        <v>9</v>
      </c>
      <c r="O14" s="1" t="s">
        <v>24</v>
      </c>
    </row>
    <row r="15" spans="1:17">
      <c r="A15" s="1">
        <v>12</v>
      </c>
      <c r="B15" s="1" t="s">
        <v>59</v>
      </c>
      <c r="C15" s="5">
        <v>46170</v>
      </c>
      <c r="D15" s="1" t="s">
        <v>60</v>
      </c>
      <c r="E15" s="6" t="s">
        <v>61</v>
      </c>
      <c r="F15" s="6" t="s">
        <v>50</v>
      </c>
      <c r="G15" s="1" t="s">
        <v>51</v>
      </c>
      <c r="H15" s="1" t="s">
        <v>62</v>
      </c>
      <c r="I15" s="1">
        <v>43</v>
      </c>
      <c r="J15" s="1">
        <v>11</v>
      </c>
      <c r="K15" s="2">
        <f>IFERROR(J15/I15*100,0)</f>
        <v>0</v>
      </c>
      <c r="L15" s="1">
        <v>88</v>
      </c>
      <c r="M15" s="1" t="s">
        <v>47</v>
      </c>
      <c r="N15" s="1" t="s">
        <v>9</v>
      </c>
      <c r="O15" s="1" t="s">
        <v>10</v>
      </c>
    </row>
    <row r="16" spans="1:17">
      <c r="A16" s="1">
        <v>13</v>
      </c>
      <c r="B16" s="1" t="s">
        <v>63</v>
      </c>
      <c r="C16" s="5">
        <v>46161</v>
      </c>
      <c r="D16" s="1" t="s">
        <v>60</v>
      </c>
      <c r="E16" s="6" t="s">
        <v>64</v>
      </c>
      <c r="F16" s="6" t="s">
        <v>65</v>
      </c>
      <c r="G16" s="1" t="s">
        <v>6</v>
      </c>
      <c r="H16" s="1" t="s">
        <v>66</v>
      </c>
      <c r="I16" s="1">
        <v>16</v>
      </c>
      <c r="J16" s="1">
        <v>60</v>
      </c>
      <c r="K16" s="2">
        <f>IFERROR(J16/I16*100,0)</f>
        <v>0</v>
      </c>
      <c r="L16" s="1">
        <v>48</v>
      </c>
      <c r="M16" s="1" t="s">
        <v>33</v>
      </c>
      <c r="N16" s="1" t="s">
        <v>23</v>
      </c>
      <c r="O16" s="1" t="s">
        <v>42</v>
      </c>
    </row>
    <row r="17" spans="1:15">
      <c r="A17" s="1">
        <v>14</v>
      </c>
      <c r="B17" s="1" t="s">
        <v>67</v>
      </c>
      <c r="C17" s="5">
        <v>46165</v>
      </c>
      <c r="D17" s="1" t="s">
        <v>60</v>
      </c>
      <c r="E17" s="6" t="s">
        <v>57</v>
      </c>
      <c r="F17" s="6" t="s">
        <v>5</v>
      </c>
      <c r="G17" s="1" t="s">
        <v>35</v>
      </c>
      <c r="H17" s="1" t="s">
        <v>68</v>
      </c>
      <c r="I17" s="1">
        <v>17</v>
      </c>
      <c r="J17" s="1">
        <v>29</v>
      </c>
      <c r="K17" s="2">
        <f>IFERROR(J17/I17*100,0)</f>
        <v>0</v>
      </c>
      <c r="L17" s="1">
        <v>113</v>
      </c>
      <c r="M17" s="1" t="s">
        <v>16</v>
      </c>
      <c r="N17" s="1" t="s">
        <v>23</v>
      </c>
      <c r="O17" s="1" t="s">
        <v>24</v>
      </c>
    </row>
    <row r="18" spans="1:15">
      <c r="A18" s="1">
        <v>15</v>
      </c>
      <c r="B18" s="1" t="s">
        <v>69</v>
      </c>
      <c r="C18" s="5">
        <v>46153</v>
      </c>
      <c r="D18" s="1" t="s">
        <v>60</v>
      </c>
      <c r="E18" s="6" t="s">
        <v>64</v>
      </c>
      <c r="F18" s="6" t="s">
        <v>39</v>
      </c>
      <c r="G18" s="1" t="s">
        <v>14</v>
      </c>
      <c r="H18" s="1" t="s">
        <v>70</v>
      </c>
      <c r="I18" s="1">
        <v>21</v>
      </c>
      <c r="J18" s="1">
        <v>45</v>
      </c>
      <c r="K18" s="2">
        <f>IFERROR(J18/I18*100,0)</f>
        <v>0</v>
      </c>
      <c r="L18" s="1">
        <v>19</v>
      </c>
      <c r="M18" s="1" t="s">
        <v>55</v>
      </c>
      <c r="N18" s="1" t="s">
        <v>23</v>
      </c>
      <c r="O18" s="1" t="s">
        <v>17</v>
      </c>
    </row>
    <row r="19" spans="1:15">
      <c r="A19" s="1">
        <v>16</v>
      </c>
      <c r="B19" s="1" t="s">
        <v>71</v>
      </c>
      <c r="C19" s="5">
        <v>46152</v>
      </c>
      <c r="D19" s="1" t="s">
        <v>60</v>
      </c>
      <c r="E19" s="6" t="s">
        <v>57</v>
      </c>
      <c r="F19" s="6" t="s">
        <v>13</v>
      </c>
      <c r="G19" s="1" t="s">
        <v>31</v>
      </c>
      <c r="H19" s="1" t="s">
        <v>66</v>
      </c>
      <c r="I19" s="1">
        <v>34</v>
      </c>
      <c r="J19" s="1">
        <v>22</v>
      </c>
      <c r="K19" s="2">
        <f>IFERROR(J19/I19*100,0)</f>
        <v>0</v>
      </c>
      <c r="L19" s="1">
        <v>110</v>
      </c>
      <c r="M19" s="1" t="s">
        <v>55</v>
      </c>
      <c r="N19" s="1" t="s">
        <v>9</v>
      </c>
      <c r="O19" s="1" t="s">
        <v>24</v>
      </c>
    </row>
    <row r="20" spans="1:15">
      <c r="A20" s="1">
        <v>17</v>
      </c>
      <c r="B20" s="1" t="s">
        <v>72</v>
      </c>
      <c r="C20" s="5">
        <v>46199</v>
      </c>
      <c r="D20" s="1" t="s">
        <v>73</v>
      </c>
      <c r="E20" s="6" t="s">
        <v>38</v>
      </c>
      <c r="F20" s="6" t="s">
        <v>50</v>
      </c>
      <c r="G20" s="1" t="s">
        <v>6</v>
      </c>
      <c r="H20" s="1" t="s">
        <v>15</v>
      </c>
      <c r="I20" s="1">
        <v>14</v>
      </c>
      <c r="J20" s="1">
        <v>56</v>
      </c>
      <c r="K20" s="2">
        <f>IFERROR(J20/I20*100,0)</f>
        <v>0</v>
      </c>
      <c r="L20" s="1">
        <v>58</v>
      </c>
      <c r="M20" s="1" t="s">
        <v>33</v>
      </c>
      <c r="N20" s="1" t="s">
        <v>23</v>
      </c>
      <c r="O20" s="1" t="s">
        <v>17</v>
      </c>
    </row>
    <row r="21" spans="1:15">
      <c r="A21" s="1">
        <v>18</v>
      </c>
      <c r="B21" s="1" t="s">
        <v>74</v>
      </c>
      <c r="C21" s="5">
        <v>46179</v>
      </c>
      <c r="D21" s="1" t="s">
        <v>73</v>
      </c>
      <c r="E21" s="6" t="s">
        <v>54</v>
      </c>
      <c r="F21" s="6" t="s">
        <v>65</v>
      </c>
      <c r="G21" s="1" t="s">
        <v>51</v>
      </c>
      <c r="H21" s="1" t="s">
        <v>68</v>
      </c>
      <c r="I21" s="1">
        <v>36</v>
      </c>
      <c r="J21" s="1">
        <v>28</v>
      </c>
      <c r="K21" s="2">
        <f>IFERROR(J21/I21*100,0)</f>
        <v>0</v>
      </c>
      <c r="L21" s="1">
        <v>74</v>
      </c>
      <c r="M21" s="1" t="s">
        <v>47</v>
      </c>
      <c r="N21" s="1" t="s">
        <v>23</v>
      </c>
      <c r="O21" s="1" t="s">
        <v>24</v>
      </c>
    </row>
    <row r="22" spans="1:15">
      <c r="A22" s="1">
        <v>19</v>
      </c>
      <c r="B22" s="1" t="s">
        <v>75</v>
      </c>
      <c r="C22" s="5">
        <v>46222</v>
      </c>
      <c r="D22" s="1" t="s">
        <v>76</v>
      </c>
      <c r="E22" s="6" t="s">
        <v>54</v>
      </c>
      <c r="F22" s="6" t="s">
        <v>13</v>
      </c>
      <c r="G22" s="1" t="s">
        <v>77</v>
      </c>
      <c r="H22" s="1" t="s">
        <v>78</v>
      </c>
      <c r="I22" s="1">
        <v>42</v>
      </c>
      <c r="J22" s="1">
        <v>58</v>
      </c>
      <c r="K22" s="2">
        <f>IFERROR(J22/I22*100,0)</f>
        <v>0</v>
      </c>
      <c r="L22" s="1">
        <v>91</v>
      </c>
      <c r="M22" s="1" t="s">
        <v>16</v>
      </c>
      <c r="N22" s="1" t="s">
        <v>23</v>
      </c>
      <c r="O22" s="1" t="s">
        <v>24</v>
      </c>
    </row>
    <row r="23" spans="1:15">
      <c r="A23" s="1">
        <v>20</v>
      </c>
      <c r="B23" s="1" t="s">
        <v>79</v>
      </c>
      <c r="C23" s="5">
        <v>46210</v>
      </c>
      <c r="D23" s="1" t="s">
        <v>76</v>
      </c>
      <c r="E23" s="6" t="s">
        <v>26</v>
      </c>
      <c r="F23" s="6" t="s">
        <v>65</v>
      </c>
      <c r="G23" s="1" t="s">
        <v>80</v>
      </c>
      <c r="H23" s="1" t="s">
        <v>7</v>
      </c>
      <c r="I23" s="1">
        <v>12</v>
      </c>
      <c r="J23" s="1">
        <v>19</v>
      </c>
      <c r="K23" s="2">
        <f>IFERROR(J23/I23*100,0)</f>
        <v>0</v>
      </c>
      <c r="L23" s="1">
        <v>98</v>
      </c>
      <c r="M23" s="1" t="s">
        <v>8</v>
      </c>
      <c r="N23" s="1" t="s">
        <v>23</v>
      </c>
      <c r="O23" s="1" t="s">
        <v>24</v>
      </c>
    </row>
    <row r="24" spans="1:15">
      <c r="A24" s="1">
        <v>21</v>
      </c>
      <c r="B24" s="1" t="s">
        <v>81</v>
      </c>
      <c r="C24" s="5">
        <v>46216</v>
      </c>
      <c r="D24" s="1" t="s">
        <v>76</v>
      </c>
      <c r="E24" s="6" t="s">
        <v>20</v>
      </c>
      <c r="F24" s="6" t="s">
        <v>39</v>
      </c>
      <c r="G24" s="1" t="s">
        <v>82</v>
      </c>
      <c r="H24" s="1" t="s">
        <v>78</v>
      </c>
      <c r="I24" s="1">
        <v>10</v>
      </c>
      <c r="J24" s="1">
        <v>16</v>
      </c>
      <c r="K24" s="2">
        <f>IFERROR(J24/I24*100,0)</f>
        <v>0</v>
      </c>
      <c r="L24" s="1">
        <v>64</v>
      </c>
      <c r="M24" s="1" t="s">
        <v>33</v>
      </c>
      <c r="N24" s="1" t="s">
        <v>9</v>
      </c>
      <c r="O24" s="1" t="s">
        <v>17</v>
      </c>
    </row>
    <row r="25" spans="1:15">
      <c r="A25" s="1">
        <v>22</v>
      </c>
      <c r="B25" s="1" t="s">
        <v>83</v>
      </c>
      <c r="C25" s="5">
        <v>46204</v>
      </c>
      <c r="D25" s="1" t="s">
        <v>76</v>
      </c>
      <c r="E25" s="6" t="s">
        <v>45</v>
      </c>
      <c r="F25" s="6" t="s">
        <v>27</v>
      </c>
      <c r="G25" s="1" t="s">
        <v>82</v>
      </c>
      <c r="H25" s="1" t="s">
        <v>7</v>
      </c>
      <c r="I25" s="1">
        <v>29</v>
      </c>
      <c r="J25" s="1">
        <v>17</v>
      </c>
      <c r="K25" s="2">
        <f>IFERROR(J25/I25*100,0)</f>
        <v>0</v>
      </c>
      <c r="L25" s="1">
        <v>27</v>
      </c>
      <c r="M25" s="1" t="s">
        <v>55</v>
      </c>
      <c r="N25" s="1" t="s">
        <v>23</v>
      </c>
      <c r="O25" s="1" t="s">
        <v>17</v>
      </c>
    </row>
    <row r="26" spans="1:15">
      <c r="A26" s="1">
        <v>23</v>
      </c>
      <c r="B26" s="1" t="s">
        <v>84</v>
      </c>
      <c r="C26" s="5">
        <v>46216</v>
      </c>
      <c r="D26" s="1" t="s">
        <v>76</v>
      </c>
      <c r="E26" s="6" t="s">
        <v>4</v>
      </c>
      <c r="F26" s="6" t="s">
        <v>50</v>
      </c>
      <c r="G26" s="1" t="s">
        <v>40</v>
      </c>
      <c r="H26" s="1" t="s">
        <v>15</v>
      </c>
      <c r="I26" s="1">
        <v>24</v>
      </c>
      <c r="J26" s="1">
        <v>59</v>
      </c>
      <c r="K26" s="2">
        <f>IFERROR(J26/I26*100,0)</f>
        <v>0</v>
      </c>
      <c r="L26" s="1">
        <v>31</v>
      </c>
      <c r="M26" s="1" t="s">
        <v>47</v>
      </c>
      <c r="N26" s="1" t="s">
        <v>9</v>
      </c>
      <c r="O26" s="1" t="s">
        <v>24</v>
      </c>
    </row>
    <row r="27" spans="1:15">
      <c r="A27" s="1">
        <v>24</v>
      </c>
      <c r="B27" s="1" t="s">
        <v>85</v>
      </c>
      <c r="C27" s="5">
        <v>46239</v>
      </c>
      <c r="D27" s="1" t="s">
        <v>86</v>
      </c>
      <c r="E27" s="6" t="s">
        <v>57</v>
      </c>
      <c r="F27" s="6" t="s">
        <v>58</v>
      </c>
      <c r="G27" s="1" t="s">
        <v>87</v>
      </c>
      <c r="H27" s="1" t="s">
        <v>22</v>
      </c>
      <c r="I27" s="1">
        <v>55</v>
      </c>
      <c r="J27" s="1">
        <v>33</v>
      </c>
      <c r="K27" s="2">
        <f>IFERROR(J27/I27*100,0)</f>
        <v>0</v>
      </c>
      <c r="L27" s="1">
        <v>61</v>
      </c>
      <c r="M27" s="1" t="s">
        <v>16</v>
      </c>
      <c r="N27" s="1" t="s">
        <v>23</v>
      </c>
      <c r="O27" s="1" t="s">
        <v>10</v>
      </c>
    </row>
    <row r="28" spans="1:15">
      <c r="A28" s="1">
        <v>25</v>
      </c>
      <c r="B28" s="1" t="s">
        <v>88</v>
      </c>
      <c r="C28" s="5">
        <v>46246</v>
      </c>
      <c r="D28" s="1" t="s">
        <v>86</v>
      </c>
      <c r="E28" s="6" t="s">
        <v>57</v>
      </c>
      <c r="F28" s="6" t="s">
        <v>89</v>
      </c>
      <c r="G28" s="1" t="s">
        <v>35</v>
      </c>
      <c r="H28" s="1" t="s">
        <v>28</v>
      </c>
      <c r="I28" s="1">
        <v>39</v>
      </c>
      <c r="J28" s="1">
        <v>42</v>
      </c>
      <c r="K28" s="2">
        <f>IFERROR(J28/I28*100,0)</f>
        <v>0</v>
      </c>
      <c r="L28" s="1">
        <v>113</v>
      </c>
      <c r="M28" s="1" t="s">
        <v>16</v>
      </c>
      <c r="N28" s="1" t="s">
        <v>23</v>
      </c>
      <c r="O28" s="1" t="s">
        <v>24</v>
      </c>
    </row>
    <row r="29" spans="1:15">
      <c r="A29" s="1">
        <v>26</v>
      </c>
      <c r="B29" s="1" t="s">
        <v>90</v>
      </c>
      <c r="C29" s="5">
        <v>46235</v>
      </c>
      <c r="D29" s="1" t="s">
        <v>86</v>
      </c>
      <c r="E29" s="6" t="s">
        <v>91</v>
      </c>
      <c r="F29" s="6" t="s">
        <v>92</v>
      </c>
      <c r="G29" s="1" t="s">
        <v>51</v>
      </c>
      <c r="H29" s="1" t="s">
        <v>93</v>
      </c>
      <c r="I29" s="1">
        <v>44</v>
      </c>
      <c r="J29" s="1">
        <v>15</v>
      </c>
      <c r="K29" s="2">
        <f>IFERROR(J29/I29*100,0)</f>
        <v>0</v>
      </c>
      <c r="L29" s="1">
        <v>93</v>
      </c>
      <c r="M29" s="1" t="s">
        <v>47</v>
      </c>
      <c r="N29" s="1" t="s">
        <v>9</v>
      </c>
      <c r="O29" s="1" t="s">
        <v>10</v>
      </c>
    </row>
    <row r="30" spans="1:15">
      <c r="A30" s="1">
        <v>27</v>
      </c>
      <c r="B30" s="1" t="s">
        <v>94</v>
      </c>
      <c r="C30" s="5">
        <v>46249</v>
      </c>
      <c r="D30" s="1" t="s">
        <v>86</v>
      </c>
      <c r="E30" s="6" t="s">
        <v>61</v>
      </c>
      <c r="F30" s="6" t="s">
        <v>58</v>
      </c>
      <c r="G30" s="1" t="s">
        <v>95</v>
      </c>
      <c r="H30" s="1" t="s">
        <v>66</v>
      </c>
      <c r="I30" s="1">
        <v>47</v>
      </c>
      <c r="J30" s="1">
        <v>43</v>
      </c>
      <c r="K30" s="2">
        <f>IFERROR(J30/I30*100,0)</f>
        <v>0</v>
      </c>
      <c r="L30" s="1">
        <v>41</v>
      </c>
      <c r="M30" s="1" t="s">
        <v>16</v>
      </c>
      <c r="N30" s="1" t="s">
        <v>23</v>
      </c>
      <c r="O30" s="1" t="s">
        <v>96</v>
      </c>
    </row>
    <row r="31" spans="1:15">
      <c r="A31" s="1">
        <v>28</v>
      </c>
      <c r="B31" s="1" t="s">
        <v>97</v>
      </c>
      <c r="C31" s="5">
        <v>46249</v>
      </c>
      <c r="D31" s="1" t="s">
        <v>86</v>
      </c>
      <c r="E31" s="6" t="s">
        <v>20</v>
      </c>
      <c r="F31" s="6" t="s">
        <v>92</v>
      </c>
      <c r="G31" s="1" t="s">
        <v>6</v>
      </c>
      <c r="H31" s="1" t="s">
        <v>68</v>
      </c>
      <c r="I31" s="1">
        <v>27</v>
      </c>
      <c r="J31" s="1">
        <v>16</v>
      </c>
      <c r="K31" s="2">
        <f>IFERROR(J31/I31*100,0)</f>
        <v>0</v>
      </c>
      <c r="L31" s="1">
        <v>42</v>
      </c>
      <c r="M31" s="1" t="s">
        <v>47</v>
      </c>
      <c r="N31" s="1" t="s">
        <v>9</v>
      </c>
      <c r="O31" s="1" t="s">
        <v>10</v>
      </c>
    </row>
    <row r="32" spans="1:15">
      <c r="A32" s="1">
        <v>29</v>
      </c>
      <c r="B32" s="1" t="s">
        <v>98</v>
      </c>
      <c r="C32" s="5">
        <v>46255</v>
      </c>
      <c r="D32" s="1" t="s">
        <v>86</v>
      </c>
      <c r="E32" s="6" t="s">
        <v>16</v>
      </c>
      <c r="F32" s="6" t="s">
        <v>5</v>
      </c>
      <c r="G32" s="1" t="s">
        <v>6</v>
      </c>
      <c r="H32" s="1" t="s">
        <v>68</v>
      </c>
      <c r="I32" s="1">
        <v>52</v>
      </c>
      <c r="J32" s="1">
        <v>21</v>
      </c>
      <c r="K32" s="2">
        <f>IFERROR(J32/I32*100,0)</f>
        <v>0</v>
      </c>
      <c r="L32" s="1">
        <v>18</v>
      </c>
      <c r="M32" s="1" t="s">
        <v>99</v>
      </c>
      <c r="N32" s="1" t="s">
        <v>9</v>
      </c>
      <c r="O32" s="1" t="s">
        <v>17</v>
      </c>
    </row>
    <row r="33" spans="1:15">
      <c r="A33" s="1">
        <v>30</v>
      </c>
      <c r="B33" s="1" t="s">
        <v>100</v>
      </c>
      <c r="C33" s="5">
        <v>46254</v>
      </c>
      <c r="D33" s="1" t="s">
        <v>86</v>
      </c>
      <c r="E33" s="6" t="s">
        <v>91</v>
      </c>
      <c r="F33" s="6" t="s">
        <v>58</v>
      </c>
      <c r="G33" s="1" t="s">
        <v>40</v>
      </c>
      <c r="H33" s="1" t="s">
        <v>41</v>
      </c>
      <c r="I33" s="1">
        <v>48</v>
      </c>
      <c r="J33" s="1">
        <v>23</v>
      </c>
      <c r="K33" s="2">
        <f>IFERROR(J33/I33*100,0)</f>
        <v>0</v>
      </c>
      <c r="L33" s="1">
        <v>91</v>
      </c>
      <c r="M33" s="1" t="s">
        <v>16</v>
      </c>
      <c r="N33" s="1" t="s">
        <v>23</v>
      </c>
      <c r="O33" s="1" t="s">
        <v>10</v>
      </c>
    </row>
    <row r="34" spans="1:15">
      <c r="A34" s="1">
        <v>31</v>
      </c>
      <c r="B34" s="1" t="s">
        <v>101</v>
      </c>
      <c r="C34" s="5">
        <v>46292</v>
      </c>
      <c r="D34" s="1" t="s">
        <v>102</v>
      </c>
      <c r="E34" s="6" t="s">
        <v>30</v>
      </c>
      <c r="F34" s="6" t="s">
        <v>46</v>
      </c>
      <c r="G34" s="1" t="s">
        <v>14</v>
      </c>
      <c r="H34" s="1" t="s">
        <v>28</v>
      </c>
      <c r="I34" s="1">
        <v>25</v>
      </c>
      <c r="J34" s="1">
        <v>10</v>
      </c>
      <c r="K34" s="2">
        <f>IFERROR(J34/I34*100,0)</f>
        <v>0</v>
      </c>
      <c r="L34" s="1">
        <v>93</v>
      </c>
      <c r="M34" s="1" t="s">
        <v>33</v>
      </c>
      <c r="N34" s="1" t="s">
        <v>9</v>
      </c>
      <c r="O34" s="1" t="s">
        <v>17</v>
      </c>
    </row>
    <row r="35" spans="1:15">
      <c r="A35" s="1">
        <v>32</v>
      </c>
      <c r="B35" s="1" t="s">
        <v>103</v>
      </c>
      <c r="C35" s="5">
        <v>46287</v>
      </c>
      <c r="D35" s="1" t="s">
        <v>102</v>
      </c>
      <c r="E35" s="6" t="s">
        <v>30</v>
      </c>
      <c r="F35" s="6" t="s">
        <v>58</v>
      </c>
      <c r="G35" s="1" t="s">
        <v>6</v>
      </c>
      <c r="H35" s="1" t="s">
        <v>104</v>
      </c>
      <c r="I35" s="1">
        <v>17</v>
      </c>
      <c r="J35" s="1">
        <v>49</v>
      </c>
      <c r="K35" s="2">
        <f>IFERROR(J35/I35*100,0)</f>
        <v>0</v>
      </c>
      <c r="L35" s="1">
        <v>106</v>
      </c>
      <c r="M35" s="1" t="s">
        <v>99</v>
      </c>
      <c r="N35" s="1" t="s">
        <v>9</v>
      </c>
      <c r="O35" s="1" t="s">
        <v>24</v>
      </c>
    </row>
    <row r="36" spans="1:15">
      <c r="A36" s="1">
        <v>33</v>
      </c>
      <c r="B36" s="1" t="s">
        <v>105</v>
      </c>
      <c r="C36" s="5">
        <v>46297</v>
      </c>
      <c r="D36" s="1" t="s">
        <v>106</v>
      </c>
      <c r="E36" s="6" t="s">
        <v>57</v>
      </c>
      <c r="F36" s="6" t="s">
        <v>13</v>
      </c>
      <c r="G36" s="1" t="s">
        <v>21</v>
      </c>
      <c r="H36" s="1" t="s">
        <v>68</v>
      </c>
      <c r="I36" s="1">
        <v>50</v>
      </c>
      <c r="J36" s="1">
        <v>32</v>
      </c>
      <c r="K36" s="2">
        <f>IFERROR(J36/I36*100,0)</f>
        <v>0</v>
      </c>
      <c r="L36" s="1">
        <v>34</v>
      </c>
      <c r="M36" s="1" t="s">
        <v>33</v>
      </c>
      <c r="N36" s="1" t="s">
        <v>23</v>
      </c>
      <c r="O36" s="1" t="s">
        <v>24</v>
      </c>
    </row>
    <row r="37" spans="1:15">
      <c r="A37" s="1">
        <v>34</v>
      </c>
      <c r="B37" s="1" t="s">
        <v>107</v>
      </c>
      <c r="C37" s="5">
        <v>46320</v>
      </c>
      <c r="D37" s="1" t="s">
        <v>106</v>
      </c>
      <c r="E37" s="6" t="s">
        <v>38</v>
      </c>
      <c r="F37" s="6" t="s">
        <v>46</v>
      </c>
      <c r="G37" s="1" t="s">
        <v>35</v>
      </c>
      <c r="H37" s="1" t="s">
        <v>66</v>
      </c>
      <c r="I37" s="1">
        <v>44</v>
      </c>
      <c r="J37" s="1">
        <v>24</v>
      </c>
      <c r="K37" s="2">
        <f>IFERROR(J37/I37*100,0)</f>
        <v>0</v>
      </c>
      <c r="L37" s="1">
        <v>75</v>
      </c>
      <c r="M37" s="1" t="s">
        <v>8</v>
      </c>
      <c r="N37" s="1" t="s">
        <v>9</v>
      </c>
      <c r="O37" s="1" t="s">
        <v>24</v>
      </c>
    </row>
    <row r="38" spans="1:15">
      <c r="A38" s="1">
        <v>35</v>
      </c>
      <c r="B38" s="1" t="s">
        <v>108</v>
      </c>
      <c r="C38" s="5">
        <v>46303</v>
      </c>
      <c r="D38" s="1" t="s">
        <v>106</v>
      </c>
      <c r="E38" s="6" t="s">
        <v>20</v>
      </c>
      <c r="F38" s="6" t="s">
        <v>92</v>
      </c>
      <c r="G38" s="1" t="s">
        <v>40</v>
      </c>
      <c r="H38" s="1" t="s">
        <v>7</v>
      </c>
      <c r="I38" s="1">
        <v>22</v>
      </c>
      <c r="J38" s="1">
        <v>51</v>
      </c>
      <c r="K38" s="2">
        <f>IFERROR(J38/I38*100,0)</f>
        <v>0</v>
      </c>
      <c r="L38" s="1">
        <v>37</v>
      </c>
      <c r="M38" s="1" t="s">
        <v>33</v>
      </c>
      <c r="N38" s="1" t="s">
        <v>9</v>
      </c>
      <c r="O38" s="1" t="s">
        <v>96</v>
      </c>
    </row>
    <row r="39" spans="1:15">
      <c r="A39" s="1">
        <v>36</v>
      </c>
      <c r="B39" s="1" t="s">
        <v>109</v>
      </c>
      <c r="C39" s="5">
        <v>46322</v>
      </c>
      <c r="D39" s="1" t="s">
        <v>106</v>
      </c>
      <c r="E39" s="6" t="s">
        <v>57</v>
      </c>
      <c r="F39" s="6" t="s">
        <v>92</v>
      </c>
      <c r="G39" s="1" t="s">
        <v>31</v>
      </c>
      <c r="H39" s="1" t="s">
        <v>66</v>
      </c>
      <c r="I39" s="1">
        <v>26</v>
      </c>
      <c r="J39" s="1">
        <v>26</v>
      </c>
      <c r="K39" s="2">
        <f>IFERROR(J39/I39*100,0)</f>
        <v>0</v>
      </c>
      <c r="L39" s="1">
        <v>23</v>
      </c>
      <c r="M39" s="1" t="s">
        <v>33</v>
      </c>
      <c r="N39" s="1" t="s">
        <v>23</v>
      </c>
      <c r="O39" s="1" t="s">
        <v>17</v>
      </c>
    </row>
    <row r="40" spans="1:15">
      <c r="A40" s="1">
        <v>37</v>
      </c>
      <c r="B40" s="1" t="s">
        <v>110</v>
      </c>
      <c r="C40" s="5">
        <v>46342</v>
      </c>
      <c r="D40" s="1" t="s">
        <v>111</v>
      </c>
      <c r="E40" s="6" t="s">
        <v>57</v>
      </c>
      <c r="F40" s="6" t="s">
        <v>13</v>
      </c>
      <c r="G40" s="1" t="s">
        <v>6</v>
      </c>
      <c r="H40" s="1" t="s">
        <v>78</v>
      </c>
      <c r="I40" s="1">
        <v>52</v>
      </c>
      <c r="J40" s="1">
        <v>29</v>
      </c>
      <c r="K40" s="2">
        <f>IFERROR(J40/I40*100,0)</f>
        <v>0</v>
      </c>
      <c r="L40" s="1">
        <v>85</v>
      </c>
      <c r="M40" s="1" t="s">
        <v>55</v>
      </c>
      <c r="N40" s="1" t="s">
        <v>23</v>
      </c>
      <c r="O40" s="1" t="s">
        <v>96</v>
      </c>
    </row>
    <row r="41" spans="1:15">
      <c r="A41" s="1">
        <v>38</v>
      </c>
      <c r="B41" s="1" t="s">
        <v>112</v>
      </c>
      <c r="C41" s="5">
        <v>46328</v>
      </c>
      <c r="D41" s="1" t="s">
        <v>111</v>
      </c>
      <c r="E41" s="6" t="s">
        <v>12</v>
      </c>
      <c r="F41" s="6" t="s">
        <v>65</v>
      </c>
      <c r="G41" s="1" t="s">
        <v>51</v>
      </c>
      <c r="H41" s="1" t="s">
        <v>68</v>
      </c>
      <c r="I41" s="1">
        <v>16</v>
      </c>
      <c r="J41" s="1">
        <v>38</v>
      </c>
      <c r="K41" s="2">
        <f>IFERROR(J41/I41*100,0)</f>
        <v>0</v>
      </c>
      <c r="L41" s="1">
        <v>103</v>
      </c>
      <c r="M41" s="1" t="s">
        <v>55</v>
      </c>
      <c r="N41" s="1" t="s">
        <v>23</v>
      </c>
      <c r="O41" s="1" t="s">
        <v>96</v>
      </c>
    </row>
    <row r="42" spans="1:15">
      <c r="A42" s="1">
        <v>39</v>
      </c>
      <c r="B42" s="1" t="s">
        <v>113</v>
      </c>
      <c r="C42" s="5">
        <v>46338</v>
      </c>
      <c r="D42" s="1" t="s">
        <v>111</v>
      </c>
      <c r="E42" s="6" t="s">
        <v>91</v>
      </c>
      <c r="F42" s="6" t="s">
        <v>27</v>
      </c>
      <c r="G42" s="1" t="s">
        <v>6</v>
      </c>
      <c r="H42" s="1" t="s">
        <v>28</v>
      </c>
      <c r="I42" s="1">
        <v>30</v>
      </c>
      <c r="J42" s="1">
        <v>53</v>
      </c>
      <c r="K42" s="2">
        <f>IFERROR(J42/I42*100,0)</f>
        <v>0</v>
      </c>
      <c r="L42" s="1">
        <v>53</v>
      </c>
      <c r="M42" s="1" t="s">
        <v>16</v>
      </c>
      <c r="N42" s="1" t="s">
        <v>23</v>
      </c>
      <c r="O42" s="1" t="s">
        <v>10</v>
      </c>
    </row>
    <row r="43" spans="1:15">
      <c r="A43" s="1">
        <v>40</v>
      </c>
      <c r="B43" s="1" t="s">
        <v>114</v>
      </c>
      <c r="C43" s="5">
        <v>46333</v>
      </c>
      <c r="D43" s="1" t="s">
        <v>111</v>
      </c>
      <c r="E43" s="6" t="s">
        <v>38</v>
      </c>
      <c r="F43" s="6" t="s">
        <v>46</v>
      </c>
      <c r="G43" s="1" t="s">
        <v>21</v>
      </c>
      <c r="H43" s="1" t="s">
        <v>7</v>
      </c>
      <c r="I43" s="1">
        <v>18</v>
      </c>
      <c r="J43" s="1">
        <v>51</v>
      </c>
      <c r="K43" s="2">
        <f>IFERROR(J43/I43*100,0)</f>
        <v>0</v>
      </c>
      <c r="L43" s="1">
        <v>82</v>
      </c>
      <c r="M43" s="1" t="s">
        <v>47</v>
      </c>
      <c r="N43" s="1" t="s">
        <v>9</v>
      </c>
      <c r="O43" s="1" t="s">
        <v>42</v>
      </c>
    </row>
    <row r="44" spans="1:15">
      <c r="A44" s="1">
        <v>41</v>
      </c>
      <c r="B44" s="1" t="s">
        <v>115</v>
      </c>
      <c r="C44" s="5">
        <v>46354</v>
      </c>
      <c r="D44" s="1" t="s">
        <v>111</v>
      </c>
      <c r="E44" s="6" t="s">
        <v>16</v>
      </c>
      <c r="F44" s="6" t="s">
        <v>39</v>
      </c>
      <c r="G44" s="1" t="s">
        <v>80</v>
      </c>
      <c r="H44" s="1" t="s">
        <v>78</v>
      </c>
      <c r="I44" s="1">
        <v>44</v>
      </c>
      <c r="J44" s="1">
        <v>36</v>
      </c>
      <c r="K44" s="2">
        <f>IFERROR(J44/I44*100,0)</f>
        <v>0</v>
      </c>
      <c r="L44" s="1">
        <v>25</v>
      </c>
      <c r="M44" s="1" t="s">
        <v>16</v>
      </c>
      <c r="N44" s="1" t="s">
        <v>23</v>
      </c>
      <c r="O44" s="1" t="s">
        <v>42</v>
      </c>
    </row>
    <row r="45" spans="1:15">
      <c r="A45" s="1">
        <v>42</v>
      </c>
      <c r="B45" s="1" t="s">
        <v>116</v>
      </c>
      <c r="C45" s="5">
        <v>46338</v>
      </c>
      <c r="D45" s="1" t="s">
        <v>111</v>
      </c>
      <c r="E45" s="6" t="s">
        <v>64</v>
      </c>
      <c r="F45" s="6" t="s">
        <v>13</v>
      </c>
      <c r="G45" s="1" t="s">
        <v>80</v>
      </c>
      <c r="H45" s="1" t="s">
        <v>78</v>
      </c>
      <c r="I45" s="1">
        <v>28</v>
      </c>
      <c r="J45" s="1">
        <v>32</v>
      </c>
      <c r="K45" s="2">
        <f>IFERROR(J45/I45*100,0)</f>
        <v>0</v>
      </c>
      <c r="L45" s="1">
        <v>22</v>
      </c>
      <c r="M45" s="1" t="s">
        <v>55</v>
      </c>
      <c r="N45" s="1" t="s">
        <v>23</v>
      </c>
      <c r="O45" s="1" t="s">
        <v>10</v>
      </c>
    </row>
    <row r="46" spans="1:15">
      <c r="A46" s="1">
        <v>43</v>
      </c>
      <c r="B46" s="1" t="s">
        <v>117</v>
      </c>
      <c r="C46" s="5">
        <v>46344</v>
      </c>
      <c r="D46" s="1" t="s">
        <v>111</v>
      </c>
      <c r="E46" s="6" t="s">
        <v>57</v>
      </c>
      <c r="F46" s="6" t="s">
        <v>50</v>
      </c>
      <c r="G46" s="1" t="s">
        <v>95</v>
      </c>
      <c r="H46" s="1" t="s">
        <v>104</v>
      </c>
      <c r="I46" s="1">
        <v>11</v>
      </c>
      <c r="J46" s="1">
        <v>11</v>
      </c>
      <c r="K46" s="2">
        <f>IFERROR(J46/I46*100,0)</f>
        <v>0</v>
      </c>
      <c r="L46" s="1">
        <v>50</v>
      </c>
      <c r="M46" s="1" t="s">
        <v>8</v>
      </c>
      <c r="N46" s="1" t="s">
        <v>23</v>
      </c>
      <c r="O46" s="1" t="s">
        <v>96</v>
      </c>
    </row>
    <row r="47" spans="1:15">
      <c r="A47" s="1">
        <v>44</v>
      </c>
      <c r="B47" s="1" t="s">
        <v>118</v>
      </c>
      <c r="C47" s="5">
        <v>46343</v>
      </c>
      <c r="D47" s="1" t="s">
        <v>111</v>
      </c>
      <c r="E47" s="6" t="s">
        <v>91</v>
      </c>
      <c r="F47" s="6" t="s">
        <v>5</v>
      </c>
      <c r="G47" s="1" t="s">
        <v>21</v>
      </c>
      <c r="H47" s="1" t="s">
        <v>22</v>
      </c>
      <c r="I47" s="1">
        <v>10</v>
      </c>
      <c r="J47" s="1">
        <v>50</v>
      </c>
      <c r="K47" s="2">
        <f>IFERROR(J47/I47*100,0)</f>
        <v>0</v>
      </c>
      <c r="L47" s="1">
        <v>46</v>
      </c>
      <c r="M47" s="1" t="s">
        <v>16</v>
      </c>
      <c r="N47" s="1" t="s">
        <v>9</v>
      </c>
      <c r="O47" s="1" t="s">
        <v>42</v>
      </c>
    </row>
    <row r="48" spans="1:15">
      <c r="A48" s="1">
        <v>45</v>
      </c>
      <c r="B48" s="1" t="s">
        <v>119</v>
      </c>
      <c r="C48" s="5">
        <v>46343</v>
      </c>
      <c r="D48" s="1" t="s">
        <v>111</v>
      </c>
      <c r="E48" s="6" t="s">
        <v>38</v>
      </c>
      <c r="F48" s="6" t="s">
        <v>39</v>
      </c>
      <c r="G48" s="1" t="s">
        <v>40</v>
      </c>
      <c r="H48" s="1" t="s">
        <v>32</v>
      </c>
      <c r="I48" s="1">
        <v>33</v>
      </c>
      <c r="J48" s="1">
        <v>60</v>
      </c>
      <c r="K48" s="2">
        <f>IFERROR(J48/I48*100,0)</f>
        <v>0</v>
      </c>
      <c r="L48" s="1">
        <v>44</v>
      </c>
      <c r="M48" s="1" t="s">
        <v>8</v>
      </c>
      <c r="N48" s="1" t="s">
        <v>23</v>
      </c>
      <c r="O48" s="1" t="s">
        <v>17</v>
      </c>
    </row>
    <row r="49" spans="1:15">
      <c r="A49" s="1">
        <v>46</v>
      </c>
      <c r="B49" s="1" t="s">
        <v>120</v>
      </c>
      <c r="C49" s="5">
        <v>46342</v>
      </c>
      <c r="D49" s="1" t="s">
        <v>111</v>
      </c>
      <c r="E49" s="6" t="s">
        <v>12</v>
      </c>
      <c r="F49" s="6" t="s">
        <v>50</v>
      </c>
      <c r="G49" s="1" t="s">
        <v>6</v>
      </c>
      <c r="H49" s="1" t="s">
        <v>66</v>
      </c>
      <c r="I49" s="1">
        <v>56</v>
      </c>
      <c r="J49" s="1">
        <v>43</v>
      </c>
      <c r="K49" s="2">
        <f>IFERROR(J49/I49*100,0)</f>
        <v>0</v>
      </c>
      <c r="L49" s="1">
        <v>18</v>
      </c>
      <c r="M49" s="1" t="s">
        <v>47</v>
      </c>
      <c r="N49" s="1" t="s">
        <v>23</v>
      </c>
      <c r="O49" s="1" t="s">
        <v>24</v>
      </c>
    </row>
    <row r="50" spans="1:15">
      <c r="A50" s="1">
        <v>47</v>
      </c>
      <c r="B50" s="1" t="s">
        <v>121</v>
      </c>
      <c r="C50" s="5">
        <v>46373</v>
      </c>
      <c r="D50" s="1" t="s">
        <v>122</v>
      </c>
      <c r="E50" s="6" t="s">
        <v>38</v>
      </c>
      <c r="F50" s="6" t="s">
        <v>92</v>
      </c>
      <c r="G50" s="1" t="s">
        <v>14</v>
      </c>
      <c r="H50" s="1" t="s">
        <v>78</v>
      </c>
      <c r="I50" s="1">
        <v>40</v>
      </c>
      <c r="J50" s="1">
        <v>19</v>
      </c>
      <c r="K50" s="2">
        <f>IFERROR(J50/I50*100,0)</f>
        <v>0</v>
      </c>
      <c r="L50" s="1">
        <v>76</v>
      </c>
      <c r="M50" s="1" t="s">
        <v>47</v>
      </c>
      <c r="N50" s="1" t="s">
        <v>9</v>
      </c>
      <c r="O50" s="1" t="s">
        <v>96</v>
      </c>
    </row>
    <row r="51" spans="1:15">
      <c r="A51" s="1">
        <v>48</v>
      </c>
      <c r="B51" s="1" t="s">
        <v>123</v>
      </c>
      <c r="C51" s="5">
        <v>46373</v>
      </c>
      <c r="D51" s="1" t="s">
        <v>122</v>
      </c>
      <c r="E51" s="6" t="s">
        <v>45</v>
      </c>
      <c r="F51" s="6" t="s">
        <v>65</v>
      </c>
      <c r="G51" s="1" t="s">
        <v>40</v>
      </c>
      <c r="H51" s="1" t="s">
        <v>15</v>
      </c>
      <c r="I51" s="1">
        <v>20</v>
      </c>
      <c r="J51" s="1">
        <v>18</v>
      </c>
      <c r="K51" s="2">
        <f>IFERROR(J51/I51*100,0)</f>
        <v>0</v>
      </c>
      <c r="L51" s="1">
        <v>115</v>
      </c>
      <c r="M51" s="1" t="s">
        <v>8</v>
      </c>
      <c r="N51" s="1" t="s">
        <v>23</v>
      </c>
      <c r="O51" s="1" t="s">
        <v>24</v>
      </c>
    </row>
    <row r="52" spans="1:15">
      <c r="K52" s="2">
        <f>IFERROR(J52/I52*100,0)</f>
        <v>0</v>
      </c>
    </row>
    <row r="53" spans="1:15">
      <c r="K53" s="2">
        <f>IFERROR(J53/I53*100,0)</f>
        <v>0</v>
      </c>
    </row>
    <row r="54" spans="1:15">
      <c r="K54" s="2">
        <f>IFERROR(J54/I54*100,0)</f>
        <v>0</v>
      </c>
    </row>
    <row r="55" spans="1:15">
      <c r="K55" s="2">
        <f>IFERROR(J55/I55*100,0)</f>
        <v>0</v>
      </c>
    </row>
    <row r="56" spans="1:15">
      <c r="K56" s="2">
        <f>IFERROR(J56/I56*100,0)</f>
        <v>0</v>
      </c>
    </row>
    <row r="57" spans="1:15">
      <c r="K57" s="2">
        <f>IFERROR(J57/I57*100,0)</f>
        <v>0</v>
      </c>
    </row>
    <row r="58" spans="1:15">
      <c r="K58" s="2">
        <f>IFERROR(J58/I58*100,0)</f>
        <v>0</v>
      </c>
    </row>
    <row r="59" spans="1:15">
      <c r="K59" s="2">
        <f>IFERROR(J59/I59*100,0)</f>
        <v>0</v>
      </c>
    </row>
    <row r="60" spans="1:15">
      <c r="K60" s="2">
        <f>IFERROR(J60/I60*100,0)</f>
        <v>0</v>
      </c>
    </row>
    <row r="61" spans="1:15">
      <c r="K61" s="2">
        <f>IFERROR(J61/I61*100,0)</f>
        <v>0</v>
      </c>
    </row>
    <row r="62" spans="1:15">
      <c r="K62" s="2">
        <f>IFERROR(J62/I62*100,0)</f>
        <v>0</v>
      </c>
    </row>
    <row r="63" spans="1:15">
      <c r="K63" s="2">
        <f>IFERROR(J63/I63*100,0)</f>
        <v>0</v>
      </c>
    </row>
    <row r="64" spans="1:15">
      <c r="K64" s="2">
        <f>IFERROR(J64/I64*100,0)</f>
        <v>0</v>
      </c>
    </row>
    <row r="65" spans="11:11">
      <c r="K65" s="2">
        <f>IFERROR(J65/I65*100,0)</f>
        <v>0</v>
      </c>
    </row>
    <row r="66" spans="11:11">
      <c r="K66" s="2">
        <f>IFERROR(J66/I66*100,0)</f>
        <v>0</v>
      </c>
    </row>
    <row r="67" spans="11:11">
      <c r="K67" s="2">
        <f>IFERROR(J67/I67*100,0)</f>
        <v>0</v>
      </c>
    </row>
    <row r="68" spans="11:11">
      <c r="K68" s="2">
        <f>IFERROR(J68/I68*100,0)</f>
        <v>0</v>
      </c>
    </row>
    <row r="69" spans="11:11">
      <c r="K69" s="2">
        <f>IFERROR(J69/I69*100,0)</f>
        <v>0</v>
      </c>
    </row>
    <row r="70" spans="11:11">
      <c r="K70" s="2">
        <f>IFERROR(J70/I70*100,0)</f>
        <v>0</v>
      </c>
    </row>
    <row r="71" spans="11:11">
      <c r="K71" s="2">
        <f>IFERROR(J71/I71*100,0)</f>
        <v>0</v>
      </c>
    </row>
    <row r="72" spans="11:11">
      <c r="K72" s="2">
        <f>IFERROR(J72/I72*100,0)</f>
        <v>0</v>
      </c>
    </row>
    <row r="73" spans="11:11">
      <c r="K73" s="2">
        <f>IFERROR(J73/I73*100,0)</f>
        <v>0</v>
      </c>
    </row>
    <row r="74" spans="11:11">
      <c r="K74" s="2">
        <f>IFERROR(J74/I74*100,0)</f>
        <v>0</v>
      </c>
    </row>
    <row r="75" spans="11:11">
      <c r="K75" s="2">
        <f>IFERROR(J75/I75*100,0)</f>
        <v>0</v>
      </c>
    </row>
    <row r="76" spans="11:11">
      <c r="K76" s="2">
        <f>IFERROR(J76/I76*100,0)</f>
        <v>0</v>
      </c>
    </row>
    <row r="77" spans="11:11">
      <c r="K77" s="2">
        <f>IFERROR(J77/I77*100,0)</f>
        <v>0</v>
      </c>
    </row>
    <row r="78" spans="11:11">
      <c r="K78" s="2">
        <f>IFERROR(J78/I78*100,0)</f>
        <v>0</v>
      </c>
    </row>
    <row r="79" spans="11:11">
      <c r="K79" s="2">
        <f>IFERROR(J79/I79*100,0)</f>
        <v>0</v>
      </c>
    </row>
    <row r="80" spans="11:11">
      <c r="K80" s="2">
        <f>IFERROR(J80/I80*100,0)</f>
        <v>0</v>
      </c>
    </row>
    <row r="81" spans="11:11">
      <c r="K81" s="2">
        <f>IFERROR(J81/I81*100,0)</f>
        <v>0</v>
      </c>
    </row>
    <row r="82" spans="11:11">
      <c r="K82" s="2">
        <f>IFERROR(J82/I82*100,0)</f>
        <v>0</v>
      </c>
    </row>
    <row r="83" spans="11:11">
      <c r="K83" s="2">
        <f>IFERROR(J83/I83*100,0)</f>
        <v>0</v>
      </c>
    </row>
    <row r="84" spans="11:11">
      <c r="K84" s="2">
        <f>IFERROR(J84/I84*100,0)</f>
        <v>0</v>
      </c>
    </row>
    <row r="85" spans="11:11">
      <c r="K85" s="2">
        <f>IFERROR(J85/I85*100,0)</f>
        <v>0</v>
      </c>
    </row>
    <row r="86" spans="11:11">
      <c r="K86" s="2">
        <f>IFERROR(J86/I86*100,0)</f>
        <v>0</v>
      </c>
    </row>
    <row r="87" spans="11:11">
      <c r="K87" s="2">
        <f>IFERROR(J87/I87*100,0)</f>
        <v>0</v>
      </c>
    </row>
    <row r="88" spans="11:11">
      <c r="K88" s="2">
        <f>IFERROR(J88/I88*100,0)</f>
        <v>0</v>
      </c>
    </row>
    <row r="89" spans="11:11">
      <c r="K89" s="2">
        <f>IFERROR(J89/I89*100,0)</f>
        <v>0</v>
      </c>
    </row>
    <row r="90" spans="11:11">
      <c r="K90" s="2">
        <f>IFERROR(J90/I90*100,0)</f>
        <v>0</v>
      </c>
    </row>
    <row r="91" spans="11:11">
      <c r="K91" s="2">
        <f>IFERROR(J91/I91*100,0)</f>
        <v>0</v>
      </c>
    </row>
    <row r="92" spans="11:11">
      <c r="K92" s="2">
        <f>IFERROR(J92/I92*100,0)</f>
        <v>0</v>
      </c>
    </row>
    <row r="93" spans="11:11">
      <c r="K93" s="2">
        <f>IFERROR(J93/I93*100,0)</f>
        <v>0</v>
      </c>
    </row>
    <row r="94" spans="11:11">
      <c r="K94" s="2">
        <f>IFERROR(J94/I94*100,0)</f>
        <v>0</v>
      </c>
    </row>
    <row r="95" spans="11:11">
      <c r="K95" s="2">
        <f>IFERROR(J95/I95*100,0)</f>
        <v>0</v>
      </c>
    </row>
    <row r="96" spans="11:11">
      <c r="K96" s="2">
        <f>IFERROR(J96/I96*100,0)</f>
        <v>0</v>
      </c>
    </row>
    <row r="97" spans="11:11">
      <c r="K97" s="2">
        <f>IFERROR(J97/I97*100,0)</f>
        <v>0</v>
      </c>
    </row>
    <row r="98" spans="11:11">
      <c r="K98" s="2">
        <f>IFERROR(J98/I98*100,0)</f>
        <v>0</v>
      </c>
    </row>
    <row r="99" spans="11:11">
      <c r="K99" s="2">
        <f>IFERROR(J99/I99*100,0)</f>
        <v>0</v>
      </c>
    </row>
    <row r="100" spans="11:11">
      <c r="K100" s="2">
        <f>IFERROR(J100/I100*100,0)</f>
        <v>0</v>
      </c>
    </row>
    <row r="101" spans="11:11">
      <c r="K101" s="2">
        <f>IFERROR(J101/I101*100,0)</f>
        <v>0</v>
      </c>
    </row>
    <row r="102" spans="11:11">
      <c r="K102" s="2">
        <f>IFERROR(J102/I102*100,0)</f>
        <v>0</v>
      </c>
    </row>
    <row r="103" spans="11:11">
      <c r="K103" s="2">
        <f>IFERROR(J103/I103*100,0)</f>
        <v>0</v>
      </c>
    </row>
    <row r="104" spans="11:11">
      <c r="K104" s="2">
        <f>IFERROR(J104/I104*100,0)</f>
        <v>0</v>
      </c>
    </row>
    <row r="105" spans="11:11">
      <c r="K105" s="2">
        <f>IFERROR(J105/I105*100,0)</f>
        <v>0</v>
      </c>
    </row>
    <row r="106" spans="11:11">
      <c r="K106" s="2">
        <f>IFERROR(J106/I106*100,0)</f>
        <v>0</v>
      </c>
    </row>
    <row r="107" spans="11:11">
      <c r="K107" s="2">
        <f>IFERROR(J107/I107*100,0)</f>
        <v>0</v>
      </c>
    </row>
    <row r="108" spans="11:11">
      <c r="K108" s="2">
        <f>IFERROR(J108/I108*100,0)</f>
        <v>0</v>
      </c>
    </row>
    <row r="109" spans="11:11">
      <c r="K109" s="2">
        <f>IFERROR(J109/I109*100,0)</f>
        <v>0</v>
      </c>
    </row>
    <row r="110" spans="11:11">
      <c r="K110" s="2">
        <f>IFERROR(J110/I110*100,0)</f>
        <v>0</v>
      </c>
    </row>
    <row r="111" spans="11:11">
      <c r="K111" s="2">
        <f>IFERROR(J111/I111*100,0)</f>
        <v>0</v>
      </c>
    </row>
    <row r="112" spans="11:11">
      <c r="K112" s="2">
        <f>IFERROR(J112/I112*100,0)</f>
        <v>0</v>
      </c>
    </row>
    <row r="113" spans="11:11">
      <c r="K113" s="2">
        <f>IFERROR(J113/I113*100,0)</f>
        <v>0</v>
      </c>
    </row>
    <row r="114" spans="11:11">
      <c r="K114" s="2">
        <f>IFERROR(J114/I114*100,0)</f>
        <v>0</v>
      </c>
    </row>
    <row r="115" spans="11:11">
      <c r="K115" s="2">
        <f>IFERROR(J115/I115*100,0)</f>
        <v>0</v>
      </c>
    </row>
    <row r="116" spans="11:11">
      <c r="K116" s="2">
        <f>IFERROR(J116/I116*100,0)</f>
        <v>0</v>
      </c>
    </row>
    <row r="117" spans="11:11">
      <c r="K117" s="2">
        <f>IFERROR(J117/I117*100,0)</f>
        <v>0</v>
      </c>
    </row>
    <row r="118" spans="11:11">
      <c r="K118" s="2">
        <f>IFERROR(J118/I118*100,0)</f>
        <v>0</v>
      </c>
    </row>
    <row r="119" spans="11:11">
      <c r="K119" s="2">
        <f>IFERROR(J119/I119*100,0)</f>
        <v>0</v>
      </c>
    </row>
    <row r="120" spans="11:11">
      <c r="K120" s="2">
        <f>IFERROR(J120/I120*100,0)</f>
        <v>0</v>
      </c>
    </row>
    <row r="121" spans="11:11">
      <c r="K121" s="2">
        <f>IFERROR(J121/I121*100,0)</f>
        <v>0</v>
      </c>
    </row>
    <row r="122" spans="11:11">
      <c r="K122" s="2">
        <f>IFERROR(J122/I122*100,0)</f>
        <v>0</v>
      </c>
    </row>
    <row r="123" spans="11:11">
      <c r="K123" s="2">
        <f>IFERROR(J123/I123*100,0)</f>
        <v>0</v>
      </c>
    </row>
    <row r="124" spans="11:11">
      <c r="K124" s="2">
        <f>IFERROR(J124/I124*100,0)</f>
        <v>0</v>
      </c>
    </row>
    <row r="125" spans="11:11">
      <c r="K125" s="2">
        <f>IFERROR(J125/I125*100,0)</f>
        <v>0</v>
      </c>
    </row>
    <row r="126" spans="11:11">
      <c r="K126" s="2">
        <f>IFERROR(J126/I126*100,0)</f>
        <v>0</v>
      </c>
    </row>
    <row r="127" spans="11:11">
      <c r="K127" s="2">
        <f>IFERROR(J127/I127*100,0)</f>
        <v>0</v>
      </c>
    </row>
    <row r="128" spans="11:11">
      <c r="K128" s="2">
        <f>IFERROR(J128/I128*100,0)</f>
        <v>0</v>
      </c>
    </row>
    <row r="129" spans="11:11">
      <c r="K129" s="2">
        <f>IFERROR(J129/I129*100,0)</f>
        <v>0</v>
      </c>
    </row>
    <row r="130" spans="11:11">
      <c r="K130" s="2">
        <f>IFERROR(J130/I130*100,0)</f>
        <v>0</v>
      </c>
    </row>
    <row r="131" spans="11:11">
      <c r="K131" s="2">
        <f>IFERROR(J131/I131*100,0)</f>
        <v>0</v>
      </c>
    </row>
    <row r="132" spans="11:11">
      <c r="K132" s="2">
        <f>IFERROR(J132/I132*100,0)</f>
        <v>0</v>
      </c>
    </row>
    <row r="133" spans="11:11">
      <c r="K133" s="2">
        <f>IFERROR(J133/I133*100,0)</f>
        <v>0</v>
      </c>
    </row>
    <row r="134" spans="11:11">
      <c r="K134" s="2">
        <f>IFERROR(J134/I134*100,0)</f>
        <v>0</v>
      </c>
    </row>
    <row r="135" spans="11:11">
      <c r="K135" s="2">
        <f>IFERROR(J135/I135*100,0)</f>
        <v>0</v>
      </c>
    </row>
    <row r="136" spans="11:11">
      <c r="K136" s="2">
        <f>IFERROR(J136/I136*100,0)</f>
        <v>0</v>
      </c>
    </row>
    <row r="137" spans="11:11">
      <c r="K137" s="2">
        <f>IFERROR(J137/I137*100,0)</f>
        <v>0</v>
      </c>
    </row>
    <row r="138" spans="11:11">
      <c r="K138" s="2">
        <f>IFERROR(J138/I138*100,0)</f>
        <v>0</v>
      </c>
    </row>
    <row r="139" spans="11:11">
      <c r="K139" s="2">
        <f>IFERROR(J139/I139*100,0)</f>
        <v>0</v>
      </c>
    </row>
    <row r="140" spans="11:11">
      <c r="K140" s="2">
        <f>IFERROR(J140/I140*100,0)</f>
        <v>0</v>
      </c>
    </row>
    <row r="141" spans="11:11">
      <c r="K141" s="2">
        <f>IFERROR(J141/I141*100,0)</f>
        <v>0</v>
      </c>
    </row>
    <row r="142" spans="11:11">
      <c r="K142" s="2">
        <f>IFERROR(J142/I142*100,0)</f>
        <v>0</v>
      </c>
    </row>
    <row r="143" spans="11:11">
      <c r="K143" s="2">
        <f>IFERROR(J143/I143*100,0)</f>
        <v>0</v>
      </c>
    </row>
    <row r="144" spans="11:11">
      <c r="K144" s="2">
        <f>IFERROR(J144/I144*100,0)</f>
        <v>0</v>
      </c>
    </row>
    <row r="145" spans="11:11">
      <c r="K145" s="2">
        <f>IFERROR(J145/I145*100,0)</f>
        <v>0</v>
      </c>
    </row>
    <row r="146" spans="11:11">
      <c r="K146" s="2">
        <f>IFERROR(J146/I146*100,0)</f>
        <v>0</v>
      </c>
    </row>
    <row r="147" spans="11:11">
      <c r="K147" s="2">
        <f>IFERROR(J147/I147*100,0)</f>
        <v>0</v>
      </c>
    </row>
    <row r="148" spans="11:11">
      <c r="K148" s="2">
        <f>IFERROR(J148/I148*100,0)</f>
        <v>0</v>
      </c>
    </row>
    <row r="149" spans="11:11">
      <c r="K149" s="2">
        <f>IFERROR(J149/I149*100,0)</f>
        <v>0</v>
      </c>
    </row>
    <row r="150" spans="11:11">
      <c r="K150" s="2">
        <f>IFERROR(J150/I150*100,0)</f>
        <v>0</v>
      </c>
    </row>
    <row r="151" spans="11:11">
      <c r="K151" s="2">
        <f>IFERROR(J151/I151*100,0)</f>
        <v>0</v>
      </c>
    </row>
    <row r="152" spans="11:11">
      <c r="K152" s="2">
        <f>IFERROR(J152/I152*100,0)</f>
        <v>0</v>
      </c>
    </row>
    <row r="153" spans="11:11">
      <c r="K153" s="2">
        <f>IFERROR(J153/I153*100,0)</f>
        <v>0</v>
      </c>
    </row>
    <row r="154" spans="11:11">
      <c r="K154" s="2">
        <f>IFERROR(J154/I154*100,0)</f>
        <v>0</v>
      </c>
    </row>
    <row r="155" spans="11:11">
      <c r="K155" s="2">
        <f>IFERROR(J155/I155*100,0)</f>
        <v>0</v>
      </c>
    </row>
    <row r="156" spans="11:11">
      <c r="K156" s="2">
        <f>IFERROR(J156/I156*100,0)</f>
        <v>0</v>
      </c>
    </row>
    <row r="157" spans="11:11">
      <c r="K157" s="2">
        <f>IFERROR(J157/I157*100,0)</f>
        <v>0</v>
      </c>
    </row>
    <row r="158" spans="11:11">
      <c r="K158" s="2">
        <f>IFERROR(J158/I158*100,0)</f>
        <v>0</v>
      </c>
    </row>
    <row r="159" spans="11:11">
      <c r="K159" s="2">
        <f>IFERROR(J159/I159*100,0)</f>
        <v>0</v>
      </c>
    </row>
    <row r="160" spans="11:11">
      <c r="K160" s="2">
        <f>IFERROR(J160/I160*100,0)</f>
        <v>0</v>
      </c>
    </row>
    <row r="161" spans="11:11">
      <c r="K161" s="2">
        <f>IFERROR(J161/I161*100,0)</f>
        <v>0</v>
      </c>
    </row>
    <row r="162" spans="11:11">
      <c r="K162" s="2">
        <f>IFERROR(J162/I162*100,0)</f>
        <v>0</v>
      </c>
    </row>
    <row r="163" spans="11:11">
      <c r="K163" s="2">
        <f>IFERROR(J163/I163*100,0)</f>
        <v>0</v>
      </c>
    </row>
    <row r="164" spans="11:11">
      <c r="K164" s="2">
        <f>IFERROR(J164/I164*100,0)</f>
        <v>0</v>
      </c>
    </row>
    <row r="165" spans="11:11">
      <c r="K165" s="2">
        <f>IFERROR(J165/I165*100,0)</f>
        <v>0</v>
      </c>
    </row>
    <row r="166" spans="11:11">
      <c r="K166" s="2">
        <f>IFERROR(J166/I166*100,0)</f>
        <v>0</v>
      </c>
    </row>
    <row r="167" spans="11:11">
      <c r="K167" s="2">
        <f>IFERROR(J167/I167*100,0)</f>
        <v>0</v>
      </c>
    </row>
    <row r="168" spans="11:11">
      <c r="K168" s="2">
        <f>IFERROR(J168/I168*100,0)</f>
        <v>0</v>
      </c>
    </row>
    <row r="169" spans="11:11">
      <c r="K169" s="2">
        <f>IFERROR(J169/I169*100,0)</f>
        <v>0</v>
      </c>
    </row>
    <row r="170" spans="11:11">
      <c r="K170" s="2">
        <f>IFERROR(J170/I170*100,0)</f>
        <v>0</v>
      </c>
    </row>
    <row r="171" spans="11:11">
      <c r="K171" s="2">
        <f>IFERROR(J171/I171*100,0)</f>
        <v>0</v>
      </c>
    </row>
    <row r="172" spans="11:11">
      <c r="K172" s="2">
        <f>IFERROR(J172/I172*100,0)</f>
        <v>0</v>
      </c>
    </row>
    <row r="173" spans="11:11">
      <c r="K173" s="2">
        <f>IFERROR(J173/I173*100,0)</f>
        <v>0</v>
      </c>
    </row>
    <row r="174" spans="11:11">
      <c r="K174" s="2">
        <f>IFERROR(J174/I174*100,0)</f>
        <v>0</v>
      </c>
    </row>
    <row r="175" spans="11:11">
      <c r="K175" s="2">
        <f>IFERROR(J175/I175*100,0)</f>
        <v>0</v>
      </c>
    </row>
    <row r="176" spans="11:11">
      <c r="K176" s="2">
        <f>IFERROR(J176/I176*100,0)</f>
        <v>0</v>
      </c>
    </row>
    <row r="177" spans="11:11">
      <c r="K177" s="2">
        <f>IFERROR(J177/I177*100,0)</f>
        <v>0</v>
      </c>
    </row>
    <row r="178" spans="11:11">
      <c r="K178" s="2">
        <f>IFERROR(J178/I178*100,0)</f>
        <v>0</v>
      </c>
    </row>
    <row r="179" spans="11:11">
      <c r="K179" s="2">
        <f>IFERROR(J179/I179*100,0)</f>
        <v>0</v>
      </c>
    </row>
    <row r="180" spans="11:11">
      <c r="K180" s="2">
        <f>IFERROR(J180/I180*100,0)</f>
        <v>0</v>
      </c>
    </row>
    <row r="181" spans="11:11">
      <c r="K181" s="2">
        <f>IFERROR(J181/I181*100,0)</f>
        <v>0</v>
      </c>
    </row>
    <row r="182" spans="11:11">
      <c r="K182" s="2">
        <f>IFERROR(J182/I182*100,0)</f>
        <v>0</v>
      </c>
    </row>
    <row r="183" spans="11:11">
      <c r="K183" s="2">
        <f>IFERROR(J183/I183*100,0)</f>
        <v>0</v>
      </c>
    </row>
    <row r="184" spans="11:11">
      <c r="K184" s="2">
        <f>IFERROR(J184/I184*100,0)</f>
        <v>0</v>
      </c>
    </row>
    <row r="185" spans="11:11">
      <c r="K185" s="2">
        <f>IFERROR(J185/I185*100,0)</f>
        <v>0</v>
      </c>
    </row>
    <row r="186" spans="11:11">
      <c r="K186" s="2">
        <f>IFERROR(J186/I186*100,0)</f>
        <v>0</v>
      </c>
    </row>
    <row r="187" spans="11:11">
      <c r="K187" s="2">
        <f>IFERROR(J187/I187*100,0)</f>
        <v>0</v>
      </c>
    </row>
    <row r="188" spans="11:11">
      <c r="K188" s="2">
        <f>IFERROR(J188/I188*100,0)</f>
        <v>0</v>
      </c>
    </row>
    <row r="189" spans="11:11">
      <c r="K189" s="2">
        <f>IFERROR(J189/I189*100,0)</f>
        <v>0</v>
      </c>
    </row>
    <row r="190" spans="11:11">
      <c r="K190" s="2">
        <f>IFERROR(J190/I190*100,0)</f>
        <v>0</v>
      </c>
    </row>
    <row r="191" spans="11:11">
      <c r="K191" s="2">
        <f>IFERROR(J191/I191*100,0)</f>
        <v>0</v>
      </c>
    </row>
    <row r="192" spans="11:11">
      <c r="K192" s="2">
        <f>IFERROR(J192/I192*100,0)</f>
        <v>0</v>
      </c>
    </row>
    <row r="193" spans="11:11">
      <c r="K193" s="2">
        <f>IFERROR(J193/I193*100,0)</f>
        <v>0</v>
      </c>
    </row>
    <row r="194" spans="11:11">
      <c r="K194" s="2">
        <f>IFERROR(J194/I194*100,0)</f>
        <v>0</v>
      </c>
    </row>
    <row r="195" spans="11:11">
      <c r="K195" s="2">
        <f>IFERROR(J195/I195*100,0)</f>
        <v>0</v>
      </c>
    </row>
    <row r="196" spans="11:11">
      <c r="K196" s="2">
        <f>IFERROR(J196/I196*100,0)</f>
        <v>0</v>
      </c>
    </row>
    <row r="197" spans="11:11">
      <c r="K197" s="2">
        <f>IFERROR(J197/I197*100,0)</f>
        <v>0</v>
      </c>
    </row>
    <row r="198" spans="11:11">
      <c r="K198" s="2">
        <f>IFERROR(J198/I198*100,0)</f>
        <v>0</v>
      </c>
    </row>
    <row r="199" spans="11:11">
      <c r="K199" s="2">
        <f>IFERROR(J199/I199*100,0)</f>
        <v>0</v>
      </c>
    </row>
    <row r="200" spans="11:11">
      <c r="K200" s="2">
        <f>IFERROR(J200/I200*100,0)</f>
        <v>0</v>
      </c>
    </row>
    <row r="201" spans="11:11">
      <c r="K201" s="2">
        <f>IFERROR(J201/I201*100,0)</f>
        <v>0</v>
      </c>
    </row>
    <row r="202" spans="11:11">
      <c r="K202" s="2">
        <f>IFERROR(J202/I202*100,0)</f>
        <v>0</v>
      </c>
    </row>
    <row r="203" spans="11:11">
      <c r="K203" s="2">
        <f>IFERROR(J203/I203*100,0)</f>
        <v>0</v>
      </c>
    </row>
    <row r="204" spans="11:11">
      <c r="K204" s="2">
        <f>IFERROR(J204/I204*100,0)</f>
        <v>0</v>
      </c>
    </row>
    <row r="205" spans="11:11">
      <c r="K205" s="2">
        <f>IFERROR(J205/I205*100,0)</f>
        <v>0</v>
      </c>
    </row>
    <row r="206" spans="11:11">
      <c r="K206" s="2">
        <f>IFERROR(J206/I206*100,0)</f>
        <v>0</v>
      </c>
    </row>
    <row r="207" spans="11:11">
      <c r="K207" s="2">
        <f>IFERROR(J207/I207*100,0)</f>
        <v>0</v>
      </c>
    </row>
    <row r="208" spans="11:11">
      <c r="K208" s="2">
        <f>IFERROR(J208/I208*100,0)</f>
        <v>0</v>
      </c>
    </row>
    <row r="209" spans="11:11">
      <c r="K209" s="2">
        <f>IFERROR(J209/I209*100,0)</f>
        <v>0</v>
      </c>
    </row>
    <row r="210" spans="11:11">
      <c r="K210" s="2">
        <f>IFERROR(J210/I210*100,0)</f>
        <v>0</v>
      </c>
    </row>
    <row r="211" spans="11:11">
      <c r="K211" s="2">
        <f>IFERROR(J211/I211*100,0)</f>
        <v>0</v>
      </c>
    </row>
    <row r="212" spans="11:11">
      <c r="K212" s="2">
        <f>IFERROR(J212/I212*100,0)</f>
        <v>0</v>
      </c>
    </row>
    <row r="213" spans="11:11">
      <c r="K213" s="2">
        <f>IFERROR(J213/I213*100,0)</f>
        <v>0</v>
      </c>
    </row>
    <row r="214" spans="11:11">
      <c r="K214" s="2">
        <f>IFERROR(J214/I214*100,0)</f>
        <v>0</v>
      </c>
    </row>
    <row r="215" spans="11:11">
      <c r="K215" s="2">
        <f>IFERROR(J215/I215*100,0)</f>
        <v>0</v>
      </c>
    </row>
    <row r="216" spans="11:11">
      <c r="K216" s="2">
        <f>IFERROR(J216/I216*100,0)</f>
        <v>0</v>
      </c>
    </row>
    <row r="217" spans="11:11">
      <c r="K217" s="2">
        <f>IFERROR(J217/I217*100,0)</f>
        <v>0</v>
      </c>
    </row>
    <row r="218" spans="11:11">
      <c r="K218" s="2">
        <f>IFERROR(J218/I218*100,0)</f>
        <v>0</v>
      </c>
    </row>
    <row r="219" spans="11:11">
      <c r="K219" s="2">
        <f>IFERROR(J219/I219*100,0)</f>
        <v>0</v>
      </c>
    </row>
    <row r="220" spans="11:11">
      <c r="K220" s="2">
        <f>IFERROR(J220/I220*100,0)</f>
        <v>0</v>
      </c>
    </row>
    <row r="221" spans="11:11">
      <c r="K221" s="2">
        <f>IFERROR(J221/I221*100,0)</f>
        <v>0</v>
      </c>
    </row>
    <row r="222" spans="11:11">
      <c r="K222" s="2">
        <f>IFERROR(J222/I222*100,0)</f>
        <v>0</v>
      </c>
    </row>
    <row r="223" spans="11:11">
      <c r="K223" s="2">
        <f>IFERROR(J223/I223*100,0)</f>
        <v>0</v>
      </c>
    </row>
    <row r="224" spans="11:11">
      <c r="K224" s="2">
        <f>IFERROR(J224/I224*100,0)</f>
        <v>0</v>
      </c>
    </row>
    <row r="225" spans="11:11">
      <c r="K225" s="2">
        <f>IFERROR(J225/I225*100,0)</f>
        <v>0</v>
      </c>
    </row>
    <row r="226" spans="11:11">
      <c r="K226" s="2">
        <f>IFERROR(J226/I226*100,0)</f>
        <v>0</v>
      </c>
    </row>
    <row r="227" spans="11:11">
      <c r="K227" s="2">
        <f>IFERROR(J227/I227*100,0)</f>
        <v>0</v>
      </c>
    </row>
    <row r="228" spans="11:11">
      <c r="K228" s="2">
        <f>IFERROR(J228/I228*100,0)</f>
        <v>0</v>
      </c>
    </row>
    <row r="229" spans="11:11">
      <c r="K229" s="2">
        <f>IFERROR(J229/I229*100,0)</f>
        <v>0</v>
      </c>
    </row>
    <row r="230" spans="11:11">
      <c r="K230" s="2">
        <f>IFERROR(J230/I230*100,0)</f>
        <v>0</v>
      </c>
    </row>
    <row r="231" spans="11:11">
      <c r="K231" s="2">
        <f>IFERROR(J231/I231*100,0)</f>
        <v>0</v>
      </c>
    </row>
    <row r="232" spans="11:11">
      <c r="K232" s="2">
        <f>IFERROR(J232/I232*100,0)</f>
        <v>0</v>
      </c>
    </row>
    <row r="233" spans="11:11">
      <c r="K233" s="2">
        <f>IFERROR(J233/I233*100,0)</f>
        <v>0</v>
      </c>
    </row>
    <row r="234" spans="11:11">
      <c r="K234" s="2">
        <f>IFERROR(J234/I234*100,0)</f>
        <v>0</v>
      </c>
    </row>
    <row r="235" spans="11:11">
      <c r="K235" s="2">
        <f>IFERROR(J235/I235*100,0)</f>
        <v>0</v>
      </c>
    </row>
    <row r="236" spans="11:11">
      <c r="K236" s="2">
        <f>IFERROR(J236/I236*100,0)</f>
        <v>0</v>
      </c>
    </row>
    <row r="237" spans="11:11">
      <c r="K237" s="2">
        <f>IFERROR(J237/I237*100,0)</f>
        <v>0</v>
      </c>
    </row>
    <row r="238" spans="11:11">
      <c r="K238" s="2">
        <f>IFERROR(J238/I238*100,0)</f>
        <v>0</v>
      </c>
    </row>
    <row r="239" spans="11:11">
      <c r="K239" s="2">
        <f>IFERROR(J239/I239*100,0)</f>
        <v>0</v>
      </c>
    </row>
    <row r="240" spans="11:11">
      <c r="K240" s="2">
        <f>IFERROR(J240/I240*100,0)</f>
        <v>0</v>
      </c>
    </row>
    <row r="241" spans="11:11">
      <c r="K241" s="2">
        <f>IFERROR(J241/I241*100,0)</f>
        <v>0</v>
      </c>
    </row>
    <row r="242" spans="11:11">
      <c r="K242" s="2">
        <f>IFERROR(J242/I242*100,0)</f>
        <v>0</v>
      </c>
    </row>
    <row r="243" spans="11:11">
      <c r="K243" s="2">
        <f>IFERROR(J243/I243*100,0)</f>
        <v>0</v>
      </c>
    </row>
    <row r="244" spans="11:11">
      <c r="K244" s="2">
        <f>IFERROR(J244/I244*100,0)</f>
        <v>0</v>
      </c>
    </row>
    <row r="245" spans="11:11">
      <c r="K245" s="2">
        <f>IFERROR(J245/I245*100,0)</f>
        <v>0</v>
      </c>
    </row>
    <row r="246" spans="11:11">
      <c r="K246" s="2">
        <f>IFERROR(J246/I246*100,0)</f>
        <v>0</v>
      </c>
    </row>
    <row r="247" spans="11:11">
      <c r="K247" s="2">
        <f>IFERROR(J247/I247*100,0)</f>
        <v>0</v>
      </c>
    </row>
    <row r="248" spans="11:11">
      <c r="K248" s="2">
        <f>IFERROR(J248/I248*100,0)</f>
        <v>0</v>
      </c>
    </row>
    <row r="249" spans="11:11">
      <c r="K249" s="2">
        <f>IFERROR(J249/I249*100,0)</f>
        <v>0</v>
      </c>
    </row>
    <row r="250" spans="11:11">
      <c r="K250" s="2">
        <f>IFERROR(J250/I250*100,0)</f>
        <v>0</v>
      </c>
    </row>
    <row r="251" spans="11:11">
      <c r="K251" s="2">
        <f>IFERROR(J251/I251*100,0)</f>
        <v>0</v>
      </c>
    </row>
    <row r="252" spans="11:11">
      <c r="K252" s="2">
        <f>IFERROR(J252/I252*100,0)</f>
        <v>0</v>
      </c>
    </row>
    <row r="253" spans="11:11">
      <c r="K253" s="2">
        <f>IFERROR(J253/I253*100,0)</f>
        <v>0</v>
      </c>
    </row>
    <row r="254" spans="11:11">
      <c r="K254" s="2">
        <f>IFERROR(J254/I254*100,0)</f>
        <v>0</v>
      </c>
    </row>
    <row r="255" spans="11:11">
      <c r="K255" s="2">
        <f>IFERROR(J255/I255*100,0)</f>
        <v>0</v>
      </c>
    </row>
    <row r="256" spans="11:11">
      <c r="K256" s="2">
        <f>IFERROR(J256/I256*100,0)</f>
        <v>0</v>
      </c>
    </row>
    <row r="257" spans="11:11">
      <c r="K257" s="2">
        <f>IFERROR(J257/I257*100,0)</f>
        <v>0</v>
      </c>
    </row>
    <row r="258" spans="11:11">
      <c r="K258" s="2">
        <f>IFERROR(J258/I258*100,0)</f>
        <v>0</v>
      </c>
    </row>
    <row r="259" spans="11:11">
      <c r="K259" s="2">
        <f>IFERROR(J259/I259*100,0)</f>
        <v>0</v>
      </c>
    </row>
    <row r="260" spans="11:11">
      <c r="K260" s="2">
        <f>IFERROR(J260/I260*100,0)</f>
        <v>0</v>
      </c>
    </row>
    <row r="261" spans="11:11">
      <c r="K261" s="2">
        <f>IFERROR(J261/I261*100,0)</f>
        <v>0</v>
      </c>
    </row>
    <row r="262" spans="11:11">
      <c r="K262" s="2">
        <f>IFERROR(J262/I262*100,0)</f>
        <v>0</v>
      </c>
    </row>
    <row r="263" spans="11:11">
      <c r="K263" s="2">
        <f>IFERROR(J263/I263*100,0)</f>
        <v>0</v>
      </c>
    </row>
    <row r="264" spans="11:11">
      <c r="K264" s="2">
        <f>IFERROR(J264/I264*100,0)</f>
        <v>0</v>
      </c>
    </row>
    <row r="265" spans="11:11">
      <c r="K265" s="2">
        <f>IFERROR(J265/I265*100,0)</f>
        <v>0</v>
      </c>
    </row>
    <row r="266" spans="11:11">
      <c r="K266" s="2">
        <f>IFERROR(J266/I266*100,0)</f>
        <v>0</v>
      </c>
    </row>
    <row r="267" spans="11:11">
      <c r="K267" s="2">
        <f>IFERROR(J267/I267*100,0)</f>
        <v>0</v>
      </c>
    </row>
    <row r="268" spans="11:11">
      <c r="K268" s="2">
        <f>IFERROR(J268/I268*100,0)</f>
        <v>0</v>
      </c>
    </row>
    <row r="269" spans="11:11">
      <c r="K269" s="2">
        <f>IFERROR(J269/I269*100,0)</f>
        <v>0</v>
      </c>
    </row>
    <row r="270" spans="11:11">
      <c r="K270" s="2">
        <f>IFERROR(J270/I270*100,0)</f>
        <v>0</v>
      </c>
    </row>
    <row r="271" spans="11:11">
      <c r="K271" s="2">
        <f>IFERROR(J271/I271*100,0)</f>
        <v>0</v>
      </c>
    </row>
    <row r="272" spans="11:11">
      <c r="K272" s="2">
        <f>IFERROR(J272/I272*100,0)</f>
        <v>0</v>
      </c>
    </row>
    <row r="273" spans="11:11">
      <c r="K273" s="2">
        <f>IFERROR(J273/I273*100,0)</f>
        <v>0</v>
      </c>
    </row>
    <row r="274" spans="11:11">
      <c r="K274" s="2">
        <f>IFERROR(J274/I274*100,0)</f>
        <v>0</v>
      </c>
    </row>
    <row r="275" spans="11:11">
      <c r="K275" s="2">
        <f>IFERROR(J275/I275*100,0)</f>
        <v>0</v>
      </c>
    </row>
    <row r="276" spans="11:11">
      <c r="K276" s="2">
        <f>IFERROR(J276/I276*100,0)</f>
        <v>0</v>
      </c>
    </row>
    <row r="277" spans="11:11">
      <c r="K277" s="2">
        <f>IFERROR(J277/I277*100,0)</f>
        <v>0</v>
      </c>
    </row>
    <row r="278" spans="11:11">
      <c r="K278" s="2">
        <f>IFERROR(J278/I278*100,0)</f>
        <v>0</v>
      </c>
    </row>
    <row r="279" spans="11:11">
      <c r="K279" s="2">
        <f>IFERROR(J279/I279*100,0)</f>
        <v>0</v>
      </c>
    </row>
    <row r="280" spans="11:11">
      <c r="K280" s="2">
        <f>IFERROR(J280/I280*100,0)</f>
        <v>0</v>
      </c>
    </row>
    <row r="281" spans="11:11">
      <c r="K281" s="2">
        <f>IFERROR(J281/I281*100,0)</f>
        <v>0</v>
      </c>
    </row>
    <row r="282" spans="11:11">
      <c r="K282" s="2">
        <f>IFERROR(J282/I282*100,0)</f>
        <v>0</v>
      </c>
    </row>
    <row r="283" spans="11:11">
      <c r="K283" s="2">
        <f>IFERROR(J283/I283*100,0)</f>
        <v>0</v>
      </c>
    </row>
    <row r="284" spans="11:11">
      <c r="K284" s="2">
        <f>IFERROR(J284/I284*100,0)</f>
        <v>0</v>
      </c>
    </row>
    <row r="285" spans="11:11">
      <c r="K285" s="2">
        <f>IFERROR(J285/I285*100,0)</f>
        <v>0</v>
      </c>
    </row>
    <row r="286" spans="11:11">
      <c r="K286" s="2">
        <f>IFERROR(J286/I286*100,0)</f>
        <v>0</v>
      </c>
    </row>
    <row r="287" spans="11:11">
      <c r="K287" s="2">
        <f>IFERROR(J287/I287*100,0)</f>
        <v>0</v>
      </c>
    </row>
    <row r="288" spans="11:11">
      <c r="K288" s="2">
        <f>IFERROR(J288/I288*100,0)</f>
        <v>0</v>
      </c>
    </row>
    <row r="289" spans="11:11">
      <c r="K289" s="2">
        <f>IFERROR(J289/I289*100,0)</f>
        <v>0</v>
      </c>
    </row>
    <row r="290" spans="11:11">
      <c r="K290" s="2">
        <f>IFERROR(J290/I290*100,0)</f>
        <v>0</v>
      </c>
    </row>
    <row r="291" spans="11:11">
      <c r="K291" s="2">
        <f>IFERROR(J291/I291*100,0)</f>
        <v>0</v>
      </c>
    </row>
    <row r="292" spans="11:11">
      <c r="K292" s="2">
        <f>IFERROR(J292/I292*100,0)</f>
        <v>0</v>
      </c>
    </row>
    <row r="293" spans="11:11">
      <c r="K293" s="2">
        <f>IFERROR(J293/I293*100,0)</f>
        <v>0</v>
      </c>
    </row>
    <row r="294" spans="11:11">
      <c r="K294" s="2">
        <f>IFERROR(J294/I294*100,0)</f>
        <v>0</v>
      </c>
    </row>
    <row r="295" spans="11:11">
      <c r="K295" s="2">
        <f>IFERROR(J295/I295*100,0)</f>
        <v>0</v>
      </c>
    </row>
    <row r="296" spans="11:11">
      <c r="K296" s="2">
        <f>IFERROR(J296/I296*100,0)</f>
        <v>0</v>
      </c>
    </row>
    <row r="297" spans="11:11">
      <c r="K297" s="2">
        <f>IFERROR(J297/I297*100,0)</f>
        <v>0</v>
      </c>
    </row>
    <row r="298" spans="11:11">
      <c r="K298" s="2">
        <f>IFERROR(J298/I298*100,0)</f>
        <v>0</v>
      </c>
    </row>
    <row r="299" spans="11:11">
      <c r="K299" s="2">
        <f>IFERROR(J299/I299*100,0)</f>
        <v>0</v>
      </c>
    </row>
    <row r="300" spans="11:11">
      <c r="K300" s="2">
        <f>IFERROR(J300/I300*100,0)</f>
        <v>0</v>
      </c>
    </row>
    <row r="301" spans="11:11">
      <c r="K301" s="2">
        <f>IFERROR(J301/I301*100,0)</f>
        <v>0</v>
      </c>
    </row>
    <row r="302" spans="11:11">
      <c r="K302" s="2">
        <f>IFERROR(J302/I302*100,0)</f>
        <v>0</v>
      </c>
    </row>
    <row r="303" spans="11:11">
      <c r="K303" s="2">
        <f>IFERROR(J303/I303*100,0)</f>
        <v>0</v>
      </c>
    </row>
    <row r="304" spans="11:11">
      <c r="K304" s="2">
        <f>IFERROR(J304/I304*100,0)</f>
        <v>0</v>
      </c>
    </row>
    <row r="305" spans="11:11">
      <c r="K305" s="2">
        <f>IFERROR(J305/I305*100,0)</f>
        <v>0</v>
      </c>
    </row>
    <row r="306" spans="11:11">
      <c r="K306" s="2">
        <f>IFERROR(J306/I306*100,0)</f>
        <v>0</v>
      </c>
    </row>
    <row r="307" spans="11:11">
      <c r="K307" s="2">
        <f>IFERROR(J307/I307*100,0)</f>
        <v>0</v>
      </c>
    </row>
    <row r="308" spans="11:11">
      <c r="K308" s="2">
        <f>IFERROR(J308/I308*100,0)</f>
        <v>0</v>
      </c>
    </row>
    <row r="309" spans="11:11">
      <c r="K309" s="2">
        <f>IFERROR(J309/I309*100,0)</f>
        <v>0</v>
      </c>
    </row>
    <row r="310" spans="11:11">
      <c r="K310" s="2">
        <f>IFERROR(J310/I310*100,0)</f>
        <v>0</v>
      </c>
    </row>
    <row r="311" spans="11:11">
      <c r="K311" s="2">
        <f>IFERROR(J311/I311*100,0)</f>
        <v>0</v>
      </c>
    </row>
    <row r="312" spans="11:11">
      <c r="K312" s="2">
        <f>IFERROR(J312/I312*100,0)</f>
        <v>0</v>
      </c>
    </row>
    <row r="313" spans="11:11">
      <c r="K313" s="2">
        <f>IFERROR(J313/I313*100,0)</f>
        <v>0</v>
      </c>
    </row>
    <row r="314" spans="11:11">
      <c r="K314" s="2">
        <f>IFERROR(J314/I314*100,0)</f>
        <v>0</v>
      </c>
    </row>
    <row r="315" spans="11:11">
      <c r="K315" s="2">
        <f>IFERROR(J315/I315*100,0)</f>
        <v>0</v>
      </c>
    </row>
    <row r="316" spans="11:11">
      <c r="K316" s="2">
        <f>IFERROR(J316/I316*100,0)</f>
        <v>0</v>
      </c>
    </row>
    <row r="317" spans="11:11">
      <c r="K317" s="2">
        <f>IFERROR(J317/I317*100,0)</f>
        <v>0</v>
      </c>
    </row>
    <row r="318" spans="11:11">
      <c r="K318" s="2">
        <f>IFERROR(J318/I318*100,0)</f>
        <v>0</v>
      </c>
    </row>
    <row r="319" spans="11:11">
      <c r="K319" s="2">
        <f>IFERROR(J319/I319*100,0)</f>
        <v>0</v>
      </c>
    </row>
    <row r="320" spans="11:11">
      <c r="K320" s="2">
        <f>IFERROR(J320/I320*100,0)</f>
        <v>0</v>
      </c>
    </row>
    <row r="321" spans="11:11">
      <c r="K321" s="2">
        <f>IFERROR(J321/I321*100,0)</f>
        <v>0</v>
      </c>
    </row>
    <row r="322" spans="11:11">
      <c r="K322" s="2">
        <f>IFERROR(J322/I322*100,0)</f>
        <v>0</v>
      </c>
    </row>
    <row r="323" spans="11:11">
      <c r="K323" s="2">
        <f>IFERROR(J323/I323*100,0)</f>
        <v>0</v>
      </c>
    </row>
    <row r="324" spans="11:11">
      <c r="K324" s="2">
        <f>IFERROR(J324/I324*100,0)</f>
        <v>0</v>
      </c>
    </row>
    <row r="325" spans="11:11">
      <c r="K325" s="2">
        <f>IFERROR(J325/I325*100,0)</f>
        <v>0</v>
      </c>
    </row>
    <row r="326" spans="11:11">
      <c r="K326" s="2">
        <f>IFERROR(J326/I326*100,0)</f>
        <v>0</v>
      </c>
    </row>
    <row r="327" spans="11:11">
      <c r="K327" s="2">
        <f>IFERROR(J327/I327*100,0)</f>
        <v>0</v>
      </c>
    </row>
    <row r="328" spans="11:11">
      <c r="K328" s="2">
        <f>IFERROR(J328/I328*100,0)</f>
        <v>0</v>
      </c>
    </row>
    <row r="329" spans="11:11">
      <c r="K329" s="2">
        <f>IFERROR(J329/I329*100,0)</f>
        <v>0</v>
      </c>
    </row>
    <row r="330" spans="11:11">
      <c r="K330" s="2">
        <f>IFERROR(J330/I330*100,0)</f>
        <v>0</v>
      </c>
    </row>
    <row r="331" spans="11:11">
      <c r="K331" s="2">
        <f>IFERROR(J331/I331*100,0)</f>
        <v>0</v>
      </c>
    </row>
    <row r="332" spans="11:11">
      <c r="K332" s="2">
        <f>IFERROR(J332/I332*100,0)</f>
        <v>0</v>
      </c>
    </row>
    <row r="333" spans="11:11">
      <c r="K333" s="2">
        <f>IFERROR(J333/I333*100,0)</f>
        <v>0</v>
      </c>
    </row>
    <row r="334" spans="11:11">
      <c r="K334" s="2">
        <f>IFERROR(J334/I334*100,0)</f>
        <v>0</v>
      </c>
    </row>
    <row r="335" spans="11:11">
      <c r="K335" s="2">
        <f>IFERROR(J335/I335*100,0)</f>
        <v>0</v>
      </c>
    </row>
    <row r="336" spans="11:11">
      <c r="K336" s="2">
        <f>IFERROR(J336/I336*100,0)</f>
        <v>0</v>
      </c>
    </row>
    <row r="337" spans="11:11">
      <c r="K337" s="2">
        <f>IFERROR(J337/I337*100,0)</f>
        <v>0</v>
      </c>
    </row>
    <row r="338" spans="11:11">
      <c r="K338" s="2">
        <f>IFERROR(J338/I338*100,0)</f>
        <v>0</v>
      </c>
    </row>
    <row r="339" spans="11:11">
      <c r="K339" s="2">
        <f>IFERROR(J339/I339*100,0)</f>
        <v>0</v>
      </c>
    </row>
    <row r="340" spans="11:11">
      <c r="K340" s="2">
        <f>IFERROR(J340/I340*100,0)</f>
        <v>0</v>
      </c>
    </row>
    <row r="341" spans="11:11">
      <c r="K341" s="2">
        <f>IFERROR(J341/I341*100,0)</f>
        <v>0</v>
      </c>
    </row>
    <row r="342" spans="11:11">
      <c r="K342" s="2">
        <f>IFERROR(J342/I342*100,0)</f>
        <v>0</v>
      </c>
    </row>
    <row r="343" spans="11:11">
      <c r="K343" s="2">
        <f>IFERROR(J343/I343*100,0)</f>
        <v>0</v>
      </c>
    </row>
    <row r="344" spans="11:11">
      <c r="K344" s="2">
        <f>IFERROR(J344/I344*100,0)</f>
        <v>0</v>
      </c>
    </row>
    <row r="345" spans="11:11">
      <c r="K345" s="2">
        <f>IFERROR(J345/I345*100,0)</f>
        <v>0</v>
      </c>
    </row>
    <row r="346" spans="11:11">
      <c r="K346" s="2">
        <f>IFERROR(J346/I346*100,0)</f>
        <v>0</v>
      </c>
    </row>
    <row r="347" spans="11:11">
      <c r="K347" s="2">
        <f>IFERROR(J347/I347*100,0)</f>
        <v>0</v>
      </c>
    </row>
    <row r="348" spans="11:11">
      <c r="K348" s="2">
        <f>IFERROR(J348/I348*100,0)</f>
        <v>0</v>
      </c>
    </row>
    <row r="349" spans="11:11">
      <c r="K349" s="2">
        <f>IFERROR(J349/I349*100,0)</f>
        <v>0</v>
      </c>
    </row>
    <row r="350" spans="11:11">
      <c r="K350" s="2">
        <f>IFERROR(J350/I350*100,0)</f>
        <v>0</v>
      </c>
    </row>
    <row r="351" spans="11:11">
      <c r="K351" s="2">
        <f>IFERROR(J351/I351*100,0)</f>
        <v>0</v>
      </c>
    </row>
    <row r="352" spans="11:11">
      <c r="K352" s="2">
        <f>IFERROR(J352/I352*100,0)</f>
        <v>0</v>
      </c>
    </row>
    <row r="353" spans="11:11">
      <c r="K353" s="2">
        <f>IFERROR(J353/I353*100,0)</f>
        <v>0</v>
      </c>
    </row>
    <row r="354" spans="11:11">
      <c r="K354" s="2">
        <f>IFERROR(J354/I354*100,0)</f>
        <v>0</v>
      </c>
    </row>
    <row r="355" spans="11:11">
      <c r="K355" s="2">
        <f>IFERROR(J355/I355*100,0)</f>
        <v>0</v>
      </c>
    </row>
    <row r="356" spans="11:11">
      <c r="K356" s="2">
        <f>IFERROR(J356/I356*100,0)</f>
        <v>0</v>
      </c>
    </row>
    <row r="357" spans="11:11">
      <c r="K357" s="2">
        <f>IFERROR(J357/I357*100,0)</f>
        <v>0</v>
      </c>
    </row>
    <row r="358" spans="11:11">
      <c r="K358" s="2">
        <f>IFERROR(J358/I358*100,0)</f>
        <v>0</v>
      </c>
    </row>
    <row r="359" spans="11:11">
      <c r="K359" s="2">
        <f>IFERROR(J359/I359*100,0)</f>
        <v>0</v>
      </c>
    </row>
    <row r="360" spans="11:11">
      <c r="K360" s="2">
        <f>IFERROR(J360/I360*100,0)</f>
        <v>0</v>
      </c>
    </row>
    <row r="361" spans="11:11">
      <c r="K361" s="2">
        <f>IFERROR(J361/I361*100,0)</f>
        <v>0</v>
      </c>
    </row>
    <row r="362" spans="11:11">
      <c r="K362" s="2">
        <f>IFERROR(J362/I362*100,0)</f>
        <v>0</v>
      </c>
    </row>
    <row r="363" spans="11:11">
      <c r="K363" s="2">
        <f>IFERROR(J363/I363*100,0)</f>
        <v>0</v>
      </c>
    </row>
    <row r="364" spans="11:11">
      <c r="K364" s="2">
        <f>IFERROR(J364/I364*100,0)</f>
        <v>0</v>
      </c>
    </row>
    <row r="365" spans="11:11">
      <c r="K365" s="2">
        <f>IFERROR(J365/I365*100,0)</f>
        <v>0</v>
      </c>
    </row>
    <row r="366" spans="11:11">
      <c r="K366" s="2">
        <f>IFERROR(J366/I366*100,0)</f>
        <v>0</v>
      </c>
    </row>
    <row r="367" spans="11:11">
      <c r="K367" s="2">
        <f>IFERROR(J367/I367*100,0)</f>
        <v>0</v>
      </c>
    </row>
    <row r="368" spans="11:11">
      <c r="K368" s="2">
        <f>IFERROR(J368/I368*100,0)</f>
        <v>0</v>
      </c>
    </row>
    <row r="369" spans="11:11">
      <c r="K369" s="2">
        <f>IFERROR(J369/I369*100,0)</f>
        <v>0</v>
      </c>
    </row>
    <row r="370" spans="11:11">
      <c r="K370" s="2">
        <f>IFERROR(J370/I370*100,0)</f>
        <v>0</v>
      </c>
    </row>
    <row r="371" spans="11:11">
      <c r="K371" s="2">
        <f>IFERROR(J371/I371*100,0)</f>
        <v>0</v>
      </c>
    </row>
    <row r="372" spans="11:11">
      <c r="K372" s="2">
        <f>IFERROR(J372/I372*100,0)</f>
        <v>0</v>
      </c>
    </row>
    <row r="373" spans="11:11">
      <c r="K373" s="2">
        <f>IFERROR(J373/I373*100,0)</f>
        <v>0</v>
      </c>
    </row>
    <row r="374" spans="11:11">
      <c r="K374" s="2">
        <f>IFERROR(J374/I374*100,0)</f>
        <v>0</v>
      </c>
    </row>
    <row r="375" spans="11:11">
      <c r="K375" s="2">
        <f>IFERROR(J375/I375*100,0)</f>
        <v>0</v>
      </c>
    </row>
    <row r="376" spans="11:11">
      <c r="K376" s="2">
        <f>IFERROR(J376/I376*100,0)</f>
        <v>0</v>
      </c>
    </row>
    <row r="377" spans="11:11">
      <c r="K377" s="2">
        <f>IFERROR(J377/I377*100,0)</f>
        <v>0</v>
      </c>
    </row>
    <row r="378" spans="11:11">
      <c r="K378" s="2">
        <f>IFERROR(J378/I378*100,0)</f>
        <v>0</v>
      </c>
    </row>
    <row r="379" spans="11:11">
      <c r="K379" s="2">
        <f>IFERROR(J379/I379*100,0)</f>
        <v>0</v>
      </c>
    </row>
    <row r="380" spans="11:11">
      <c r="K380" s="2">
        <f>IFERROR(J380/I380*100,0)</f>
        <v>0</v>
      </c>
    </row>
    <row r="381" spans="11:11">
      <c r="K381" s="2">
        <f>IFERROR(J381/I381*100,0)</f>
        <v>0</v>
      </c>
    </row>
    <row r="382" spans="11:11">
      <c r="K382" s="2">
        <f>IFERROR(J382/I382*100,0)</f>
        <v>0</v>
      </c>
    </row>
    <row r="383" spans="11:11">
      <c r="K383" s="2">
        <f>IFERROR(J383/I383*100,0)</f>
        <v>0</v>
      </c>
    </row>
    <row r="384" spans="11:11">
      <c r="K384" s="2">
        <f>IFERROR(J384/I384*100,0)</f>
        <v>0</v>
      </c>
    </row>
    <row r="385" spans="11:11">
      <c r="K385" s="2">
        <f>IFERROR(J385/I385*100,0)</f>
        <v>0</v>
      </c>
    </row>
    <row r="386" spans="11:11">
      <c r="K386" s="2">
        <f>IFERROR(J386/I386*100,0)</f>
        <v>0</v>
      </c>
    </row>
    <row r="387" spans="11:11">
      <c r="K387" s="2">
        <f>IFERROR(J387/I387*100,0)</f>
        <v>0</v>
      </c>
    </row>
    <row r="388" spans="11:11">
      <c r="K388" s="2">
        <f>IFERROR(J388/I388*100,0)</f>
        <v>0</v>
      </c>
    </row>
    <row r="389" spans="11:11">
      <c r="K389" s="2">
        <f>IFERROR(J389/I389*100,0)</f>
        <v>0</v>
      </c>
    </row>
    <row r="390" spans="11:11">
      <c r="K390" s="2">
        <f>IFERROR(J390/I390*100,0)</f>
        <v>0</v>
      </c>
    </row>
    <row r="391" spans="11:11">
      <c r="K391" s="2">
        <f>IFERROR(J391/I391*100,0)</f>
        <v>0</v>
      </c>
    </row>
    <row r="392" spans="11:11">
      <c r="K392" s="2">
        <f>IFERROR(J392/I392*100,0)</f>
        <v>0</v>
      </c>
    </row>
    <row r="393" spans="11:11">
      <c r="K393" s="2">
        <f>IFERROR(J393/I393*100,0)</f>
        <v>0</v>
      </c>
    </row>
    <row r="394" spans="11:11">
      <c r="K394" s="2">
        <f>IFERROR(J394/I394*100,0)</f>
        <v>0</v>
      </c>
    </row>
    <row r="395" spans="11:11">
      <c r="K395" s="2">
        <f>IFERROR(J395/I395*100,0)</f>
        <v>0</v>
      </c>
    </row>
    <row r="396" spans="11:11">
      <c r="K396" s="2">
        <f>IFERROR(J396/I396*100,0)</f>
        <v>0</v>
      </c>
    </row>
    <row r="397" spans="11:11">
      <c r="K397" s="2">
        <f>IFERROR(J397/I397*100,0)</f>
        <v>0</v>
      </c>
    </row>
    <row r="398" spans="11:11">
      <c r="K398" s="2">
        <f>IFERROR(J398/I398*100,0)</f>
        <v>0</v>
      </c>
    </row>
    <row r="399" spans="11:11">
      <c r="K399" s="2">
        <f>IFERROR(J399/I399*100,0)</f>
        <v>0</v>
      </c>
    </row>
    <row r="400" spans="11:11">
      <c r="K400" s="2">
        <f>IFERROR(J400/I400*100,0)</f>
        <v>0</v>
      </c>
    </row>
    <row r="401" spans="11:11">
      <c r="K401" s="2">
        <f>IFERROR(J401/I401*100,0)</f>
        <v>0</v>
      </c>
    </row>
    <row r="402" spans="11:11">
      <c r="K402" s="2">
        <f>IFERROR(J402/I402*100,0)</f>
        <v>0</v>
      </c>
    </row>
    <row r="403" spans="11:11">
      <c r="K403" s="2">
        <f>IFERROR(J403/I403*100,0)</f>
        <v>0</v>
      </c>
    </row>
    <row r="404" spans="11:11">
      <c r="K404" s="2">
        <f>IFERROR(J404/I404*100,0)</f>
        <v>0</v>
      </c>
    </row>
    <row r="405" spans="11:11">
      <c r="K405" s="2">
        <f>IFERROR(J405/I405*100,0)</f>
        <v>0</v>
      </c>
    </row>
    <row r="406" spans="11:11">
      <c r="K406" s="2">
        <f>IFERROR(J406/I406*100,0)</f>
        <v>0</v>
      </c>
    </row>
    <row r="407" spans="11:11">
      <c r="K407" s="2">
        <f>IFERROR(J407/I407*100,0)</f>
        <v>0</v>
      </c>
    </row>
    <row r="408" spans="11:11">
      <c r="K408" s="2">
        <f>IFERROR(J408/I408*100,0)</f>
        <v>0</v>
      </c>
    </row>
    <row r="409" spans="11:11">
      <c r="K409" s="2">
        <f>IFERROR(J409/I409*100,0)</f>
        <v>0</v>
      </c>
    </row>
    <row r="410" spans="11:11">
      <c r="K410" s="2">
        <f>IFERROR(J410/I410*100,0)</f>
        <v>0</v>
      </c>
    </row>
    <row r="411" spans="11:11">
      <c r="K411" s="2">
        <f>IFERROR(J411/I411*100,0)</f>
        <v>0</v>
      </c>
    </row>
    <row r="412" spans="11:11">
      <c r="K412" s="2">
        <f>IFERROR(J412/I412*100,0)</f>
        <v>0</v>
      </c>
    </row>
    <row r="413" spans="11:11">
      <c r="K413" s="2">
        <f>IFERROR(J413/I413*100,0)</f>
        <v>0</v>
      </c>
    </row>
    <row r="414" spans="11:11">
      <c r="K414" s="2">
        <f>IFERROR(J414/I414*100,0)</f>
        <v>0</v>
      </c>
    </row>
    <row r="415" spans="11:11">
      <c r="K415" s="2">
        <f>IFERROR(J415/I415*100,0)</f>
        <v>0</v>
      </c>
    </row>
    <row r="416" spans="11:11">
      <c r="K416" s="2">
        <f>IFERROR(J416/I416*100,0)</f>
        <v>0</v>
      </c>
    </row>
    <row r="417" spans="11:11">
      <c r="K417" s="2">
        <f>IFERROR(J417/I417*100,0)</f>
        <v>0</v>
      </c>
    </row>
    <row r="418" spans="11:11">
      <c r="K418" s="2">
        <f>IFERROR(J418/I418*100,0)</f>
        <v>0</v>
      </c>
    </row>
    <row r="419" spans="11:11">
      <c r="K419" s="2">
        <f>IFERROR(J419/I419*100,0)</f>
        <v>0</v>
      </c>
    </row>
    <row r="420" spans="11:11">
      <c r="K420" s="2">
        <f>IFERROR(J420/I420*100,0)</f>
        <v>0</v>
      </c>
    </row>
    <row r="421" spans="11:11">
      <c r="K421" s="2">
        <f>IFERROR(J421/I421*100,0)</f>
        <v>0</v>
      </c>
    </row>
    <row r="422" spans="11:11">
      <c r="K422" s="2">
        <f>IFERROR(J422/I422*100,0)</f>
        <v>0</v>
      </c>
    </row>
    <row r="423" spans="11:11">
      <c r="K423" s="2">
        <f>IFERROR(J423/I423*100,0)</f>
        <v>0</v>
      </c>
    </row>
    <row r="424" spans="11:11">
      <c r="K424" s="2">
        <f>IFERROR(J424/I424*100,0)</f>
        <v>0</v>
      </c>
    </row>
    <row r="425" spans="11:11">
      <c r="K425" s="2">
        <f>IFERROR(J425/I425*100,0)</f>
        <v>0</v>
      </c>
    </row>
    <row r="426" spans="11:11">
      <c r="K426" s="2">
        <f>IFERROR(J426/I426*100,0)</f>
        <v>0</v>
      </c>
    </row>
    <row r="427" spans="11:11">
      <c r="K427" s="2">
        <f>IFERROR(J427/I427*100,0)</f>
        <v>0</v>
      </c>
    </row>
    <row r="428" spans="11:11">
      <c r="K428" s="2">
        <f>IFERROR(J428/I428*100,0)</f>
        <v>0</v>
      </c>
    </row>
    <row r="429" spans="11:11">
      <c r="K429" s="2">
        <f>IFERROR(J429/I429*100,0)</f>
        <v>0</v>
      </c>
    </row>
    <row r="430" spans="11:11">
      <c r="K430" s="2">
        <f>IFERROR(J430/I430*100,0)</f>
        <v>0</v>
      </c>
    </row>
    <row r="431" spans="11:11">
      <c r="K431" s="2">
        <f>IFERROR(J431/I431*100,0)</f>
        <v>0</v>
      </c>
    </row>
    <row r="432" spans="11:11">
      <c r="K432" s="2">
        <f>IFERROR(J432/I432*100,0)</f>
        <v>0</v>
      </c>
    </row>
    <row r="433" spans="11:11">
      <c r="K433" s="2">
        <f>IFERROR(J433/I433*100,0)</f>
        <v>0</v>
      </c>
    </row>
    <row r="434" spans="11:11">
      <c r="K434" s="2">
        <f>IFERROR(J434/I434*100,0)</f>
        <v>0</v>
      </c>
    </row>
    <row r="435" spans="11:11">
      <c r="K435" s="2">
        <f>IFERROR(J435/I435*100,0)</f>
        <v>0</v>
      </c>
    </row>
    <row r="436" spans="11:11">
      <c r="K436" s="2">
        <f>IFERROR(J436/I436*100,0)</f>
        <v>0</v>
      </c>
    </row>
    <row r="437" spans="11:11">
      <c r="K437" s="2">
        <f>IFERROR(J437/I437*100,0)</f>
        <v>0</v>
      </c>
    </row>
    <row r="438" spans="11:11">
      <c r="K438" s="2">
        <f>IFERROR(J438/I438*100,0)</f>
        <v>0</v>
      </c>
    </row>
    <row r="439" spans="11:11">
      <c r="K439" s="2">
        <f>IFERROR(J439/I439*100,0)</f>
        <v>0</v>
      </c>
    </row>
    <row r="440" spans="11:11">
      <c r="K440" s="2">
        <f>IFERROR(J440/I440*100,0)</f>
        <v>0</v>
      </c>
    </row>
    <row r="441" spans="11:11">
      <c r="K441" s="2">
        <f>IFERROR(J441/I441*100,0)</f>
        <v>0</v>
      </c>
    </row>
    <row r="442" spans="11:11">
      <c r="K442" s="2">
        <f>IFERROR(J442/I442*100,0)</f>
        <v>0</v>
      </c>
    </row>
    <row r="443" spans="11:11">
      <c r="K443" s="2">
        <f>IFERROR(J443/I443*100,0)</f>
        <v>0</v>
      </c>
    </row>
    <row r="444" spans="11:11">
      <c r="K444" s="2">
        <f>IFERROR(J444/I444*100,0)</f>
        <v>0</v>
      </c>
    </row>
    <row r="445" spans="11:11">
      <c r="K445" s="2">
        <f>IFERROR(J445/I445*100,0)</f>
        <v>0</v>
      </c>
    </row>
    <row r="446" spans="11:11">
      <c r="K446" s="2">
        <f>IFERROR(J446/I446*100,0)</f>
        <v>0</v>
      </c>
    </row>
    <row r="447" spans="11:11">
      <c r="K447" s="2">
        <f>IFERROR(J447/I447*100,0)</f>
        <v>0</v>
      </c>
    </row>
    <row r="448" spans="11:11">
      <c r="K448" s="2">
        <f>IFERROR(J448/I448*100,0)</f>
        <v>0</v>
      </c>
    </row>
    <row r="449" spans="11:11">
      <c r="K449" s="2">
        <f>IFERROR(J449/I449*100,0)</f>
        <v>0</v>
      </c>
    </row>
    <row r="450" spans="11:11">
      <c r="K450" s="2">
        <f>IFERROR(J450/I450*100,0)</f>
        <v>0</v>
      </c>
    </row>
    <row r="451" spans="11:11">
      <c r="K451" s="2">
        <f>IFERROR(J451/I451*100,0)</f>
        <v>0</v>
      </c>
    </row>
    <row r="452" spans="11:11">
      <c r="K452" s="2">
        <f>IFERROR(J452/I452*100,0)</f>
        <v>0</v>
      </c>
    </row>
    <row r="453" spans="11:11">
      <c r="K453" s="2">
        <f>IFERROR(J453/I453*100,0)</f>
        <v>0</v>
      </c>
    </row>
    <row r="454" spans="11:11">
      <c r="K454" s="2">
        <f>IFERROR(J454/I454*100,0)</f>
        <v>0</v>
      </c>
    </row>
    <row r="455" spans="11:11">
      <c r="K455" s="2">
        <f>IFERROR(J455/I455*100,0)</f>
        <v>0</v>
      </c>
    </row>
    <row r="456" spans="11:11">
      <c r="K456" s="2">
        <f>IFERROR(J456/I456*100,0)</f>
        <v>0</v>
      </c>
    </row>
    <row r="457" spans="11:11">
      <c r="K457" s="2">
        <f>IFERROR(J457/I457*100,0)</f>
        <v>0</v>
      </c>
    </row>
    <row r="458" spans="11:11">
      <c r="K458" s="2">
        <f>IFERROR(J458/I458*100,0)</f>
        <v>0</v>
      </c>
    </row>
    <row r="459" spans="11:11">
      <c r="K459" s="2">
        <f>IFERROR(J459/I459*100,0)</f>
        <v>0</v>
      </c>
    </row>
    <row r="460" spans="11:11">
      <c r="K460" s="2">
        <f>IFERROR(J460/I460*100,0)</f>
        <v>0</v>
      </c>
    </row>
    <row r="461" spans="11:11">
      <c r="K461" s="2">
        <f>IFERROR(J461/I461*100,0)</f>
        <v>0</v>
      </c>
    </row>
    <row r="462" spans="11:11">
      <c r="K462" s="2">
        <f>IFERROR(J462/I462*100,0)</f>
        <v>0</v>
      </c>
    </row>
    <row r="463" spans="11:11">
      <c r="K463" s="2">
        <f>IFERROR(J463/I463*100,0)</f>
        <v>0</v>
      </c>
    </row>
    <row r="464" spans="11:11">
      <c r="K464" s="2">
        <f>IFERROR(J464/I464*100,0)</f>
        <v>0</v>
      </c>
    </row>
    <row r="465" spans="11:11">
      <c r="K465" s="2">
        <f>IFERROR(J465/I465*100,0)</f>
        <v>0</v>
      </c>
    </row>
    <row r="466" spans="11:11">
      <c r="K466" s="2">
        <f>IFERROR(J466/I466*100,0)</f>
        <v>0</v>
      </c>
    </row>
    <row r="467" spans="11:11">
      <c r="K467" s="2">
        <f>IFERROR(J467/I467*100,0)</f>
        <v>0</v>
      </c>
    </row>
    <row r="468" spans="11:11">
      <c r="K468" s="2">
        <f>IFERROR(J468/I468*100,0)</f>
        <v>0</v>
      </c>
    </row>
    <row r="469" spans="11:11">
      <c r="K469" s="2">
        <f>IFERROR(J469/I469*100,0)</f>
        <v>0</v>
      </c>
    </row>
    <row r="470" spans="11:11">
      <c r="K470" s="2">
        <f>IFERROR(J470/I470*100,0)</f>
        <v>0</v>
      </c>
    </row>
    <row r="471" spans="11:11">
      <c r="K471" s="2">
        <f>IFERROR(J471/I471*100,0)</f>
        <v>0</v>
      </c>
    </row>
    <row r="472" spans="11:11">
      <c r="K472" s="2">
        <f>IFERROR(J472/I472*100,0)</f>
        <v>0</v>
      </c>
    </row>
    <row r="473" spans="11:11">
      <c r="K473" s="2">
        <f>IFERROR(J473/I473*100,0)</f>
        <v>0</v>
      </c>
    </row>
    <row r="474" spans="11:11">
      <c r="K474" s="2">
        <f>IFERROR(J474/I474*100,0)</f>
        <v>0</v>
      </c>
    </row>
    <row r="475" spans="11:11">
      <c r="K475" s="2">
        <f>IFERROR(J475/I475*100,0)</f>
        <v>0</v>
      </c>
    </row>
    <row r="476" spans="11:11">
      <c r="K476" s="2">
        <f>IFERROR(J476/I476*100,0)</f>
        <v>0</v>
      </c>
    </row>
    <row r="477" spans="11:11">
      <c r="K477" s="2">
        <f>IFERROR(J477/I477*100,0)</f>
        <v>0</v>
      </c>
    </row>
    <row r="478" spans="11:11">
      <c r="K478" s="2">
        <f>IFERROR(J478/I478*100,0)</f>
        <v>0</v>
      </c>
    </row>
    <row r="479" spans="11:11">
      <c r="K479" s="2">
        <f>IFERROR(J479/I479*100,0)</f>
        <v>0</v>
      </c>
    </row>
    <row r="480" spans="11:11">
      <c r="K480" s="2">
        <f>IFERROR(J480/I480*100,0)</f>
        <v>0</v>
      </c>
    </row>
    <row r="481" spans="11:11">
      <c r="K481" s="2">
        <f>IFERROR(J481/I481*100,0)</f>
        <v>0</v>
      </c>
    </row>
    <row r="482" spans="11:11">
      <c r="K482" s="2">
        <f>IFERROR(J482/I482*100,0)</f>
        <v>0</v>
      </c>
    </row>
    <row r="483" spans="11:11">
      <c r="K483" s="2">
        <f>IFERROR(J483/I483*100,0)</f>
        <v>0</v>
      </c>
    </row>
    <row r="484" spans="11:11">
      <c r="K484" s="2">
        <f>IFERROR(J484/I484*100,0)</f>
        <v>0</v>
      </c>
    </row>
    <row r="485" spans="11:11">
      <c r="K485" s="2">
        <f>IFERROR(J485/I485*100,0)</f>
        <v>0</v>
      </c>
    </row>
    <row r="486" spans="11:11">
      <c r="K486" s="2">
        <f>IFERROR(J486/I486*100,0)</f>
        <v>0</v>
      </c>
    </row>
    <row r="487" spans="11:11">
      <c r="K487" s="2">
        <f>IFERROR(J487/I487*100,0)</f>
        <v>0</v>
      </c>
    </row>
    <row r="488" spans="11:11">
      <c r="K488" s="2">
        <f>IFERROR(J488/I488*100,0)</f>
        <v>0</v>
      </c>
    </row>
    <row r="489" spans="11:11">
      <c r="K489" s="2">
        <f>IFERROR(J489/I489*100,0)</f>
        <v>0</v>
      </c>
    </row>
    <row r="490" spans="11:11">
      <c r="K490" s="2">
        <f>IFERROR(J490/I490*100,0)</f>
        <v>0</v>
      </c>
    </row>
    <row r="491" spans="11:11">
      <c r="K491" s="2">
        <f>IFERROR(J491/I491*100,0)</f>
        <v>0</v>
      </c>
    </row>
    <row r="492" spans="11:11">
      <c r="K492" s="2">
        <f>IFERROR(J492/I492*100,0)</f>
        <v>0</v>
      </c>
    </row>
    <row r="493" spans="11:11">
      <c r="K493" s="2">
        <f>IFERROR(J493/I493*100,0)</f>
        <v>0</v>
      </c>
    </row>
    <row r="494" spans="11:11">
      <c r="K494" s="2">
        <f>IFERROR(J494/I494*100,0)</f>
        <v>0</v>
      </c>
    </row>
    <row r="495" spans="11:11">
      <c r="K495" s="2">
        <f>IFERROR(J495/I495*100,0)</f>
        <v>0</v>
      </c>
    </row>
    <row r="496" spans="11:11">
      <c r="K496" s="2">
        <f>IFERROR(J496/I496*100,0)</f>
        <v>0</v>
      </c>
    </row>
    <row r="497" spans="11:11">
      <c r="K497" s="2">
        <f>IFERROR(J497/I497*100,0)</f>
        <v>0</v>
      </c>
    </row>
    <row r="498" spans="11:11">
      <c r="K498" s="2">
        <f>IFERROR(J498/I498*100,0)</f>
        <v>0</v>
      </c>
    </row>
    <row r="499" spans="11:11">
      <c r="K499" s="2">
        <f>IFERROR(J499/I499*100,0)</f>
        <v>0</v>
      </c>
    </row>
    <row r="500" spans="11:11">
      <c r="K500" s="2">
        <f>IFERROR(J500/I500*100,0)</f>
        <v>0</v>
      </c>
    </row>
    <row r="501" spans="11:11">
      <c r="K501" s="2">
        <f>IFERROR(J501/I501*100,0)</f>
        <v>0</v>
      </c>
    </row>
    <row r="502" spans="11:11">
      <c r="K502" s="2">
        <f>IFERROR(J502/I502*100,0)</f>
        <v>0</v>
      </c>
    </row>
    <row r="503" spans="11:11">
      <c r="K503" s="2">
        <f>IFERROR(J503/I503*100,0)</f>
        <v>0</v>
      </c>
    </row>
    <row r="504" spans="11:11">
      <c r="K504" s="2">
        <f>IFERROR(J504/I504*100,0)</f>
        <v>0</v>
      </c>
    </row>
    <row r="505" spans="11:11">
      <c r="K505" s="2">
        <f>IFERROR(J505/I505*100,0)</f>
        <v>0</v>
      </c>
    </row>
    <row r="506" spans="11:11">
      <c r="K506" s="2">
        <f>IFERROR(J506/I506*100,0)</f>
        <v>0</v>
      </c>
    </row>
    <row r="507" spans="11:11">
      <c r="K507" s="2">
        <f>IFERROR(J507/I507*100,0)</f>
        <v>0</v>
      </c>
    </row>
    <row r="508" spans="11:11">
      <c r="K508" s="2">
        <f>IFERROR(J508/I508*100,0)</f>
        <v>0</v>
      </c>
    </row>
    <row r="509" spans="11:11">
      <c r="K509" s="2">
        <f>IFERROR(J509/I509*100,0)</f>
        <v>0</v>
      </c>
    </row>
    <row r="510" spans="11:11">
      <c r="K510" s="2">
        <f>IFERROR(J510/I510*100,0)</f>
        <v>0</v>
      </c>
    </row>
    <row r="511" spans="11:11">
      <c r="K511" s="2">
        <f>IFERROR(J511/I511*100,0)</f>
        <v>0</v>
      </c>
    </row>
    <row r="512" spans="11:11">
      <c r="K512" s="2">
        <f>IFERROR(J512/I512*100,0)</f>
        <v>0</v>
      </c>
    </row>
    <row r="513" spans="11:11">
      <c r="K513" s="2">
        <f>IFERROR(J513/I513*100,0)</f>
        <v>0</v>
      </c>
    </row>
    <row r="514" spans="11:11">
      <c r="K514" s="2">
        <f>IFERROR(J514/I514*100,0)</f>
        <v>0</v>
      </c>
    </row>
    <row r="515" spans="11:11">
      <c r="K515" s="2">
        <f>IFERROR(J515/I515*100,0)</f>
        <v>0</v>
      </c>
    </row>
    <row r="516" spans="11:11">
      <c r="K516" s="2">
        <f>IFERROR(J516/I516*100,0)</f>
        <v>0</v>
      </c>
    </row>
    <row r="517" spans="11:11">
      <c r="K517" s="2">
        <f>IFERROR(J517/I517*100,0)</f>
        <v>0</v>
      </c>
    </row>
    <row r="518" spans="11:11">
      <c r="K518" s="2">
        <f>IFERROR(J518/I518*100,0)</f>
        <v>0</v>
      </c>
    </row>
    <row r="519" spans="11:11">
      <c r="K519" s="2">
        <f>IFERROR(J519/I519*100,0)</f>
        <v>0</v>
      </c>
    </row>
    <row r="520" spans="11:11">
      <c r="K520" s="2">
        <f>IFERROR(J520/I520*100,0)</f>
        <v>0</v>
      </c>
    </row>
    <row r="521" spans="11:11">
      <c r="K521" s="2">
        <f>IFERROR(J521/I521*100,0)</f>
        <v>0</v>
      </c>
    </row>
    <row r="522" spans="11:11">
      <c r="K522" s="2">
        <f>IFERROR(J522/I522*100,0)</f>
        <v>0</v>
      </c>
    </row>
    <row r="523" spans="11:11">
      <c r="K523" s="2">
        <f>IFERROR(J523/I523*100,0)</f>
        <v>0</v>
      </c>
    </row>
    <row r="524" spans="11:11">
      <c r="K524" s="2">
        <f>IFERROR(J524/I524*100,0)</f>
        <v>0</v>
      </c>
    </row>
    <row r="525" spans="11:11">
      <c r="K525" s="2">
        <f>IFERROR(J525/I525*100,0)</f>
        <v>0</v>
      </c>
    </row>
    <row r="526" spans="11:11">
      <c r="K526" s="2">
        <f>IFERROR(J526/I526*100,0)</f>
        <v>0</v>
      </c>
    </row>
    <row r="527" spans="11:11">
      <c r="K527" s="2">
        <f>IFERROR(J527/I527*100,0)</f>
        <v>0</v>
      </c>
    </row>
    <row r="528" spans="11:11">
      <c r="K528" s="2">
        <f>IFERROR(J528/I528*100,0)</f>
        <v>0</v>
      </c>
    </row>
    <row r="529" spans="11:11">
      <c r="K529" s="2">
        <f>IFERROR(J529/I529*100,0)</f>
        <v>0</v>
      </c>
    </row>
    <row r="530" spans="11:11">
      <c r="K530" s="2">
        <f>IFERROR(J530/I530*100,0)</f>
        <v>0</v>
      </c>
    </row>
    <row r="531" spans="11:11">
      <c r="K531" s="2">
        <f>IFERROR(J531/I531*100,0)</f>
        <v>0</v>
      </c>
    </row>
    <row r="532" spans="11:11">
      <c r="K532" s="2">
        <f>IFERROR(J532/I532*100,0)</f>
        <v>0</v>
      </c>
    </row>
    <row r="533" spans="11:11">
      <c r="K533" s="2">
        <f>IFERROR(J533/I533*100,0)</f>
        <v>0</v>
      </c>
    </row>
    <row r="534" spans="11:11">
      <c r="K534" s="2">
        <f>IFERROR(J534/I534*100,0)</f>
        <v>0</v>
      </c>
    </row>
    <row r="535" spans="11:11">
      <c r="K535" s="2">
        <f>IFERROR(J535/I535*100,0)</f>
        <v>0</v>
      </c>
    </row>
    <row r="536" spans="11:11">
      <c r="K536" s="2">
        <f>IFERROR(J536/I536*100,0)</f>
        <v>0</v>
      </c>
    </row>
    <row r="537" spans="11:11">
      <c r="K537" s="2">
        <f>IFERROR(J537/I537*100,0)</f>
        <v>0</v>
      </c>
    </row>
    <row r="538" spans="11:11">
      <c r="K538" s="2">
        <f>IFERROR(J538/I538*100,0)</f>
        <v>0</v>
      </c>
    </row>
    <row r="539" spans="11:11">
      <c r="K539" s="2">
        <f>IFERROR(J539/I539*100,0)</f>
        <v>0</v>
      </c>
    </row>
    <row r="540" spans="11:11">
      <c r="K540" s="2">
        <f>IFERROR(J540/I540*100,0)</f>
        <v>0</v>
      </c>
    </row>
    <row r="541" spans="11:11">
      <c r="K541" s="2">
        <f>IFERROR(J541/I541*100,0)</f>
        <v>0</v>
      </c>
    </row>
    <row r="542" spans="11:11">
      <c r="K542" s="2">
        <f>IFERROR(J542/I542*100,0)</f>
        <v>0</v>
      </c>
    </row>
    <row r="543" spans="11:11">
      <c r="K543" s="2">
        <f>IFERROR(J543/I543*100,0)</f>
        <v>0</v>
      </c>
    </row>
    <row r="544" spans="11:11">
      <c r="K544" s="2">
        <f>IFERROR(J544/I544*100,0)</f>
        <v>0</v>
      </c>
    </row>
    <row r="545" spans="11:11">
      <c r="K545" s="2">
        <f>IFERROR(J545/I545*100,0)</f>
        <v>0</v>
      </c>
    </row>
    <row r="546" spans="11:11">
      <c r="K546" s="2">
        <f>IFERROR(J546/I546*100,0)</f>
        <v>0</v>
      </c>
    </row>
    <row r="547" spans="11:11">
      <c r="K547" s="2">
        <f>IFERROR(J547/I547*100,0)</f>
        <v>0</v>
      </c>
    </row>
    <row r="548" spans="11:11">
      <c r="K548" s="2">
        <f>IFERROR(J548/I548*100,0)</f>
        <v>0</v>
      </c>
    </row>
    <row r="549" spans="11:11">
      <c r="K549" s="2">
        <f>IFERROR(J549/I549*100,0)</f>
        <v>0</v>
      </c>
    </row>
    <row r="550" spans="11:11">
      <c r="K550" s="2">
        <f>IFERROR(J550/I550*100,0)</f>
        <v>0</v>
      </c>
    </row>
    <row r="551" spans="11:11">
      <c r="K551" s="2">
        <f>IFERROR(J551/I551*100,0)</f>
        <v>0</v>
      </c>
    </row>
    <row r="552" spans="11:11">
      <c r="K552" s="2">
        <f>IFERROR(J552/I552*100,0)</f>
        <v>0</v>
      </c>
    </row>
    <row r="553" spans="11:11">
      <c r="K553" s="2">
        <f>IFERROR(J553/I553*100,0)</f>
        <v>0</v>
      </c>
    </row>
    <row r="554" spans="11:11">
      <c r="K554" s="2">
        <f>IFERROR(J554/I554*100,0)</f>
        <v>0</v>
      </c>
    </row>
    <row r="555" spans="11:11">
      <c r="K555" s="2">
        <f>IFERROR(J555/I555*100,0)</f>
        <v>0</v>
      </c>
    </row>
    <row r="556" spans="11:11">
      <c r="K556" s="2">
        <f>IFERROR(J556/I556*100,0)</f>
        <v>0</v>
      </c>
    </row>
    <row r="557" spans="11:11">
      <c r="K557" s="2">
        <f>IFERROR(J557/I557*100,0)</f>
        <v>0</v>
      </c>
    </row>
    <row r="558" spans="11:11">
      <c r="K558" s="2">
        <f>IFERROR(J558/I558*100,0)</f>
        <v>0</v>
      </c>
    </row>
    <row r="559" spans="11:11">
      <c r="K559" s="2">
        <f>IFERROR(J559/I559*100,0)</f>
        <v>0</v>
      </c>
    </row>
    <row r="560" spans="11:11">
      <c r="K560" s="2">
        <f>IFERROR(J560/I560*100,0)</f>
        <v>0</v>
      </c>
    </row>
    <row r="561" spans="11:11">
      <c r="K561" s="2">
        <f>IFERROR(J561/I561*100,0)</f>
        <v>0</v>
      </c>
    </row>
    <row r="562" spans="11:11">
      <c r="K562" s="2">
        <f>IFERROR(J562/I562*100,0)</f>
        <v>0</v>
      </c>
    </row>
    <row r="563" spans="11:11">
      <c r="K563" s="2">
        <f>IFERROR(J563/I563*100,0)</f>
        <v>0</v>
      </c>
    </row>
    <row r="564" spans="11:11">
      <c r="K564" s="2">
        <f>IFERROR(J564/I564*100,0)</f>
        <v>0</v>
      </c>
    </row>
    <row r="565" spans="11:11">
      <c r="K565" s="2">
        <f>IFERROR(J565/I565*100,0)</f>
        <v>0</v>
      </c>
    </row>
    <row r="566" spans="11:11">
      <c r="K566" s="2">
        <f>IFERROR(J566/I566*100,0)</f>
        <v>0</v>
      </c>
    </row>
    <row r="567" spans="11:11">
      <c r="K567" s="2">
        <f>IFERROR(J567/I567*100,0)</f>
        <v>0</v>
      </c>
    </row>
    <row r="568" spans="11:11">
      <c r="K568" s="2">
        <f>IFERROR(J568/I568*100,0)</f>
        <v>0</v>
      </c>
    </row>
    <row r="569" spans="11:11">
      <c r="K569" s="2">
        <f>IFERROR(J569/I569*100,0)</f>
        <v>0</v>
      </c>
    </row>
    <row r="570" spans="11:11">
      <c r="K570" s="2">
        <f>IFERROR(J570/I570*100,0)</f>
        <v>0</v>
      </c>
    </row>
    <row r="571" spans="11:11">
      <c r="K571" s="2">
        <f>IFERROR(J571/I571*100,0)</f>
        <v>0</v>
      </c>
    </row>
    <row r="572" spans="11:11">
      <c r="K572" s="2">
        <f>IFERROR(J572/I572*100,0)</f>
        <v>0</v>
      </c>
    </row>
    <row r="573" spans="11:11">
      <c r="K573" s="2">
        <f>IFERROR(J573/I573*100,0)</f>
        <v>0</v>
      </c>
    </row>
    <row r="574" spans="11:11">
      <c r="K574" s="2">
        <f>IFERROR(J574/I574*100,0)</f>
        <v>0</v>
      </c>
    </row>
    <row r="575" spans="11:11">
      <c r="K575" s="2">
        <f>IFERROR(J575/I575*100,0)</f>
        <v>0</v>
      </c>
    </row>
    <row r="576" spans="11:11">
      <c r="K576" s="2">
        <f>IFERROR(J576/I576*100,0)</f>
        <v>0</v>
      </c>
    </row>
    <row r="577" spans="11:11">
      <c r="K577" s="2">
        <f>IFERROR(J577/I577*100,0)</f>
        <v>0</v>
      </c>
    </row>
    <row r="578" spans="11:11">
      <c r="K578" s="2">
        <f>IFERROR(J578/I578*100,0)</f>
        <v>0</v>
      </c>
    </row>
    <row r="579" spans="11:11">
      <c r="K579" s="2">
        <f>IFERROR(J579/I579*100,0)</f>
        <v>0</v>
      </c>
    </row>
    <row r="580" spans="11:11">
      <c r="K580" s="2">
        <f>IFERROR(J580/I580*100,0)</f>
        <v>0</v>
      </c>
    </row>
    <row r="581" spans="11:11">
      <c r="K581" s="2">
        <f>IFERROR(J581/I581*100,0)</f>
        <v>0</v>
      </c>
    </row>
    <row r="582" spans="11:11">
      <c r="K582" s="2">
        <f>IFERROR(J582/I582*100,0)</f>
        <v>0</v>
      </c>
    </row>
    <row r="583" spans="11:11">
      <c r="K583" s="2">
        <f>IFERROR(J583/I583*100,0)</f>
        <v>0</v>
      </c>
    </row>
    <row r="584" spans="11:11">
      <c r="K584" s="2">
        <f>IFERROR(J584/I584*100,0)</f>
        <v>0</v>
      </c>
    </row>
    <row r="585" spans="11:11">
      <c r="K585" s="2">
        <f>IFERROR(J585/I585*100,0)</f>
        <v>0</v>
      </c>
    </row>
    <row r="586" spans="11:11">
      <c r="K586" s="2">
        <f>IFERROR(J586/I586*100,0)</f>
        <v>0</v>
      </c>
    </row>
    <row r="587" spans="11:11">
      <c r="K587" s="2">
        <f>IFERROR(J587/I587*100,0)</f>
        <v>0</v>
      </c>
    </row>
    <row r="588" spans="11:11">
      <c r="K588" s="2">
        <f>IFERROR(J588/I588*100,0)</f>
        <v>0</v>
      </c>
    </row>
    <row r="589" spans="11:11">
      <c r="K589" s="2">
        <f>IFERROR(J589/I589*100,0)</f>
        <v>0</v>
      </c>
    </row>
    <row r="590" spans="11:11">
      <c r="K590" s="2">
        <f>IFERROR(J590/I590*100,0)</f>
        <v>0</v>
      </c>
    </row>
    <row r="591" spans="11:11">
      <c r="K591" s="2">
        <f>IFERROR(J591/I591*100,0)</f>
        <v>0</v>
      </c>
    </row>
    <row r="592" spans="11:11">
      <c r="K592" s="2">
        <f>IFERROR(J592/I592*100,0)</f>
        <v>0</v>
      </c>
    </row>
    <row r="593" spans="11:11">
      <c r="K593" s="2">
        <f>IFERROR(J593/I593*100,0)</f>
        <v>0</v>
      </c>
    </row>
    <row r="594" spans="11:11">
      <c r="K594" s="2">
        <f>IFERROR(J594/I594*100,0)</f>
        <v>0</v>
      </c>
    </row>
    <row r="595" spans="11:11">
      <c r="K595" s="2">
        <f>IFERROR(J595/I595*100,0)</f>
        <v>0</v>
      </c>
    </row>
    <row r="596" spans="11:11">
      <c r="K596" s="2">
        <f>IFERROR(J596/I596*100,0)</f>
        <v>0</v>
      </c>
    </row>
    <row r="597" spans="11:11">
      <c r="K597" s="2">
        <f>IFERROR(J597/I597*100,0)</f>
        <v>0</v>
      </c>
    </row>
    <row r="598" spans="11:11">
      <c r="K598" s="2">
        <f>IFERROR(J598/I598*100,0)</f>
        <v>0</v>
      </c>
    </row>
    <row r="599" spans="11:11">
      <c r="K599" s="2">
        <f>IFERROR(J599/I599*100,0)</f>
        <v>0</v>
      </c>
    </row>
    <row r="600" spans="11:11">
      <c r="K600" s="2">
        <f>IFERROR(J600/I600*100,0)</f>
        <v>0</v>
      </c>
    </row>
    <row r="601" spans="11:11">
      <c r="K601" s="2">
        <f>IFERROR(J601/I601*100,0)</f>
        <v>0</v>
      </c>
    </row>
    <row r="602" spans="11:11">
      <c r="K602" s="2">
        <f>IFERROR(J602/I602*100,0)</f>
        <v>0</v>
      </c>
    </row>
    <row r="603" spans="11:11">
      <c r="K603" s="2">
        <f>IFERROR(J603/I603*100,0)</f>
        <v>0</v>
      </c>
    </row>
    <row r="604" spans="11:11">
      <c r="K604" s="2">
        <f>IFERROR(J604/I604*100,0)</f>
        <v>0</v>
      </c>
    </row>
    <row r="605" spans="11:11">
      <c r="K605" s="2">
        <f>IFERROR(J605/I605*100,0)</f>
        <v>0</v>
      </c>
    </row>
    <row r="606" spans="11:11">
      <c r="K606" s="2">
        <f>IFERROR(J606/I606*100,0)</f>
        <v>0</v>
      </c>
    </row>
    <row r="607" spans="11:11">
      <c r="K607" s="2">
        <f>IFERROR(J607/I607*100,0)</f>
        <v>0</v>
      </c>
    </row>
    <row r="608" spans="11:11">
      <c r="K608" s="2">
        <f>IFERROR(J608/I608*100,0)</f>
        <v>0</v>
      </c>
    </row>
    <row r="609" spans="11:11">
      <c r="K609" s="2">
        <f>IFERROR(J609/I609*100,0)</f>
        <v>0</v>
      </c>
    </row>
    <row r="610" spans="11:11">
      <c r="K610" s="2">
        <f>IFERROR(J610/I610*100,0)</f>
        <v>0</v>
      </c>
    </row>
    <row r="611" spans="11:11">
      <c r="K611" s="2">
        <f>IFERROR(J611/I611*100,0)</f>
        <v>0</v>
      </c>
    </row>
    <row r="612" spans="11:11">
      <c r="K612" s="2">
        <f>IFERROR(J612/I612*100,0)</f>
        <v>0</v>
      </c>
    </row>
    <row r="613" spans="11:11">
      <c r="K613" s="2">
        <f>IFERROR(J613/I613*100,0)</f>
        <v>0</v>
      </c>
    </row>
    <row r="614" spans="11:11">
      <c r="K614" s="2">
        <f>IFERROR(J614/I614*100,0)</f>
        <v>0</v>
      </c>
    </row>
    <row r="615" spans="11:11">
      <c r="K615" s="2">
        <f>IFERROR(J615/I615*100,0)</f>
        <v>0</v>
      </c>
    </row>
    <row r="616" spans="11:11">
      <c r="K616" s="2">
        <f>IFERROR(J616/I616*100,0)</f>
        <v>0</v>
      </c>
    </row>
    <row r="617" spans="11:11">
      <c r="K617" s="2">
        <f>IFERROR(J617/I617*100,0)</f>
        <v>0</v>
      </c>
    </row>
    <row r="618" spans="11:11">
      <c r="K618" s="2">
        <f>IFERROR(J618/I618*100,0)</f>
        <v>0</v>
      </c>
    </row>
    <row r="619" spans="11:11">
      <c r="K619" s="2">
        <f>IFERROR(J619/I619*100,0)</f>
        <v>0</v>
      </c>
    </row>
    <row r="620" spans="11:11">
      <c r="K620" s="2">
        <f>IFERROR(J620/I620*100,0)</f>
        <v>0</v>
      </c>
    </row>
    <row r="621" spans="11:11">
      <c r="K621" s="2">
        <f>IFERROR(J621/I621*100,0)</f>
        <v>0</v>
      </c>
    </row>
    <row r="622" spans="11:11">
      <c r="K622" s="2">
        <f>IFERROR(J622/I622*100,0)</f>
        <v>0</v>
      </c>
    </row>
    <row r="623" spans="11:11">
      <c r="K623" s="2">
        <f>IFERROR(J623/I623*100,0)</f>
        <v>0</v>
      </c>
    </row>
    <row r="624" spans="11:11">
      <c r="K624" s="2">
        <f>IFERROR(J624/I624*100,0)</f>
        <v>0</v>
      </c>
    </row>
    <row r="625" spans="11:11">
      <c r="K625" s="2">
        <f>IFERROR(J625/I625*100,0)</f>
        <v>0</v>
      </c>
    </row>
    <row r="626" spans="11:11">
      <c r="K626" s="2">
        <f>IFERROR(J626/I626*100,0)</f>
        <v>0</v>
      </c>
    </row>
    <row r="627" spans="11:11">
      <c r="K627" s="2">
        <f>IFERROR(J627/I627*100,0)</f>
        <v>0</v>
      </c>
    </row>
    <row r="628" spans="11:11">
      <c r="K628" s="2">
        <f>IFERROR(J628/I628*100,0)</f>
        <v>0</v>
      </c>
    </row>
    <row r="629" spans="11:11">
      <c r="K629" s="2">
        <f>IFERROR(J629/I629*100,0)</f>
        <v>0</v>
      </c>
    </row>
    <row r="630" spans="11:11">
      <c r="K630" s="2">
        <f>IFERROR(J630/I630*100,0)</f>
        <v>0</v>
      </c>
    </row>
    <row r="631" spans="11:11">
      <c r="K631" s="2">
        <f>IFERROR(J631/I631*100,0)</f>
        <v>0</v>
      </c>
    </row>
    <row r="632" spans="11:11">
      <c r="K632" s="2">
        <f>IFERROR(J632/I632*100,0)</f>
        <v>0</v>
      </c>
    </row>
    <row r="633" spans="11:11">
      <c r="K633" s="2">
        <f>IFERROR(J633/I633*100,0)</f>
        <v>0</v>
      </c>
    </row>
    <row r="634" spans="11:11">
      <c r="K634" s="2">
        <f>IFERROR(J634/I634*100,0)</f>
        <v>0</v>
      </c>
    </row>
    <row r="635" spans="11:11">
      <c r="K635" s="2">
        <f>IFERROR(J635/I635*100,0)</f>
        <v>0</v>
      </c>
    </row>
    <row r="636" spans="11:11">
      <c r="K636" s="2">
        <f>IFERROR(J636/I636*100,0)</f>
        <v>0</v>
      </c>
    </row>
    <row r="637" spans="11:11">
      <c r="K637" s="2">
        <f>IFERROR(J637/I637*100,0)</f>
        <v>0</v>
      </c>
    </row>
    <row r="638" spans="11:11">
      <c r="K638" s="2">
        <f>IFERROR(J638/I638*100,0)</f>
        <v>0</v>
      </c>
    </row>
    <row r="639" spans="11:11">
      <c r="K639" s="2">
        <f>IFERROR(J639/I639*100,0)</f>
        <v>0</v>
      </c>
    </row>
    <row r="640" spans="11:11">
      <c r="K640" s="2">
        <f>IFERROR(J640/I640*100,0)</f>
        <v>0</v>
      </c>
    </row>
    <row r="641" spans="11:11">
      <c r="K641" s="2">
        <f>IFERROR(J641/I641*100,0)</f>
        <v>0</v>
      </c>
    </row>
    <row r="642" spans="11:11">
      <c r="K642" s="2">
        <f>IFERROR(J642/I642*100,0)</f>
        <v>0</v>
      </c>
    </row>
    <row r="643" spans="11:11">
      <c r="K643" s="2">
        <f>IFERROR(J643/I643*100,0)</f>
        <v>0</v>
      </c>
    </row>
    <row r="644" spans="11:11">
      <c r="K644" s="2">
        <f>IFERROR(J644/I644*100,0)</f>
        <v>0</v>
      </c>
    </row>
    <row r="645" spans="11:11">
      <c r="K645" s="2">
        <f>IFERROR(J645/I645*100,0)</f>
        <v>0</v>
      </c>
    </row>
    <row r="646" spans="11:11">
      <c r="K646" s="2">
        <f>IFERROR(J646/I646*100,0)</f>
        <v>0</v>
      </c>
    </row>
    <row r="647" spans="11:11">
      <c r="K647" s="2">
        <f>IFERROR(J647/I647*100,0)</f>
        <v>0</v>
      </c>
    </row>
    <row r="648" spans="11:11">
      <c r="K648" s="2">
        <f>IFERROR(J648/I648*100,0)</f>
        <v>0</v>
      </c>
    </row>
    <row r="649" spans="11:11">
      <c r="K649" s="2">
        <f>IFERROR(J649/I649*100,0)</f>
        <v>0</v>
      </c>
    </row>
    <row r="650" spans="11:11">
      <c r="K650" s="2">
        <f>IFERROR(J650/I650*100,0)</f>
        <v>0</v>
      </c>
    </row>
    <row r="651" spans="11:11">
      <c r="K651" s="2">
        <f>IFERROR(J651/I651*100,0)</f>
        <v>0</v>
      </c>
    </row>
    <row r="652" spans="11:11">
      <c r="K652" s="2">
        <f>IFERROR(J652/I652*100,0)</f>
        <v>0</v>
      </c>
    </row>
    <row r="653" spans="11:11">
      <c r="K653" s="2">
        <f>IFERROR(J653/I653*100,0)</f>
        <v>0</v>
      </c>
    </row>
    <row r="654" spans="11:11">
      <c r="K654" s="2">
        <f>IFERROR(J654/I654*100,0)</f>
        <v>0</v>
      </c>
    </row>
    <row r="655" spans="11:11">
      <c r="K655" s="2">
        <f>IFERROR(J655/I655*100,0)</f>
        <v>0</v>
      </c>
    </row>
    <row r="656" spans="11:11">
      <c r="K656" s="2">
        <f>IFERROR(J656/I656*100,0)</f>
        <v>0</v>
      </c>
    </row>
    <row r="657" spans="11:11">
      <c r="K657" s="2">
        <f>IFERROR(J657/I657*100,0)</f>
        <v>0</v>
      </c>
    </row>
    <row r="658" spans="11:11">
      <c r="K658" s="2">
        <f>IFERROR(J658/I658*100,0)</f>
        <v>0</v>
      </c>
    </row>
    <row r="659" spans="11:11">
      <c r="K659" s="2">
        <f>IFERROR(J659/I659*100,0)</f>
        <v>0</v>
      </c>
    </row>
    <row r="660" spans="11:11">
      <c r="K660" s="2">
        <f>IFERROR(J660/I660*100,0)</f>
        <v>0</v>
      </c>
    </row>
    <row r="661" spans="11:11">
      <c r="K661" s="2">
        <f>IFERROR(J661/I661*100,0)</f>
        <v>0</v>
      </c>
    </row>
    <row r="662" spans="11:11">
      <c r="K662" s="2">
        <f>IFERROR(J662/I662*100,0)</f>
        <v>0</v>
      </c>
    </row>
    <row r="663" spans="11:11">
      <c r="K663" s="2">
        <f>IFERROR(J663/I663*100,0)</f>
        <v>0</v>
      </c>
    </row>
    <row r="664" spans="11:11">
      <c r="K664" s="2">
        <f>IFERROR(J664/I664*100,0)</f>
        <v>0</v>
      </c>
    </row>
    <row r="665" spans="11:11">
      <c r="K665" s="2">
        <f>IFERROR(J665/I665*100,0)</f>
        <v>0</v>
      </c>
    </row>
    <row r="666" spans="11:11">
      <c r="K666" s="2">
        <f>IFERROR(J666/I666*100,0)</f>
        <v>0</v>
      </c>
    </row>
    <row r="667" spans="11:11">
      <c r="K667" s="2">
        <f>IFERROR(J667/I667*100,0)</f>
        <v>0</v>
      </c>
    </row>
    <row r="668" spans="11:11">
      <c r="K668" s="2">
        <f>IFERROR(J668/I668*100,0)</f>
        <v>0</v>
      </c>
    </row>
    <row r="669" spans="11:11">
      <c r="K669" s="2">
        <f>IFERROR(J669/I669*100,0)</f>
        <v>0</v>
      </c>
    </row>
    <row r="670" spans="11:11">
      <c r="K670" s="2">
        <f>IFERROR(J670/I670*100,0)</f>
        <v>0</v>
      </c>
    </row>
    <row r="671" spans="11:11">
      <c r="K671" s="2">
        <f>IFERROR(J671/I671*100,0)</f>
        <v>0</v>
      </c>
    </row>
    <row r="672" spans="11:11">
      <c r="K672" s="2">
        <f>IFERROR(J672/I672*100,0)</f>
        <v>0</v>
      </c>
    </row>
    <row r="673" spans="11:11">
      <c r="K673" s="2">
        <f>IFERROR(J673/I673*100,0)</f>
        <v>0</v>
      </c>
    </row>
    <row r="674" spans="11:11">
      <c r="K674" s="2">
        <f>IFERROR(J674/I674*100,0)</f>
        <v>0</v>
      </c>
    </row>
    <row r="675" spans="11:11">
      <c r="K675" s="2">
        <f>IFERROR(J675/I675*100,0)</f>
        <v>0</v>
      </c>
    </row>
    <row r="676" spans="11:11">
      <c r="K676" s="2">
        <f>IFERROR(J676/I676*100,0)</f>
        <v>0</v>
      </c>
    </row>
    <row r="677" spans="11:11">
      <c r="K677" s="2">
        <f>IFERROR(J677/I677*100,0)</f>
        <v>0</v>
      </c>
    </row>
    <row r="678" spans="11:11">
      <c r="K678" s="2">
        <f>IFERROR(J678/I678*100,0)</f>
        <v>0</v>
      </c>
    </row>
    <row r="679" spans="11:11">
      <c r="K679" s="2">
        <f>IFERROR(J679/I679*100,0)</f>
        <v>0</v>
      </c>
    </row>
    <row r="680" spans="11:11">
      <c r="K680" s="2">
        <f>IFERROR(J680/I680*100,0)</f>
        <v>0</v>
      </c>
    </row>
    <row r="681" spans="11:11">
      <c r="K681" s="2">
        <f>IFERROR(J681/I681*100,0)</f>
        <v>0</v>
      </c>
    </row>
    <row r="682" spans="11:11">
      <c r="K682" s="2">
        <f>IFERROR(J682/I682*100,0)</f>
        <v>0</v>
      </c>
    </row>
    <row r="683" spans="11:11">
      <c r="K683" s="2">
        <f>IFERROR(J683/I683*100,0)</f>
        <v>0</v>
      </c>
    </row>
    <row r="684" spans="11:11">
      <c r="K684" s="2">
        <f>IFERROR(J684/I684*100,0)</f>
        <v>0</v>
      </c>
    </row>
    <row r="685" spans="11:11">
      <c r="K685" s="2">
        <f>IFERROR(J685/I685*100,0)</f>
        <v>0</v>
      </c>
    </row>
    <row r="686" spans="11:11">
      <c r="K686" s="2">
        <f>IFERROR(J686/I686*100,0)</f>
        <v>0</v>
      </c>
    </row>
    <row r="687" spans="11:11">
      <c r="K687" s="2">
        <f>IFERROR(J687/I687*100,0)</f>
        <v>0</v>
      </c>
    </row>
    <row r="688" spans="11:11">
      <c r="K688" s="2">
        <f>IFERROR(J688/I688*100,0)</f>
        <v>0</v>
      </c>
    </row>
    <row r="689" spans="11:11">
      <c r="K689" s="2">
        <f>IFERROR(J689/I689*100,0)</f>
        <v>0</v>
      </c>
    </row>
    <row r="690" spans="11:11">
      <c r="K690" s="2">
        <f>IFERROR(J690/I690*100,0)</f>
        <v>0</v>
      </c>
    </row>
    <row r="691" spans="11:11">
      <c r="K691" s="2">
        <f>IFERROR(J691/I691*100,0)</f>
        <v>0</v>
      </c>
    </row>
    <row r="692" spans="11:11">
      <c r="K692" s="2">
        <f>IFERROR(J692/I692*100,0)</f>
        <v>0</v>
      </c>
    </row>
    <row r="693" spans="11:11">
      <c r="K693" s="2">
        <f>IFERROR(J693/I693*100,0)</f>
        <v>0</v>
      </c>
    </row>
    <row r="694" spans="11:11">
      <c r="K694" s="2">
        <f>IFERROR(J694/I694*100,0)</f>
        <v>0</v>
      </c>
    </row>
    <row r="695" spans="11:11">
      <c r="K695" s="2">
        <f>IFERROR(J695/I695*100,0)</f>
        <v>0</v>
      </c>
    </row>
    <row r="696" spans="11:11">
      <c r="K696" s="2">
        <f>IFERROR(J696/I696*100,0)</f>
        <v>0</v>
      </c>
    </row>
    <row r="697" spans="11:11">
      <c r="K697" s="2">
        <f>IFERROR(J697/I697*100,0)</f>
        <v>0</v>
      </c>
    </row>
    <row r="698" spans="11:11">
      <c r="K698" s="2">
        <f>IFERROR(J698/I698*100,0)</f>
        <v>0</v>
      </c>
    </row>
    <row r="699" spans="11:11">
      <c r="K699" s="2">
        <f>IFERROR(J699/I699*100,0)</f>
        <v>0</v>
      </c>
    </row>
    <row r="700" spans="11:11">
      <c r="K700" s="2">
        <f>IFERROR(J700/I700*100,0)</f>
        <v>0</v>
      </c>
    </row>
    <row r="701" spans="11:11">
      <c r="K701" s="2">
        <f>IFERROR(J701/I701*100,0)</f>
        <v>0</v>
      </c>
    </row>
    <row r="702" spans="11:11">
      <c r="K702" s="2">
        <f>IFERROR(J702/I702*100,0)</f>
        <v>0</v>
      </c>
    </row>
    <row r="703" spans="11:11">
      <c r="K703" s="2">
        <f>IFERROR(J703/I703*100,0)</f>
        <v>0</v>
      </c>
    </row>
    <row r="704" spans="11:11">
      <c r="K704" s="2">
        <f>IFERROR(J704/I704*100,0)</f>
        <v>0</v>
      </c>
    </row>
    <row r="705" spans="11:11">
      <c r="K705" s="2">
        <f>IFERROR(J705/I705*100,0)</f>
        <v>0</v>
      </c>
    </row>
    <row r="706" spans="11:11">
      <c r="K706" s="2">
        <f>IFERROR(J706/I706*100,0)</f>
        <v>0</v>
      </c>
    </row>
    <row r="707" spans="11:11">
      <c r="K707" s="2">
        <f>IFERROR(J707/I707*100,0)</f>
        <v>0</v>
      </c>
    </row>
    <row r="708" spans="11:11">
      <c r="K708" s="2">
        <f>IFERROR(J708/I708*100,0)</f>
        <v>0</v>
      </c>
    </row>
    <row r="709" spans="11:11">
      <c r="K709" s="2">
        <f>IFERROR(J709/I709*100,0)</f>
        <v>0</v>
      </c>
    </row>
    <row r="710" spans="11:11">
      <c r="K710" s="2">
        <f>IFERROR(J710/I710*100,0)</f>
        <v>0</v>
      </c>
    </row>
    <row r="711" spans="11:11">
      <c r="K711" s="2">
        <f>IFERROR(J711/I711*100,0)</f>
        <v>0</v>
      </c>
    </row>
    <row r="712" spans="11:11">
      <c r="K712" s="2">
        <f>IFERROR(J712/I712*100,0)</f>
        <v>0</v>
      </c>
    </row>
    <row r="713" spans="11:11">
      <c r="K713" s="2">
        <f>IFERROR(J713/I713*100,0)</f>
        <v>0</v>
      </c>
    </row>
    <row r="714" spans="11:11">
      <c r="K714" s="2">
        <f>IFERROR(J714/I714*100,0)</f>
        <v>0</v>
      </c>
    </row>
    <row r="715" spans="11:11">
      <c r="K715" s="2">
        <f>IFERROR(J715/I715*100,0)</f>
        <v>0</v>
      </c>
    </row>
    <row r="716" spans="11:11">
      <c r="K716" s="2">
        <f>IFERROR(J716/I716*100,0)</f>
        <v>0</v>
      </c>
    </row>
    <row r="717" spans="11:11">
      <c r="K717" s="2">
        <f>IFERROR(J717/I717*100,0)</f>
        <v>0</v>
      </c>
    </row>
    <row r="718" spans="11:11">
      <c r="K718" s="2">
        <f>IFERROR(J718/I718*100,0)</f>
        <v>0</v>
      </c>
    </row>
    <row r="719" spans="11:11">
      <c r="K719" s="2">
        <f>IFERROR(J719/I719*100,0)</f>
        <v>0</v>
      </c>
    </row>
    <row r="720" spans="11:11">
      <c r="K720" s="2">
        <f>IFERROR(J720/I720*100,0)</f>
        <v>0</v>
      </c>
    </row>
    <row r="721" spans="11:11">
      <c r="K721" s="2">
        <f>IFERROR(J721/I721*100,0)</f>
        <v>0</v>
      </c>
    </row>
    <row r="722" spans="11:11">
      <c r="K722" s="2">
        <f>IFERROR(J722/I722*100,0)</f>
        <v>0</v>
      </c>
    </row>
    <row r="723" spans="11:11">
      <c r="K723" s="2">
        <f>IFERROR(J723/I723*100,0)</f>
        <v>0</v>
      </c>
    </row>
    <row r="724" spans="11:11">
      <c r="K724" s="2">
        <f>IFERROR(J724/I724*100,0)</f>
        <v>0</v>
      </c>
    </row>
    <row r="725" spans="11:11">
      <c r="K725" s="2">
        <f>IFERROR(J725/I725*100,0)</f>
        <v>0</v>
      </c>
    </row>
    <row r="726" spans="11:11">
      <c r="K726" s="2">
        <f>IFERROR(J726/I726*100,0)</f>
        <v>0</v>
      </c>
    </row>
    <row r="727" spans="11:11">
      <c r="K727" s="2">
        <f>IFERROR(J727/I727*100,0)</f>
        <v>0</v>
      </c>
    </row>
    <row r="728" spans="11:11">
      <c r="K728" s="2">
        <f>IFERROR(J728/I728*100,0)</f>
        <v>0</v>
      </c>
    </row>
    <row r="729" spans="11:11">
      <c r="K729" s="2">
        <f>IFERROR(J729/I729*100,0)</f>
        <v>0</v>
      </c>
    </row>
    <row r="730" spans="11:11">
      <c r="K730" s="2">
        <f>IFERROR(J730/I730*100,0)</f>
        <v>0</v>
      </c>
    </row>
    <row r="731" spans="11:11">
      <c r="K731" s="2">
        <f>IFERROR(J731/I731*100,0)</f>
        <v>0</v>
      </c>
    </row>
    <row r="732" spans="11:11">
      <c r="K732" s="2">
        <f>IFERROR(J732/I732*100,0)</f>
        <v>0</v>
      </c>
    </row>
    <row r="733" spans="11:11">
      <c r="K733" s="2">
        <f>IFERROR(J733/I733*100,0)</f>
        <v>0</v>
      </c>
    </row>
    <row r="734" spans="11:11">
      <c r="K734" s="2">
        <f>IFERROR(J734/I734*100,0)</f>
        <v>0</v>
      </c>
    </row>
    <row r="735" spans="11:11">
      <c r="K735" s="2">
        <f>IFERROR(J735/I735*100,0)</f>
        <v>0</v>
      </c>
    </row>
    <row r="736" spans="11:11">
      <c r="K736" s="2">
        <f>IFERROR(J736/I736*100,0)</f>
        <v>0</v>
      </c>
    </row>
    <row r="737" spans="11:11">
      <c r="K737" s="2">
        <f>IFERROR(J737/I737*100,0)</f>
        <v>0</v>
      </c>
    </row>
    <row r="738" spans="11:11">
      <c r="K738" s="2">
        <f>IFERROR(J738/I738*100,0)</f>
        <v>0</v>
      </c>
    </row>
    <row r="739" spans="11:11">
      <c r="K739" s="2">
        <f>IFERROR(J739/I739*100,0)</f>
        <v>0</v>
      </c>
    </row>
    <row r="740" spans="11:11">
      <c r="K740" s="2">
        <f>IFERROR(J740/I740*100,0)</f>
        <v>0</v>
      </c>
    </row>
    <row r="741" spans="11:11">
      <c r="K741" s="2">
        <f>IFERROR(J741/I741*100,0)</f>
        <v>0</v>
      </c>
    </row>
    <row r="742" spans="11:11">
      <c r="K742" s="2">
        <f>IFERROR(J742/I742*100,0)</f>
        <v>0</v>
      </c>
    </row>
    <row r="743" spans="11:11">
      <c r="K743" s="2">
        <f>IFERROR(J743/I743*100,0)</f>
        <v>0</v>
      </c>
    </row>
    <row r="744" spans="11:11">
      <c r="K744" s="2">
        <f>IFERROR(J744/I744*100,0)</f>
        <v>0</v>
      </c>
    </row>
    <row r="745" spans="11:11">
      <c r="K745" s="2">
        <f>IFERROR(J745/I745*100,0)</f>
        <v>0</v>
      </c>
    </row>
    <row r="746" spans="11:11">
      <c r="K746" s="2">
        <f>IFERROR(J746/I746*100,0)</f>
        <v>0</v>
      </c>
    </row>
    <row r="747" spans="11:11">
      <c r="K747" s="2">
        <f>IFERROR(J747/I747*100,0)</f>
        <v>0</v>
      </c>
    </row>
    <row r="748" spans="11:11">
      <c r="K748" s="2">
        <f>IFERROR(J748/I748*100,0)</f>
        <v>0</v>
      </c>
    </row>
    <row r="749" spans="11:11">
      <c r="K749" s="2">
        <f>IFERROR(J749/I749*100,0)</f>
        <v>0</v>
      </c>
    </row>
    <row r="750" spans="11:11">
      <c r="K750" s="2">
        <f>IFERROR(J750/I750*100,0)</f>
        <v>0</v>
      </c>
    </row>
    <row r="751" spans="11:11">
      <c r="K751" s="2">
        <f>IFERROR(J751/I751*100,0)</f>
        <v>0</v>
      </c>
    </row>
    <row r="752" spans="11:11">
      <c r="K752" s="2">
        <f>IFERROR(J752/I752*100,0)</f>
        <v>0</v>
      </c>
    </row>
    <row r="753" spans="11:11">
      <c r="K753" s="2">
        <f>IFERROR(J753/I753*100,0)</f>
        <v>0</v>
      </c>
    </row>
    <row r="754" spans="11:11">
      <c r="K754" s="2">
        <f>IFERROR(J754/I754*100,0)</f>
        <v>0</v>
      </c>
    </row>
    <row r="755" spans="11:11">
      <c r="K755" s="2">
        <f>IFERROR(J755/I755*100,0)</f>
        <v>0</v>
      </c>
    </row>
    <row r="756" spans="11:11">
      <c r="K756" s="2">
        <f>IFERROR(J756/I756*100,0)</f>
        <v>0</v>
      </c>
    </row>
    <row r="757" spans="11:11">
      <c r="K757" s="2">
        <f>IFERROR(J757/I757*100,0)</f>
        <v>0</v>
      </c>
    </row>
    <row r="758" spans="11:11">
      <c r="K758" s="2">
        <f>IFERROR(J758/I758*100,0)</f>
        <v>0</v>
      </c>
    </row>
    <row r="759" spans="11:11">
      <c r="K759" s="2">
        <f>IFERROR(J759/I759*100,0)</f>
        <v>0</v>
      </c>
    </row>
    <row r="760" spans="11:11">
      <c r="K760" s="2">
        <f>IFERROR(J760/I760*100,0)</f>
        <v>0</v>
      </c>
    </row>
    <row r="761" spans="11:11">
      <c r="K761" s="2">
        <f>IFERROR(J761/I761*100,0)</f>
        <v>0</v>
      </c>
    </row>
    <row r="762" spans="11:11">
      <c r="K762" s="2">
        <f>IFERROR(J762/I762*100,0)</f>
        <v>0</v>
      </c>
    </row>
    <row r="763" spans="11:11">
      <c r="K763" s="2">
        <f>IFERROR(J763/I763*100,0)</f>
        <v>0</v>
      </c>
    </row>
    <row r="764" spans="11:11">
      <c r="K764" s="2">
        <f>IFERROR(J764/I764*100,0)</f>
        <v>0</v>
      </c>
    </row>
    <row r="765" spans="11:11">
      <c r="K765" s="2">
        <f>IFERROR(J765/I765*100,0)</f>
        <v>0</v>
      </c>
    </row>
    <row r="766" spans="11:11">
      <c r="K766" s="2">
        <f>IFERROR(J766/I766*100,0)</f>
        <v>0</v>
      </c>
    </row>
    <row r="767" spans="11:11">
      <c r="K767" s="2">
        <f>IFERROR(J767/I767*100,0)</f>
        <v>0</v>
      </c>
    </row>
    <row r="768" spans="11:11">
      <c r="K768" s="2">
        <f>IFERROR(J768/I768*100,0)</f>
        <v>0</v>
      </c>
    </row>
    <row r="769" spans="11:11">
      <c r="K769" s="2">
        <f>IFERROR(J769/I769*100,0)</f>
        <v>0</v>
      </c>
    </row>
    <row r="770" spans="11:11">
      <c r="K770" s="2">
        <f>IFERROR(J770/I770*100,0)</f>
        <v>0</v>
      </c>
    </row>
    <row r="771" spans="11:11">
      <c r="K771" s="2">
        <f>IFERROR(J771/I771*100,0)</f>
        <v>0</v>
      </c>
    </row>
    <row r="772" spans="11:11">
      <c r="K772" s="2">
        <f>IFERROR(J772/I772*100,0)</f>
        <v>0</v>
      </c>
    </row>
    <row r="773" spans="11:11">
      <c r="K773" s="2">
        <f>IFERROR(J773/I773*100,0)</f>
        <v>0</v>
      </c>
    </row>
    <row r="774" spans="11:11">
      <c r="K774" s="2">
        <f>IFERROR(J774/I774*100,0)</f>
        <v>0</v>
      </c>
    </row>
    <row r="775" spans="11:11">
      <c r="K775" s="2">
        <f>IFERROR(J775/I775*100,0)</f>
        <v>0</v>
      </c>
    </row>
    <row r="776" spans="11:11">
      <c r="K776" s="2">
        <f>IFERROR(J776/I776*100,0)</f>
        <v>0</v>
      </c>
    </row>
    <row r="777" spans="11:11">
      <c r="K777" s="2">
        <f>IFERROR(J777/I777*100,0)</f>
        <v>0</v>
      </c>
    </row>
    <row r="778" spans="11:11">
      <c r="K778" s="2">
        <f>IFERROR(J778/I778*100,0)</f>
        <v>0</v>
      </c>
    </row>
    <row r="779" spans="11:11">
      <c r="K779" s="2">
        <f>IFERROR(J779/I779*100,0)</f>
        <v>0</v>
      </c>
    </row>
    <row r="780" spans="11:11">
      <c r="K780" s="2">
        <f>IFERROR(J780/I780*100,0)</f>
        <v>0</v>
      </c>
    </row>
    <row r="781" spans="11:11">
      <c r="K781" s="2">
        <f>IFERROR(J781/I781*100,0)</f>
        <v>0</v>
      </c>
    </row>
    <row r="782" spans="11:11">
      <c r="K782" s="2">
        <f>IFERROR(J782/I782*100,0)</f>
        <v>0</v>
      </c>
    </row>
    <row r="783" spans="11:11">
      <c r="K783" s="2">
        <f>IFERROR(J783/I783*100,0)</f>
        <v>0</v>
      </c>
    </row>
    <row r="784" spans="11:11">
      <c r="K784" s="2">
        <f>IFERROR(J784/I784*100,0)</f>
        <v>0</v>
      </c>
    </row>
    <row r="785" spans="11:11">
      <c r="K785" s="2">
        <f>IFERROR(J785/I785*100,0)</f>
        <v>0</v>
      </c>
    </row>
    <row r="786" spans="11:11">
      <c r="K786" s="2">
        <f>IFERROR(J786/I786*100,0)</f>
        <v>0</v>
      </c>
    </row>
    <row r="787" spans="11:11">
      <c r="K787" s="2">
        <f>IFERROR(J787/I787*100,0)</f>
        <v>0</v>
      </c>
    </row>
    <row r="788" spans="11:11">
      <c r="K788" s="2">
        <f>IFERROR(J788/I788*100,0)</f>
        <v>0</v>
      </c>
    </row>
    <row r="789" spans="11:11">
      <c r="K789" s="2">
        <f>IFERROR(J789/I789*100,0)</f>
        <v>0</v>
      </c>
    </row>
    <row r="790" spans="11:11">
      <c r="K790" s="2">
        <f>IFERROR(J790/I790*100,0)</f>
        <v>0</v>
      </c>
    </row>
    <row r="791" spans="11:11">
      <c r="K791" s="2">
        <f>IFERROR(J791/I791*100,0)</f>
        <v>0</v>
      </c>
    </row>
    <row r="792" spans="11:11">
      <c r="K792" s="2">
        <f>IFERROR(J792/I792*100,0)</f>
        <v>0</v>
      </c>
    </row>
    <row r="793" spans="11:11">
      <c r="K793" s="2">
        <f>IFERROR(J793/I793*100,0)</f>
        <v>0</v>
      </c>
    </row>
    <row r="794" spans="11:11">
      <c r="K794" s="2">
        <f>IFERROR(J794/I794*100,0)</f>
        <v>0</v>
      </c>
    </row>
    <row r="795" spans="11:11">
      <c r="K795" s="2">
        <f>IFERROR(J795/I795*100,0)</f>
        <v>0</v>
      </c>
    </row>
    <row r="796" spans="11:11">
      <c r="K796" s="2">
        <f>IFERROR(J796/I796*100,0)</f>
        <v>0</v>
      </c>
    </row>
    <row r="797" spans="11:11">
      <c r="K797" s="2">
        <f>IFERROR(J797/I797*100,0)</f>
        <v>0</v>
      </c>
    </row>
    <row r="798" spans="11:11">
      <c r="K798" s="2">
        <f>IFERROR(J798/I798*100,0)</f>
        <v>0</v>
      </c>
    </row>
    <row r="799" spans="11:11">
      <c r="K799" s="2">
        <f>IFERROR(J799/I799*100,0)</f>
        <v>0</v>
      </c>
    </row>
    <row r="800" spans="11:11">
      <c r="K800" s="2">
        <f>IFERROR(J800/I800*100,0)</f>
        <v>0</v>
      </c>
    </row>
    <row r="801" spans="11:11">
      <c r="K801" s="2">
        <f>IFERROR(J801/I801*100,0)</f>
        <v>0</v>
      </c>
    </row>
    <row r="802" spans="11:11">
      <c r="K802" s="2">
        <f>IFERROR(J802/I802*100,0)</f>
        <v>0</v>
      </c>
    </row>
    <row r="803" spans="11:11">
      <c r="K803" s="2">
        <f>IFERROR(J803/I803*100,0)</f>
        <v>0</v>
      </c>
    </row>
    <row r="804" spans="11:11">
      <c r="K804" s="2">
        <f>IFERROR(J804/I804*100,0)</f>
        <v>0</v>
      </c>
    </row>
    <row r="805" spans="11:11">
      <c r="K805" s="2">
        <f>IFERROR(J805/I805*100,0)</f>
        <v>0</v>
      </c>
    </row>
    <row r="806" spans="11:11">
      <c r="K806" s="2">
        <f>IFERROR(J806/I806*100,0)</f>
        <v>0</v>
      </c>
    </row>
    <row r="807" spans="11:11">
      <c r="K807" s="2">
        <f>IFERROR(J807/I807*100,0)</f>
        <v>0</v>
      </c>
    </row>
    <row r="808" spans="11:11">
      <c r="K808" s="2">
        <f>IFERROR(J808/I808*100,0)</f>
        <v>0</v>
      </c>
    </row>
    <row r="809" spans="11:11">
      <c r="K809" s="2">
        <f>IFERROR(J809/I809*100,0)</f>
        <v>0</v>
      </c>
    </row>
    <row r="810" spans="11:11">
      <c r="K810" s="2">
        <f>IFERROR(J810/I810*100,0)</f>
        <v>0</v>
      </c>
    </row>
    <row r="811" spans="11:11">
      <c r="K811" s="2">
        <f>IFERROR(J811/I811*100,0)</f>
        <v>0</v>
      </c>
    </row>
    <row r="812" spans="11:11">
      <c r="K812" s="2">
        <f>IFERROR(J812/I812*100,0)</f>
        <v>0</v>
      </c>
    </row>
    <row r="813" spans="11:11">
      <c r="K813" s="2">
        <f>IFERROR(J813/I813*100,0)</f>
        <v>0</v>
      </c>
    </row>
    <row r="814" spans="11:11">
      <c r="K814" s="2">
        <f>IFERROR(J814/I814*100,0)</f>
        <v>0</v>
      </c>
    </row>
    <row r="815" spans="11:11">
      <c r="K815" s="2">
        <f>IFERROR(J815/I815*100,0)</f>
        <v>0</v>
      </c>
    </row>
    <row r="816" spans="11:11">
      <c r="K816" s="2">
        <f>IFERROR(J816/I816*100,0)</f>
        <v>0</v>
      </c>
    </row>
    <row r="817" spans="11:11">
      <c r="K817" s="2">
        <f>IFERROR(J817/I817*100,0)</f>
        <v>0</v>
      </c>
    </row>
    <row r="818" spans="11:11">
      <c r="K818" s="2">
        <f>IFERROR(J818/I818*100,0)</f>
        <v>0</v>
      </c>
    </row>
    <row r="819" spans="11:11">
      <c r="K819" s="2">
        <f>IFERROR(J819/I819*100,0)</f>
        <v>0</v>
      </c>
    </row>
    <row r="820" spans="11:11">
      <c r="K820" s="2">
        <f>IFERROR(J820/I820*100,0)</f>
        <v>0</v>
      </c>
    </row>
    <row r="821" spans="11:11">
      <c r="K821" s="2">
        <f>IFERROR(J821/I821*100,0)</f>
        <v>0</v>
      </c>
    </row>
    <row r="822" spans="11:11">
      <c r="K822" s="2">
        <f>IFERROR(J822/I822*100,0)</f>
        <v>0</v>
      </c>
    </row>
    <row r="823" spans="11:11">
      <c r="K823" s="2">
        <f>IFERROR(J823/I823*100,0)</f>
        <v>0</v>
      </c>
    </row>
    <row r="824" spans="11:11">
      <c r="K824" s="2">
        <f>IFERROR(J824/I824*100,0)</f>
        <v>0</v>
      </c>
    </row>
    <row r="825" spans="11:11">
      <c r="K825" s="2">
        <f>IFERROR(J825/I825*100,0)</f>
        <v>0</v>
      </c>
    </row>
    <row r="826" spans="11:11">
      <c r="K826" s="2">
        <f>IFERROR(J826/I826*100,0)</f>
        <v>0</v>
      </c>
    </row>
    <row r="827" spans="11:11">
      <c r="K827" s="2">
        <f>IFERROR(J827/I827*100,0)</f>
        <v>0</v>
      </c>
    </row>
    <row r="828" spans="11:11">
      <c r="K828" s="2">
        <f>IFERROR(J828/I828*100,0)</f>
        <v>0</v>
      </c>
    </row>
    <row r="829" spans="11:11">
      <c r="K829" s="2">
        <f>IFERROR(J829/I829*100,0)</f>
        <v>0</v>
      </c>
    </row>
    <row r="830" spans="11:11">
      <c r="K830" s="2">
        <f>IFERROR(J830/I830*100,0)</f>
        <v>0</v>
      </c>
    </row>
    <row r="831" spans="11:11">
      <c r="K831" s="2">
        <f>IFERROR(J831/I831*100,0)</f>
        <v>0</v>
      </c>
    </row>
    <row r="832" spans="11:11">
      <c r="K832" s="2">
        <f>IFERROR(J832/I832*100,0)</f>
        <v>0</v>
      </c>
    </row>
    <row r="833" spans="11:11">
      <c r="K833" s="2">
        <f>IFERROR(J833/I833*100,0)</f>
        <v>0</v>
      </c>
    </row>
    <row r="834" spans="11:11">
      <c r="K834" s="2">
        <f>IFERROR(J834/I834*100,0)</f>
        <v>0</v>
      </c>
    </row>
    <row r="835" spans="11:11">
      <c r="K835" s="2">
        <f>IFERROR(J835/I835*100,0)</f>
        <v>0</v>
      </c>
    </row>
    <row r="836" spans="11:11">
      <c r="K836" s="2">
        <f>IFERROR(J836/I836*100,0)</f>
        <v>0</v>
      </c>
    </row>
    <row r="837" spans="11:11">
      <c r="K837" s="2">
        <f>IFERROR(J837/I837*100,0)</f>
        <v>0</v>
      </c>
    </row>
    <row r="838" spans="11:11">
      <c r="K838" s="2">
        <f>IFERROR(J838/I838*100,0)</f>
        <v>0</v>
      </c>
    </row>
    <row r="839" spans="11:11">
      <c r="K839" s="2">
        <f>IFERROR(J839/I839*100,0)</f>
        <v>0</v>
      </c>
    </row>
    <row r="840" spans="11:11">
      <c r="K840" s="2">
        <f>IFERROR(J840/I840*100,0)</f>
        <v>0</v>
      </c>
    </row>
    <row r="841" spans="11:11">
      <c r="K841" s="2">
        <f>IFERROR(J841/I841*100,0)</f>
        <v>0</v>
      </c>
    </row>
    <row r="842" spans="11:11">
      <c r="K842" s="2">
        <f>IFERROR(J842/I842*100,0)</f>
        <v>0</v>
      </c>
    </row>
    <row r="843" spans="11:11">
      <c r="K843" s="2">
        <f>IFERROR(J843/I843*100,0)</f>
        <v>0</v>
      </c>
    </row>
    <row r="844" spans="11:11">
      <c r="K844" s="2">
        <f>IFERROR(J844/I844*100,0)</f>
        <v>0</v>
      </c>
    </row>
    <row r="845" spans="11:11">
      <c r="K845" s="2">
        <f>IFERROR(J845/I845*100,0)</f>
        <v>0</v>
      </c>
    </row>
    <row r="846" spans="11:11">
      <c r="K846" s="2">
        <f>IFERROR(J846/I846*100,0)</f>
        <v>0</v>
      </c>
    </row>
    <row r="847" spans="11:11">
      <c r="K847" s="2">
        <f>IFERROR(J847/I847*100,0)</f>
        <v>0</v>
      </c>
    </row>
    <row r="848" spans="11:11">
      <c r="K848" s="2">
        <f>IFERROR(J848/I848*100,0)</f>
        <v>0</v>
      </c>
    </row>
    <row r="849" spans="11:11">
      <c r="K849" s="2">
        <f>IFERROR(J849/I849*100,0)</f>
        <v>0</v>
      </c>
    </row>
    <row r="850" spans="11:11">
      <c r="K850" s="2">
        <f>IFERROR(J850/I850*100,0)</f>
        <v>0</v>
      </c>
    </row>
    <row r="851" spans="11:11">
      <c r="K851" s="2">
        <f>IFERROR(J851/I851*100,0)</f>
        <v>0</v>
      </c>
    </row>
    <row r="852" spans="11:11">
      <c r="K852" s="2">
        <f>IFERROR(J852/I852*100,0)</f>
        <v>0</v>
      </c>
    </row>
    <row r="853" spans="11:11">
      <c r="K853" s="2">
        <f>IFERROR(J853/I853*100,0)</f>
        <v>0</v>
      </c>
    </row>
    <row r="854" spans="11:11">
      <c r="K854" s="2">
        <f>IFERROR(J854/I854*100,0)</f>
        <v>0</v>
      </c>
    </row>
    <row r="855" spans="11:11">
      <c r="K855" s="2">
        <f>IFERROR(J855/I855*100,0)</f>
        <v>0</v>
      </c>
    </row>
    <row r="856" spans="11:11">
      <c r="K856" s="2">
        <f>IFERROR(J856/I856*100,0)</f>
        <v>0</v>
      </c>
    </row>
    <row r="857" spans="11:11">
      <c r="K857" s="2">
        <f>IFERROR(J857/I857*100,0)</f>
        <v>0</v>
      </c>
    </row>
    <row r="858" spans="11:11">
      <c r="K858" s="2">
        <f>IFERROR(J858/I858*100,0)</f>
        <v>0</v>
      </c>
    </row>
    <row r="859" spans="11:11">
      <c r="K859" s="2">
        <f>IFERROR(J859/I859*100,0)</f>
        <v>0</v>
      </c>
    </row>
    <row r="860" spans="11:11">
      <c r="K860" s="2">
        <f>IFERROR(J860/I860*100,0)</f>
        <v>0</v>
      </c>
    </row>
    <row r="861" spans="11:11">
      <c r="K861" s="2">
        <f>IFERROR(J861/I861*100,0)</f>
        <v>0</v>
      </c>
    </row>
    <row r="862" spans="11:11">
      <c r="K862" s="2">
        <f>IFERROR(J862/I862*100,0)</f>
        <v>0</v>
      </c>
    </row>
    <row r="863" spans="11:11">
      <c r="K863" s="2">
        <f>IFERROR(J863/I863*100,0)</f>
        <v>0</v>
      </c>
    </row>
    <row r="864" spans="11:11">
      <c r="K864" s="2">
        <f>IFERROR(J864/I864*100,0)</f>
        <v>0</v>
      </c>
    </row>
    <row r="865" spans="11:11">
      <c r="K865" s="2">
        <f>IFERROR(J865/I865*100,0)</f>
        <v>0</v>
      </c>
    </row>
    <row r="866" spans="11:11">
      <c r="K866" s="2">
        <f>IFERROR(J866/I866*100,0)</f>
        <v>0</v>
      </c>
    </row>
    <row r="867" spans="11:11">
      <c r="K867" s="2">
        <f>IFERROR(J867/I867*100,0)</f>
        <v>0</v>
      </c>
    </row>
    <row r="868" spans="11:11">
      <c r="K868" s="2">
        <f>IFERROR(J868/I868*100,0)</f>
        <v>0</v>
      </c>
    </row>
    <row r="869" spans="11:11">
      <c r="K869" s="2">
        <f>IFERROR(J869/I869*100,0)</f>
        <v>0</v>
      </c>
    </row>
    <row r="870" spans="11:11">
      <c r="K870" s="2">
        <f>IFERROR(J870/I870*100,0)</f>
        <v>0</v>
      </c>
    </row>
    <row r="871" spans="11:11">
      <c r="K871" s="2">
        <f>IFERROR(J871/I871*100,0)</f>
        <v>0</v>
      </c>
    </row>
    <row r="872" spans="11:11">
      <c r="K872" s="2">
        <f>IFERROR(J872/I872*100,0)</f>
        <v>0</v>
      </c>
    </row>
    <row r="873" spans="11:11">
      <c r="K873" s="2">
        <f>IFERROR(J873/I873*100,0)</f>
        <v>0</v>
      </c>
    </row>
    <row r="874" spans="11:11">
      <c r="K874" s="2">
        <f>IFERROR(J874/I874*100,0)</f>
        <v>0</v>
      </c>
    </row>
    <row r="875" spans="11:11">
      <c r="K875" s="2">
        <f>IFERROR(J875/I875*100,0)</f>
        <v>0</v>
      </c>
    </row>
    <row r="876" spans="11:11">
      <c r="K876" s="2">
        <f>IFERROR(J876/I876*100,0)</f>
        <v>0</v>
      </c>
    </row>
    <row r="877" spans="11:11">
      <c r="K877" s="2">
        <f>IFERROR(J877/I877*100,0)</f>
        <v>0</v>
      </c>
    </row>
    <row r="878" spans="11:11">
      <c r="K878" s="2">
        <f>IFERROR(J878/I878*100,0)</f>
        <v>0</v>
      </c>
    </row>
    <row r="879" spans="11:11">
      <c r="K879" s="2">
        <f>IFERROR(J879/I879*100,0)</f>
        <v>0</v>
      </c>
    </row>
    <row r="880" spans="11:11">
      <c r="K880" s="2">
        <f>IFERROR(J880/I880*100,0)</f>
        <v>0</v>
      </c>
    </row>
    <row r="881" spans="11:11">
      <c r="K881" s="2">
        <f>IFERROR(J881/I881*100,0)</f>
        <v>0</v>
      </c>
    </row>
    <row r="882" spans="11:11">
      <c r="K882" s="2">
        <f>IFERROR(J882/I882*100,0)</f>
        <v>0</v>
      </c>
    </row>
    <row r="883" spans="11:11">
      <c r="K883" s="2">
        <f>IFERROR(J883/I883*100,0)</f>
        <v>0</v>
      </c>
    </row>
    <row r="884" spans="11:11">
      <c r="K884" s="2">
        <f>IFERROR(J884/I884*100,0)</f>
        <v>0</v>
      </c>
    </row>
    <row r="885" spans="11:11">
      <c r="K885" s="2">
        <f>IFERROR(J885/I885*100,0)</f>
        <v>0</v>
      </c>
    </row>
    <row r="886" spans="11:11">
      <c r="K886" s="2">
        <f>IFERROR(J886/I886*100,0)</f>
        <v>0</v>
      </c>
    </row>
    <row r="887" spans="11:11">
      <c r="K887" s="2">
        <f>IFERROR(J887/I887*100,0)</f>
        <v>0</v>
      </c>
    </row>
    <row r="888" spans="11:11">
      <c r="K888" s="2">
        <f>IFERROR(J888/I888*100,0)</f>
        <v>0</v>
      </c>
    </row>
    <row r="889" spans="11:11">
      <c r="K889" s="2">
        <f>IFERROR(J889/I889*100,0)</f>
        <v>0</v>
      </c>
    </row>
    <row r="890" spans="11:11">
      <c r="K890" s="2">
        <f>IFERROR(J890/I890*100,0)</f>
        <v>0</v>
      </c>
    </row>
    <row r="891" spans="11:11">
      <c r="K891" s="2">
        <f>IFERROR(J891/I891*100,0)</f>
        <v>0</v>
      </c>
    </row>
    <row r="892" spans="11:11">
      <c r="K892" s="2">
        <f>IFERROR(J892/I892*100,0)</f>
        <v>0</v>
      </c>
    </row>
    <row r="893" spans="11:11">
      <c r="K893" s="2">
        <f>IFERROR(J893/I893*100,0)</f>
        <v>0</v>
      </c>
    </row>
    <row r="894" spans="11:11">
      <c r="K894" s="2">
        <f>IFERROR(J894/I894*100,0)</f>
        <v>0</v>
      </c>
    </row>
    <row r="895" spans="11:11">
      <c r="K895" s="2">
        <f>IFERROR(J895/I895*100,0)</f>
        <v>0</v>
      </c>
    </row>
    <row r="896" spans="11:11">
      <c r="K896" s="2">
        <f>IFERROR(J896/I896*100,0)</f>
        <v>0</v>
      </c>
    </row>
    <row r="897" spans="11:11">
      <c r="K897" s="2">
        <f>IFERROR(J897/I897*100,0)</f>
        <v>0</v>
      </c>
    </row>
    <row r="898" spans="11:11">
      <c r="K898" s="2">
        <f>IFERROR(J898/I898*100,0)</f>
        <v>0</v>
      </c>
    </row>
    <row r="899" spans="11:11">
      <c r="K899" s="2">
        <f>IFERROR(J899/I899*100,0)</f>
        <v>0</v>
      </c>
    </row>
    <row r="900" spans="11:11">
      <c r="K900" s="2">
        <f>IFERROR(J900/I900*100,0)</f>
        <v>0</v>
      </c>
    </row>
    <row r="901" spans="11:11">
      <c r="K901" s="2">
        <f>IFERROR(J901/I901*100,0)</f>
        <v>0</v>
      </c>
    </row>
    <row r="902" spans="11:11">
      <c r="K902" s="2">
        <f>IFERROR(J902/I902*100,0)</f>
        <v>0</v>
      </c>
    </row>
    <row r="903" spans="11:11">
      <c r="K903" s="2">
        <f>IFERROR(J903/I903*100,0)</f>
        <v>0</v>
      </c>
    </row>
    <row r="904" spans="11:11">
      <c r="K904" s="2">
        <f>IFERROR(J904/I904*100,0)</f>
        <v>0</v>
      </c>
    </row>
    <row r="905" spans="11:11">
      <c r="K905" s="2">
        <f>IFERROR(J905/I905*100,0)</f>
        <v>0</v>
      </c>
    </row>
    <row r="906" spans="11:11">
      <c r="K906" s="2">
        <f>IFERROR(J906/I906*100,0)</f>
        <v>0</v>
      </c>
    </row>
    <row r="907" spans="11:11">
      <c r="K907" s="2">
        <f>IFERROR(J907/I907*100,0)</f>
        <v>0</v>
      </c>
    </row>
    <row r="908" spans="11:11">
      <c r="K908" s="2">
        <f>IFERROR(J908/I908*100,0)</f>
        <v>0</v>
      </c>
    </row>
    <row r="909" spans="11:11">
      <c r="K909" s="2">
        <f>IFERROR(J909/I909*100,0)</f>
        <v>0</v>
      </c>
    </row>
    <row r="910" spans="11:11">
      <c r="K910" s="2">
        <f>IFERROR(J910/I910*100,0)</f>
        <v>0</v>
      </c>
    </row>
    <row r="911" spans="11:11">
      <c r="K911" s="2">
        <f>IFERROR(J911/I911*100,0)</f>
        <v>0</v>
      </c>
    </row>
    <row r="912" spans="11:11">
      <c r="K912" s="2">
        <f>IFERROR(J912/I912*100,0)</f>
        <v>0</v>
      </c>
    </row>
    <row r="913" spans="11:11">
      <c r="K913" s="2">
        <f>IFERROR(J913/I913*100,0)</f>
        <v>0</v>
      </c>
    </row>
    <row r="914" spans="11:11">
      <c r="K914" s="2">
        <f>IFERROR(J914/I914*100,0)</f>
        <v>0</v>
      </c>
    </row>
    <row r="915" spans="11:11">
      <c r="K915" s="2">
        <f>IFERROR(J915/I915*100,0)</f>
        <v>0</v>
      </c>
    </row>
    <row r="916" spans="11:11">
      <c r="K916" s="2">
        <f>IFERROR(J916/I916*100,0)</f>
        <v>0</v>
      </c>
    </row>
    <row r="917" spans="11:11">
      <c r="K917" s="2">
        <f>IFERROR(J917/I917*100,0)</f>
        <v>0</v>
      </c>
    </row>
    <row r="918" spans="11:11">
      <c r="K918" s="2">
        <f>IFERROR(J918/I918*100,0)</f>
        <v>0</v>
      </c>
    </row>
    <row r="919" spans="11:11">
      <c r="K919" s="2">
        <f>IFERROR(J919/I919*100,0)</f>
        <v>0</v>
      </c>
    </row>
    <row r="920" spans="11:11">
      <c r="K920" s="2">
        <f>IFERROR(J920/I920*100,0)</f>
        <v>0</v>
      </c>
    </row>
    <row r="921" spans="11:11">
      <c r="K921" s="2">
        <f>IFERROR(J921/I921*100,0)</f>
        <v>0</v>
      </c>
    </row>
    <row r="922" spans="11:11">
      <c r="K922" s="2">
        <f>IFERROR(J922/I922*100,0)</f>
        <v>0</v>
      </c>
    </row>
    <row r="923" spans="11:11">
      <c r="K923" s="2">
        <f>IFERROR(J923/I923*100,0)</f>
        <v>0</v>
      </c>
    </row>
    <row r="924" spans="11:11">
      <c r="K924" s="2">
        <f>IFERROR(J924/I924*100,0)</f>
        <v>0</v>
      </c>
    </row>
    <row r="925" spans="11:11">
      <c r="K925" s="2">
        <f>IFERROR(J925/I925*100,0)</f>
        <v>0</v>
      </c>
    </row>
    <row r="926" spans="11:11">
      <c r="K926" s="2">
        <f>IFERROR(J926/I926*100,0)</f>
        <v>0</v>
      </c>
    </row>
    <row r="927" spans="11:11">
      <c r="K927" s="2">
        <f>IFERROR(J927/I927*100,0)</f>
        <v>0</v>
      </c>
    </row>
    <row r="928" spans="11:11">
      <c r="K928" s="2">
        <f>IFERROR(J928/I928*100,0)</f>
        <v>0</v>
      </c>
    </row>
    <row r="929" spans="11:11">
      <c r="K929" s="2">
        <f>IFERROR(J929/I929*100,0)</f>
        <v>0</v>
      </c>
    </row>
    <row r="930" spans="11:11">
      <c r="K930" s="2">
        <f>IFERROR(J930/I930*100,0)</f>
        <v>0</v>
      </c>
    </row>
    <row r="931" spans="11:11">
      <c r="K931" s="2">
        <f>IFERROR(J931/I931*100,0)</f>
        <v>0</v>
      </c>
    </row>
    <row r="932" spans="11:11">
      <c r="K932" s="2">
        <f>IFERROR(J932/I932*100,0)</f>
        <v>0</v>
      </c>
    </row>
    <row r="933" spans="11:11">
      <c r="K933" s="2">
        <f>IFERROR(J933/I933*100,0)</f>
        <v>0</v>
      </c>
    </row>
    <row r="934" spans="11:11">
      <c r="K934" s="2">
        <f>IFERROR(J934/I934*100,0)</f>
        <v>0</v>
      </c>
    </row>
    <row r="935" spans="11:11">
      <c r="K935" s="2">
        <f>IFERROR(J935/I935*100,0)</f>
        <v>0</v>
      </c>
    </row>
    <row r="936" spans="11:11">
      <c r="K936" s="2">
        <f>IFERROR(J936/I936*100,0)</f>
        <v>0</v>
      </c>
    </row>
    <row r="937" spans="11:11">
      <c r="K937" s="2">
        <f>IFERROR(J937/I937*100,0)</f>
        <v>0</v>
      </c>
    </row>
    <row r="938" spans="11:11">
      <c r="K938" s="2">
        <f>IFERROR(J938/I938*100,0)</f>
        <v>0</v>
      </c>
    </row>
    <row r="939" spans="11:11">
      <c r="K939" s="2">
        <f>IFERROR(J939/I939*100,0)</f>
        <v>0</v>
      </c>
    </row>
    <row r="940" spans="11:11">
      <c r="K940" s="2">
        <f>IFERROR(J940/I940*100,0)</f>
        <v>0</v>
      </c>
    </row>
    <row r="941" spans="11:11">
      <c r="K941" s="2">
        <f>IFERROR(J941/I941*100,0)</f>
        <v>0</v>
      </c>
    </row>
    <row r="942" spans="11:11">
      <c r="K942" s="2">
        <f>IFERROR(J942/I942*100,0)</f>
        <v>0</v>
      </c>
    </row>
    <row r="943" spans="11:11">
      <c r="K943" s="2">
        <f>IFERROR(J943/I943*100,0)</f>
        <v>0</v>
      </c>
    </row>
    <row r="944" spans="11:11">
      <c r="K944" s="2">
        <f>IFERROR(J944/I944*100,0)</f>
        <v>0</v>
      </c>
    </row>
    <row r="945" spans="11:11">
      <c r="K945" s="2">
        <f>IFERROR(J945/I945*100,0)</f>
        <v>0</v>
      </c>
    </row>
    <row r="946" spans="11:11">
      <c r="K946" s="2">
        <f>IFERROR(J946/I946*100,0)</f>
        <v>0</v>
      </c>
    </row>
    <row r="947" spans="11:11">
      <c r="K947" s="2">
        <f>IFERROR(J947/I947*100,0)</f>
        <v>0</v>
      </c>
    </row>
    <row r="948" spans="11:11">
      <c r="K948" s="2">
        <f>IFERROR(J948/I948*100,0)</f>
        <v>0</v>
      </c>
    </row>
    <row r="949" spans="11:11">
      <c r="K949" s="2">
        <f>IFERROR(J949/I949*100,0)</f>
        <v>0</v>
      </c>
    </row>
    <row r="950" spans="11:11">
      <c r="K950" s="2">
        <f>IFERROR(J950/I950*100,0)</f>
        <v>0</v>
      </c>
    </row>
    <row r="951" spans="11:11">
      <c r="K951" s="2">
        <f>IFERROR(J951/I951*100,0)</f>
        <v>0</v>
      </c>
    </row>
    <row r="952" spans="11:11">
      <c r="K952" s="2">
        <f>IFERROR(J952/I952*100,0)</f>
        <v>0</v>
      </c>
    </row>
    <row r="953" spans="11:11">
      <c r="K953" s="2">
        <f>IFERROR(J953/I953*100,0)</f>
        <v>0</v>
      </c>
    </row>
    <row r="954" spans="11:11">
      <c r="K954" s="2">
        <f>IFERROR(J954/I954*100,0)</f>
        <v>0</v>
      </c>
    </row>
    <row r="955" spans="11:11">
      <c r="K955" s="2">
        <f>IFERROR(J955/I955*100,0)</f>
        <v>0</v>
      </c>
    </row>
    <row r="956" spans="11:11">
      <c r="K956" s="2">
        <f>IFERROR(J956/I956*100,0)</f>
        <v>0</v>
      </c>
    </row>
    <row r="957" spans="11:11">
      <c r="K957" s="2">
        <f>IFERROR(J957/I957*100,0)</f>
        <v>0</v>
      </c>
    </row>
    <row r="958" spans="11:11">
      <c r="K958" s="2">
        <f>IFERROR(J958/I958*100,0)</f>
        <v>0</v>
      </c>
    </row>
    <row r="959" spans="11:11">
      <c r="K959" s="2">
        <f>IFERROR(J959/I959*100,0)</f>
        <v>0</v>
      </c>
    </row>
    <row r="960" spans="11:11">
      <c r="K960" s="2">
        <f>IFERROR(J960/I960*100,0)</f>
        <v>0</v>
      </c>
    </row>
    <row r="961" spans="11:11">
      <c r="K961" s="2">
        <f>IFERROR(J961/I961*100,0)</f>
        <v>0</v>
      </c>
    </row>
    <row r="962" spans="11:11">
      <c r="K962" s="2">
        <f>IFERROR(J962/I962*100,0)</f>
        <v>0</v>
      </c>
    </row>
    <row r="963" spans="11:11">
      <c r="K963" s="2">
        <f>IFERROR(J963/I963*100,0)</f>
        <v>0</v>
      </c>
    </row>
    <row r="964" spans="11:11">
      <c r="K964" s="2">
        <f>IFERROR(J964/I964*100,0)</f>
        <v>0</v>
      </c>
    </row>
    <row r="965" spans="11:11">
      <c r="K965" s="2">
        <f>IFERROR(J965/I965*100,0)</f>
        <v>0</v>
      </c>
    </row>
    <row r="966" spans="11:11">
      <c r="K966" s="2">
        <f>IFERROR(J966/I966*100,0)</f>
        <v>0</v>
      </c>
    </row>
    <row r="967" spans="11:11">
      <c r="K967" s="2">
        <f>IFERROR(J967/I967*100,0)</f>
        <v>0</v>
      </c>
    </row>
    <row r="968" spans="11:11">
      <c r="K968" s="2">
        <f>IFERROR(J968/I968*100,0)</f>
        <v>0</v>
      </c>
    </row>
    <row r="969" spans="11:11">
      <c r="K969" s="2">
        <f>IFERROR(J969/I969*100,0)</f>
        <v>0</v>
      </c>
    </row>
    <row r="970" spans="11:11">
      <c r="K970" s="2">
        <f>IFERROR(J970/I970*100,0)</f>
        <v>0</v>
      </c>
    </row>
    <row r="971" spans="11:11">
      <c r="K971" s="2">
        <f>IFERROR(J971/I971*100,0)</f>
        <v>0</v>
      </c>
    </row>
    <row r="972" spans="11:11">
      <c r="K972" s="2">
        <f>IFERROR(J972/I972*100,0)</f>
        <v>0</v>
      </c>
    </row>
    <row r="973" spans="11:11">
      <c r="K973" s="2">
        <f>IFERROR(J973/I973*100,0)</f>
        <v>0</v>
      </c>
    </row>
    <row r="974" spans="11:11">
      <c r="K974" s="2">
        <f>IFERROR(J974/I974*100,0)</f>
        <v>0</v>
      </c>
    </row>
    <row r="975" spans="11:11">
      <c r="K975" s="2">
        <f>IFERROR(J975/I975*100,0)</f>
        <v>0</v>
      </c>
    </row>
    <row r="976" spans="11:11">
      <c r="K976" s="2">
        <f>IFERROR(J976/I976*100,0)</f>
        <v>0</v>
      </c>
    </row>
    <row r="977" spans="11:11">
      <c r="K977" s="2">
        <f>IFERROR(J977/I977*100,0)</f>
        <v>0</v>
      </c>
    </row>
    <row r="978" spans="11:11">
      <c r="K978" s="2">
        <f>IFERROR(J978/I978*100,0)</f>
        <v>0</v>
      </c>
    </row>
    <row r="979" spans="11:11">
      <c r="K979" s="2">
        <f>IFERROR(J979/I979*100,0)</f>
        <v>0</v>
      </c>
    </row>
    <row r="980" spans="11:11">
      <c r="K980" s="2">
        <f>IFERROR(J980/I980*100,0)</f>
        <v>0</v>
      </c>
    </row>
    <row r="981" spans="11:11">
      <c r="K981" s="2">
        <f>IFERROR(J981/I981*100,0)</f>
        <v>0</v>
      </c>
    </row>
    <row r="982" spans="11:11">
      <c r="K982" s="2">
        <f>IFERROR(J982/I982*100,0)</f>
        <v>0</v>
      </c>
    </row>
    <row r="983" spans="11:11">
      <c r="K983" s="2">
        <f>IFERROR(J983/I983*100,0)</f>
        <v>0</v>
      </c>
    </row>
    <row r="984" spans="11:11">
      <c r="K984" s="2">
        <f>IFERROR(J984/I984*100,0)</f>
        <v>0</v>
      </c>
    </row>
    <row r="985" spans="11:11">
      <c r="K985" s="2">
        <f>IFERROR(J985/I985*100,0)</f>
        <v>0</v>
      </c>
    </row>
    <row r="986" spans="11:11">
      <c r="K986" s="2">
        <f>IFERROR(J986/I986*100,0)</f>
        <v>0</v>
      </c>
    </row>
    <row r="987" spans="11:11">
      <c r="K987" s="2">
        <f>IFERROR(J987/I987*100,0)</f>
        <v>0</v>
      </c>
    </row>
    <row r="988" spans="11:11">
      <c r="K988" s="2">
        <f>IFERROR(J988/I988*100,0)</f>
        <v>0</v>
      </c>
    </row>
    <row r="989" spans="11:11">
      <c r="K989" s="2">
        <f>IFERROR(J989/I989*100,0)</f>
        <v>0</v>
      </c>
    </row>
    <row r="990" spans="11:11">
      <c r="K990" s="2">
        <f>IFERROR(J990/I990*100,0)</f>
        <v>0</v>
      </c>
    </row>
    <row r="991" spans="11:11">
      <c r="K991" s="2">
        <f>IFERROR(J991/I991*100,0)</f>
        <v>0</v>
      </c>
    </row>
    <row r="992" spans="11:11">
      <c r="K992" s="2">
        <f>IFERROR(J992/I992*100,0)</f>
        <v>0</v>
      </c>
    </row>
    <row r="993" spans="11:11">
      <c r="K993" s="2">
        <f>IFERROR(J993/I993*100,0)</f>
        <v>0</v>
      </c>
    </row>
    <row r="994" spans="11:11">
      <c r="K994" s="2">
        <f>IFERROR(J994/I994*100,0)</f>
        <v>0</v>
      </c>
    </row>
    <row r="995" spans="11:11">
      <c r="K995" s="2">
        <f>IFERROR(J995/I995*100,0)</f>
        <v>0</v>
      </c>
    </row>
    <row r="996" spans="11:11">
      <c r="K996" s="2">
        <f>IFERROR(J996/I996*100,0)</f>
        <v>0</v>
      </c>
    </row>
    <row r="997" spans="11:11">
      <c r="K997" s="2">
        <f>IFERROR(J997/I997*100,0)</f>
        <v>0</v>
      </c>
    </row>
    <row r="998" spans="11:11">
      <c r="K998" s="2">
        <f>IFERROR(J998/I998*100,0)</f>
        <v>0</v>
      </c>
    </row>
    <row r="999" spans="11:11">
      <c r="K999" s="2">
        <f>IFERROR(J999/I999*100,0)</f>
        <v>0</v>
      </c>
    </row>
    <row r="1000" spans="11:11">
      <c r="K1000" s="2">
        <f>IFERROR(J1000/I1000*100,0)</f>
        <v>0</v>
      </c>
    </row>
    <row r="1001" spans="11:11">
      <c r="K1001" s="2">
        <f>IFERROR(J1001/I1001*100,0)</f>
        <v>0</v>
      </c>
    </row>
    <row r="1002" spans="11:11">
      <c r="K1002" s="2">
        <f>IFERROR(J1002/I1002*100,0)</f>
        <v>0</v>
      </c>
    </row>
    <row r="1003" spans="11:11">
      <c r="K1003" s="2">
        <f>IFERROR(J1003/I1003*100,0)</f>
        <v>0</v>
      </c>
    </row>
  </sheetData>
  <mergeCells count="2">
    <mergeCell ref="A1:O1"/>
    <mergeCell ref="A2:O2"/>
  </mergeCells>
  <dataValidations count="2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64748B"/>
    <pageSetUpPr fitToPage="1"/>
  </sheetPr>
  <dimension ref="A1:S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4" width="9.7109375" style="1" customWidth="1"/>
    <col min="5" max="5" width="15.7109375" style="1" customWidth="1"/>
    <col min="6" max="6" width="12.7109375" style="1" customWidth="1"/>
    <col min="7" max="7" width="10.7109375" style="1" customWidth="1"/>
    <col min="8" max="9" width="13.7109375" style="1" customWidth="1"/>
    <col min="10" max="10" width="12.7109375" style="1" customWidth="1"/>
    <col min="11" max="11" width="20.7109375" style="1" customWidth="1"/>
    <col min="12" max="13" width="17.7109375" style="1" customWidth="1"/>
    <col min="14" max="14" width="22.7109375" style="1" customWidth="1"/>
    <col min="15" max="16" width="12.7109375" style="1" customWidth="1"/>
    <col min="17" max="17" width="13.7109375" style="1" customWidth="1"/>
  </cols>
  <sheetData>
    <row r="1" spans="1:19" ht="22" customHeight="1">
      <c r="A1" s="3" t="s">
        <v>140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S1" s="4" t="s">
        <v>139</v>
      </c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9">
      <c r="A3" s="1" t="s">
        <v>124</v>
      </c>
      <c r="B3" s="1" t="s">
        <v>206</v>
      </c>
      <c r="C3" s="1" t="s">
        <v>126</v>
      </c>
      <c r="D3" s="1" t="s">
        <v>127</v>
      </c>
      <c r="E3" s="1" t="s">
        <v>207</v>
      </c>
      <c r="F3" s="1" t="s">
        <v>129</v>
      </c>
      <c r="G3" s="1" t="s">
        <v>130</v>
      </c>
      <c r="H3" s="1" t="s">
        <v>208</v>
      </c>
      <c r="I3" s="1" t="s">
        <v>209</v>
      </c>
      <c r="J3" s="1" t="s">
        <v>210</v>
      </c>
      <c r="K3" s="1" t="s">
        <v>211</v>
      </c>
      <c r="L3" s="1" t="s">
        <v>212</v>
      </c>
      <c r="M3" s="1" t="s">
        <v>213</v>
      </c>
      <c r="N3" s="1" t="s">
        <v>214</v>
      </c>
      <c r="O3" s="1" t="s">
        <v>215</v>
      </c>
      <c r="P3" s="1" t="s">
        <v>216</v>
      </c>
      <c r="Q3" s="1" t="s">
        <v>217</v>
      </c>
    </row>
    <row r="4" spans="1:19">
      <c r="A4" s="1">
        <v>1</v>
      </c>
      <c r="B4" s="1" t="s">
        <v>141</v>
      </c>
      <c r="C4" s="5">
        <v>46031</v>
      </c>
      <c r="D4" s="1" t="s">
        <v>3</v>
      </c>
      <c r="E4" s="6" t="s">
        <v>26</v>
      </c>
      <c r="F4" s="6" t="s">
        <v>65</v>
      </c>
      <c r="G4" s="1" t="s">
        <v>95</v>
      </c>
      <c r="H4" s="1" t="s">
        <v>66</v>
      </c>
      <c r="I4" s="1" t="s">
        <v>36</v>
      </c>
      <c r="J4" s="1" t="s">
        <v>142</v>
      </c>
      <c r="K4" s="1">
        <v>5</v>
      </c>
      <c r="L4" s="1" t="s">
        <v>143</v>
      </c>
      <c r="M4" s="1" t="s">
        <v>144</v>
      </c>
      <c r="N4" s="1" t="s">
        <v>49</v>
      </c>
      <c r="O4" s="1" t="s">
        <v>145</v>
      </c>
      <c r="P4" s="1">
        <v>1</v>
      </c>
      <c r="Q4" s="1">
        <v>1</v>
      </c>
    </row>
    <row r="5" spans="1:19">
      <c r="A5" s="1">
        <v>2</v>
      </c>
      <c r="B5" s="1" t="s">
        <v>146</v>
      </c>
      <c r="C5" s="5">
        <v>46062</v>
      </c>
      <c r="D5" s="1" t="s">
        <v>19</v>
      </c>
      <c r="E5" s="6" t="s">
        <v>61</v>
      </c>
      <c r="F5" s="6" t="s">
        <v>65</v>
      </c>
      <c r="G5" s="1" t="s">
        <v>51</v>
      </c>
      <c r="H5" s="1" t="s">
        <v>15</v>
      </c>
      <c r="I5" s="1" t="s">
        <v>78</v>
      </c>
      <c r="J5" s="1" t="s">
        <v>147</v>
      </c>
      <c r="K5" s="1">
        <v>8</v>
      </c>
      <c r="L5" s="1" t="s">
        <v>148</v>
      </c>
      <c r="M5" s="1" t="s">
        <v>144</v>
      </c>
      <c r="N5" s="1" t="s">
        <v>16</v>
      </c>
      <c r="O5" s="1" t="s">
        <v>149</v>
      </c>
      <c r="P5" s="1">
        <v>1</v>
      </c>
      <c r="Q5" s="1">
        <v>3</v>
      </c>
    </row>
    <row r="6" spans="1:19">
      <c r="A6" s="1">
        <v>3</v>
      </c>
      <c r="B6" s="1" t="s">
        <v>150</v>
      </c>
      <c r="C6" s="5">
        <v>46072</v>
      </c>
      <c r="D6" s="1" t="s">
        <v>19</v>
      </c>
      <c r="E6" s="6" t="s">
        <v>61</v>
      </c>
      <c r="F6" s="6" t="s">
        <v>46</v>
      </c>
      <c r="G6" s="1" t="s">
        <v>40</v>
      </c>
      <c r="H6" s="1" t="s">
        <v>28</v>
      </c>
      <c r="I6" s="1" t="s">
        <v>62</v>
      </c>
      <c r="J6" s="1" t="s">
        <v>151</v>
      </c>
      <c r="K6" s="1">
        <v>3</v>
      </c>
      <c r="L6" s="1" t="s">
        <v>152</v>
      </c>
      <c r="M6" s="1" t="s">
        <v>153</v>
      </c>
      <c r="N6" s="1" t="s">
        <v>20</v>
      </c>
      <c r="O6" s="1" t="s">
        <v>149</v>
      </c>
      <c r="P6" s="1">
        <v>3</v>
      </c>
      <c r="Q6" s="1">
        <v>1</v>
      </c>
    </row>
    <row r="7" spans="1:19">
      <c r="A7" s="1">
        <v>4</v>
      </c>
      <c r="B7" s="1" t="s">
        <v>154</v>
      </c>
      <c r="C7" s="5">
        <v>46062</v>
      </c>
      <c r="D7" s="1" t="s">
        <v>19</v>
      </c>
      <c r="E7" s="6" t="s">
        <v>91</v>
      </c>
      <c r="F7" s="6" t="s">
        <v>89</v>
      </c>
      <c r="G7" s="1" t="s">
        <v>80</v>
      </c>
      <c r="H7" s="1" t="s">
        <v>93</v>
      </c>
      <c r="I7" s="1" t="s">
        <v>15</v>
      </c>
      <c r="J7" s="1" t="s">
        <v>151</v>
      </c>
      <c r="K7" s="1">
        <v>4</v>
      </c>
      <c r="L7" s="1" t="s">
        <v>155</v>
      </c>
      <c r="M7" s="1" t="s">
        <v>156</v>
      </c>
      <c r="N7" s="1" t="s">
        <v>38</v>
      </c>
      <c r="O7" s="1" t="s">
        <v>145</v>
      </c>
      <c r="P7" s="1">
        <v>1</v>
      </c>
      <c r="Q7" s="1">
        <v>3</v>
      </c>
    </row>
    <row r="8" spans="1:19">
      <c r="A8" s="1">
        <v>5</v>
      </c>
      <c r="B8" s="1" t="s">
        <v>157</v>
      </c>
      <c r="C8" s="5">
        <v>46087</v>
      </c>
      <c r="D8" s="1" t="s">
        <v>44</v>
      </c>
      <c r="E8" s="6" t="s">
        <v>45</v>
      </c>
      <c r="F8" s="6" t="s">
        <v>27</v>
      </c>
      <c r="G8" s="1" t="s">
        <v>6</v>
      </c>
      <c r="H8" s="1" t="s">
        <v>15</v>
      </c>
      <c r="I8" s="1" t="s">
        <v>32</v>
      </c>
      <c r="J8" s="1" t="s">
        <v>147</v>
      </c>
      <c r="K8" s="1">
        <v>0</v>
      </c>
      <c r="L8" s="1" t="s">
        <v>158</v>
      </c>
      <c r="M8" s="1" t="s">
        <v>144</v>
      </c>
      <c r="N8" s="1" t="s">
        <v>57</v>
      </c>
      <c r="O8" s="1" t="s">
        <v>159</v>
      </c>
      <c r="P8" s="1">
        <v>2</v>
      </c>
      <c r="Q8" s="1">
        <v>3</v>
      </c>
    </row>
    <row r="9" spans="1:19">
      <c r="A9" s="1">
        <v>6</v>
      </c>
      <c r="B9" s="1" t="s">
        <v>160</v>
      </c>
      <c r="C9" s="5">
        <v>46106</v>
      </c>
      <c r="D9" s="1" t="s">
        <v>44</v>
      </c>
      <c r="E9" s="6" t="s">
        <v>26</v>
      </c>
      <c r="F9" s="6" t="s">
        <v>65</v>
      </c>
      <c r="G9" s="1" t="s">
        <v>6</v>
      </c>
      <c r="H9" s="1" t="s">
        <v>62</v>
      </c>
      <c r="I9" s="1" t="s">
        <v>22</v>
      </c>
      <c r="J9" s="1" t="s">
        <v>147</v>
      </c>
      <c r="K9" s="1">
        <v>1</v>
      </c>
      <c r="L9" s="1" t="s">
        <v>161</v>
      </c>
      <c r="M9" s="1" t="s">
        <v>162</v>
      </c>
      <c r="N9" s="1" t="s">
        <v>91</v>
      </c>
      <c r="O9" s="1" t="s">
        <v>149</v>
      </c>
      <c r="P9" s="1">
        <v>1</v>
      </c>
      <c r="Q9" s="1">
        <v>2</v>
      </c>
    </row>
    <row r="10" spans="1:19">
      <c r="A10" s="1">
        <v>7</v>
      </c>
      <c r="B10" s="1" t="s">
        <v>163</v>
      </c>
      <c r="C10" s="5">
        <v>46095</v>
      </c>
      <c r="D10" s="1" t="s">
        <v>44</v>
      </c>
      <c r="E10" s="6" t="s">
        <v>54</v>
      </c>
      <c r="F10" s="6" t="s">
        <v>58</v>
      </c>
      <c r="G10" s="1" t="s">
        <v>6</v>
      </c>
      <c r="H10" s="1" t="s">
        <v>7</v>
      </c>
      <c r="I10" s="1" t="s">
        <v>36</v>
      </c>
      <c r="J10" s="1" t="s">
        <v>164</v>
      </c>
      <c r="K10" s="1">
        <v>5</v>
      </c>
      <c r="L10" s="1" t="s">
        <v>161</v>
      </c>
      <c r="M10" s="1" t="s">
        <v>144</v>
      </c>
      <c r="N10" s="1" t="s">
        <v>64</v>
      </c>
      <c r="O10" s="1" t="s">
        <v>145</v>
      </c>
      <c r="P10" s="1">
        <v>2</v>
      </c>
      <c r="Q10" s="1">
        <v>4</v>
      </c>
    </row>
    <row r="11" spans="1:19">
      <c r="A11" s="1">
        <v>8</v>
      </c>
      <c r="B11" s="1" t="s">
        <v>165</v>
      </c>
      <c r="C11" s="5">
        <v>46104</v>
      </c>
      <c r="D11" s="1" t="s">
        <v>44</v>
      </c>
      <c r="E11" s="6" t="s">
        <v>91</v>
      </c>
      <c r="F11" s="6" t="s">
        <v>13</v>
      </c>
      <c r="G11" s="1" t="s">
        <v>51</v>
      </c>
      <c r="H11" s="1" t="s">
        <v>7</v>
      </c>
      <c r="I11" s="1" t="s">
        <v>7</v>
      </c>
      <c r="J11" s="1" t="s">
        <v>164</v>
      </c>
      <c r="K11" s="1">
        <v>4</v>
      </c>
      <c r="L11" s="1" t="s">
        <v>158</v>
      </c>
      <c r="M11" s="1" t="s">
        <v>153</v>
      </c>
      <c r="N11" s="1" t="s">
        <v>49</v>
      </c>
      <c r="O11" s="1" t="s">
        <v>145</v>
      </c>
      <c r="P11" s="1">
        <v>1</v>
      </c>
      <c r="Q11" s="1">
        <v>4</v>
      </c>
    </row>
    <row r="12" spans="1:19">
      <c r="A12" s="1">
        <v>9</v>
      </c>
      <c r="B12" s="1" t="s">
        <v>166</v>
      </c>
      <c r="C12" s="5">
        <v>46099</v>
      </c>
      <c r="D12" s="1" t="s">
        <v>44</v>
      </c>
      <c r="E12" s="6" t="s">
        <v>12</v>
      </c>
      <c r="F12" s="6" t="s">
        <v>89</v>
      </c>
      <c r="G12" s="1" t="s">
        <v>51</v>
      </c>
      <c r="H12" s="1" t="s">
        <v>78</v>
      </c>
      <c r="I12" s="1" t="s">
        <v>93</v>
      </c>
      <c r="J12" s="1" t="s">
        <v>147</v>
      </c>
      <c r="K12" s="1">
        <v>0</v>
      </c>
      <c r="L12" s="1" t="s">
        <v>148</v>
      </c>
      <c r="M12" s="1" t="s">
        <v>153</v>
      </c>
      <c r="N12" s="1" t="s">
        <v>12</v>
      </c>
      <c r="O12" s="1" t="s">
        <v>149</v>
      </c>
      <c r="P12" s="1">
        <v>5</v>
      </c>
      <c r="Q12" s="1">
        <v>1</v>
      </c>
    </row>
    <row r="13" spans="1:19">
      <c r="A13" s="1">
        <v>10</v>
      </c>
      <c r="B13" s="1" t="s">
        <v>167</v>
      </c>
      <c r="C13" s="5">
        <v>46099</v>
      </c>
      <c r="D13" s="1" t="s">
        <v>44</v>
      </c>
      <c r="E13" s="6" t="s">
        <v>91</v>
      </c>
      <c r="F13" s="6" t="s">
        <v>65</v>
      </c>
      <c r="G13" s="1" t="s">
        <v>87</v>
      </c>
      <c r="H13" s="1" t="s">
        <v>32</v>
      </c>
      <c r="I13" s="1" t="s">
        <v>70</v>
      </c>
      <c r="J13" s="1" t="s">
        <v>142</v>
      </c>
      <c r="K13" s="1">
        <v>8</v>
      </c>
      <c r="L13" s="1" t="s">
        <v>155</v>
      </c>
      <c r="M13" s="1" t="s">
        <v>153</v>
      </c>
      <c r="N13" s="1" t="s">
        <v>26</v>
      </c>
      <c r="O13" s="1" t="s">
        <v>149</v>
      </c>
      <c r="P13" s="1">
        <v>3</v>
      </c>
      <c r="Q13" s="1">
        <v>2</v>
      </c>
    </row>
    <row r="14" spans="1:19">
      <c r="A14" s="1">
        <v>11</v>
      </c>
      <c r="B14" s="1" t="s">
        <v>168</v>
      </c>
      <c r="C14" s="5">
        <v>46098</v>
      </c>
      <c r="D14" s="1" t="s">
        <v>44</v>
      </c>
      <c r="E14" s="6" t="s">
        <v>12</v>
      </c>
      <c r="F14" s="6" t="s">
        <v>65</v>
      </c>
      <c r="G14" s="1" t="s">
        <v>77</v>
      </c>
      <c r="H14" s="1" t="s">
        <v>36</v>
      </c>
      <c r="I14" s="1" t="s">
        <v>66</v>
      </c>
      <c r="J14" s="1" t="s">
        <v>142</v>
      </c>
      <c r="K14" s="1">
        <v>0</v>
      </c>
      <c r="L14" s="1" t="s">
        <v>143</v>
      </c>
      <c r="M14" s="1" t="s">
        <v>153</v>
      </c>
      <c r="N14" s="1" t="s">
        <v>64</v>
      </c>
      <c r="O14" s="1" t="s">
        <v>145</v>
      </c>
      <c r="P14" s="1">
        <v>2</v>
      </c>
      <c r="Q14" s="1">
        <v>4</v>
      </c>
    </row>
    <row r="15" spans="1:19">
      <c r="A15" s="1">
        <v>12</v>
      </c>
      <c r="B15" s="1" t="s">
        <v>169</v>
      </c>
      <c r="C15" s="5">
        <v>46082</v>
      </c>
      <c r="D15" s="1" t="s">
        <v>44</v>
      </c>
      <c r="E15" s="6" t="s">
        <v>45</v>
      </c>
      <c r="F15" s="6" t="s">
        <v>50</v>
      </c>
      <c r="G15" s="1" t="s">
        <v>35</v>
      </c>
      <c r="H15" s="1" t="s">
        <v>28</v>
      </c>
      <c r="I15" s="1" t="s">
        <v>15</v>
      </c>
      <c r="J15" s="1" t="s">
        <v>147</v>
      </c>
      <c r="K15" s="1">
        <v>5</v>
      </c>
      <c r="L15" s="1" t="s">
        <v>161</v>
      </c>
      <c r="M15" s="1" t="s">
        <v>162</v>
      </c>
      <c r="N15" s="1" t="s">
        <v>45</v>
      </c>
      <c r="O15" s="1" t="s">
        <v>145</v>
      </c>
      <c r="P15" s="1">
        <v>3</v>
      </c>
      <c r="Q15" s="1">
        <v>1</v>
      </c>
    </row>
    <row r="16" spans="1:19">
      <c r="A16" s="1">
        <v>13</v>
      </c>
      <c r="B16" s="1" t="s">
        <v>170</v>
      </c>
      <c r="C16" s="5">
        <v>46117</v>
      </c>
      <c r="D16" s="1" t="s">
        <v>53</v>
      </c>
      <c r="E16" s="6" t="s">
        <v>12</v>
      </c>
      <c r="F16" s="6" t="s">
        <v>92</v>
      </c>
      <c r="G16" s="1" t="s">
        <v>51</v>
      </c>
      <c r="H16" s="1" t="s">
        <v>70</v>
      </c>
      <c r="I16" s="1" t="s">
        <v>22</v>
      </c>
      <c r="J16" s="1" t="s">
        <v>142</v>
      </c>
      <c r="K16" s="1">
        <v>1</v>
      </c>
      <c r="L16" s="1" t="s">
        <v>152</v>
      </c>
      <c r="M16" s="1" t="s">
        <v>144</v>
      </c>
      <c r="N16" s="1" t="s">
        <v>57</v>
      </c>
      <c r="O16" s="1" t="s">
        <v>145</v>
      </c>
      <c r="P16" s="1">
        <v>1</v>
      </c>
      <c r="Q16" s="1">
        <v>2</v>
      </c>
    </row>
    <row r="17" spans="1:17">
      <c r="A17" s="1">
        <v>14</v>
      </c>
      <c r="B17" s="1" t="s">
        <v>171</v>
      </c>
      <c r="C17" s="5">
        <v>46131</v>
      </c>
      <c r="D17" s="1" t="s">
        <v>53</v>
      </c>
      <c r="E17" s="6" t="s">
        <v>20</v>
      </c>
      <c r="F17" s="6" t="s">
        <v>92</v>
      </c>
      <c r="G17" s="1" t="s">
        <v>95</v>
      </c>
      <c r="H17" s="1" t="s">
        <v>28</v>
      </c>
      <c r="I17" s="1" t="s">
        <v>78</v>
      </c>
      <c r="J17" s="1" t="s">
        <v>142</v>
      </c>
      <c r="K17" s="1">
        <v>1</v>
      </c>
      <c r="L17" s="1" t="s">
        <v>152</v>
      </c>
      <c r="M17" s="1" t="s">
        <v>144</v>
      </c>
      <c r="N17" s="1" t="s">
        <v>91</v>
      </c>
      <c r="O17" s="1" t="s">
        <v>159</v>
      </c>
      <c r="P17" s="1">
        <v>1</v>
      </c>
      <c r="Q17" s="1">
        <v>1</v>
      </c>
    </row>
    <row r="18" spans="1:17">
      <c r="A18" s="1">
        <v>15</v>
      </c>
      <c r="B18" s="1" t="s">
        <v>172</v>
      </c>
      <c r="C18" s="5">
        <v>46139</v>
      </c>
      <c r="D18" s="1" t="s">
        <v>53</v>
      </c>
      <c r="E18" s="6" t="s">
        <v>54</v>
      </c>
      <c r="F18" s="6" t="s">
        <v>5</v>
      </c>
      <c r="G18" s="1" t="s">
        <v>77</v>
      </c>
      <c r="H18" s="1" t="s">
        <v>22</v>
      </c>
      <c r="I18" s="1" t="s">
        <v>78</v>
      </c>
      <c r="J18" s="1" t="s">
        <v>142</v>
      </c>
      <c r="K18" s="1">
        <v>7</v>
      </c>
      <c r="L18" s="1" t="s">
        <v>152</v>
      </c>
      <c r="M18" s="1" t="s">
        <v>153</v>
      </c>
      <c r="N18" s="1" t="s">
        <v>26</v>
      </c>
      <c r="O18" s="1" t="s">
        <v>149</v>
      </c>
      <c r="P18" s="1">
        <v>1</v>
      </c>
      <c r="Q18" s="1">
        <v>3</v>
      </c>
    </row>
    <row r="19" spans="1:17">
      <c r="A19" s="1">
        <v>16</v>
      </c>
      <c r="B19" s="1" t="s">
        <v>173</v>
      </c>
      <c r="C19" s="5">
        <v>46167</v>
      </c>
      <c r="D19" s="1" t="s">
        <v>60</v>
      </c>
      <c r="E19" s="6" t="s">
        <v>49</v>
      </c>
      <c r="F19" s="6" t="s">
        <v>89</v>
      </c>
      <c r="G19" s="1" t="s">
        <v>31</v>
      </c>
      <c r="H19" s="1" t="s">
        <v>78</v>
      </c>
      <c r="I19" s="1" t="s">
        <v>62</v>
      </c>
      <c r="J19" s="1" t="s">
        <v>147</v>
      </c>
      <c r="K19" s="1">
        <v>5</v>
      </c>
      <c r="L19" s="1" t="s">
        <v>148</v>
      </c>
      <c r="M19" s="1" t="s">
        <v>153</v>
      </c>
      <c r="N19" s="1" t="s">
        <v>54</v>
      </c>
      <c r="O19" s="1" t="s">
        <v>149</v>
      </c>
      <c r="P19" s="1">
        <v>2</v>
      </c>
      <c r="Q19" s="1">
        <v>1</v>
      </c>
    </row>
    <row r="20" spans="1:17">
      <c r="A20" s="1">
        <v>17</v>
      </c>
      <c r="B20" s="1" t="s">
        <v>174</v>
      </c>
      <c r="C20" s="5">
        <v>46153</v>
      </c>
      <c r="D20" s="1" t="s">
        <v>60</v>
      </c>
      <c r="E20" s="6" t="s">
        <v>12</v>
      </c>
      <c r="F20" s="6" t="s">
        <v>92</v>
      </c>
      <c r="G20" s="1" t="s">
        <v>80</v>
      </c>
      <c r="H20" s="1" t="s">
        <v>22</v>
      </c>
      <c r="I20" s="1" t="s">
        <v>22</v>
      </c>
      <c r="J20" s="1" t="s">
        <v>147</v>
      </c>
      <c r="K20" s="1">
        <v>2</v>
      </c>
      <c r="L20" s="1" t="s">
        <v>161</v>
      </c>
      <c r="M20" s="1" t="s">
        <v>153</v>
      </c>
      <c r="N20" s="1" t="s">
        <v>4</v>
      </c>
      <c r="O20" s="1" t="s">
        <v>149</v>
      </c>
      <c r="P20" s="1">
        <v>5</v>
      </c>
      <c r="Q20" s="1">
        <v>2</v>
      </c>
    </row>
    <row r="21" spans="1:17">
      <c r="A21" s="1">
        <v>18</v>
      </c>
      <c r="B21" s="1" t="s">
        <v>175</v>
      </c>
      <c r="C21" s="5">
        <v>46158</v>
      </c>
      <c r="D21" s="1" t="s">
        <v>60</v>
      </c>
      <c r="E21" s="6" t="s">
        <v>45</v>
      </c>
      <c r="F21" s="6" t="s">
        <v>58</v>
      </c>
      <c r="G21" s="1" t="s">
        <v>6</v>
      </c>
      <c r="H21" s="1" t="s">
        <v>62</v>
      </c>
      <c r="I21" s="1" t="s">
        <v>93</v>
      </c>
      <c r="J21" s="1" t="s">
        <v>147</v>
      </c>
      <c r="K21" s="1">
        <v>5</v>
      </c>
      <c r="L21" s="1" t="s">
        <v>148</v>
      </c>
      <c r="M21" s="1" t="s">
        <v>144</v>
      </c>
      <c r="N21" s="1" t="s">
        <v>49</v>
      </c>
      <c r="O21" s="1" t="s">
        <v>159</v>
      </c>
      <c r="P21" s="1">
        <v>5</v>
      </c>
      <c r="Q21" s="1">
        <v>4</v>
      </c>
    </row>
    <row r="22" spans="1:17">
      <c r="A22" s="1">
        <v>19</v>
      </c>
      <c r="B22" s="1" t="s">
        <v>176</v>
      </c>
      <c r="C22" s="5">
        <v>46150</v>
      </c>
      <c r="D22" s="1" t="s">
        <v>60</v>
      </c>
      <c r="E22" s="6" t="s">
        <v>16</v>
      </c>
      <c r="F22" s="6" t="s">
        <v>92</v>
      </c>
      <c r="G22" s="1" t="s">
        <v>82</v>
      </c>
      <c r="H22" s="1" t="s">
        <v>36</v>
      </c>
      <c r="I22" s="1" t="s">
        <v>93</v>
      </c>
      <c r="J22" s="1" t="s">
        <v>147</v>
      </c>
      <c r="K22" s="1">
        <v>2</v>
      </c>
      <c r="L22" s="1" t="s">
        <v>158</v>
      </c>
      <c r="M22" s="1" t="s">
        <v>153</v>
      </c>
      <c r="N22" s="1" t="s">
        <v>91</v>
      </c>
      <c r="O22" s="1" t="s">
        <v>159</v>
      </c>
      <c r="P22" s="1">
        <v>2</v>
      </c>
      <c r="Q22" s="1">
        <v>3</v>
      </c>
    </row>
    <row r="23" spans="1:17">
      <c r="A23" s="1">
        <v>20</v>
      </c>
      <c r="B23" s="1" t="s">
        <v>177</v>
      </c>
      <c r="C23" s="5">
        <v>46192</v>
      </c>
      <c r="D23" s="1" t="s">
        <v>73</v>
      </c>
      <c r="E23" s="6" t="s">
        <v>16</v>
      </c>
      <c r="F23" s="6" t="s">
        <v>58</v>
      </c>
      <c r="G23" s="1" t="s">
        <v>51</v>
      </c>
      <c r="H23" s="1" t="s">
        <v>22</v>
      </c>
      <c r="I23" s="1" t="s">
        <v>28</v>
      </c>
      <c r="J23" s="1" t="s">
        <v>147</v>
      </c>
      <c r="K23" s="1">
        <v>0</v>
      </c>
      <c r="L23" s="1" t="s">
        <v>143</v>
      </c>
      <c r="M23" s="1" t="s">
        <v>153</v>
      </c>
      <c r="N23" s="1" t="s">
        <v>64</v>
      </c>
      <c r="O23" s="1" t="s">
        <v>149</v>
      </c>
      <c r="P23" s="1">
        <v>2</v>
      </c>
      <c r="Q23" s="1">
        <v>3</v>
      </c>
    </row>
    <row r="24" spans="1:17">
      <c r="A24" s="1">
        <v>21</v>
      </c>
      <c r="B24" s="1" t="s">
        <v>178</v>
      </c>
      <c r="C24" s="5">
        <v>46196</v>
      </c>
      <c r="D24" s="1" t="s">
        <v>73</v>
      </c>
      <c r="E24" s="6" t="s">
        <v>57</v>
      </c>
      <c r="F24" s="6" t="s">
        <v>89</v>
      </c>
      <c r="G24" s="1" t="s">
        <v>21</v>
      </c>
      <c r="H24" s="1" t="s">
        <v>32</v>
      </c>
      <c r="I24" s="1" t="s">
        <v>28</v>
      </c>
      <c r="J24" s="1" t="s">
        <v>142</v>
      </c>
      <c r="K24" s="1">
        <v>8</v>
      </c>
      <c r="L24" s="1" t="s">
        <v>161</v>
      </c>
      <c r="M24" s="1" t="s">
        <v>144</v>
      </c>
      <c r="N24" s="1" t="s">
        <v>4</v>
      </c>
      <c r="O24" s="1" t="s">
        <v>145</v>
      </c>
      <c r="P24" s="1">
        <v>1</v>
      </c>
      <c r="Q24" s="1">
        <v>3</v>
      </c>
    </row>
    <row r="25" spans="1:17">
      <c r="A25" s="1">
        <v>22</v>
      </c>
      <c r="B25" s="1" t="s">
        <v>179</v>
      </c>
      <c r="C25" s="5">
        <v>46196</v>
      </c>
      <c r="D25" s="1" t="s">
        <v>73</v>
      </c>
      <c r="E25" s="6" t="s">
        <v>38</v>
      </c>
      <c r="F25" s="6" t="s">
        <v>58</v>
      </c>
      <c r="G25" s="1" t="s">
        <v>95</v>
      </c>
      <c r="H25" s="1" t="s">
        <v>70</v>
      </c>
      <c r="I25" s="1" t="s">
        <v>66</v>
      </c>
      <c r="J25" s="1" t="s">
        <v>164</v>
      </c>
      <c r="K25" s="1">
        <v>6</v>
      </c>
      <c r="L25" s="1" t="s">
        <v>143</v>
      </c>
      <c r="M25" s="1" t="s">
        <v>156</v>
      </c>
      <c r="N25" s="1" t="s">
        <v>16</v>
      </c>
      <c r="O25" s="1" t="s">
        <v>159</v>
      </c>
      <c r="P25" s="1">
        <v>2</v>
      </c>
      <c r="Q25" s="1">
        <v>1</v>
      </c>
    </row>
    <row r="26" spans="1:17">
      <c r="A26" s="1">
        <v>23</v>
      </c>
      <c r="B26" s="1" t="s">
        <v>180</v>
      </c>
      <c r="C26" s="5">
        <v>46176</v>
      </c>
      <c r="D26" s="1" t="s">
        <v>73</v>
      </c>
      <c r="E26" s="6" t="s">
        <v>61</v>
      </c>
      <c r="F26" s="6" t="s">
        <v>39</v>
      </c>
      <c r="G26" s="1" t="s">
        <v>6</v>
      </c>
      <c r="H26" s="1" t="s">
        <v>68</v>
      </c>
      <c r="I26" s="1" t="s">
        <v>104</v>
      </c>
      <c r="J26" s="1" t="s">
        <v>142</v>
      </c>
      <c r="K26" s="1">
        <v>7</v>
      </c>
      <c r="L26" s="1" t="s">
        <v>148</v>
      </c>
      <c r="M26" s="1" t="s">
        <v>144</v>
      </c>
      <c r="N26" s="1" t="s">
        <v>30</v>
      </c>
      <c r="O26" s="1" t="s">
        <v>149</v>
      </c>
      <c r="P26" s="1">
        <v>1</v>
      </c>
      <c r="Q26" s="1">
        <v>2</v>
      </c>
    </row>
    <row r="27" spans="1:17">
      <c r="A27" s="1">
        <v>24</v>
      </c>
      <c r="B27" s="1" t="s">
        <v>181</v>
      </c>
      <c r="C27" s="5">
        <v>46205</v>
      </c>
      <c r="D27" s="1" t="s">
        <v>76</v>
      </c>
      <c r="E27" s="6" t="s">
        <v>20</v>
      </c>
      <c r="F27" s="6" t="s">
        <v>39</v>
      </c>
      <c r="G27" s="1" t="s">
        <v>35</v>
      </c>
      <c r="H27" s="1" t="s">
        <v>62</v>
      </c>
      <c r="I27" s="1" t="s">
        <v>104</v>
      </c>
      <c r="J27" s="1" t="s">
        <v>142</v>
      </c>
      <c r="K27" s="1">
        <v>7</v>
      </c>
      <c r="L27" s="1" t="s">
        <v>148</v>
      </c>
      <c r="M27" s="1" t="s">
        <v>153</v>
      </c>
      <c r="N27" s="1" t="s">
        <v>12</v>
      </c>
      <c r="O27" s="1" t="s">
        <v>149</v>
      </c>
      <c r="P27" s="1">
        <v>2</v>
      </c>
      <c r="Q27" s="1">
        <v>2</v>
      </c>
    </row>
    <row r="28" spans="1:17">
      <c r="A28" s="1">
        <v>25</v>
      </c>
      <c r="B28" s="1" t="s">
        <v>182</v>
      </c>
      <c r="C28" s="5">
        <v>46225</v>
      </c>
      <c r="D28" s="1" t="s">
        <v>76</v>
      </c>
      <c r="E28" s="6" t="s">
        <v>4</v>
      </c>
      <c r="F28" s="6" t="s">
        <v>50</v>
      </c>
      <c r="G28" s="1" t="s">
        <v>95</v>
      </c>
      <c r="H28" s="1" t="s">
        <v>104</v>
      </c>
      <c r="I28" s="1" t="s">
        <v>104</v>
      </c>
      <c r="J28" s="1" t="s">
        <v>147</v>
      </c>
      <c r="K28" s="1">
        <v>7</v>
      </c>
      <c r="L28" s="1" t="s">
        <v>143</v>
      </c>
      <c r="M28" s="1" t="s">
        <v>144</v>
      </c>
      <c r="N28" s="1" t="s">
        <v>20</v>
      </c>
      <c r="O28" s="1" t="s">
        <v>149</v>
      </c>
      <c r="P28" s="1">
        <v>3</v>
      </c>
      <c r="Q28" s="1">
        <v>2</v>
      </c>
    </row>
    <row r="29" spans="1:17">
      <c r="A29" s="1">
        <v>26</v>
      </c>
      <c r="B29" s="1" t="s">
        <v>183</v>
      </c>
      <c r="C29" s="5">
        <v>46219</v>
      </c>
      <c r="D29" s="1" t="s">
        <v>76</v>
      </c>
      <c r="E29" s="6" t="s">
        <v>26</v>
      </c>
      <c r="F29" s="6" t="s">
        <v>65</v>
      </c>
      <c r="G29" s="1" t="s">
        <v>31</v>
      </c>
      <c r="H29" s="1" t="s">
        <v>22</v>
      </c>
      <c r="I29" s="1" t="s">
        <v>66</v>
      </c>
      <c r="J29" s="1" t="s">
        <v>164</v>
      </c>
      <c r="K29" s="1">
        <v>8</v>
      </c>
      <c r="L29" s="1" t="s">
        <v>155</v>
      </c>
      <c r="M29" s="1" t="s">
        <v>144</v>
      </c>
      <c r="N29" s="1" t="s">
        <v>38</v>
      </c>
      <c r="O29" s="1" t="s">
        <v>149</v>
      </c>
      <c r="P29" s="1">
        <v>3</v>
      </c>
      <c r="Q29" s="1">
        <v>3</v>
      </c>
    </row>
    <row r="30" spans="1:17">
      <c r="A30" s="1">
        <v>27</v>
      </c>
      <c r="B30" s="1" t="s">
        <v>184</v>
      </c>
      <c r="C30" s="5">
        <v>46211</v>
      </c>
      <c r="D30" s="1" t="s">
        <v>76</v>
      </c>
      <c r="E30" s="6" t="s">
        <v>49</v>
      </c>
      <c r="F30" s="6" t="s">
        <v>5</v>
      </c>
      <c r="G30" s="1" t="s">
        <v>77</v>
      </c>
      <c r="H30" s="1" t="s">
        <v>104</v>
      </c>
      <c r="I30" s="1" t="s">
        <v>78</v>
      </c>
      <c r="J30" s="1" t="s">
        <v>164</v>
      </c>
      <c r="K30" s="1">
        <v>5</v>
      </c>
      <c r="L30" s="1" t="s">
        <v>148</v>
      </c>
      <c r="M30" s="1" t="s">
        <v>153</v>
      </c>
      <c r="N30" s="1" t="s">
        <v>4</v>
      </c>
      <c r="O30" s="1" t="s">
        <v>145</v>
      </c>
      <c r="P30" s="1">
        <v>2</v>
      </c>
      <c r="Q30" s="1">
        <v>4</v>
      </c>
    </row>
    <row r="31" spans="1:17">
      <c r="A31" s="1">
        <v>28</v>
      </c>
      <c r="B31" s="1" t="s">
        <v>185</v>
      </c>
      <c r="C31" s="5">
        <v>46238</v>
      </c>
      <c r="D31" s="1" t="s">
        <v>86</v>
      </c>
      <c r="E31" s="6" t="s">
        <v>20</v>
      </c>
      <c r="F31" s="6" t="s">
        <v>13</v>
      </c>
      <c r="G31" s="1" t="s">
        <v>82</v>
      </c>
      <c r="H31" s="1" t="s">
        <v>22</v>
      </c>
      <c r="I31" s="1" t="s">
        <v>41</v>
      </c>
      <c r="J31" s="1" t="s">
        <v>142</v>
      </c>
      <c r="K31" s="1">
        <v>7</v>
      </c>
      <c r="L31" s="1" t="s">
        <v>161</v>
      </c>
      <c r="M31" s="1" t="s">
        <v>144</v>
      </c>
      <c r="N31" s="1" t="s">
        <v>45</v>
      </c>
      <c r="O31" s="1" t="s">
        <v>159</v>
      </c>
      <c r="P31" s="1">
        <v>4</v>
      </c>
      <c r="Q31" s="1">
        <v>3</v>
      </c>
    </row>
    <row r="32" spans="1:17">
      <c r="A32" s="1">
        <v>29</v>
      </c>
      <c r="B32" s="1" t="s">
        <v>186</v>
      </c>
      <c r="C32" s="5">
        <v>46242</v>
      </c>
      <c r="D32" s="1" t="s">
        <v>86</v>
      </c>
      <c r="E32" s="6" t="s">
        <v>30</v>
      </c>
      <c r="F32" s="6" t="s">
        <v>5</v>
      </c>
      <c r="G32" s="1" t="s">
        <v>31</v>
      </c>
      <c r="H32" s="1" t="s">
        <v>78</v>
      </c>
      <c r="I32" s="1" t="s">
        <v>22</v>
      </c>
      <c r="J32" s="1" t="s">
        <v>142</v>
      </c>
      <c r="K32" s="1">
        <v>6</v>
      </c>
      <c r="L32" s="1" t="s">
        <v>143</v>
      </c>
      <c r="M32" s="1" t="s">
        <v>144</v>
      </c>
      <c r="N32" s="1" t="s">
        <v>38</v>
      </c>
      <c r="O32" s="1" t="s">
        <v>145</v>
      </c>
      <c r="P32" s="1">
        <v>3</v>
      </c>
      <c r="Q32" s="1">
        <v>1</v>
      </c>
    </row>
    <row r="33" spans="1:17">
      <c r="A33" s="1">
        <v>30</v>
      </c>
      <c r="B33" s="1" t="s">
        <v>187</v>
      </c>
      <c r="C33" s="5">
        <v>46256</v>
      </c>
      <c r="D33" s="1" t="s">
        <v>86</v>
      </c>
      <c r="E33" s="6" t="s">
        <v>20</v>
      </c>
      <c r="F33" s="6" t="s">
        <v>13</v>
      </c>
      <c r="G33" s="1" t="s">
        <v>82</v>
      </c>
      <c r="H33" s="1" t="s">
        <v>78</v>
      </c>
      <c r="I33" s="1" t="s">
        <v>41</v>
      </c>
      <c r="J33" s="1" t="s">
        <v>147</v>
      </c>
      <c r="K33" s="1">
        <v>0</v>
      </c>
      <c r="L33" s="1" t="s">
        <v>152</v>
      </c>
      <c r="M33" s="1" t="s">
        <v>153</v>
      </c>
      <c r="N33" s="1" t="s">
        <v>91</v>
      </c>
      <c r="O33" s="1" t="s">
        <v>149</v>
      </c>
      <c r="P33" s="1">
        <v>2</v>
      </c>
      <c r="Q33" s="1">
        <v>1</v>
      </c>
    </row>
    <row r="34" spans="1:17">
      <c r="A34" s="1">
        <v>31</v>
      </c>
      <c r="B34" s="1" t="s">
        <v>188</v>
      </c>
      <c r="C34" s="5">
        <v>46251</v>
      </c>
      <c r="D34" s="1" t="s">
        <v>86</v>
      </c>
      <c r="E34" s="6" t="s">
        <v>61</v>
      </c>
      <c r="F34" s="6" t="s">
        <v>65</v>
      </c>
      <c r="G34" s="1" t="s">
        <v>21</v>
      </c>
      <c r="H34" s="1" t="s">
        <v>41</v>
      </c>
      <c r="I34" s="1" t="s">
        <v>70</v>
      </c>
      <c r="J34" s="1" t="s">
        <v>147</v>
      </c>
      <c r="K34" s="1">
        <v>3</v>
      </c>
      <c r="L34" s="1" t="s">
        <v>161</v>
      </c>
      <c r="M34" s="1" t="s">
        <v>153</v>
      </c>
      <c r="N34" s="1" t="s">
        <v>45</v>
      </c>
      <c r="O34" s="1" t="s">
        <v>159</v>
      </c>
      <c r="P34" s="1">
        <v>2</v>
      </c>
      <c r="Q34" s="1">
        <v>1</v>
      </c>
    </row>
    <row r="35" spans="1:17">
      <c r="A35" s="1">
        <v>32</v>
      </c>
      <c r="B35" s="1" t="s">
        <v>189</v>
      </c>
      <c r="C35" s="5">
        <v>46241</v>
      </c>
      <c r="D35" s="1" t="s">
        <v>86</v>
      </c>
      <c r="E35" s="6" t="s">
        <v>64</v>
      </c>
      <c r="F35" s="6" t="s">
        <v>58</v>
      </c>
      <c r="G35" s="1" t="s">
        <v>95</v>
      </c>
      <c r="H35" s="1" t="s">
        <v>32</v>
      </c>
      <c r="I35" s="1" t="s">
        <v>36</v>
      </c>
      <c r="J35" s="1" t="s">
        <v>164</v>
      </c>
      <c r="K35" s="1">
        <v>6</v>
      </c>
      <c r="L35" s="1" t="s">
        <v>148</v>
      </c>
      <c r="M35" s="1" t="s">
        <v>153</v>
      </c>
      <c r="N35" s="1" t="s">
        <v>61</v>
      </c>
      <c r="O35" s="1" t="s">
        <v>145</v>
      </c>
      <c r="P35" s="1">
        <v>1</v>
      </c>
      <c r="Q35" s="1">
        <v>1</v>
      </c>
    </row>
    <row r="36" spans="1:17">
      <c r="A36" s="1">
        <v>33</v>
      </c>
      <c r="B36" s="1" t="s">
        <v>190</v>
      </c>
      <c r="C36" s="5">
        <v>46245</v>
      </c>
      <c r="D36" s="1" t="s">
        <v>86</v>
      </c>
      <c r="E36" s="6" t="s">
        <v>91</v>
      </c>
      <c r="F36" s="6" t="s">
        <v>65</v>
      </c>
      <c r="G36" s="1" t="s">
        <v>21</v>
      </c>
      <c r="H36" s="1" t="s">
        <v>28</v>
      </c>
      <c r="I36" s="1" t="s">
        <v>66</v>
      </c>
      <c r="J36" s="1" t="s">
        <v>151</v>
      </c>
      <c r="K36" s="1">
        <v>5</v>
      </c>
      <c r="L36" s="1" t="s">
        <v>158</v>
      </c>
      <c r="M36" s="1" t="s">
        <v>156</v>
      </c>
      <c r="N36" s="1" t="s">
        <v>54</v>
      </c>
      <c r="O36" s="1" t="s">
        <v>159</v>
      </c>
      <c r="P36" s="1">
        <v>2</v>
      </c>
      <c r="Q36" s="1">
        <v>2</v>
      </c>
    </row>
    <row r="37" spans="1:17">
      <c r="A37" s="1">
        <v>34</v>
      </c>
      <c r="B37" s="1" t="s">
        <v>191</v>
      </c>
      <c r="C37" s="5">
        <v>46246</v>
      </c>
      <c r="D37" s="1" t="s">
        <v>86</v>
      </c>
      <c r="E37" s="6" t="s">
        <v>26</v>
      </c>
      <c r="F37" s="6" t="s">
        <v>13</v>
      </c>
      <c r="G37" s="1" t="s">
        <v>6</v>
      </c>
      <c r="H37" s="1" t="s">
        <v>22</v>
      </c>
      <c r="I37" s="1" t="s">
        <v>62</v>
      </c>
      <c r="J37" s="1" t="s">
        <v>142</v>
      </c>
      <c r="K37" s="1">
        <v>4</v>
      </c>
      <c r="L37" s="1" t="s">
        <v>158</v>
      </c>
      <c r="M37" s="1" t="s">
        <v>144</v>
      </c>
      <c r="N37" s="1" t="s">
        <v>61</v>
      </c>
      <c r="O37" s="1" t="s">
        <v>159</v>
      </c>
      <c r="P37" s="1">
        <v>1</v>
      </c>
      <c r="Q37" s="1">
        <v>4</v>
      </c>
    </row>
    <row r="38" spans="1:17">
      <c r="A38" s="1">
        <v>35</v>
      </c>
      <c r="B38" s="1" t="s">
        <v>192</v>
      </c>
      <c r="C38" s="5">
        <v>46242</v>
      </c>
      <c r="D38" s="1" t="s">
        <v>86</v>
      </c>
      <c r="E38" s="6" t="s">
        <v>38</v>
      </c>
      <c r="F38" s="6" t="s">
        <v>5</v>
      </c>
      <c r="G38" s="1" t="s">
        <v>51</v>
      </c>
      <c r="H38" s="1" t="s">
        <v>32</v>
      </c>
      <c r="I38" s="1" t="s">
        <v>104</v>
      </c>
      <c r="J38" s="1" t="s">
        <v>147</v>
      </c>
      <c r="K38" s="1">
        <v>8</v>
      </c>
      <c r="L38" s="1" t="s">
        <v>158</v>
      </c>
      <c r="M38" s="1" t="s">
        <v>144</v>
      </c>
      <c r="N38" s="1" t="s">
        <v>54</v>
      </c>
      <c r="O38" s="1" t="s">
        <v>159</v>
      </c>
      <c r="P38" s="1">
        <v>3</v>
      </c>
      <c r="Q38" s="1">
        <v>2</v>
      </c>
    </row>
    <row r="39" spans="1:17">
      <c r="A39" s="1">
        <v>36</v>
      </c>
      <c r="B39" s="1" t="s">
        <v>193</v>
      </c>
      <c r="C39" s="5">
        <v>46256</v>
      </c>
      <c r="D39" s="1" t="s">
        <v>86</v>
      </c>
      <c r="E39" s="6" t="s">
        <v>49</v>
      </c>
      <c r="F39" s="6" t="s">
        <v>58</v>
      </c>
      <c r="G39" s="1" t="s">
        <v>95</v>
      </c>
      <c r="H39" s="1" t="s">
        <v>104</v>
      </c>
      <c r="I39" s="1" t="s">
        <v>66</v>
      </c>
      <c r="J39" s="1" t="s">
        <v>147</v>
      </c>
      <c r="K39" s="1">
        <v>8</v>
      </c>
      <c r="L39" s="1" t="s">
        <v>158</v>
      </c>
      <c r="M39" s="1" t="s">
        <v>144</v>
      </c>
      <c r="N39" s="1" t="s">
        <v>64</v>
      </c>
      <c r="O39" s="1" t="s">
        <v>145</v>
      </c>
      <c r="P39" s="1">
        <v>1</v>
      </c>
      <c r="Q39" s="1">
        <v>1</v>
      </c>
    </row>
    <row r="40" spans="1:17">
      <c r="A40" s="1">
        <v>37</v>
      </c>
      <c r="B40" s="1" t="s">
        <v>194</v>
      </c>
      <c r="C40" s="5">
        <v>46270</v>
      </c>
      <c r="D40" s="1" t="s">
        <v>102</v>
      </c>
      <c r="E40" s="6" t="s">
        <v>4</v>
      </c>
      <c r="F40" s="6" t="s">
        <v>13</v>
      </c>
      <c r="G40" s="1" t="s">
        <v>80</v>
      </c>
      <c r="H40" s="1" t="s">
        <v>68</v>
      </c>
      <c r="I40" s="1" t="s">
        <v>22</v>
      </c>
      <c r="J40" s="1" t="s">
        <v>142</v>
      </c>
      <c r="K40" s="1">
        <v>2</v>
      </c>
      <c r="L40" s="1" t="s">
        <v>161</v>
      </c>
      <c r="M40" s="1" t="s">
        <v>153</v>
      </c>
      <c r="N40" s="1" t="s">
        <v>26</v>
      </c>
      <c r="O40" s="1" t="s">
        <v>149</v>
      </c>
      <c r="P40" s="1">
        <v>2</v>
      </c>
      <c r="Q40" s="1">
        <v>3</v>
      </c>
    </row>
    <row r="41" spans="1:17">
      <c r="A41" s="1">
        <v>38</v>
      </c>
      <c r="B41" s="1" t="s">
        <v>195</v>
      </c>
      <c r="C41" s="5">
        <v>46285</v>
      </c>
      <c r="D41" s="1" t="s">
        <v>102</v>
      </c>
      <c r="E41" s="6" t="s">
        <v>4</v>
      </c>
      <c r="F41" s="6" t="s">
        <v>13</v>
      </c>
      <c r="G41" s="1" t="s">
        <v>95</v>
      </c>
      <c r="H41" s="1" t="s">
        <v>93</v>
      </c>
      <c r="I41" s="1" t="s">
        <v>62</v>
      </c>
      <c r="J41" s="1" t="s">
        <v>142</v>
      </c>
      <c r="K41" s="1">
        <v>2</v>
      </c>
      <c r="L41" s="1" t="s">
        <v>148</v>
      </c>
      <c r="M41" s="1" t="s">
        <v>144</v>
      </c>
      <c r="N41" s="1" t="s">
        <v>30</v>
      </c>
      <c r="O41" s="1" t="s">
        <v>145</v>
      </c>
      <c r="P41" s="1">
        <v>2</v>
      </c>
      <c r="Q41" s="1">
        <v>4</v>
      </c>
    </row>
    <row r="42" spans="1:17">
      <c r="A42" s="1">
        <v>39</v>
      </c>
      <c r="B42" s="1" t="s">
        <v>196</v>
      </c>
      <c r="C42" s="5">
        <v>46276</v>
      </c>
      <c r="D42" s="1" t="s">
        <v>102</v>
      </c>
      <c r="E42" s="6" t="s">
        <v>30</v>
      </c>
      <c r="F42" s="6" t="s">
        <v>65</v>
      </c>
      <c r="G42" s="1" t="s">
        <v>40</v>
      </c>
      <c r="H42" s="1" t="s">
        <v>22</v>
      </c>
      <c r="I42" s="1" t="s">
        <v>32</v>
      </c>
      <c r="J42" s="1" t="s">
        <v>147</v>
      </c>
      <c r="K42" s="1">
        <v>5</v>
      </c>
      <c r="L42" s="1" t="s">
        <v>161</v>
      </c>
      <c r="M42" s="1" t="s">
        <v>156</v>
      </c>
      <c r="N42" s="1" t="s">
        <v>49</v>
      </c>
      <c r="O42" s="1" t="s">
        <v>145</v>
      </c>
      <c r="P42" s="1">
        <v>1</v>
      </c>
      <c r="Q42" s="1">
        <v>2</v>
      </c>
    </row>
    <row r="43" spans="1:17">
      <c r="A43" s="1">
        <v>40</v>
      </c>
      <c r="B43" s="1" t="s">
        <v>197</v>
      </c>
      <c r="C43" s="5">
        <v>46287</v>
      </c>
      <c r="D43" s="1" t="s">
        <v>102</v>
      </c>
      <c r="E43" s="6" t="s">
        <v>12</v>
      </c>
      <c r="F43" s="6" t="s">
        <v>27</v>
      </c>
      <c r="G43" s="1" t="s">
        <v>35</v>
      </c>
      <c r="H43" s="1" t="s">
        <v>28</v>
      </c>
      <c r="I43" s="1" t="s">
        <v>22</v>
      </c>
      <c r="J43" s="1" t="s">
        <v>142</v>
      </c>
      <c r="K43" s="1">
        <v>0</v>
      </c>
      <c r="L43" s="1" t="s">
        <v>143</v>
      </c>
      <c r="M43" s="1" t="s">
        <v>153</v>
      </c>
      <c r="N43" s="1" t="s">
        <v>54</v>
      </c>
      <c r="O43" s="1" t="s">
        <v>159</v>
      </c>
      <c r="P43" s="1">
        <v>1</v>
      </c>
      <c r="Q43" s="1">
        <v>1</v>
      </c>
    </row>
    <row r="44" spans="1:17">
      <c r="A44" s="1">
        <v>41</v>
      </c>
      <c r="B44" s="1" t="s">
        <v>198</v>
      </c>
      <c r="C44" s="5">
        <v>46278</v>
      </c>
      <c r="D44" s="1" t="s">
        <v>102</v>
      </c>
      <c r="E44" s="6" t="s">
        <v>12</v>
      </c>
      <c r="F44" s="6" t="s">
        <v>65</v>
      </c>
      <c r="G44" s="1" t="s">
        <v>51</v>
      </c>
      <c r="H44" s="1" t="s">
        <v>104</v>
      </c>
      <c r="I44" s="1" t="s">
        <v>66</v>
      </c>
      <c r="J44" s="1" t="s">
        <v>147</v>
      </c>
      <c r="K44" s="1">
        <v>0</v>
      </c>
      <c r="L44" s="1" t="s">
        <v>148</v>
      </c>
      <c r="M44" s="1" t="s">
        <v>153</v>
      </c>
      <c r="N44" s="1" t="s">
        <v>4</v>
      </c>
      <c r="O44" s="1" t="s">
        <v>149</v>
      </c>
      <c r="P44" s="1">
        <v>1</v>
      </c>
      <c r="Q44" s="1">
        <v>2</v>
      </c>
    </row>
    <row r="45" spans="1:17">
      <c r="A45" s="1">
        <v>42</v>
      </c>
      <c r="B45" s="1" t="s">
        <v>199</v>
      </c>
      <c r="C45" s="5">
        <v>46299</v>
      </c>
      <c r="D45" s="1" t="s">
        <v>106</v>
      </c>
      <c r="E45" s="6" t="s">
        <v>30</v>
      </c>
      <c r="F45" s="6" t="s">
        <v>50</v>
      </c>
      <c r="G45" s="1" t="s">
        <v>21</v>
      </c>
      <c r="H45" s="1" t="s">
        <v>68</v>
      </c>
      <c r="I45" s="1" t="s">
        <v>93</v>
      </c>
      <c r="J45" s="1" t="s">
        <v>142</v>
      </c>
      <c r="K45" s="1">
        <v>7</v>
      </c>
      <c r="L45" s="1" t="s">
        <v>161</v>
      </c>
      <c r="M45" s="1" t="s">
        <v>144</v>
      </c>
      <c r="N45" s="1" t="s">
        <v>12</v>
      </c>
      <c r="O45" s="1" t="s">
        <v>159</v>
      </c>
      <c r="P45" s="1">
        <v>1</v>
      </c>
      <c r="Q45" s="1">
        <v>2</v>
      </c>
    </row>
    <row r="46" spans="1:17">
      <c r="A46" s="1">
        <v>43</v>
      </c>
      <c r="B46" s="1" t="s">
        <v>200</v>
      </c>
      <c r="C46" s="5">
        <v>46313</v>
      </c>
      <c r="D46" s="1" t="s">
        <v>106</v>
      </c>
      <c r="E46" s="6" t="s">
        <v>54</v>
      </c>
      <c r="F46" s="6" t="s">
        <v>89</v>
      </c>
      <c r="G46" s="1" t="s">
        <v>87</v>
      </c>
      <c r="H46" s="1" t="s">
        <v>62</v>
      </c>
      <c r="I46" s="1" t="s">
        <v>41</v>
      </c>
      <c r="J46" s="1" t="s">
        <v>164</v>
      </c>
      <c r="K46" s="1">
        <v>6</v>
      </c>
      <c r="L46" s="1" t="s">
        <v>152</v>
      </c>
      <c r="M46" s="1" t="s">
        <v>144</v>
      </c>
      <c r="N46" s="1" t="s">
        <v>91</v>
      </c>
      <c r="O46" s="1" t="s">
        <v>159</v>
      </c>
      <c r="P46" s="1">
        <v>2</v>
      </c>
      <c r="Q46" s="1">
        <v>2</v>
      </c>
    </row>
    <row r="47" spans="1:17">
      <c r="A47" s="1">
        <v>44</v>
      </c>
      <c r="B47" s="1" t="s">
        <v>201</v>
      </c>
      <c r="C47" s="5">
        <v>46312</v>
      </c>
      <c r="D47" s="1" t="s">
        <v>106</v>
      </c>
      <c r="E47" s="6" t="s">
        <v>49</v>
      </c>
      <c r="F47" s="6" t="s">
        <v>65</v>
      </c>
      <c r="G47" s="1" t="s">
        <v>40</v>
      </c>
      <c r="H47" s="1" t="s">
        <v>36</v>
      </c>
      <c r="I47" s="1" t="s">
        <v>7</v>
      </c>
      <c r="J47" s="1" t="s">
        <v>147</v>
      </c>
      <c r="K47" s="1">
        <v>4</v>
      </c>
      <c r="L47" s="1" t="s">
        <v>143</v>
      </c>
      <c r="M47" s="1" t="s">
        <v>144</v>
      </c>
      <c r="N47" s="1" t="s">
        <v>64</v>
      </c>
      <c r="O47" s="1" t="s">
        <v>159</v>
      </c>
      <c r="P47" s="1">
        <v>2</v>
      </c>
      <c r="Q47" s="1">
        <v>1</v>
      </c>
    </row>
    <row r="48" spans="1:17">
      <c r="A48" s="1">
        <v>45</v>
      </c>
      <c r="B48" s="1" t="s">
        <v>202</v>
      </c>
      <c r="C48" s="5">
        <v>46300</v>
      </c>
      <c r="D48" s="1" t="s">
        <v>106</v>
      </c>
      <c r="E48" s="6" t="s">
        <v>16</v>
      </c>
      <c r="F48" s="6" t="s">
        <v>46</v>
      </c>
      <c r="G48" s="1" t="s">
        <v>21</v>
      </c>
      <c r="H48" s="1" t="s">
        <v>28</v>
      </c>
      <c r="I48" s="1" t="s">
        <v>15</v>
      </c>
      <c r="J48" s="1" t="s">
        <v>151</v>
      </c>
      <c r="K48" s="1">
        <v>4</v>
      </c>
      <c r="L48" s="1" t="s">
        <v>148</v>
      </c>
      <c r="M48" s="1" t="s">
        <v>144</v>
      </c>
      <c r="N48" s="1" t="s">
        <v>61</v>
      </c>
      <c r="O48" s="1" t="s">
        <v>145</v>
      </c>
      <c r="P48" s="1">
        <v>2</v>
      </c>
      <c r="Q48" s="1">
        <v>1</v>
      </c>
    </row>
    <row r="49" spans="1:17">
      <c r="A49" s="1">
        <v>46</v>
      </c>
      <c r="B49" s="1" t="s">
        <v>203</v>
      </c>
      <c r="C49" s="5">
        <v>46352</v>
      </c>
      <c r="D49" s="1" t="s">
        <v>111</v>
      </c>
      <c r="E49" s="6" t="s">
        <v>57</v>
      </c>
      <c r="F49" s="6" t="s">
        <v>65</v>
      </c>
      <c r="G49" s="1" t="s">
        <v>35</v>
      </c>
      <c r="H49" s="1" t="s">
        <v>41</v>
      </c>
      <c r="I49" s="1" t="s">
        <v>78</v>
      </c>
      <c r="J49" s="1" t="s">
        <v>151</v>
      </c>
      <c r="K49" s="1">
        <v>8</v>
      </c>
      <c r="L49" s="1" t="s">
        <v>152</v>
      </c>
      <c r="M49" s="1" t="s">
        <v>156</v>
      </c>
      <c r="N49" s="1" t="s">
        <v>26</v>
      </c>
      <c r="O49" s="1" t="s">
        <v>149</v>
      </c>
      <c r="P49" s="1">
        <v>2</v>
      </c>
      <c r="Q49" s="1">
        <v>1</v>
      </c>
    </row>
    <row r="50" spans="1:17">
      <c r="A50" s="1">
        <v>47</v>
      </c>
      <c r="B50" s="1" t="s">
        <v>204</v>
      </c>
      <c r="C50" s="5">
        <v>46369</v>
      </c>
      <c r="D50" s="1" t="s">
        <v>122</v>
      </c>
      <c r="E50" s="6" t="s">
        <v>4</v>
      </c>
      <c r="F50" s="6" t="s">
        <v>65</v>
      </c>
      <c r="G50" s="1" t="s">
        <v>14</v>
      </c>
      <c r="H50" s="1" t="s">
        <v>7</v>
      </c>
      <c r="I50" s="1" t="s">
        <v>22</v>
      </c>
      <c r="J50" s="1" t="s">
        <v>147</v>
      </c>
      <c r="K50" s="1">
        <v>1</v>
      </c>
      <c r="L50" s="1" t="s">
        <v>148</v>
      </c>
      <c r="M50" s="1" t="s">
        <v>153</v>
      </c>
      <c r="N50" s="1" t="s">
        <v>64</v>
      </c>
      <c r="O50" s="1" t="s">
        <v>145</v>
      </c>
      <c r="P50" s="1">
        <v>3</v>
      </c>
      <c r="Q50" s="1">
        <v>3</v>
      </c>
    </row>
    <row r="51" spans="1:17">
      <c r="A51" s="1">
        <v>48</v>
      </c>
      <c r="B51" s="1" t="s">
        <v>205</v>
      </c>
      <c r="C51" s="5">
        <v>46371</v>
      </c>
      <c r="D51" s="1" t="s">
        <v>122</v>
      </c>
      <c r="E51" s="6" t="s">
        <v>45</v>
      </c>
      <c r="F51" s="6" t="s">
        <v>58</v>
      </c>
      <c r="G51" s="1" t="s">
        <v>82</v>
      </c>
      <c r="H51" s="1" t="s">
        <v>15</v>
      </c>
      <c r="I51" s="1" t="s">
        <v>28</v>
      </c>
      <c r="J51" s="1" t="s">
        <v>142</v>
      </c>
      <c r="K51" s="1">
        <v>2</v>
      </c>
      <c r="L51" s="1" t="s">
        <v>161</v>
      </c>
      <c r="M51" s="1" t="s">
        <v>162</v>
      </c>
      <c r="N51" s="1" t="s">
        <v>64</v>
      </c>
      <c r="O51" s="1" t="s">
        <v>149</v>
      </c>
      <c r="P51" s="1">
        <v>1</v>
      </c>
      <c r="Q51" s="1">
        <v>1</v>
      </c>
    </row>
  </sheetData>
  <mergeCells count="2">
    <mergeCell ref="A1:Q1"/>
    <mergeCell ref="A2:Q2"/>
  </mergeCells>
  <dataValidations count="3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J4:J100003">
      <formula1>L_Risk</formula1>
    </dataValidation>
  </dataValidations>
  <hyperlinks>
    <hyperlink ref="S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rgb="FF64748B"/>
    <pageSetUpPr fitToPage="1"/>
  </sheetPr>
  <dimension ref="A1:S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3.7109375" style="1" customWidth="1"/>
    <col min="3" max="4" width="9.7109375" style="1" customWidth="1"/>
    <col min="5" max="5" width="13.7109375" style="1" customWidth="1"/>
    <col min="6" max="6" width="15.7109375" style="1" customWidth="1"/>
    <col min="7" max="7" width="12.7109375" style="1" customWidth="1"/>
    <col min="8" max="9" width="9.7109375" style="1" customWidth="1"/>
    <col min="10" max="11" width="18.7109375" style="1" customWidth="1"/>
    <col min="12" max="12" width="14.7109375" style="2" customWidth="1"/>
    <col min="13" max="13" width="16.7109375" style="1" customWidth="1"/>
    <col min="14" max="14" width="9.7109375" style="1" customWidth="1"/>
    <col min="15" max="15" width="19.7109375" style="1" customWidth="1"/>
    <col min="16" max="16" width="20.7109375" style="1" customWidth="1"/>
    <col min="17" max="17" width="20.7109375" style="7" customWidth="1"/>
  </cols>
  <sheetData>
    <row r="1" spans="1:19" ht="22" customHeight="1">
      <c r="A1" s="3" t="s">
        <v>218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S1" s="4" t="s">
        <v>139</v>
      </c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9">
      <c r="A3" s="1" t="s">
        <v>124</v>
      </c>
      <c r="B3" s="1" t="s">
        <v>282</v>
      </c>
      <c r="C3" s="1" t="s">
        <v>126</v>
      </c>
      <c r="D3" s="1" t="s">
        <v>127</v>
      </c>
      <c r="E3" s="1" t="s">
        <v>283</v>
      </c>
      <c r="F3" s="1" t="s">
        <v>284</v>
      </c>
      <c r="G3" s="1" t="s">
        <v>129</v>
      </c>
      <c r="H3" s="1" t="s">
        <v>285</v>
      </c>
      <c r="I3" s="1" t="s">
        <v>286</v>
      </c>
      <c r="J3" s="1" t="s">
        <v>132</v>
      </c>
      <c r="K3" s="1" t="s">
        <v>133</v>
      </c>
      <c r="L3" s="2" t="s">
        <v>134</v>
      </c>
      <c r="M3" s="1" t="s">
        <v>287</v>
      </c>
      <c r="N3" s="1" t="s">
        <v>288</v>
      </c>
      <c r="O3" s="1" t="s">
        <v>289</v>
      </c>
      <c r="P3" s="1" t="s">
        <v>290</v>
      </c>
      <c r="Q3" s="7" t="s">
        <v>291</v>
      </c>
    </row>
    <row r="4" spans="1:19">
      <c r="A4" s="1">
        <v>1</v>
      </c>
      <c r="B4" s="1" t="s">
        <v>219</v>
      </c>
      <c r="C4" s="5">
        <v>46040</v>
      </c>
      <c r="D4" s="1" t="s">
        <v>3</v>
      </c>
      <c r="E4" s="6" t="s">
        <v>57</v>
      </c>
      <c r="F4" s="6" t="s">
        <v>220</v>
      </c>
      <c r="G4" s="1" t="s">
        <v>58</v>
      </c>
      <c r="H4" s="1" t="s">
        <v>28</v>
      </c>
      <c r="I4" s="1" t="s">
        <v>221</v>
      </c>
      <c r="J4" s="1">
        <v>36</v>
      </c>
      <c r="K4" s="1">
        <v>57</v>
      </c>
      <c r="L4" s="2">
        <f>IFERROR(K4/J4*100,0)</f>
        <v>0</v>
      </c>
      <c r="M4" s="1">
        <v>48</v>
      </c>
      <c r="N4" s="1" t="s">
        <v>222</v>
      </c>
      <c r="O4" s="1" t="s">
        <v>223</v>
      </c>
      <c r="P4" s="1" t="s">
        <v>23</v>
      </c>
      <c r="Q4" s="7">
        <f>IF(P4="Yes",C4+CertValidityDays,"")</f>
        <v>0</v>
      </c>
    </row>
    <row r="5" spans="1:19">
      <c r="A5" s="1">
        <v>2</v>
      </c>
      <c r="B5" s="1" t="s">
        <v>224</v>
      </c>
      <c r="C5" s="5">
        <v>46043</v>
      </c>
      <c r="D5" s="1" t="s">
        <v>3</v>
      </c>
      <c r="E5" s="6" t="s">
        <v>91</v>
      </c>
      <c r="F5" s="6" t="s">
        <v>225</v>
      </c>
      <c r="G5" s="1" t="s">
        <v>58</v>
      </c>
      <c r="H5" s="1" t="s">
        <v>66</v>
      </c>
      <c r="I5" s="1" t="s">
        <v>225</v>
      </c>
      <c r="J5" s="1">
        <v>35</v>
      </c>
      <c r="K5" s="1">
        <v>17</v>
      </c>
      <c r="L5" s="2">
        <f>IFERROR(K5/J5*100,0)</f>
        <v>0</v>
      </c>
      <c r="M5" s="1">
        <v>106</v>
      </c>
      <c r="N5" s="1" t="s">
        <v>226</v>
      </c>
      <c r="O5" s="1" t="s">
        <v>227</v>
      </c>
      <c r="P5" s="1" t="s">
        <v>9</v>
      </c>
      <c r="Q5" s="7">
        <f>IF(P5="Yes",C5+CertValidityDays,"")</f>
        <v>0</v>
      </c>
    </row>
    <row r="6" spans="1:19">
      <c r="A6" s="1">
        <v>3</v>
      </c>
      <c r="B6" s="1" t="s">
        <v>228</v>
      </c>
      <c r="C6" s="5">
        <v>46041</v>
      </c>
      <c r="D6" s="1" t="s">
        <v>3</v>
      </c>
      <c r="E6" s="6" t="s">
        <v>54</v>
      </c>
      <c r="F6" s="6" t="s">
        <v>229</v>
      </c>
      <c r="G6" s="1" t="s">
        <v>92</v>
      </c>
      <c r="H6" s="1" t="s">
        <v>104</v>
      </c>
      <c r="I6" s="1" t="s">
        <v>230</v>
      </c>
      <c r="J6" s="1">
        <v>41</v>
      </c>
      <c r="K6" s="1">
        <v>22</v>
      </c>
      <c r="L6" s="2">
        <f>IFERROR(K6/J6*100,0)</f>
        <v>0</v>
      </c>
      <c r="M6" s="1">
        <v>43</v>
      </c>
      <c r="N6" s="1" t="s">
        <v>222</v>
      </c>
      <c r="O6" s="1" t="s">
        <v>227</v>
      </c>
      <c r="P6" s="1" t="s">
        <v>9</v>
      </c>
      <c r="Q6" s="7">
        <f>IF(P6="Yes",C6+CertValidityDays,"")</f>
        <v>0</v>
      </c>
    </row>
    <row r="7" spans="1:19">
      <c r="A7" s="1">
        <v>4</v>
      </c>
      <c r="B7" s="1" t="s">
        <v>231</v>
      </c>
      <c r="C7" s="5">
        <v>46032</v>
      </c>
      <c r="D7" s="1" t="s">
        <v>3</v>
      </c>
      <c r="E7" s="6" t="s">
        <v>20</v>
      </c>
      <c r="F7" s="6" t="s">
        <v>225</v>
      </c>
      <c r="G7" s="1" t="s">
        <v>13</v>
      </c>
      <c r="H7" s="1" t="s">
        <v>28</v>
      </c>
      <c r="I7" s="1" t="s">
        <v>232</v>
      </c>
      <c r="J7" s="1">
        <v>36</v>
      </c>
      <c r="K7" s="1">
        <v>55</v>
      </c>
      <c r="L7" s="2">
        <f>IFERROR(K7/J7*100,0)</f>
        <v>0</v>
      </c>
      <c r="M7" s="1">
        <v>66</v>
      </c>
      <c r="N7" s="1" t="s">
        <v>226</v>
      </c>
      <c r="O7" s="1" t="s">
        <v>233</v>
      </c>
      <c r="P7" s="1" t="s">
        <v>23</v>
      </c>
      <c r="Q7" s="7">
        <f>IF(P7="Yes",C7+CertValidityDays,"")</f>
        <v>0</v>
      </c>
    </row>
    <row r="8" spans="1:19">
      <c r="A8" s="1">
        <v>5</v>
      </c>
      <c r="B8" s="1" t="s">
        <v>234</v>
      </c>
      <c r="C8" s="5">
        <v>46072</v>
      </c>
      <c r="D8" s="1" t="s">
        <v>19</v>
      </c>
      <c r="E8" s="6" t="s">
        <v>57</v>
      </c>
      <c r="F8" s="6" t="s">
        <v>235</v>
      </c>
      <c r="G8" s="1" t="s">
        <v>58</v>
      </c>
      <c r="H8" s="1" t="s">
        <v>78</v>
      </c>
      <c r="I8" s="1" t="s">
        <v>221</v>
      </c>
      <c r="J8" s="1">
        <v>24</v>
      </c>
      <c r="K8" s="1">
        <v>57</v>
      </c>
      <c r="L8" s="2">
        <f>IFERROR(K8/J8*100,0)</f>
        <v>0</v>
      </c>
      <c r="M8" s="1">
        <v>120</v>
      </c>
      <c r="N8" s="1" t="s">
        <v>236</v>
      </c>
      <c r="O8" s="1" t="s">
        <v>233</v>
      </c>
      <c r="P8" s="1" t="s">
        <v>23</v>
      </c>
      <c r="Q8" s="7">
        <f>IF(P8="Yes",C8+CertValidityDays,"")</f>
        <v>0</v>
      </c>
    </row>
    <row r="9" spans="1:19">
      <c r="A9" s="1">
        <v>6</v>
      </c>
      <c r="B9" s="1" t="s">
        <v>237</v>
      </c>
      <c r="C9" s="5">
        <v>46057</v>
      </c>
      <c r="D9" s="1" t="s">
        <v>19</v>
      </c>
      <c r="E9" s="6" t="s">
        <v>61</v>
      </c>
      <c r="F9" s="6" t="s">
        <v>238</v>
      </c>
      <c r="G9" s="1" t="s">
        <v>92</v>
      </c>
      <c r="H9" s="1" t="s">
        <v>32</v>
      </c>
      <c r="I9" s="1" t="s">
        <v>225</v>
      </c>
      <c r="J9" s="1">
        <v>12</v>
      </c>
      <c r="K9" s="1">
        <v>18</v>
      </c>
      <c r="L9" s="2">
        <f>IFERROR(K9/J9*100,0)</f>
        <v>0</v>
      </c>
      <c r="M9" s="1">
        <v>71</v>
      </c>
      <c r="N9" s="1" t="s">
        <v>226</v>
      </c>
      <c r="O9" s="1" t="s">
        <v>223</v>
      </c>
      <c r="P9" s="1" t="s">
        <v>9</v>
      </c>
      <c r="Q9" s="7">
        <f>IF(P9="Yes",C9+CertValidityDays,"")</f>
        <v>0</v>
      </c>
    </row>
    <row r="10" spans="1:19">
      <c r="A10" s="1">
        <v>7</v>
      </c>
      <c r="B10" s="1" t="s">
        <v>239</v>
      </c>
      <c r="C10" s="5">
        <v>46079</v>
      </c>
      <c r="D10" s="1" t="s">
        <v>19</v>
      </c>
      <c r="E10" s="6" t="s">
        <v>16</v>
      </c>
      <c r="F10" s="6" t="s">
        <v>240</v>
      </c>
      <c r="G10" s="1" t="s">
        <v>39</v>
      </c>
      <c r="H10" s="1" t="s">
        <v>36</v>
      </c>
      <c r="I10" s="1" t="s">
        <v>225</v>
      </c>
      <c r="J10" s="1">
        <v>43</v>
      </c>
      <c r="K10" s="1">
        <v>49</v>
      </c>
      <c r="L10" s="2">
        <f>IFERROR(K10/J10*100,0)</f>
        <v>0</v>
      </c>
      <c r="M10" s="1">
        <v>34</v>
      </c>
      <c r="N10" s="1" t="s">
        <v>222</v>
      </c>
      <c r="O10" s="1" t="s">
        <v>233</v>
      </c>
      <c r="P10" s="1" t="s">
        <v>23</v>
      </c>
      <c r="Q10" s="7">
        <f>IF(P10="Yes",C10+CertValidityDays,"")</f>
        <v>0</v>
      </c>
    </row>
    <row r="11" spans="1:19">
      <c r="A11" s="1">
        <v>8</v>
      </c>
      <c r="B11" s="1" t="s">
        <v>241</v>
      </c>
      <c r="C11" s="5">
        <v>46060</v>
      </c>
      <c r="D11" s="1" t="s">
        <v>19</v>
      </c>
      <c r="E11" s="6" t="s">
        <v>16</v>
      </c>
      <c r="F11" s="6" t="s">
        <v>229</v>
      </c>
      <c r="G11" s="1" t="s">
        <v>46</v>
      </c>
      <c r="H11" s="1" t="s">
        <v>41</v>
      </c>
      <c r="I11" s="1" t="s">
        <v>225</v>
      </c>
      <c r="J11" s="1">
        <v>14</v>
      </c>
      <c r="K11" s="1">
        <v>10</v>
      </c>
      <c r="L11" s="2">
        <f>IFERROR(K11/J11*100,0)</f>
        <v>0</v>
      </c>
      <c r="M11" s="1">
        <v>61</v>
      </c>
      <c r="N11" s="1" t="s">
        <v>236</v>
      </c>
      <c r="O11" s="1" t="s">
        <v>233</v>
      </c>
      <c r="P11" s="1" t="s">
        <v>23</v>
      </c>
      <c r="Q11" s="7">
        <f>IF(P11="Yes",C11+CertValidityDays,"")</f>
        <v>0</v>
      </c>
    </row>
    <row r="12" spans="1:19">
      <c r="A12" s="1">
        <v>9</v>
      </c>
      <c r="B12" s="1" t="s">
        <v>242</v>
      </c>
      <c r="C12" s="5">
        <v>46061</v>
      </c>
      <c r="D12" s="1" t="s">
        <v>19</v>
      </c>
      <c r="E12" s="6" t="s">
        <v>4</v>
      </c>
      <c r="F12" s="6" t="s">
        <v>238</v>
      </c>
      <c r="G12" s="1" t="s">
        <v>50</v>
      </c>
      <c r="H12" s="1" t="s">
        <v>104</v>
      </c>
      <c r="I12" s="1" t="s">
        <v>221</v>
      </c>
      <c r="J12" s="1">
        <v>23</v>
      </c>
      <c r="K12" s="1">
        <v>39</v>
      </c>
      <c r="L12" s="2">
        <f>IFERROR(K12/J12*100,0)</f>
        <v>0</v>
      </c>
      <c r="M12" s="1">
        <v>102</v>
      </c>
      <c r="N12" s="1" t="s">
        <v>222</v>
      </c>
      <c r="O12" s="1" t="s">
        <v>233</v>
      </c>
      <c r="P12" s="1" t="s">
        <v>23</v>
      </c>
      <c r="Q12" s="7">
        <f>IF(P12="Yes",C12+CertValidityDays,"")</f>
        <v>0</v>
      </c>
    </row>
    <row r="13" spans="1:19">
      <c r="A13" s="1">
        <v>10</v>
      </c>
      <c r="B13" s="1" t="s">
        <v>243</v>
      </c>
      <c r="C13" s="5">
        <v>46074</v>
      </c>
      <c r="D13" s="1" t="s">
        <v>19</v>
      </c>
      <c r="E13" s="6" t="s">
        <v>57</v>
      </c>
      <c r="F13" s="6" t="s">
        <v>225</v>
      </c>
      <c r="G13" s="1" t="s">
        <v>27</v>
      </c>
      <c r="H13" s="1" t="s">
        <v>41</v>
      </c>
      <c r="I13" s="1" t="s">
        <v>232</v>
      </c>
      <c r="J13" s="1">
        <v>58</v>
      </c>
      <c r="K13" s="1">
        <v>34</v>
      </c>
      <c r="L13" s="2">
        <f>IFERROR(K13/J13*100,0)</f>
        <v>0</v>
      </c>
      <c r="M13" s="1">
        <v>82</v>
      </c>
      <c r="N13" s="1" t="s">
        <v>222</v>
      </c>
      <c r="O13" s="1" t="s">
        <v>223</v>
      </c>
      <c r="P13" s="1" t="s">
        <v>23</v>
      </c>
      <c r="Q13" s="7">
        <f>IF(P13="Yes",C13+CertValidityDays,"")</f>
        <v>0</v>
      </c>
    </row>
    <row r="14" spans="1:19">
      <c r="A14" s="1">
        <v>11</v>
      </c>
      <c r="B14" s="1" t="s">
        <v>244</v>
      </c>
      <c r="C14" s="5">
        <v>46057</v>
      </c>
      <c r="D14" s="1" t="s">
        <v>19</v>
      </c>
      <c r="E14" s="6" t="s">
        <v>45</v>
      </c>
      <c r="F14" s="6" t="s">
        <v>238</v>
      </c>
      <c r="G14" s="1" t="s">
        <v>65</v>
      </c>
      <c r="H14" s="1" t="s">
        <v>7</v>
      </c>
      <c r="I14" s="1" t="s">
        <v>230</v>
      </c>
      <c r="J14" s="1">
        <v>25</v>
      </c>
      <c r="K14" s="1">
        <v>30</v>
      </c>
      <c r="L14" s="2">
        <f>IFERROR(K14/J14*100,0)</f>
        <v>0</v>
      </c>
      <c r="M14" s="1">
        <v>118</v>
      </c>
      <c r="N14" s="1" t="s">
        <v>236</v>
      </c>
      <c r="O14" s="1" t="s">
        <v>227</v>
      </c>
      <c r="P14" s="1" t="s">
        <v>9</v>
      </c>
      <c r="Q14" s="7">
        <f>IF(P14="Yes",C14+CertValidityDays,"")</f>
        <v>0</v>
      </c>
    </row>
    <row r="15" spans="1:19">
      <c r="A15" s="1">
        <v>12</v>
      </c>
      <c r="B15" s="1" t="s">
        <v>245</v>
      </c>
      <c r="C15" s="5">
        <v>46084</v>
      </c>
      <c r="D15" s="1" t="s">
        <v>44</v>
      </c>
      <c r="E15" s="6" t="s">
        <v>64</v>
      </c>
      <c r="F15" s="6" t="s">
        <v>225</v>
      </c>
      <c r="G15" s="1" t="s">
        <v>27</v>
      </c>
      <c r="H15" s="1" t="s">
        <v>78</v>
      </c>
      <c r="I15" s="1" t="s">
        <v>232</v>
      </c>
      <c r="J15" s="1">
        <v>38</v>
      </c>
      <c r="K15" s="1">
        <v>41</v>
      </c>
      <c r="L15" s="2">
        <f>IFERROR(K15/J15*100,0)</f>
        <v>0</v>
      </c>
      <c r="M15" s="1">
        <v>22</v>
      </c>
      <c r="N15" s="1" t="s">
        <v>222</v>
      </c>
      <c r="O15" s="1" t="s">
        <v>227</v>
      </c>
      <c r="P15" s="1" t="s">
        <v>9</v>
      </c>
      <c r="Q15" s="7">
        <f>IF(P15="Yes",C15+CertValidityDays,"")</f>
        <v>0</v>
      </c>
    </row>
    <row r="16" spans="1:19">
      <c r="A16" s="1">
        <v>13</v>
      </c>
      <c r="B16" s="1" t="s">
        <v>246</v>
      </c>
      <c r="C16" s="5">
        <v>46087</v>
      </c>
      <c r="D16" s="1" t="s">
        <v>44</v>
      </c>
      <c r="E16" s="6" t="s">
        <v>4</v>
      </c>
      <c r="F16" s="6" t="s">
        <v>220</v>
      </c>
      <c r="G16" s="1" t="s">
        <v>39</v>
      </c>
      <c r="H16" s="1" t="s">
        <v>36</v>
      </c>
      <c r="I16" s="1" t="s">
        <v>232</v>
      </c>
      <c r="J16" s="1">
        <v>34</v>
      </c>
      <c r="K16" s="1">
        <v>26</v>
      </c>
      <c r="L16" s="2">
        <f>IFERROR(K16/J16*100,0)</f>
        <v>0</v>
      </c>
      <c r="M16" s="1">
        <v>90</v>
      </c>
      <c r="N16" s="1" t="s">
        <v>236</v>
      </c>
      <c r="O16" s="1" t="s">
        <v>227</v>
      </c>
      <c r="P16" s="1" t="s">
        <v>9</v>
      </c>
      <c r="Q16" s="7">
        <f>IF(P16="Yes",C16+CertValidityDays,"")</f>
        <v>0</v>
      </c>
    </row>
    <row r="17" spans="1:17">
      <c r="A17" s="1">
        <v>14</v>
      </c>
      <c r="B17" s="1" t="s">
        <v>247</v>
      </c>
      <c r="C17" s="5">
        <v>46093</v>
      </c>
      <c r="D17" s="1" t="s">
        <v>44</v>
      </c>
      <c r="E17" s="6" t="s">
        <v>45</v>
      </c>
      <c r="F17" s="6" t="s">
        <v>238</v>
      </c>
      <c r="G17" s="1" t="s">
        <v>46</v>
      </c>
      <c r="H17" s="1" t="s">
        <v>93</v>
      </c>
      <c r="I17" s="1" t="s">
        <v>230</v>
      </c>
      <c r="J17" s="1">
        <v>49</v>
      </c>
      <c r="K17" s="1">
        <v>28</v>
      </c>
      <c r="L17" s="2">
        <f>IFERROR(K17/J17*100,0)</f>
        <v>0</v>
      </c>
      <c r="M17" s="1">
        <v>117</v>
      </c>
      <c r="N17" s="1" t="s">
        <v>226</v>
      </c>
      <c r="O17" s="1" t="s">
        <v>223</v>
      </c>
      <c r="P17" s="1" t="s">
        <v>9</v>
      </c>
      <c r="Q17" s="7">
        <f>IF(P17="Yes",C17+CertValidityDays,"")</f>
        <v>0</v>
      </c>
    </row>
    <row r="18" spans="1:17">
      <c r="A18" s="1">
        <v>15</v>
      </c>
      <c r="B18" s="1" t="s">
        <v>248</v>
      </c>
      <c r="C18" s="5">
        <v>46094</v>
      </c>
      <c r="D18" s="1" t="s">
        <v>44</v>
      </c>
      <c r="E18" s="6" t="s">
        <v>26</v>
      </c>
      <c r="F18" s="6" t="s">
        <v>240</v>
      </c>
      <c r="G18" s="1" t="s">
        <v>39</v>
      </c>
      <c r="H18" s="1" t="s">
        <v>32</v>
      </c>
      <c r="I18" s="1" t="s">
        <v>221</v>
      </c>
      <c r="J18" s="1">
        <v>21</v>
      </c>
      <c r="K18" s="1">
        <v>29</v>
      </c>
      <c r="L18" s="2">
        <f>IFERROR(K18/J18*100,0)</f>
        <v>0</v>
      </c>
      <c r="M18" s="1">
        <v>111</v>
      </c>
      <c r="N18" s="1" t="s">
        <v>222</v>
      </c>
      <c r="O18" s="1" t="s">
        <v>227</v>
      </c>
      <c r="P18" s="1" t="s">
        <v>23</v>
      </c>
      <c r="Q18" s="7">
        <f>IF(P18="Yes",C18+CertValidityDays,"")</f>
        <v>0</v>
      </c>
    </row>
    <row r="19" spans="1:17">
      <c r="A19" s="1">
        <v>16</v>
      </c>
      <c r="B19" s="1" t="s">
        <v>249</v>
      </c>
      <c r="C19" s="5">
        <v>46089</v>
      </c>
      <c r="D19" s="1" t="s">
        <v>44</v>
      </c>
      <c r="E19" s="6" t="s">
        <v>57</v>
      </c>
      <c r="F19" s="6" t="s">
        <v>220</v>
      </c>
      <c r="G19" s="1" t="s">
        <v>89</v>
      </c>
      <c r="H19" s="1" t="s">
        <v>78</v>
      </c>
      <c r="I19" s="1" t="s">
        <v>225</v>
      </c>
      <c r="J19" s="1">
        <v>39</v>
      </c>
      <c r="K19" s="1">
        <v>12</v>
      </c>
      <c r="L19" s="2">
        <f>IFERROR(K19/J19*100,0)</f>
        <v>0</v>
      </c>
      <c r="M19" s="1">
        <v>50</v>
      </c>
      <c r="N19" s="1" t="s">
        <v>226</v>
      </c>
      <c r="O19" s="1" t="s">
        <v>223</v>
      </c>
      <c r="P19" s="1" t="s">
        <v>23</v>
      </c>
      <c r="Q19" s="7">
        <f>IF(P19="Yes",C19+CertValidityDays,"")</f>
        <v>0</v>
      </c>
    </row>
    <row r="20" spans="1:17">
      <c r="A20" s="1">
        <v>17</v>
      </c>
      <c r="B20" s="1" t="s">
        <v>250</v>
      </c>
      <c r="C20" s="5">
        <v>46106</v>
      </c>
      <c r="D20" s="1" t="s">
        <v>44</v>
      </c>
      <c r="E20" s="6" t="s">
        <v>26</v>
      </c>
      <c r="F20" s="6" t="s">
        <v>225</v>
      </c>
      <c r="G20" s="1" t="s">
        <v>58</v>
      </c>
      <c r="H20" s="1" t="s">
        <v>28</v>
      </c>
      <c r="I20" s="1" t="s">
        <v>232</v>
      </c>
      <c r="J20" s="1">
        <v>31</v>
      </c>
      <c r="K20" s="1">
        <v>60</v>
      </c>
      <c r="L20" s="2">
        <f>IFERROR(K20/J20*100,0)</f>
        <v>0</v>
      </c>
      <c r="M20" s="1">
        <v>78</v>
      </c>
      <c r="N20" s="1" t="s">
        <v>236</v>
      </c>
      <c r="O20" s="1" t="s">
        <v>233</v>
      </c>
      <c r="P20" s="1" t="s">
        <v>9</v>
      </c>
      <c r="Q20" s="7">
        <f>IF(P20="Yes",C20+CertValidityDays,"")</f>
        <v>0</v>
      </c>
    </row>
    <row r="21" spans="1:17">
      <c r="A21" s="1">
        <v>18</v>
      </c>
      <c r="B21" s="1" t="s">
        <v>251</v>
      </c>
      <c r="C21" s="5">
        <v>46119</v>
      </c>
      <c r="D21" s="1" t="s">
        <v>53</v>
      </c>
      <c r="E21" s="6" t="s">
        <v>57</v>
      </c>
      <c r="F21" s="6" t="s">
        <v>229</v>
      </c>
      <c r="G21" s="1" t="s">
        <v>5</v>
      </c>
      <c r="H21" s="1" t="s">
        <v>36</v>
      </c>
      <c r="I21" s="1" t="s">
        <v>232</v>
      </c>
      <c r="J21" s="1">
        <v>44</v>
      </c>
      <c r="K21" s="1">
        <v>14</v>
      </c>
      <c r="L21" s="2">
        <f>IFERROR(K21/J21*100,0)</f>
        <v>0</v>
      </c>
      <c r="M21" s="1">
        <v>103</v>
      </c>
      <c r="N21" s="1" t="s">
        <v>222</v>
      </c>
      <c r="O21" s="1" t="s">
        <v>223</v>
      </c>
      <c r="P21" s="1" t="s">
        <v>23</v>
      </c>
      <c r="Q21" s="7">
        <f>IF(P21="Yes",C21+CertValidityDays,"")</f>
        <v>0</v>
      </c>
    </row>
    <row r="22" spans="1:17">
      <c r="A22" s="1">
        <v>19</v>
      </c>
      <c r="B22" s="1" t="s">
        <v>252</v>
      </c>
      <c r="C22" s="5">
        <v>46124</v>
      </c>
      <c r="D22" s="1" t="s">
        <v>53</v>
      </c>
      <c r="E22" s="6" t="s">
        <v>45</v>
      </c>
      <c r="F22" s="6" t="s">
        <v>229</v>
      </c>
      <c r="G22" s="1" t="s">
        <v>92</v>
      </c>
      <c r="H22" s="1" t="s">
        <v>66</v>
      </c>
      <c r="I22" s="1" t="s">
        <v>232</v>
      </c>
      <c r="J22" s="1">
        <v>25</v>
      </c>
      <c r="K22" s="1">
        <v>42</v>
      </c>
      <c r="L22" s="2">
        <f>IFERROR(K22/J22*100,0)</f>
        <v>0</v>
      </c>
      <c r="M22" s="1">
        <v>45</v>
      </c>
      <c r="N22" s="1" t="s">
        <v>226</v>
      </c>
      <c r="O22" s="1" t="s">
        <v>233</v>
      </c>
      <c r="P22" s="1" t="s">
        <v>23</v>
      </c>
      <c r="Q22" s="7">
        <f>IF(P22="Yes",C22+CertValidityDays,"")</f>
        <v>0</v>
      </c>
    </row>
    <row r="23" spans="1:17">
      <c r="A23" s="1">
        <v>20</v>
      </c>
      <c r="B23" s="1" t="s">
        <v>253</v>
      </c>
      <c r="C23" s="5">
        <v>46168</v>
      </c>
      <c r="D23" s="1" t="s">
        <v>60</v>
      </c>
      <c r="E23" s="6" t="s">
        <v>91</v>
      </c>
      <c r="F23" s="6" t="s">
        <v>235</v>
      </c>
      <c r="G23" s="1" t="s">
        <v>46</v>
      </c>
      <c r="H23" s="1" t="s">
        <v>78</v>
      </c>
      <c r="I23" s="1" t="s">
        <v>225</v>
      </c>
      <c r="J23" s="1">
        <v>12</v>
      </c>
      <c r="K23" s="1">
        <v>48</v>
      </c>
      <c r="L23" s="2">
        <f>IFERROR(K23/J23*100,0)</f>
        <v>0</v>
      </c>
      <c r="M23" s="1">
        <v>17</v>
      </c>
      <c r="N23" s="1" t="s">
        <v>226</v>
      </c>
      <c r="O23" s="1" t="s">
        <v>227</v>
      </c>
      <c r="P23" s="1" t="s">
        <v>9</v>
      </c>
      <c r="Q23" s="7">
        <f>IF(P23="Yes",C23+CertValidityDays,"")</f>
        <v>0</v>
      </c>
    </row>
    <row r="24" spans="1:17">
      <c r="A24" s="1">
        <v>21</v>
      </c>
      <c r="B24" s="1" t="s">
        <v>254</v>
      </c>
      <c r="C24" s="5">
        <v>46156</v>
      </c>
      <c r="D24" s="1" t="s">
        <v>60</v>
      </c>
      <c r="E24" s="6" t="s">
        <v>20</v>
      </c>
      <c r="F24" s="6" t="s">
        <v>238</v>
      </c>
      <c r="G24" s="1" t="s">
        <v>5</v>
      </c>
      <c r="H24" s="1" t="s">
        <v>22</v>
      </c>
      <c r="I24" s="1" t="s">
        <v>225</v>
      </c>
      <c r="J24" s="1">
        <v>22</v>
      </c>
      <c r="K24" s="1">
        <v>13</v>
      </c>
      <c r="L24" s="2">
        <f>IFERROR(K24/J24*100,0)</f>
        <v>0</v>
      </c>
      <c r="M24" s="1">
        <v>68</v>
      </c>
      <c r="N24" s="1" t="s">
        <v>222</v>
      </c>
      <c r="O24" s="1" t="s">
        <v>227</v>
      </c>
      <c r="P24" s="1" t="s">
        <v>9</v>
      </c>
      <c r="Q24" s="7">
        <f>IF(P24="Yes",C24+CertValidityDays,"")</f>
        <v>0</v>
      </c>
    </row>
    <row r="25" spans="1:17">
      <c r="A25" s="1">
        <v>22</v>
      </c>
      <c r="B25" s="1" t="s">
        <v>255</v>
      </c>
      <c r="C25" s="5">
        <v>46146</v>
      </c>
      <c r="D25" s="1" t="s">
        <v>60</v>
      </c>
      <c r="E25" s="6" t="s">
        <v>64</v>
      </c>
      <c r="F25" s="6" t="s">
        <v>225</v>
      </c>
      <c r="G25" s="1" t="s">
        <v>65</v>
      </c>
      <c r="H25" s="1" t="s">
        <v>70</v>
      </c>
      <c r="I25" s="1" t="s">
        <v>225</v>
      </c>
      <c r="J25" s="1">
        <v>30</v>
      </c>
      <c r="K25" s="1">
        <v>28</v>
      </c>
      <c r="L25" s="2">
        <f>IFERROR(K25/J25*100,0)</f>
        <v>0</v>
      </c>
      <c r="M25" s="1">
        <v>53</v>
      </c>
      <c r="N25" s="1" t="s">
        <v>222</v>
      </c>
      <c r="O25" s="1" t="s">
        <v>223</v>
      </c>
      <c r="P25" s="1" t="s">
        <v>9</v>
      </c>
      <c r="Q25" s="7">
        <f>IF(P25="Yes",C25+CertValidityDays,"")</f>
        <v>0</v>
      </c>
    </row>
    <row r="26" spans="1:17">
      <c r="A26" s="1">
        <v>23</v>
      </c>
      <c r="B26" s="1" t="s">
        <v>256</v>
      </c>
      <c r="C26" s="5">
        <v>46167</v>
      </c>
      <c r="D26" s="1" t="s">
        <v>60</v>
      </c>
      <c r="E26" s="6" t="s">
        <v>45</v>
      </c>
      <c r="F26" s="6" t="s">
        <v>240</v>
      </c>
      <c r="G26" s="1" t="s">
        <v>50</v>
      </c>
      <c r="H26" s="1" t="s">
        <v>15</v>
      </c>
      <c r="I26" s="1" t="s">
        <v>230</v>
      </c>
      <c r="J26" s="1">
        <v>44</v>
      </c>
      <c r="K26" s="1">
        <v>10</v>
      </c>
      <c r="L26" s="2">
        <f>IFERROR(K26/J26*100,0)</f>
        <v>0</v>
      </c>
      <c r="M26" s="1">
        <v>18</v>
      </c>
      <c r="N26" s="1" t="s">
        <v>226</v>
      </c>
      <c r="O26" s="1" t="s">
        <v>233</v>
      </c>
      <c r="P26" s="1" t="s">
        <v>9</v>
      </c>
      <c r="Q26" s="7">
        <f>IF(P26="Yes",C26+CertValidityDays,"")</f>
        <v>0</v>
      </c>
    </row>
    <row r="27" spans="1:17">
      <c r="A27" s="1">
        <v>24</v>
      </c>
      <c r="B27" s="1" t="s">
        <v>257</v>
      </c>
      <c r="C27" s="5">
        <v>46160</v>
      </c>
      <c r="D27" s="1" t="s">
        <v>60</v>
      </c>
      <c r="E27" s="6" t="s">
        <v>12</v>
      </c>
      <c r="F27" s="6" t="s">
        <v>225</v>
      </c>
      <c r="G27" s="1" t="s">
        <v>13</v>
      </c>
      <c r="H27" s="1" t="s">
        <v>62</v>
      </c>
      <c r="I27" s="1" t="s">
        <v>232</v>
      </c>
      <c r="J27" s="1">
        <v>50</v>
      </c>
      <c r="K27" s="1">
        <v>51</v>
      </c>
      <c r="L27" s="2">
        <f>IFERROR(K27/J27*100,0)</f>
        <v>0</v>
      </c>
      <c r="M27" s="1">
        <v>112</v>
      </c>
      <c r="N27" s="1" t="s">
        <v>236</v>
      </c>
      <c r="O27" s="1" t="s">
        <v>227</v>
      </c>
      <c r="P27" s="1" t="s">
        <v>23</v>
      </c>
      <c r="Q27" s="7">
        <f>IF(P27="Yes",C27+CertValidityDays,"")</f>
        <v>0</v>
      </c>
    </row>
    <row r="28" spans="1:17">
      <c r="A28" s="1">
        <v>25</v>
      </c>
      <c r="B28" s="1" t="s">
        <v>258</v>
      </c>
      <c r="C28" s="5">
        <v>46195</v>
      </c>
      <c r="D28" s="1" t="s">
        <v>73</v>
      </c>
      <c r="E28" s="6" t="s">
        <v>54</v>
      </c>
      <c r="F28" s="6" t="s">
        <v>238</v>
      </c>
      <c r="G28" s="1" t="s">
        <v>39</v>
      </c>
      <c r="H28" s="1" t="s">
        <v>78</v>
      </c>
      <c r="I28" s="1" t="s">
        <v>232</v>
      </c>
      <c r="J28" s="1">
        <v>51</v>
      </c>
      <c r="K28" s="1">
        <v>16</v>
      </c>
      <c r="L28" s="2">
        <f>IFERROR(K28/J28*100,0)</f>
        <v>0</v>
      </c>
      <c r="M28" s="1">
        <v>120</v>
      </c>
      <c r="N28" s="1" t="s">
        <v>236</v>
      </c>
      <c r="O28" s="1" t="s">
        <v>223</v>
      </c>
      <c r="P28" s="1" t="s">
        <v>23</v>
      </c>
      <c r="Q28" s="7">
        <f>IF(P28="Yes",C28+CertValidityDays,"")</f>
        <v>0</v>
      </c>
    </row>
    <row r="29" spans="1:17">
      <c r="A29" s="1">
        <v>26</v>
      </c>
      <c r="B29" s="1" t="s">
        <v>259</v>
      </c>
      <c r="C29" s="5">
        <v>46200</v>
      </c>
      <c r="D29" s="1" t="s">
        <v>73</v>
      </c>
      <c r="E29" s="6" t="s">
        <v>57</v>
      </c>
      <c r="F29" s="6" t="s">
        <v>235</v>
      </c>
      <c r="G29" s="1" t="s">
        <v>13</v>
      </c>
      <c r="H29" s="1" t="s">
        <v>36</v>
      </c>
      <c r="I29" s="1" t="s">
        <v>232</v>
      </c>
      <c r="J29" s="1">
        <v>48</v>
      </c>
      <c r="K29" s="1">
        <v>25</v>
      </c>
      <c r="L29" s="2">
        <f>IFERROR(K29/J29*100,0)</f>
        <v>0</v>
      </c>
      <c r="M29" s="1">
        <v>15</v>
      </c>
      <c r="N29" s="1" t="s">
        <v>226</v>
      </c>
      <c r="O29" s="1" t="s">
        <v>223</v>
      </c>
      <c r="P29" s="1" t="s">
        <v>23</v>
      </c>
      <c r="Q29" s="7">
        <f>IF(P29="Yes",C29+CertValidityDays,"")</f>
        <v>0</v>
      </c>
    </row>
    <row r="30" spans="1:17">
      <c r="A30" s="1">
        <v>27</v>
      </c>
      <c r="B30" s="1" t="s">
        <v>260</v>
      </c>
      <c r="C30" s="5">
        <v>46197</v>
      </c>
      <c r="D30" s="1" t="s">
        <v>73</v>
      </c>
      <c r="E30" s="6" t="s">
        <v>64</v>
      </c>
      <c r="F30" s="6" t="s">
        <v>235</v>
      </c>
      <c r="G30" s="1" t="s">
        <v>92</v>
      </c>
      <c r="H30" s="1" t="s">
        <v>78</v>
      </c>
      <c r="I30" s="1" t="s">
        <v>225</v>
      </c>
      <c r="J30" s="1">
        <v>49</v>
      </c>
      <c r="K30" s="1">
        <v>39</v>
      </c>
      <c r="L30" s="2">
        <f>IFERROR(K30/J30*100,0)</f>
        <v>0</v>
      </c>
      <c r="M30" s="1">
        <v>92</v>
      </c>
      <c r="N30" s="1" t="s">
        <v>222</v>
      </c>
      <c r="O30" s="1" t="s">
        <v>233</v>
      </c>
      <c r="P30" s="1" t="s">
        <v>23</v>
      </c>
      <c r="Q30" s="7">
        <f>IF(P30="Yes",C30+CertValidityDays,"")</f>
        <v>0</v>
      </c>
    </row>
    <row r="31" spans="1:17">
      <c r="A31" s="1">
        <v>28</v>
      </c>
      <c r="B31" s="1" t="s">
        <v>261</v>
      </c>
      <c r="C31" s="5">
        <v>46187</v>
      </c>
      <c r="D31" s="1" t="s">
        <v>73</v>
      </c>
      <c r="E31" s="6" t="s">
        <v>16</v>
      </c>
      <c r="F31" s="6" t="s">
        <v>235</v>
      </c>
      <c r="G31" s="1" t="s">
        <v>65</v>
      </c>
      <c r="H31" s="1" t="s">
        <v>22</v>
      </c>
      <c r="I31" s="1" t="s">
        <v>221</v>
      </c>
      <c r="J31" s="1">
        <v>10</v>
      </c>
      <c r="K31" s="1">
        <v>23</v>
      </c>
      <c r="L31" s="2">
        <f>IFERROR(K31/J31*100,0)</f>
        <v>0</v>
      </c>
      <c r="M31" s="1">
        <v>42</v>
      </c>
      <c r="N31" s="1" t="s">
        <v>222</v>
      </c>
      <c r="O31" s="1" t="s">
        <v>233</v>
      </c>
      <c r="P31" s="1" t="s">
        <v>9</v>
      </c>
      <c r="Q31" s="7">
        <f>IF(P31="Yes",C31+CertValidityDays,"")</f>
        <v>0</v>
      </c>
    </row>
    <row r="32" spans="1:17">
      <c r="A32" s="1">
        <v>29</v>
      </c>
      <c r="B32" s="1" t="s">
        <v>262</v>
      </c>
      <c r="C32" s="5">
        <v>46201</v>
      </c>
      <c r="D32" s="1" t="s">
        <v>73</v>
      </c>
      <c r="E32" s="6" t="s">
        <v>38</v>
      </c>
      <c r="F32" s="6" t="s">
        <v>235</v>
      </c>
      <c r="G32" s="1" t="s">
        <v>89</v>
      </c>
      <c r="H32" s="1" t="s">
        <v>28</v>
      </c>
      <c r="I32" s="1" t="s">
        <v>232</v>
      </c>
      <c r="J32" s="1">
        <v>29</v>
      </c>
      <c r="K32" s="1">
        <v>19</v>
      </c>
      <c r="L32" s="2">
        <f>IFERROR(K32/J32*100,0)</f>
        <v>0</v>
      </c>
      <c r="M32" s="1">
        <v>49</v>
      </c>
      <c r="N32" s="1" t="s">
        <v>222</v>
      </c>
      <c r="O32" s="1" t="s">
        <v>223</v>
      </c>
      <c r="P32" s="1" t="s">
        <v>9</v>
      </c>
      <c r="Q32" s="7">
        <f>IF(P32="Yes",C32+CertValidityDays,"")</f>
        <v>0</v>
      </c>
    </row>
    <row r="33" spans="1:17">
      <c r="A33" s="1">
        <v>30</v>
      </c>
      <c r="B33" s="1" t="s">
        <v>263</v>
      </c>
      <c r="C33" s="5">
        <v>46177</v>
      </c>
      <c r="D33" s="1" t="s">
        <v>73</v>
      </c>
      <c r="E33" s="6" t="s">
        <v>54</v>
      </c>
      <c r="F33" s="6" t="s">
        <v>220</v>
      </c>
      <c r="G33" s="1" t="s">
        <v>65</v>
      </c>
      <c r="H33" s="1" t="s">
        <v>22</v>
      </c>
      <c r="I33" s="1" t="s">
        <v>225</v>
      </c>
      <c r="J33" s="1">
        <v>53</v>
      </c>
      <c r="K33" s="1">
        <v>31</v>
      </c>
      <c r="L33" s="2">
        <f>IFERROR(K33/J33*100,0)</f>
        <v>0</v>
      </c>
      <c r="M33" s="1">
        <v>84</v>
      </c>
      <c r="N33" s="1" t="s">
        <v>236</v>
      </c>
      <c r="O33" s="1" t="s">
        <v>233</v>
      </c>
      <c r="P33" s="1" t="s">
        <v>9</v>
      </c>
      <c r="Q33" s="7">
        <f>IF(P33="Yes",C33+CertValidityDays,"")</f>
        <v>0</v>
      </c>
    </row>
    <row r="34" spans="1:17">
      <c r="A34" s="1">
        <v>31</v>
      </c>
      <c r="B34" s="1" t="s">
        <v>264</v>
      </c>
      <c r="C34" s="5">
        <v>46196</v>
      </c>
      <c r="D34" s="1" t="s">
        <v>73</v>
      </c>
      <c r="E34" s="6" t="s">
        <v>38</v>
      </c>
      <c r="F34" s="6" t="s">
        <v>238</v>
      </c>
      <c r="G34" s="1" t="s">
        <v>89</v>
      </c>
      <c r="H34" s="1" t="s">
        <v>22</v>
      </c>
      <c r="I34" s="1" t="s">
        <v>221</v>
      </c>
      <c r="J34" s="1">
        <v>45</v>
      </c>
      <c r="K34" s="1">
        <v>15</v>
      </c>
      <c r="L34" s="2">
        <f>IFERROR(K34/J34*100,0)</f>
        <v>0</v>
      </c>
      <c r="M34" s="1">
        <v>39</v>
      </c>
      <c r="N34" s="1" t="s">
        <v>236</v>
      </c>
      <c r="O34" s="1" t="s">
        <v>233</v>
      </c>
      <c r="P34" s="1" t="s">
        <v>9</v>
      </c>
      <c r="Q34" s="7">
        <f>IF(P34="Yes",C34+CertValidityDays,"")</f>
        <v>0</v>
      </c>
    </row>
    <row r="35" spans="1:17">
      <c r="A35" s="1">
        <v>32</v>
      </c>
      <c r="B35" s="1" t="s">
        <v>265</v>
      </c>
      <c r="C35" s="5">
        <v>46185</v>
      </c>
      <c r="D35" s="1" t="s">
        <v>73</v>
      </c>
      <c r="E35" s="6" t="s">
        <v>26</v>
      </c>
      <c r="F35" s="6" t="s">
        <v>220</v>
      </c>
      <c r="G35" s="1" t="s">
        <v>39</v>
      </c>
      <c r="H35" s="1" t="s">
        <v>104</v>
      </c>
      <c r="I35" s="1" t="s">
        <v>232</v>
      </c>
      <c r="J35" s="1">
        <v>15</v>
      </c>
      <c r="K35" s="1">
        <v>18</v>
      </c>
      <c r="L35" s="2">
        <f>IFERROR(K35/J35*100,0)</f>
        <v>0</v>
      </c>
      <c r="M35" s="1">
        <v>68</v>
      </c>
      <c r="N35" s="1" t="s">
        <v>222</v>
      </c>
      <c r="O35" s="1" t="s">
        <v>223</v>
      </c>
      <c r="P35" s="1" t="s">
        <v>9</v>
      </c>
      <c r="Q35" s="7">
        <f>IF(P35="Yes",C35+CertValidityDays,"")</f>
        <v>0</v>
      </c>
    </row>
    <row r="36" spans="1:17">
      <c r="A36" s="1">
        <v>33</v>
      </c>
      <c r="B36" s="1" t="s">
        <v>266</v>
      </c>
      <c r="C36" s="5">
        <v>46211</v>
      </c>
      <c r="D36" s="1" t="s">
        <v>76</v>
      </c>
      <c r="E36" s="6" t="s">
        <v>26</v>
      </c>
      <c r="F36" s="6" t="s">
        <v>220</v>
      </c>
      <c r="G36" s="1" t="s">
        <v>13</v>
      </c>
      <c r="H36" s="1" t="s">
        <v>36</v>
      </c>
      <c r="I36" s="1" t="s">
        <v>221</v>
      </c>
      <c r="J36" s="1">
        <v>32</v>
      </c>
      <c r="K36" s="1">
        <v>58</v>
      </c>
      <c r="L36" s="2">
        <f>IFERROR(K36/J36*100,0)</f>
        <v>0</v>
      </c>
      <c r="M36" s="1">
        <v>64</v>
      </c>
      <c r="N36" s="1" t="s">
        <v>222</v>
      </c>
      <c r="O36" s="1" t="s">
        <v>233</v>
      </c>
      <c r="P36" s="1" t="s">
        <v>23</v>
      </c>
      <c r="Q36" s="7">
        <f>IF(P36="Yes",C36+CertValidityDays,"")</f>
        <v>0</v>
      </c>
    </row>
    <row r="37" spans="1:17">
      <c r="A37" s="1">
        <v>34</v>
      </c>
      <c r="B37" s="1" t="s">
        <v>267</v>
      </c>
      <c r="C37" s="5">
        <v>46216</v>
      </c>
      <c r="D37" s="1" t="s">
        <v>76</v>
      </c>
      <c r="E37" s="6" t="s">
        <v>12</v>
      </c>
      <c r="F37" s="6" t="s">
        <v>240</v>
      </c>
      <c r="G37" s="1" t="s">
        <v>58</v>
      </c>
      <c r="H37" s="1" t="s">
        <v>62</v>
      </c>
      <c r="I37" s="1" t="s">
        <v>225</v>
      </c>
      <c r="J37" s="1">
        <v>32</v>
      </c>
      <c r="K37" s="1">
        <v>57</v>
      </c>
      <c r="L37" s="2">
        <f>IFERROR(K37/J37*100,0)</f>
        <v>0</v>
      </c>
      <c r="M37" s="1">
        <v>18</v>
      </c>
      <c r="N37" s="1" t="s">
        <v>222</v>
      </c>
      <c r="O37" s="1" t="s">
        <v>233</v>
      </c>
      <c r="P37" s="1" t="s">
        <v>9</v>
      </c>
      <c r="Q37" s="7">
        <f>IF(P37="Yes",C37+CertValidityDays,"")</f>
        <v>0</v>
      </c>
    </row>
    <row r="38" spans="1:17">
      <c r="A38" s="1">
        <v>35</v>
      </c>
      <c r="B38" s="1" t="s">
        <v>268</v>
      </c>
      <c r="C38" s="5">
        <v>46207</v>
      </c>
      <c r="D38" s="1" t="s">
        <v>76</v>
      </c>
      <c r="E38" s="6" t="s">
        <v>61</v>
      </c>
      <c r="F38" s="6" t="s">
        <v>235</v>
      </c>
      <c r="G38" s="1" t="s">
        <v>46</v>
      </c>
      <c r="H38" s="1" t="s">
        <v>15</v>
      </c>
      <c r="I38" s="1" t="s">
        <v>232</v>
      </c>
      <c r="J38" s="1">
        <v>36</v>
      </c>
      <c r="K38" s="1">
        <v>25</v>
      </c>
      <c r="L38" s="2">
        <f>IFERROR(K38/J38*100,0)</f>
        <v>0</v>
      </c>
      <c r="M38" s="1">
        <v>56</v>
      </c>
      <c r="N38" s="1" t="s">
        <v>222</v>
      </c>
      <c r="O38" s="1" t="s">
        <v>233</v>
      </c>
      <c r="P38" s="1" t="s">
        <v>9</v>
      </c>
      <c r="Q38" s="7">
        <f>IF(P38="Yes",C38+CertValidityDays,"")</f>
        <v>0</v>
      </c>
    </row>
    <row r="39" spans="1:17">
      <c r="A39" s="1">
        <v>36</v>
      </c>
      <c r="B39" s="1" t="s">
        <v>269</v>
      </c>
      <c r="C39" s="5">
        <v>46209</v>
      </c>
      <c r="D39" s="1" t="s">
        <v>76</v>
      </c>
      <c r="E39" s="6" t="s">
        <v>64</v>
      </c>
      <c r="F39" s="6" t="s">
        <v>229</v>
      </c>
      <c r="G39" s="1" t="s">
        <v>50</v>
      </c>
      <c r="H39" s="1" t="s">
        <v>36</v>
      </c>
      <c r="I39" s="1" t="s">
        <v>230</v>
      </c>
      <c r="J39" s="1">
        <v>37</v>
      </c>
      <c r="K39" s="1">
        <v>16</v>
      </c>
      <c r="L39" s="2">
        <f>IFERROR(K39/J39*100,0)</f>
        <v>0</v>
      </c>
      <c r="M39" s="1">
        <v>59</v>
      </c>
      <c r="N39" s="1" t="s">
        <v>226</v>
      </c>
      <c r="O39" s="1" t="s">
        <v>233</v>
      </c>
      <c r="P39" s="1" t="s">
        <v>9</v>
      </c>
      <c r="Q39" s="7">
        <f>IF(P39="Yes",C39+CertValidityDays,"")</f>
        <v>0</v>
      </c>
    </row>
    <row r="40" spans="1:17">
      <c r="A40" s="1">
        <v>37</v>
      </c>
      <c r="B40" s="1" t="s">
        <v>270</v>
      </c>
      <c r="C40" s="5">
        <v>46228</v>
      </c>
      <c r="D40" s="1" t="s">
        <v>76</v>
      </c>
      <c r="E40" s="6" t="s">
        <v>61</v>
      </c>
      <c r="F40" s="6" t="s">
        <v>235</v>
      </c>
      <c r="G40" s="1" t="s">
        <v>46</v>
      </c>
      <c r="H40" s="1" t="s">
        <v>93</v>
      </c>
      <c r="I40" s="1" t="s">
        <v>225</v>
      </c>
      <c r="J40" s="1">
        <v>32</v>
      </c>
      <c r="K40" s="1">
        <v>10</v>
      </c>
      <c r="L40" s="2">
        <f>IFERROR(K40/J40*100,0)</f>
        <v>0</v>
      </c>
      <c r="M40" s="1">
        <v>112</v>
      </c>
      <c r="N40" s="1" t="s">
        <v>222</v>
      </c>
      <c r="O40" s="1" t="s">
        <v>223</v>
      </c>
      <c r="P40" s="1" t="s">
        <v>23</v>
      </c>
      <c r="Q40" s="7">
        <f>IF(P40="Yes",C40+CertValidityDays,"")</f>
        <v>0</v>
      </c>
    </row>
    <row r="41" spans="1:17">
      <c r="A41" s="1">
        <v>38</v>
      </c>
      <c r="B41" s="1" t="s">
        <v>271</v>
      </c>
      <c r="C41" s="5">
        <v>46226</v>
      </c>
      <c r="D41" s="1" t="s">
        <v>76</v>
      </c>
      <c r="E41" s="6" t="s">
        <v>45</v>
      </c>
      <c r="F41" s="6" t="s">
        <v>225</v>
      </c>
      <c r="G41" s="1" t="s">
        <v>27</v>
      </c>
      <c r="H41" s="1" t="s">
        <v>93</v>
      </c>
      <c r="I41" s="1" t="s">
        <v>225</v>
      </c>
      <c r="J41" s="1">
        <v>40</v>
      </c>
      <c r="K41" s="1">
        <v>38</v>
      </c>
      <c r="L41" s="2">
        <f>IFERROR(K41/J41*100,0)</f>
        <v>0</v>
      </c>
      <c r="M41" s="1">
        <v>96</v>
      </c>
      <c r="N41" s="1" t="s">
        <v>236</v>
      </c>
      <c r="O41" s="1" t="s">
        <v>233</v>
      </c>
      <c r="P41" s="1" t="s">
        <v>23</v>
      </c>
      <c r="Q41" s="7">
        <f>IF(P41="Yes",C41+CertValidityDays,"")</f>
        <v>0</v>
      </c>
    </row>
    <row r="42" spans="1:17">
      <c r="A42" s="1">
        <v>39</v>
      </c>
      <c r="B42" s="1" t="s">
        <v>272</v>
      </c>
      <c r="C42" s="5">
        <v>46210</v>
      </c>
      <c r="D42" s="1" t="s">
        <v>76</v>
      </c>
      <c r="E42" s="6" t="s">
        <v>16</v>
      </c>
      <c r="F42" s="6" t="s">
        <v>225</v>
      </c>
      <c r="G42" s="1" t="s">
        <v>92</v>
      </c>
      <c r="H42" s="1" t="s">
        <v>22</v>
      </c>
      <c r="I42" s="1" t="s">
        <v>221</v>
      </c>
      <c r="J42" s="1">
        <v>23</v>
      </c>
      <c r="K42" s="1">
        <v>48</v>
      </c>
      <c r="L42" s="2">
        <f>IFERROR(K42/J42*100,0)</f>
        <v>0</v>
      </c>
      <c r="M42" s="1">
        <v>84</v>
      </c>
      <c r="N42" s="1" t="s">
        <v>236</v>
      </c>
      <c r="O42" s="1" t="s">
        <v>223</v>
      </c>
      <c r="P42" s="1" t="s">
        <v>23</v>
      </c>
      <c r="Q42" s="7">
        <f>IF(P42="Yes",C42+CertValidityDays,"")</f>
        <v>0</v>
      </c>
    </row>
    <row r="43" spans="1:17">
      <c r="A43" s="1">
        <v>40</v>
      </c>
      <c r="B43" s="1" t="s">
        <v>273</v>
      </c>
      <c r="C43" s="5">
        <v>46270</v>
      </c>
      <c r="D43" s="1" t="s">
        <v>102</v>
      </c>
      <c r="E43" s="6" t="s">
        <v>30</v>
      </c>
      <c r="F43" s="6" t="s">
        <v>235</v>
      </c>
      <c r="G43" s="1" t="s">
        <v>65</v>
      </c>
      <c r="H43" s="1" t="s">
        <v>78</v>
      </c>
      <c r="I43" s="1" t="s">
        <v>232</v>
      </c>
      <c r="J43" s="1">
        <v>21</v>
      </c>
      <c r="K43" s="1">
        <v>35</v>
      </c>
      <c r="L43" s="2">
        <f>IFERROR(K43/J43*100,0)</f>
        <v>0</v>
      </c>
      <c r="M43" s="1">
        <v>26</v>
      </c>
      <c r="N43" s="1" t="s">
        <v>236</v>
      </c>
      <c r="O43" s="1" t="s">
        <v>227</v>
      </c>
      <c r="P43" s="1" t="s">
        <v>9</v>
      </c>
      <c r="Q43" s="7">
        <f>IF(P43="Yes",C43+CertValidityDays,"")</f>
        <v>0</v>
      </c>
    </row>
    <row r="44" spans="1:17">
      <c r="A44" s="1">
        <v>41</v>
      </c>
      <c r="B44" s="1" t="s">
        <v>274</v>
      </c>
      <c r="C44" s="5">
        <v>46266</v>
      </c>
      <c r="D44" s="1" t="s">
        <v>102</v>
      </c>
      <c r="E44" s="6" t="s">
        <v>91</v>
      </c>
      <c r="F44" s="6" t="s">
        <v>229</v>
      </c>
      <c r="G44" s="1" t="s">
        <v>92</v>
      </c>
      <c r="H44" s="1" t="s">
        <v>32</v>
      </c>
      <c r="I44" s="1" t="s">
        <v>232</v>
      </c>
      <c r="J44" s="1">
        <v>50</v>
      </c>
      <c r="K44" s="1">
        <v>30</v>
      </c>
      <c r="L44" s="2">
        <f>IFERROR(K44/J44*100,0)</f>
        <v>0</v>
      </c>
      <c r="M44" s="1">
        <v>96</v>
      </c>
      <c r="N44" s="1" t="s">
        <v>222</v>
      </c>
      <c r="O44" s="1" t="s">
        <v>233</v>
      </c>
      <c r="P44" s="1" t="s">
        <v>23</v>
      </c>
      <c r="Q44" s="7">
        <f>IF(P44="Yes",C44+CertValidityDays,"")</f>
        <v>0</v>
      </c>
    </row>
    <row r="45" spans="1:17">
      <c r="A45" s="1">
        <v>42</v>
      </c>
      <c r="B45" s="1" t="s">
        <v>275</v>
      </c>
      <c r="C45" s="5">
        <v>46308</v>
      </c>
      <c r="D45" s="1" t="s">
        <v>106</v>
      </c>
      <c r="E45" s="6" t="s">
        <v>26</v>
      </c>
      <c r="F45" s="6" t="s">
        <v>240</v>
      </c>
      <c r="G45" s="1" t="s">
        <v>46</v>
      </c>
      <c r="H45" s="1" t="s">
        <v>78</v>
      </c>
      <c r="I45" s="1" t="s">
        <v>230</v>
      </c>
      <c r="J45" s="1">
        <v>33</v>
      </c>
      <c r="K45" s="1">
        <v>11</v>
      </c>
      <c r="L45" s="2">
        <f>IFERROR(K45/J45*100,0)</f>
        <v>0</v>
      </c>
      <c r="M45" s="1">
        <v>84</v>
      </c>
      <c r="N45" s="1" t="s">
        <v>222</v>
      </c>
      <c r="O45" s="1" t="s">
        <v>233</v>
      </c>
      <c r="P45" s="1" t="s">
        <v>9</v>
      </c>
      <c r="Q45" s="7">
        <f>IF(P45="Yes",C45+CertValidityDays,"")</f>
        <v>0</v>
      </c>
    </row>
    <row r="46" spans="1:17">
      <c r="A46" s="1">
        <v>43</v>
      </c>
      <c r="B46" s="1" t="s">
        <v>276</v>
      </c>
      <c r="C46" s="5">
        <v>46301</v>
      </c>
      <c r="D46" s="1" t="s">
        <v>106</v>
      </c>
      <c r="E46" s="6" t="s">
        <v>45</v>
      </c>
      <c r="F46" s="6" t="s">
        <v>235</v>
      </c>
      <c r="G46" s="1" t="s">
        <v>92</v>
      </c>
      <c r="H46" s="1" t="s">
        <v>104</v>
      </c>
      <c r="I46" s="1" t="s">
        <v>230</v>
      </c>
      <c r="J46" s="1">
        <v>38</v>
      </c>
      <c r="K46" s="1">
        <v>39</v>
      </c>
      <c r="L46" s="2">
        <f>IFERROR(K46/J46*100,0)</f>
        <v>0</v>
      </c>
      <c r="M46" s="1">
        <v>27</v>
      </c>
      <c r="N46" s="1" t="s">
        <v>226</v>
      </c>
      <c r="O46" s="1" t="s">
        <v>223</v>
      </c>
      <c r="P46" s="1" t="s">
        <v>23</v>
      </c>
      <c r="Q46" s="7">
        <f>IF(P46="Yes",C46+CertValidityDays,"")</f>
        <v>0</v>
      </c>
    </row>
    <row r="47" spans="1:17">
      <c r="A47" s="1">
        <v>44</v>
      </c>
      <c r="B47" s="1" t="s">
        <v>277</v>
      </c>
      <c r="C47" s="5">
        <v>46321</v>
      </c>
      <c r="D47" s="1" t="s">
        <v>106</v>
      </c>
      <c r="E47" s="6" t="s">
        <v>57</v>
      </c>
      <c r="F47" s="6" t="s">
        <v>225</v>
      </c>
      <c r="G47" s="1" t="s">
        <v>65</v>
      </c>
      <c r="H47" s="1" t="s">
        <v>68</v>
      </c>
      <c r="I47" s="1" t="s">
        <v>232</v>
      </c>
      <c r="J47" s="1">
        <v>54</v>
      </c>
      <c r="K47" s="1">
        <v>24</v>
      </c>
      <c r="L47" s="2">
        <f>IFERROR(K47/J47*100,0)</f>
        <v>0</v>
      </c>
      <c r="M47" s="1">
        <v>61</v>
      </c>
      <c r="N47" s="1" t="s">
        <v>226</v>
      </c>
      <c r="O47" s="1" t="s">
        <v>233</v>
      </c>
      <c r="P47" s="1" t="s">
        <v>23</v>
      </c>
      <c r="Q47" s="7">
        <f>IF(P47="Yes",C47+CertValidityDays,"")</f>
        <v>0</v>
      </c>
    </row>
    <row r="48" spans="1:17">
      <c r="A48" s="1">
        <v>45</v>
      </c>
      <c r="B48" s="1" t="s">
        <v>278</v>
      </c>
      <c r="C48" s="5">
        <v>46317</v>
      </c>
      <c r="D48" s="1" t="s">
        <v>106</v>
      </c>
      <c r="E48" s="6" t="s">
        <v>91</v>
      </c>
      <c r="F48" s="6" t="s">
        <v>238</v>
      </c>
      <c r="G48" s="1" t="s">
        <v>65</v>
      </c>
      <c r="H48" s="1" t="s">
        <v>36</v>
      </c>
      <c r="I48" s="1" t="s">
        <v>230</v>
      </c>
      <c r="J48" s="1">
        <v>46</v>
      </c>
      <c r="K48" s="1">
        <v>27</v>
      </c>
      <c r="L48" s="2">
        <f>IFERROR(K48/J48*100,0)</f>
        <v>0</v>
      </c>
      <c r="M48" s="1">
        <v>114</v>
      </c>
      <c r="N48" s="1" t="s">
        <v>222</v>
      </c>
      <c r="O48" s="1" t="s">
        <v>227</v>
      </c>
      <c r="P48" s="1" t="s">
        <v>9</v>
      </c>
      <c r="Q48" s="7">
        <f>IF(P48="Yes",C48+CertValidityDays,"")</f>
        <v>0</v>
      </c>
    </row>
    <row r="49" spans="1:17">
      <c r="A49" s="1">
        <v>46</v>
      </c>
      <c r="B49" s="1" t="s">
        <v>279</v>
      </c>
      <c r="C49" s="5">
        <v>46345</v>
      </c>
      <c r="D49" s="1" t="s">
        <v>111</v>
      </c>
      <c r="E49" s="6" t="s">
        <v>64</v>
      </c>
      <c r="F49" s="6" t="s">
        <v>225</v>
      </c>
      <c r="G49" s="1" t="s">
        <v>46</v>
      </c>
      <c r="H49" s="1" t="s">
        <v>32</v>
      </c>
      <c r="I49" s="1" t="s">
        <v>225</v>
      </c>
      <c r="J49" s="1">
        <v>13</v>
      </c>
      <c r="K49" s="1">
        <v>50</v>
      </c>
      <c r="L49" s="2">
        <f>IFERROR(K49/J49*100,0)</f>
        <v>0</v>
      </c>
      <c r="M49" s="1">
        <v>98</v>
      </c>
      <c r="N49" s="1" t="s">
        <v>222</v>
      </c>
      <c r="O49" s="1" t="s">
        <v>227</v>
      </c>
      <c r="P49" s="1" t="s">
        <v>9</v>
      </c>
      <c r="Q49" s="7">
        <f>IF(P49="Yes",C49+CertValidityDays,"")</f>
        <v>0</v>
      </c>
    </row>
    <row r="50" spans="1:17">
      <c r="A50" s="1">
        <v>47</v>
      </c>
      <c r="B50" s="1" t="s">
        <v>280</v>
      </c>
      <c r="C50" s="5">
        <v>46333</v>
      </c>
      <c r="D50" s="1" t="s">
        <v>111</v>
      </c>
      <c r="E50" s="6" t="s">
        <v>91</v>
      </c>
      <c r="F50" s="6" t="s">
        <v>235</v>
      </c>
      <c r="G50" s="1" t="s">
        <v>27</v>
      </c>
      <c r="H50" s="1" t="s">
        <v>66</v>
      </c>
      <c r="I50" s="1" t="s">
        <v>225</v>
      </c>
      <c r="J50" s="1">
        <v>22</v>
      </c>
      <c r="K50" s="1">
        <v>58</v>
      </c>
      <c r="L50" s="2">
        <f>IFERROR(K50/J50*100,0)</f>
        <v>0</v>
      </c>
      <c r="M50" s="1">
        <v>71</v>
      </c>
      <c r="N50" s="1" t="s">
        <v>226</v>
      </c>
      <c r="O50" s="1" t="s">
        <v>227</v>
      </c>
      <c r="P50" s="1" t="s">
        <v>23</v>
      </c>
      <c r="Q50" s="7">
        <f>IF(P50="Yes",C50+CertValidityDays,"")</f>
        <v>0</v>
      </c>
    </row>
    <row r="51" spans="1:17">
      <c r="A51" s="1">
        <v>48</v>
      </c>
      <c r="B51" s="1" t="s">
        <v>281</v>
      </c>
      <c r="C51" s="5">
        <v>46368</v>
      </c>
      <c r="D51" s="1" t="s">
        <v>122</v>
      </c>
      <c r="E51" s="6" t="s">
        <v>20</v>
      </c>
      <c r="F51" s="6" t="s">
        <v>225</v>
      </c>
      <c r="G51" s="1" t="s">
        <v>58</v>
      </c>
      <c r="H51" s="1" t="s">
        <v>70</v>
      </c>
      <c r="I51" s="1" t="s">
        <v>232</v>
      </c>
      <c r="J51" s="1">
        <v>28</v>
      </c>
      <c r="K51" s="1">
        <v>18</v>
      </c>
      <c r="L51" s="2">
        <f>IFERROR(K51/J51*100,0)</f>
        <v>0</v>
      </c>
      <c r="M51" s="1">
        <v>28</v>
      </c>
      <c r="N51" s="1" t="s">
        <v>226</v>
      </c>
      <c r="O51" s="1" t="s">
        <v>233</v>
      </c>
      <c r="P51" s="1" t="s">
        <v>9</v>
      </c>
      <c r="Q51" s="7">
        <f>IF(P51="Yes",C51+CertValidityDays,"")</f>
        <v>0</v>
      </c>
    </row>
    <row r="52" spans="1:17">
      <c r="L52" s="2">
        <f>IFERROR(K52/J52*100,0)</f>
        <v>0</v>
      </c>
      <c r="Q52" s="7">
        <f>IF(P52="Yes",C52+CertValidityDays,"")</f>
        <v>0</v>
      </c>
    </row>
    <row r="53" spans="1:17">
      <c r="L53" s="2">
        <f>IFERROR(K53/J53*100,0)</f>
        <v>0</v>
      </c>
      <c r="Q53" s="7">
        <f>IF(P53="Yes",C53+CertValidityDays,"")</f>
        <v>0</v>
      </c>
    </row>
    <row r="54" spans="1:17">
      <c r="L54" s="2">
        <f>IFERROR(K54/J54*100,0)</f>
        <v>0</v>
      </c>
      <c r="Q54" s="7">
        <f>IF(P54="Yes",C54+CertValidityDays,"")</f>
        <v>0</v>
      </c>
    </row>
    <row r="55" spans="1:17">
      <c r="L55" s="2">
        <f>IFERROR(K55/J55*100,0)</f>
        <v>0</v>
      </c>
      <c r="Q55" s="7">
        <f>IF(P55="Yes",C55+CertValidityDays,"")</f>
        <v>0</v>
      </c>
    </row>
    <row r="56" spans="1:17">
      <c r="L56" s="2">
        <f>IFERROR(K56/J56*100,0)</f>
        <v>0</v>
      </c>
      <c r="Q56" s="7">
        <f>IF(P56="Yes",C56+CertValidityDays,"")</f>
        <v>0</v>
      </c>
    </row>
    <row r="57" spans="1:17">
      <c r="L57" s="2">
        <f>IFERROR(K57/J57*100,0)</f>
        <v>0</v>
      </c>
      <c r="Q57" s="7">
        <f>IF(P57="Yes",C57+CertValidityDays,"")</f>
        <v>0</v>
      </c>
    </row>
    <row r="58" spans="1:17">
      <c r="L58" s="2">
        <f>IFERROR(K58/J58*100,0)</f>
        <v>0</v>
      </c>
      <c r="Q58" s="7">
        <f>IF(P58="Yes",C58+CertValidityDays,"")</f>
        <v>0</v>
      </c>
    </row>
    <row r="59" spans="1:17">
      <c r="L59" s="2">
        <f>IFERROR(K59/J59*100,0)</f>
        <v>0</v>
      </c>
      <c r="Q59" s="7">
        <f>IF(P59="Yes",C59+CertValidityDays,"")</f>
        <v>0</v>
      </c>
    </row>
    <row r="60" spans="1:17">
      <c r="L60" s="2">
        <f>IFERROR(K60/J60*100,0)</f>
        <v>0</v>
      </c>
      <c r="Q60" s="7">
        <f>IF(P60="Yes",C60+CertValidityDays,"")</f>
        <v>0</v>
      </c>
    </row>
    <row r="61" spans="1:17">
      <c r="L61" s="2">
        <f>IFERROR(K61/J61*100,0)</f>
        <v>0</v>
      </c>
      <c r="Q61" s="7">
        <f>IF(P61="Yes",C61+CertValidityDays,"")</f>
        <v>0</v>
      </c>
    </row>
    <row r="62" spans="1:17">
      <c r="L62" s="2">
        <f>IFERROR(K62/J62*100,0)</f>
        <v>0</v>
      </c>
      <c r="Q62" s="7">
        <f>IF(P62="Yes",C62+CertValidityDays,"")</f>
        <v>0</v>
      </c>
    </row>
    <row r="63" spans="1:17">
      <c r="L63" s="2">
        <f>IFERROR(K63/J63*100,0)</f>
        <v>0</v>
      </c>
      <c r="Q63" s="7">
        <f>IF(P63="Yes",C63+CertValidityDays,"")</f>
        <v>0</v>
      </c>
    </row>
    <row r="64" spans="1:17">
      <c r="L64" s="2">
        <f>IFERROR(K64/J64*100,0)</f>
        <v>0</v>
      </c>
      <c r="Q64" s="7">
        <f>IF(P64="Yes",C64+CertValidityDays,"")</f>
        <v>0</v>
      </c>
    </row>
    <row r="65" spans="12:17">
      <c r="L65" s="2">
        <f>IFERROR(K65/J65*100,0)</f>
        <v>0</v>
      </c>
      <c r="Q65" s="7">
        <f>IF(P65="Yes",C65+CertValidityDays,"")</f>
        <v>0</v>
      </c>
    </row>
    <row r="66" spans="12:17">
      <c r="L66" s="2">
        <f>IFERROR(K66/J66*100,0)</f>
        <v>0</v>
      </c>
      <c r="Q66" s="7">
        <f>IF(P66="Yes",C66+CertValidityDays,"")</f>
        <v>0</v>
      </c>
    </row>
    <row r="67" spans="12:17">
      <c r="L67" s="2">
        <f>IFERROR(K67/J67*100,0)</f>
        <v>0</v>
      </c>
      <c r="Q67" s="7">
        <f>IF(P67="Yes",C67+CertValidityDays,"")</f>
        <v>0</v>
      </c>
    </row>
    <row r="68" spans="12:17">
      <c r="L68" s="2">
        <f>IFERROR(K68/J68*100,0)</f>
        <v>0</v>
      </c>
      <c r="Q68" s="7">
        <f>IF(P68="Yes",C68+CertValidityDays,"")</f>
        <v>0</v>
      </c>
    </row>
    <row r="69" spans="12:17">
      <c r="L69" s="2">
        <f>IFERROR(K69/J69*100,0)</f>
        <v>0</v>
      </c>
      <c r="Q69" s="7">
        <f>IF(P69="Yes",C69+CertValidityDays,"")</f>
        <v>0</v>
      </c>
    </row>
    <row r="70" spans="12:17">
      <c r="L70" s="2">
        <f>IFERROR(K70/J70*100,0)</f>
        <v>0</v>
      </c>
      <c r="Q70" s="7">
        <f>IF(P70="Yes",C70+CertValidityDays,"")</f>
        <v>0</v>
      </c>
    </row>
    <row r="71" spans="12:17">
      <c r="L71" s="2">
        <f>IFERROR(K71/J71*100,0)</f>
        <v>0</v>
      </c>
      <c r="Q71" s="7">
        <f>IF(P71="Yes",C71+CertValidityDays,"")</f>
        <v>0</v>
      </c>
    </row>
    <row r="72" spans="12:17">
      <c r="L72" s="2">
        <f>IFERROR(K72/J72*100,0)</f>
        <v>0</v>
      </c>
      <c r="Q72" s="7">
        <f>IF(P72="Yes",C72+CertValidityDays,"")</f>
        <v>0</v>
      </c>
    </row>
    <row r="73" spans="12:17">
      <c r="L73" s="2">
        <f>IFERROR(K73/J73*100,0)</f>
        <v>0</v>
      </c>
      <c r="Q73" s="7">
        <f>IF(P73="Yes",C73+CertValidityDays,"")</f>
        <v>0</v>
      </c>
    </row>
    <row r="74" spans="12:17">
      <c r="L74" s="2">
        <f>IFERROR(K74/J74*100,0)</f>
        <v>0</v>
      </c>
      <c r="Q74" s="7">
        <f>IF(P74="Yes",C74+CertValidityDays,"")</f>
        <v>0</v>
      </c>
    </row>
    <row r="75" spans="12:17">
      <c r="L75" s="2">
        <f>IFERROR(K75/J75*100,0)</f>
        <v>0</v>
      </c>
      <c r="Q75" s="7">
        <f>IF(P75="Yes",C75+CertValidityDays,"")</f>
        <v>0</v>
      </c>
    </row>
    <row r="76" spans="12:17">
      <c r="L76" s="2">
        <f>IFERROR(K76/J76*100,0)</f>
        <v>0</v>
      </c>
      <c r="Q76" s="7">
        <f>IF(P76="Yes",C76+CertValidityDays,"")</f>
        <v>0</v>
      </c>
    </row>
    <row r="77" spans="12:17">
      <c r="L77" s="2">
        <f>IFERROR(K77/J77*100,0)</f>
        <v>0</v>
      </c>
      <c r="Q77" s="7">
        <f>IF(P77="Yes",C77+CertValidityDays,"")</f>
        <v>0</v>
      </c>
    </row>
    <row r="78" spans="12:17">
      <c r="L78" s="2">
        <f>IFERROR(K78/J78*100,0)</f>
        <v>0</v>
      </c>
      <c r="Q78" s="7">
        <f>IF(P78="Yes",C78+CertValidityDays,"")</f>
        <v>0</v>
      </c>
    </row>
    <row r="79" spans="12:17">
      <c r="L79" s="2">
        <f>IFERROR(K79/J79*100,0)</f>
        <v>0</v>
      </c>
      <c r="Q79" s="7">
        <f>IF(P79="Yes",C79+CertValidityDays,"")</f>
        <v>0</v>
      </c>
    </row>
    <row r="80" spans="12:17">
      <c r="L80" s="2">
        <f>IFERROR(K80/J80*100,0)</f>
        <v>0</v>
      </c>
      <c r="Q80" s="7">
        <f>IF(P80="Yes",C80+CertValidityDays,"")</f>
        <v>0</v>
      </c>
    </row>
    <row r="81" spans="12:17">
      <c r="L81" s="2">
        <f>IFERROR(K81/J81*100,0)</f>
        <v>0</v>
      </c>
      <c r="Q81" s="7">
        <f>IF(P81="Yes",C81+CertValidityDays,"")</f>
        <v>0</v>
      </c>
    </row>
    <row r="82" spans="12:17">
      <c r="L82" s="2">
        <f>IFERROR(K82/J82*100,0)</f>
        <v>0</v>
      </c>
      <c r="Q82" s="7">
        <f>IF(P82="Yes",C82+CertValidityDays,"")</f>
        <v>0</v>
      </c>
    </row>
    <row r="83" spans="12:17">
      <c r="L83" s="2">
        <f>IFERROR(K83/J83*100,0)</f>
        <v>0</v>
      </c>
      <c r="Q83" s="7">
        <f>IF(P83="Yes",C83+CertValidityDays,"")</f>
        <v>0</v>
      </c>
    </row>
    <row r="84" spans="12:17">
      <c r="L84" s="2">
        <f>IFERROR(K84/J84*100,0)</f>
        <v>0</v>
      </c>
      <c r="Q84" s="7">
        <f>IF(P84="Yes",C84+CertValidityDays,"")</f>
        <v>0</v>
      </c>
    </row>
    <row r="85" spans="12:17">
      <c r="L85" s="2">
        <f>IFERROR(K85/J85*100,0)</f>
        <v>0</v>
      </c>
      <c r="Q85" s="7">
        <f>IF(P85="Yes",C85+CertValidityDays,"")</f>
        <v>0</v>
      </c>
    </row>
    <row r="86" spans="12:17">
      <c r="L86" s="2">
        <f>IFERROR(K86/J86*100,0)</f>
        <v>0</v>
      </c>
      <c r="Q86" s="7">
        <f>IF(P86="Yes",C86+CertValidityDays,"")</f>
        <v>0</v>
      </c>
    </row>
    <row r="87" spans="12:17">
      <c r="L87" s="2">
        <f>IFERROR(K87/J87*100,0)</f>
        <v>0</v>
      </c>
      <c r="Q87" s="7">
        <f>IF(P87="Yes",C87+CertValidityDays,"")</f>
        <v>0</v>
      </c>
    </row>
    <row r="88" spans="12:17">
      <c r="L88" s="2">
        <f>IFERROR(K88/J88*100,0)</f>
        <v>0</v>
      </c>
      <c r="Q88" s="7">
        <f>IF(P88="Yes",C88+CertValidityDays,"")</f>
        <v>0</v>
      </c>
    </row>
    <row r="89" spans="12:17">
      <c r="L89" s="2">
        <f>IFERROR(K89/J89*100,0)</f>
        <v>0</v>
      </c>
      <c r="Q89" s="7">
        <f>IF(P89="Yes",C89+CertValidityDays,"")</f>
        <v>0</v>
      </c>
    </row>
    <row r="90" spans="12:17">
      <c r="L90" s="2">
        <f>IFERROR(K90/J90*100,0)</f>
        <v>0</v>
      </c>
      <c r="Q90" s="7">
        <f>IF(P90="Yes",C90+CertValidityDays,"")</f>
        <v>0</v>
      </c>
    </row>
    <row r="91" spans="12:17">
      <c r="L91" s="2">
        <f>IFERROR(K91/J91*100,0)</f>
        <v>0</v>
      </c>
      <c r="Q91" s="7">
        <f>IF(P91="Yes",C91+CertValidityDays,"")</f>
        <v>0</v>
      </c>
    </row>
    <row r="92" spans="12:17">
      <c r="L92" s="2">
        <f>IFERROR(K92/J92*100,0)</f>
        <v>0</v>
      </c>
      <c r="Q92" s="7">
        <f>IF(P92="Yes",C92+CertValidityDays,"")</f>
        <v>0</v>
      </c>
    </row>
    <row r="93" spans="12:17">
      <c r="L93" s="2">
        <f>IFERROR(K93/J93*100,0)</f>
        <v>0</v>
      </c>
      <c r="Q93" s="7">
        <f>IF(P93="Yes",C93+CertValidityDays,"")</f>
        <v>0</v>
      </c>
    </row>
    <row r="94" spans="12:17">
      <c r="L94" s="2">
        <f>IFERROR(K94/J94*100,0)</f>
        <v>0</v>
      </c>
      <c r="Q94" s="7">
        <f>IF(P94="Yes",C94+CertValidityDays,"")</f>
        <v>0</v>
      </c>
    </row>
    <row r="95" spans="12:17">
      <c r="L95" s="2">
        <f>IFERROR(K95/J95*100,0)</f>
        <v>0</v>
      </c>
      <c r="Q95" s="7">
        <f>IF(P95="Yes",C95+CertValidityDays,"")</f>
        <v>0</v>
      </c>
    </row>
    <row r="96" spans="12:17">
      <c r="L96" s="2">
        <f>IFERROR(K96/J96*100,0)</f>
        <v>0</v>
      </c>
      <c r="Q96" s="7">
        <f>IF(P96="Yes",C96+CertValidityDays,"")</f>
        <v>0</v>
      </c>
    </row>
    <row r="97" spans="12:17">
      <c r="L97" s="2">
        <f>IFERROR(K97/J97*100,0)</f>
        <v>0</v>
      </c>
      <c r="Q97" s="7">
        <f>IF(P97="Yes",C97+CertValidityDays,"")</f>
        <v>0</v>
      </c>
    </row>
    <row r="98" spans="12:17">
      <c r="L98" s="2">
        <f>IFERROR(K98/J98*100,0)</f>
        <v>0</v>
      </c>
      <c r="Q98" s="7">
        <f>IF(P98="Yes",C98+CertValidityDays,"")</f>
        <v>0</v>
      </c>
    </row>
    <row r="99" spans="12:17">
      <c r="L99" s="2">
        <f>IFERROR(K99/J99*100,0)</f>
        <v>0</v>
      </c>
      <c r="Q99" s="7">
        <f>IF(P99="Yes",C99+CertValidityDays,"")</f>
        <v>0</v>
      </c>
    </row>
    <row r="100" spans="12:17">
      <c r="L100" s="2">
        <f>IFERROR(K100/J100*100,0)</f>
        <v>0</v>
      </c>
      <c r="Q100" s="7">
        <f>IF(P100="Yes",C100+CertValidityDays,"")</f>
        <v>0</v>
      </c>
    </row>
    <row r="101" spans="12:17">
      <c r="L101" s="2">
        <f>IFERROR(K101/J101*100,0)</f>
        <v>0</v>
      </c>
      <c r="Q101" s="7">
        <f>IF(P101="Yes",C101+CertValidityDays,"")</f>
        <v>0</v>
      </c>
    </row>
    <row r="102" spans="12:17">
      <c r="L102" s="2">
        <f>IFERROR(K102/J102*100,0)</f>
        <v>0</v>
      </c>
      <c r="Q102" s="7">
        <f>IF(P102="Yes",C102+CertValidityDays,"")</f>
        <v>0</v>
      </c>
    </row>
    <row r="103" spans="12:17">
      <c r="L103" s="2">
        <f>IFERROR(K103/J103*100,0)</f>
        <v>0</v>
      </c>
      <c r="Q103" s="7">
        <f>IF(P103="Yes",C103+CertValidityDays,"")</f>
        <v>0</v>
      </c>
    </row>
    <row r="104" spans="12:17">
      <c r="L104" s="2">
        <f>IFERROR(K104/J104*100,0)</f>
        <v>0</v>
      </c>
      <c r="Q104" s="7">
        <f>IF(P104="Yes",C104+CertValidityDays,"")</f>
        <v>0</v>
      </c>
    </row>
    <row r="105" spans="12:17">
      <c r="L105" s="2">
        <f>IFERROR(K105/J105*100,0)</f>
        <v>0</v>
      </c>
      <c r="Q105" s="7">
        <f>IF(P105="Yes",C105+CertValidityDays,"")</f>
        <v>0</v>
      </c>
    </row>
    <row r="106" spans="12:17">
      <c r="L106" s="2">
        <f>IFERROR(K106/J106*100,0)</f>
        <v>0</v>
      </c>
      <c r="Q106" s="7">
        <f>IF(P106="Yes",C106+CertValidityDays,"")</f>
        <v>0</v>
      </c>
    </row>
    <row r="107" spans="12:17">
      <c r="L107" s="2">
        <f>IFERROR(K107/J107*100,0)</f>
        <v>0</v>
      </c>
      <c r="Q107" s="7">
        <f>IF(P107="Yes",C107+CertValidityDays,"")</f>
        <v>0</v>
      </c>
    </row>
    <row r="108" spans="12:17">
      <c r="L108" s="2">
        <f>IFERROR(K108/J108*100,0)</f>
        <v>0</v>
      </c>
      <c r="Q108" s="7">
        <f>IF(P108="Yes",C108+CertValidityDays,"")</f>
        <v>0</v>
      </c>
    </row>
    <row r="109" spans="12:17">
      <c r="L109" s="2">
        <f>IFERROR(K109/J109*100,0)</f>
        <v>0</v>
      </c>
      <c r="Q109" s="7">
        <f>IF(P109="Yes",C109+CertValidityDays,"")</f>
        <v>0</v>
      </c>
    </row>
    <row r="110" spans="12:17">
      <c r="L110" s="2">
        <f>IFERROR(K110/J110*100,0)</f>
        <v>0</v>
      </c>
      <c r="Q110" s="7">
        <f>IF(P110="Yes",C110+CertValidityDays,"")</f>
        <v>0</v>
      </c>
    </row>
    <row r="111" spans="12:17">
      <c r="L111" s="2">
        <f>IFERROR(K111/J111*100,0)</f>
        <v>0</v>
      </c>
      <c r="Q111" s="7">
        <f>IF(P111="Yes",C111+CertValidityDays,"")</f>
        <v>0</v>
      </c>
    </row>
    <row r="112" spans="12:17">
      <c r="L112" s="2">
        <f>IFERROR(K112/J112*100,0)</f>
        <v>0</v>
      </c>
      <c r="Q112" s="7">
        <f>IF(P112="Yes",C112+CertValidityDays,"")</f>
        <v>0</v>
      </c>
    </row>
    <row r="113" spans="12:17">
      <c r="L113" s="2">
        <f>IFERROR(K113/J113*100,0)</f>
        <v>0</v>
      </c>
      <c r="Q113" s="7">
        <f>IF(P113="Yes",C113+CertValidityDays,"")</f>
        <v>0</v>
      </c>
    </row>
    <row r="114" spans="12:17">
      <c r="L114" s="2">
        <f>IFERROR(K114/J114*100,0)</f>
        <v>0</v>
      </c>
      <c r="Q114" s="7">
        <f>IF(P114="Yes",C114+CertValidityDays,"")</f>
        <v>0</v>
      </c>
    </row>
    <row r="115" spans="12:17">
      <c r="L115" s="2">
        <f>IFERROR(K115/J115*100,0)</f>
        <v>0</v>
      </c>
      <c r="Q115" s="7">
        <f>IF(P115="Yes",C115+CertValidityDays,"")</f>
        <v>0</v>
      </c>
    </row>
    <row r="116" spans="12:17">
      <c r="L116" s="2">
        <f>IFERROR(K116/J116*100,0)</f>
        <v>0</v>
      </c>
      <c r="Q116" s="7">
        <f>IF(P116="Yes",C116+CertValidityDays,"")</f>
        <v>0</v>
      </c>
    </row>
    <row r="117" spans="12:17">
      <c r="L117" s="2">
        <f>IFERROR(K117/J117*100,0)</f>
        <v>0</v>
      </c>
      <c r="Q117" s="7">
        <f>IF(P117="Yes",C117+CertValidityDays,"")</f>
        <v>0</v>
      </c>
    </row>
    <row r="118" spans="12:17">
      <c r="L118" s="2">
        <f>IFERROR(K118/J118*100,0)</f>
        <v>0</v>
      </c>
      <c r="Q118" s="7">
        <f>IF(P118="Yes",C118+CertValidityDays,"")</f>
        <v>0</v>
      </c>
    </row>
    <row r="119" spans="12:17">
      <c r="L119" s="2">
        <f>IFERROR(K119/J119*100,0)</f>
        <v>0</v>
      </c>
      <c r="Q119" s="7">
        <f>IF(P119="Yes",C119+CertValidityDays,"")</f>
        <v>0</v>
      </c>
    </row>
    <row r="120" spans="12:17">
      <c r="L120" s="2">
        <f>IFERROR(K120/J120*100,0)</f>
        <v>0</v>
      </c>
      <c r="Q120" s="7">
        <f>IF(P120="Yes",C120+CertValidityDays,"")</f>
        <v>0</v>
      </c>
    </row>
    <row r="121" spans="12:17">
      <c r="L121" s="2">
        <f>IFERROR(K121/J121*100,0)</f>
        <v>0</v>
      </c>
      <c r="Q121" s="7">
        <f>IF(P121="Yes",C121+CertValidityDays,"")</f>
        <v>0</v>
      </c>
    </row>
    <row r="122" spans="12:17">
      <c r="L122" s="2">
        <f>IFERROR(K122/J122*100,0)</f>
        <v>0</v>
      </c>
      <c r="Q122" s="7">
        <f>IF(P122="Yes",C122+CertValidityDays,"")</f>
        <v>0</v>
      </c>
    </row>
    <row r="123" spans="12:17">
      <c r="L123" s="2">
        <f>IFERROR(K123/J123*100,0)</f>
        <v>0</v>
      </c>
      <c r="Q123" s="7">
        <f>IF(P123="Yes",C123+CertValidityDays,"")</f>
        <v>0</v>
      </c>
    </row>
    <row r="124" spans="12:17">
      <c r="L124" s="2">
        <f>IFERROR(K124/J124*100,0)</f>
        <v>0</v>
      </c>
      <c r="Q124" s="7">
        <f>IF(P124="Yes",C124+CertValidityDays,"")</f>
        <v>0</v>
      </c>
    </row>
    <row r="125" spans="12:17">
      <c r="L125" s="2">
        <f>IFERROR(K125/J125*100,0)</f>
        <v>0</v>
      </c>
      <c r="Q125" s="7">
        <f>IF(P125="Yes",C125+CertValidityDays,"")</f>
        <v>0</v>
      </c>
    </row>
    <row r="126" spans="12:17">
      <c r="L126" s="2">
        <f>IFERROR(K126/J126*100,0)</f>
        <v>0</v>
      </c>
      <c r="Q126" s="7">
        <f>IF(P126="Yes",C126+CertValidityDays,"")</f>
        <v>0</v>
      </c>
    </row>
    <row r="127" spans="12:17">
      <c r="L127" s="2">
        <f>IFERROR(K127/J127*100,0)</f>
        <v>0</v>
      </c>
      <c r="Q127" s="7">
        <f>IF(P127="Yes",C127+CertValidityDays,"")</f>
        <v>0</v>
      </c>
    </row>
    <row r="128" spans="12:17">
      <c r="L128" s="2">
        <f>IFERROR(K128/J128*100,0)</f>
        <v>0</v>
      </c>
      <c r="Q128" s="7">
        <f>IF(P128="Yes",C128+CertValidityDays,"")</f>
        <v>0</v>
      </c>
    </row>
    <row r="129" spans="12:17">
      <c r="L129" s="2">
        <f>IFERROR(K129/J129*100,0)</f>
        <v>0</v>
      </c>
      <c r="Q129" s="7">
        <f>IF(P129="Yes",C129+CertValidityDays,"")</f>
        <v>0</v>
      </c>
    </row>
    <row r="130" spans="12:17">
      <c r="L130" s="2">
        <f>IFERROR(K130/J130*100,0)</f>
        <v>0</v>
      </c>
      <c r="Q130" s="7">
        <f>IF(P130="Yes",C130+CertValidityDays,"")</f>
        <v>0</v>
      </c>
    </row>
    <row r="131" spans="12:17">
      <c r="L131" s="2">
        <f>IFERROR(K131/J131*100,0)</f>
        <v>0</v>
      </c>
      <c r="Q131" s="7">
        <f>IF(P131="Yes",C131+CertValidityDays,"")</f>
        <v>0</v>
      </c>
    </row>
    <row r="132" spans="12:17">
      <c r="L132" s="2">
        <f>IFERROR(K132/J132*100,0)</f>
        <v>0</v>
      </c>
      <c r="Q132" s="7">
        <f>IF(P132="Yes",C132+CertValidityDays,"")</f>
        <v>0</v>
      </c>
    </row>
    <row r="133" spans="12:17">
      <c r="L133" s="2">
        <f>IFERROR(K133/J133*100,0)</f>
        <v>0</v>
      </c>
      <c r="Q133" s="7">
        <f>IF(P133="Yes",C133+CertValidityDays,"")</f>
        <v>0</v>
      </c>
    </row>
    <row r="134" spans="12:17">
      <c r="L134" s="2">
        <f>IFERROR(K134/J134*100,0)</f>
        <v>0</v>
      </c>
      <c r="Q134" s="7">
        <f>IF(P134="Yes",C134+CertValidityDays,"")</f>
        <v>0</v>
      </c>
    </row>
    <row r="135" spans="12:17">
      <c r="L135" s="2">
        <f>IFERROR(K135/J135*100,0)</f>
        <v>0</v>
      </c>
      <c r="Q135" s="7">
        <f>IF(P135="Yes",C135+CertValidityDays,"")</f>
        <v>0</v>
      </c>
    </row>
    <row r="136" spans="12:17">
      <c r="L136" s="2">
        <f>IFERROR(K136/J136*100,0)</f>
        <v>0</v>
      </c>
      <c r="Q136" s="7">
        <f>IF(P136="Yes",C136+CertValidityDays,"")</f>
        <v>0</v>
      </c>
    </row>
    <row r="137" spans="12:17">
      <c r="L137" s="2">
        <f>IFERROR(K137/J137*100,0)</f>
        <v>0</v>
      </c>
      <c r="Q137" s="7">
        <f>IF(P137="Yes",C137+CertValidityDays,"")</f>
        <v>0</v>
      </c>
    </row>
    <row r="138" spans="12:17">
      <c r="L138" s="2">
        <f>IFERROR(K138/J138*100,0)</f>
        <v>0</v>
      </c>
      <c r="Q138" s="7">
        <f>IF(P138="Yes",C138+CertValidityDays,"")</f>
        <v>0</v>
      </c>
    </row>
    <row r="139" spans="12:17">
      <c r="L139" s="2">
        <f>IFERROR(K139/J139*100,0)</f>
        <v>0</v>
      </c>
      <c r="Q139" s="7">
        <f>IF(P139="Yes",C139+CertValidityDays,"")</f>
        <v>0</v>
      </c>
    </row>
    <row r="140" spans="12:17">
      <c r="L140" s="2">
        <f>IFERROR(K140/J140*100,0)</f>
        <v>0</v>
      </c>
      <c r="Q140" s="7">
        <f>IF(P140="Yes",C140+CertValidityDays,"")</f>
        <v>0</v>
      </c>
    </row>
    <row r="141" spans="12:17">
      <c r="L141" s="2">
        <f>IFERROR(K141/J141*100,0)</f>
        <v>0</v>
      </c>
      <c r="Q141" s="7">
        <f>IF(P141="Yes",C141+CertValidityDays,"")</f>
        <v>0</v>
      </c>
    </row>
    <row r="142" spans="12:17">
      <c r="L142" s="2">
        <f>IFERROR(K142/J142*100,0)</f>
        <v>0</v>
      </c>
      <c r="Q142" s="7">
        <f>IF(P142="Yes",C142+CertValidityDays,"")</f>
        <v>0</v>
      </c>
    </row>
    <row r="143" spans="12:17">
      <c r="L143" s="2">
        <f>IFERROR(K143/J143*100,0)</f>
        <v>0</v>
      </c>
      <c r="Q143" s="7">
        <f>IF(P143="Yes",C143+CertValidityDays,"")</f>
        <v>0</v>
      </c>
    </row>
    <row r="144" spans="12:17">
      <c r="L144" s="2">
        <f>IFERROR(K144/J144*100,0)</f>
        <v>0</v>
      </c>
      <c r="Q144" s="7">
        <f>IF(P144="Yes",C144+CertValidityDays,"")</f>
        <v>0</v>
      </c>
    </row>
    <row r="145" spans="12:17">
      <c r="L145" s="2">
        <f>IFERROR(K145/J145*100,0)</f>
        <v>0</v>
      </c>
      <c r="Q145" s="7">
        <f>IF(P145="Yes",C145+CertValidityDays,"")</f>
        <v>0</v>
      </c>
    </row>
    <row r="146" spans="12:17">
      <c r="L146" s="2">
        <f>IFERROR(K146/J146*100,0)</f>
        <v>0</v>
      </c>
      <c r="Q146" s="7">
        <f>IF(P146="Yes",C146+CertValidityDays,"")</f>
        <v>0</v>
      </c>
    </row>
    <row r="147" spans="12:17">
      <c r="L147" s="2">
        <f>IFERROR(K147/J147*100,0)</f>
        <v>0</v>
      </c>
      <c r="Q147" s="7">
        <f>IF(P147="Yes",C147+CertValidityDays,"")</f>
        <v>0</v>
      </c>
    </row>
    <row r="148" spans="12:17">
      <c r="L148" s="2">
        <f>IFERROR(K148/J148*100,0)</f>
        <v>0</v>
      </c>
      <c r="Q148" s="7">
        <f>IF(P148="Yes",C148+CertValidityDays,"")</f>
        <v>0</v>
      </c>
    </row>
    <row r="149" spans="12:17">
      <c r="L149" s="2">
        <f>IFERROR(K149/J149*100,0)</f>
        <v>0</v>
      </c>
      <c r="Q149" s="7">
        <f>IF(P149="Yes",C149+CertValidityDays,"")</f>
        <v>0</v>
      </c>
    </row>
    <row r="150" spans="12:17">
      <c r="L150" s="2">
        <f>IFERROR(K150/J150*100,0)</f>
        <v>0</v>
      </c>
      <c r="Q150" s="7">
        <f>IF(P150="Yes",C150+CertValidityDays,"")</f>
        <v>0</v>
      </c>
    </row>
    <row r="151" spans="12:17">
      <c r="L151" s="2">
        <f>IFERROR(K151/J151*100,0)</f>
        <v>0</v>
      </c>
      <c r="Q151" s="7">
        <f>IF(P151="Yes",C151+CertValidityDays,"")</f>
        <v>0</v>
      </c>
    </row>
    <row r="152" spans="12:17">
      <c r="L152" s="2">
        <f>IFERROR(K152/J152*100,0)</f>
        <v>0</v>
      </c>
      <c r="Q152" s="7">
        <f>IF(P152="Yes",C152+CertValidityDays,"")</f>
        <v>0</v>
      </c>
    </row>
    <row r="153" spans="12:17">
      <c r="L153" s="2">
        <f>IFERROR(K153/J153*100,0)</f>
        <v>0</v>
      </c>
      <c r="Q153" s="7">
        <f>IF(P153="Yes",C153+CertValidityDays,"")</f>
        <v>0</v>
      </c>
    </row>
    <row r="154" spans="12:17">
      <c r="L154" s="2">
        <f>IFERROR(K154/J154*100,0)</f>
        <v>0</v>
      </c>
      <c r="Q154" s="7">
        <f>IF(P154="Yes",C154+CertValidityDays,"")</f>
        <v>0</v>
      </c>
    </row>
    <row r="155" spans="12:17">
      <c r="L155" s="2">
        <f>IFERROR(K155/J155*100,0)</f>
        <v>0</v>
      </c>
      <c r="Q155" s="7">
        <f>IF(P155="Yes",C155+CertValidityDays,"")</f>
        <v>0</v>
      </c>
    </row>
    <row r="156" spans="12:17">
      <c r="L156" s="2">
        <f>IFERROR(K156/J156*100,0)</f>
        <v>0</v>
      </c>
      <c r="Q156" s="7">
        <f>IF(P156="Yes",C156+CertValidityDays,"")</f>
        <v>0</v>
      </c>
    </row>
    <row r="157" spans="12:17">
      <c r="L157" s="2">
        <f>IFERROR(K157/J157*100,0)</f>
        <v>0</v>
      </c>
      <c r="Q157" s="7">
        <f>IF(P157="Yes",C157+CertValidityDays,"")</f>
        <v>0</v>
      </c>
    </row>
    <row r="158" spans="12:17">
      <c r="L158" s="2">
        <f>IFERROR(K158/J158*100,0)</f>
        <v>0</v>
      </c>
      <c r="Q158" s="7">
        <f>IF(P158="Yes",C158+CertValidityDays,"")</f>
        <v>0</v>
      </c>
    </row>
    <row r="159" spans="12:17">
      <c r="L159" s="2">
        <f>IFERROR(K159/J159*100,0)</f>
        <v>0</v>
      </c>
      <c r="Q159" s="7">
        <f>IF(P159="Yes",C159+CertValidityDays,"")</f>
        <v>0</v>
      </c>
    </row>
    <row r="160" spans="12:17">
      <c r="L160" s="2">
        <f>IFERROR(K160/J160*100,0)</f>
        <v>0</v>
      </c>
      <c r="Q160" s="7">
        <f>IF(P160="Yes",C160+CertValidityDays,"")</f>
        <v>0</v>
      </c>
    </row>
    <row r="161" spans="12:17">
      <c r="L161" s="2">
        <f>IFERROR(K161/J161*100,0)</f>
        <v>0</v>
      </c>
      <c r="Q161" s="7">
        <f>IF(P161="Yes",C161+CertValidityDays,"")</f>
        <v>0</v>
      </c>
    </row>
    <row r="162" spans="12:17">
      <c r="L162" s="2">
        <f>IFERROR(K162/J162*100,0)</f>
        <v>0</v>
      </c>
      <c r="Q162" s="7">
        <f>IF(P162="Yes",C162+CertValidityDays,"")</f>
        <v>0</v>
      </c>
    </row>
    <row r="163" spans="12:17">
      <c r="L163" s="2">
        <f>IFERROR(K163/J163*100,0)</f>
        <v>0</v>
      </c>
      <c r="Q163" s="7">
        <f>IF(P163="Yes",C163+CertValidityDays,"")</f>
        <v>0</v>
      </c>
    </row>
    <row r="164" spans="12:17">
      <c r="L164" s="2">
        <f>IFERROR(K164/J164*100,0)</f>
        <v>0</v>
      </c>
      <c r="Q164" s="7">
        <f>IF(P164="Yes",C164+CertValidityDays,"")</f>
        <v>0</v>
      </c>
    </row>
    <row r="165" spans="12:17">
      <c r="L165" s="2">
        <f>IFERROR(K165/J165*100,0)</f>
        <v>0</v>
      </c>
      <c r="Q165" s="7">
        <f>IF(P165="Yes",C165+CertValidityDays,"")</f>
        <v>0</v>
      </c>
    </row>
    <row r="166" spans="12:17">
      <c r="L166" s="2">
        <f>IFERROR(K166/J166*100,0)</f>
        <v>0</v>
      </c>
      <c r="Q166" s="7">
        <f>IF(P166="Yes",C166+CertValidityDays,"")</f>
        <v>0</v>
      </c>
    </row>
    <row r="167" spans="12:17">
      <c r="L167" s="2">
        <f>IFERROR(K167/J167*100,0)</f>
        <v>0</v>
      </c>
      <c r="Q167" s="7">
        <f>IF(P167="Yes",C167+CertValidityDays,"")</f>
        <v>0</v>
      </c>
    </row>
    <row r="168" spans="12:17">
      <c r="L168" s="2">
        <f>IFERROR(K168/J168*100,0)</f>
        <v>0</v>
      </c>
      <c r="Q168" s="7">
        <f>IF(P168="Yes",C168+CertValidityDays,"")</f>
        <v>0</v>
      </c>
    </row>
    <row r="169" spans="12:17">
      <c r="L169" s="2">
        <f>IFERROR(K169/J169*100,0)</f>
        <v>0</v>
      </c>
      <c r="Q169" s="7">
        <f>IF(P169="Yes",C169+CertValidityDays,"")</f>
        <v>0</v>
      </c>
    </row>
    <row r="170" spans="12:17">
      <c r="L170" s="2">
        <f>IFERROR(K170/J170*100,0)</f>
        <v>0</v>
      </c>
      <c r="Q170" s="7">
        <f>IF(P170="Yes",C170+CertValidityDays,"")</f>
        <v>0</v>
      </c>
    </row>
    <row r="171" spans="12:17">
      <c r="L171" s="2">
        <f>IFERROR(K171/J171*100,0)</f>
        <v>0</v>
      </c>
      <c r="Q171" s="7">
        <f>IF(P171="Yes",C171+CertValidityDays,"")</f>
        <v>0</v>
      </c>
    </row>
    <row r="172" spans="12:17">
      <c r="L172" s="2">
        <f>IFERROR(K172/J172*100,0)</f>
        <v>0</v>
      </c>
      <c r="Q172" s="7">
        <f>IF(P172="Yes",C172+CertValidityDays,"")</f>
        <v>0</v>
      </c>
    </row>
    <row r="173" spans="12:17">
      <c r="L173" s="2">
        <f>IFERROR(K173/J173*100,0)</f>
        <v>0</v>
      </c>
      <c r="Q173" s="7">
        <f>IF(P173="Yes",C173+CertValidityDays,"")</f>
        <v>0</v>
      </c>
    </row>
    <row r="174" spans="12:17">
      <c r="L174" s="2">
        <f>IFERROR(K174/J174*100,0)</f>
        <v>0</v>
      </c>
      <c r="Q174" s="7">
        <f>IF(P174="Yes",C174+CertValidityDays,"")</f>
        <v>0</v>
      </c>
    </row>
    <row r="175" spans="12:17">
      <c r="L175" s="2">
        <f>IFERROR(K175/J175*100,0)</f>
        <v>0</v>
      </c>
      <c r="Q175" s="7">
        <f>IF(P175="Yes",C175+CertValidityDays,"")</f>
        <v>0</v>
      </c>
    </row>
    <row r="176" spans="12:17">
      <c r="L176" s="2">
        <f>IFERROR(K176/J176*100,0)</f>
        <v>0</v>
      </c>
      <c r="Q176" s="7">
        <f>IF(P176="Yes",C176+CertValidityDays,"")</f>
        <v>0</v>
      </c>
    </row>
    <row r="177" spans="12:17">
      <c r="L177" s="2">
        <f>IFERROR(K177/J177*100,0)</f>
        <v>0</v>
      </c>
      <c r="Q177" s="7">
        <f>IF(P177="Yes",C177+CertValidityDays,"")</f>
        <v>0</v>
      </c>
    </row>
    <row r="178" spans="12:17">
      <c r="L178" s="2">
        <f>IFERROR(K178/J178*100,0)</f>
        <v>0</v>
      </c>
      <c r="Q178" s="7">
        <f>IF(P178="Yes",C178+CertValidityDays,"")</f>
        <v>0</v>
      </c>
    </row>
    <row r="179" spans="12:17">
      <c r="L179" s="2">
        <f>IFERROR(K179/J179*100,0)</f>
        <v>0</v>
      </c>
      <c r="Q179" s="7">
        <f>IF(P179="Yes",C179+CertValidityDays,"")</f>
        <v>0</v>
      </c>
    </row>
    <row r="180" spans="12:17">
      <c r="L180" s="2">
        <f>IFERROR(K180/J180*100,0)</f>
        <v>0</v>
      </c>
      <c r="Q180" s="7">
        <f>IF(P180="Yes",C180+CertValidityDays,"")</f>
        <v>0</v>
      </c>
    </row>
    <row r="181" spans="12:17">
      <c r="L181" s="2">
        <f>IFERROR(K181/J181*100,0)</f>
        <v>0</v>
      </c>
      <c r="Q181" s="7">
        <f>IF(P181="Yes",C181+CertValidityDays,"")</f>
        <v>0</v>
      </c>
    </row>
    <row r="182" spans="12:17">
      <c r="L182" s="2">
        <f>IFERROR(K182/J182*100,0)</f>
        <v>0</v>
      </c>
      <c r="Q182" s="7">
        <f>IF(P182="Yes",C182+CertValidityDays,"")</f>
        <v>0</v>
      </c>
    </row>
    <row r="183" spans="12:17">
      <c r="L183" s="2">
        <f>IFERROR(K183/J183*100,0)</f>
        <v>0</v>
      </c>
      <c r="Q183" s="7">
        <f>IF(P183="Yes",C183+CertValidityDays,"")</f>
        <v>0</v>
      </c>
    </row>
    <row r="184" spans="12:17">
      <c r="L184" s="2">
        <f>IFERROR(K184/J184*100,0)</f>
        <v>0</v>
      </c>
      <c r="Q184" s="7">
        <f>IF(P184="Yes",C184+CertValidityDays,"")</f>
        <v>0</v>
      </c>
    </row>
    <row r="185" spans="12:17">
      <c r="L185" s="2">
        <f>IFERROR(K185/J185*100,0)</f>
        <v>0</v>
      </c>
      <c r="Q185" s="7">
        <f>IF(P185="Yes",C185+CertValidityDays,"")</f>
        <v>0</v>
      </c>
    </row>
    <row r="186" spans="12:17">
      <c r="L186" s="2">
        <f>IFERROR(K186/J186*100,0)</f>
        <v>0</v>
      </c>
      <c r="Q186" s="7">
        <f>IF(P186="Yes",C186+CertValidityDays,"")</f>
        <v>0</v>
      </c>
    </row>
    <row r="187" spans="12:17">
      <c r="L187" s="2">
        <f>IFERROR(K187/J187*100,0)</f>
        <v>0</v>
      </c>
      <c r="Q187" s="7">
        <f>IF(P187="Yes",C187+CertValidityDays,"")</f>
        <v>0</v>
      </c>
    </row>
    <row r="188" spans="12:17">
      <c r="L188" s="2">
        <f>IFERROR(K188/J188*100,0)</f>
        <v>0</v>
      </c>
      <c r="Q188" s="7">
        <f>IF(P188="Yes",C188+CertValidityDays,"")</f>
        <v>0</v>
      </c>
    </row>
    <row r="189" spans="12:17">
      <c r="L189" s="2">
        <f>IFERROR(K189/J189*100,0)</f>
        <v>0</v>
      </c>
      <c r="Q189" s="7">
        <f>IF(P189="Yes",C189+CertValidityDays,"")</f>
        <v>0</v>
      </c>
    </row>
    <row r="190" spans="12:17">
      <c r="L190" s="2">
        <f>IFERROR(K190/J190*100,0)</f>
        <v>0</v>
      </c>
      <c r="Q190" s="7">
        <f>IF(P190="Yes",C190+CertValidityDays,"")</f>
        <v>0</v>
      </c>
    </row>
    <row r="191" spans="12:17">
      <c r="L191" s="2">
        <f>IFERROR(K191/J191*100,0)</f>
        <v>0</v>
      </c>
      <c r="Q191" s="7">
        <f>IF(P191="Yes",C191+CertValidityDays,"")</f>
        <v>0</v>
      </c>
    </row>
    <row r="192" spans="12:17">
      <c r="L192" s="2">
        <f>IFERROR(K192/J192*100,0)</f>
        <v>0</v>
      </c>
      <c r="Q192" s="7">
        <f>IF(P192="Yes",C192+CertValidityDays,"")</f>
        <v>0</v>
      </c>
    </row>
    <row r="193" spans="12:17">
      <c r="L193" s="2">
        <f>IFERROR(K193/J193*100,0)</f>
        <v>0</v>
      </c>
      <c r="Q193" s="7">
        <f>IF(P193="Yes",C193+CertValidityDays,"")</f>
        <v>0</v>
      </c>
    </row>
    <row r="194" spans="12:17">
      <c r="L194" s="2">
        <f>IFERROR(K194/J194*100,0)</f>
        <v>0</v>
      </c>
      <c r="Q194" s="7">
        <f>IF(P194="Yes",C194+CertValidityDays,"")</f>
        <v>0</v>
      </c>
    </row>
    <row r="195" spans="12:17">
      <c r="L195" s="2">
        <f>IFERROR(K195/J195*100,0)</f>
        <v>0</v>
      </c>
      <c r="Q195" s="7">
        <f>IF(P195="Yes",C195+CertValidityDays,"")</f>
        <v>0</v>
      </c>
    </row>
    <row r="196" spans="12:17">
      <c r="L196" s="2">
        <f>IFERROR(K196/J196*100,0)</f>
        <v>0</v>
      </c>
      <c r="Q196" s="7">
        <f>IF(P196="Yes",C196+CertValidityDays,"")</f>
        <v>0</v>
      </c>
    </row>
    <row r="197" spans="12:17">
      <c r="L197" s="2">
        <f>IFERROR(K197/J197*100,0)</f>
        <v>0</v>
      </c>
      <c r="Q197" s="7">
        <f>IF(P197="Yes",C197+CertValidityDays,"")</f>
        <v>0</v>
      </c>
    </row>
    <row r="198" spans="12:17">
      <c r="L198" s="2">
        <f>IFERROR(K198/J198*100,0)</f>
        <v>0</v>
      </c>
      <c r="Q198" s="7">
        <f>IF(P198="Yes",C198+CertValidityDays,"")</f>
        <v>0</v>
      </c>
    </row>
    <row r="199" spans="12:17">
      <c r="L199" s="2">
        <f>IFERROR(K199/J199*100,0)</f>
        <v>0</v>
      </c>
      <c r="Q199" s="7">
        <f>IF(P199="Yes",C199+CertValidityDays,"")</f>
        <v>0</v>
      </c>
    </row>
    <row r="200" spans="12:17">
      <c r="L200" s="2">
        <f>IFERROR(K200/J200*100,0)</f>
        <v>0</v>
      </c>
      <c r="Q200" s="7">
        <f>IF(P200="Yes",C200+CertValidityDays,"")</f>
        <v>0</v>
      </c>
    </row>
    <row r="201" spans="12:17">
      <c r="L201" s="2">
        <f>IFERROR(K201/J201*100,0)</f>
        <v>0</v>
      </c>
      <c r="Q201" s="7">
        <f>IF(P201="Yes",C201+CertValidityDays,"")</f>
        <v>0</v>
      </c>
    </row>
    <row r="202" spans="12:17">
      <c r="L202" s="2">
        <f>IFERROR(K202/J202*100,0)</f>
        <v>0</v>
      </c>
      <c r="Q202" s="7">
        <f>IF(P202="Yes",C202+CertValidityDays,"")</f>
        <v>0</v>
      </c>
    </row>
    <row r="203" spans="12:17">
      <c r="L203" s="2">
        <f>IFERROR(K203/J203*100,0)</f>
        <v>0</v>
      </c>
      <c r="Q203" s="7">
        <f>IF(P203="Yes",C203+CertValidityDays,"")</f>
        <v>0</v>
      </c>
    </row>
    <row r="204" spans="12:17">
      <c r="L204" s="2">
        <f>IFERROR(K204/J204*100,0)</f>
        <v>0</v>
      </c>
      <c r="Q204" s="7">
        <f>IF(P204="Yes",C204+CertValidityDays,"")</f>
        <v>0</v>
      </c>
    </row>
    <row r="205" spans="12:17">
      <c r="L205" s="2">
        <f>IFERROR(K205/J205*100,0)</f>
        <v>0</v>
      </c>
      <c r="Q205" s="7">
        <f>IF(P205="Yes",C205+CertValidityDays,"")</f>
        <v>0</v>
      </c>
    </row>
    <row r="206" spans="12:17">
      <c r="L206" s="2">
        <f>IFERROR(K206/J206*100,0)</f>
        <v>0</v>
      </c>
      <c r="Q206" s="7">
        <f>IF(P206="Yes",C206+CertValidityDays,"")</f>
        <v>0</v>
      </c>
    </row>
    <row r="207" spans="12:17">
      <c r="L207" s="2">
        <f>IFERROR(K207/J207*100,0)</f>
        <v>0</v>
      </c>
      <c r="Q207" s="7">
        <f>IF(P207="Yes",C207+CertValidityDays,"")</f>
        <v>0</v>
      </c>
    </row>
    <row r="208" spans="12:17">
      <c r="L208" s="2">
        <f>IFERROR(K208/J208*100,0)</f>
        <v>0</v>
      </c>
      <c r="Q208" s="7">
        <f>IF(P208="Yes",C208+CertValidityDays,"")</f>
        <v>0</v>
      </c>
    </row>
    <row r="209" spans="12:17">
      <c r="L209" s="2">
        <f>IFERROR(K209/J209*100,0)</f>
        <v>0</v>
      </c>
      <c r="Q209" s="7">
        <f>IF(P209="Yes",C209+CertValidityDays,"")</f>
        <v>0</v>
      </c>
    </row>
    <row r="210" spans="12:17">
      <c r="L210" s="2">
        <f>IFERROR(K210/J210*100,0)</f>
        <v>0</v>
      </c>
      <c r="Q210" s="7">
        <f>IF(P210="Yes",C210+CertValidityDays,"")</f>
        <v>0</v>
      </c>
    </row>
    <row r="211" spans="12:17">
      <c r="L211" s="2">
        <f>IFERROR(K211/J211*100,0)</f>
        <v>0</v>
      </c>
      <c r="Q211" s="7">
        <f>IF(P211="Yes",C211+CertValidityDays,"")</f>
        <v>0</v>
      </c>
    </row>
    <row r="212" spans="12:17">
      <c r="L212" s="2">
        <f>IFERROR(K212/J212*100,0)</f>
        <v>0</v>
      </c>
      <c r="Q212" s="7">
        <f>IF(P212="Yes",C212+CertValidityDays,"")</f>
        <v>0</v>
      </c>
    </row>
    <row r="213" spans="12:17">
      <c r="L213" s="2">
        <f>IFERROR(K213/J213*100,0)</f>
        <v>0</v>
      </c>
      <c r="Q213" s="7">
        <f>IF(P213="Yes",C213+CertValidityDays,"")</f>
        <v>0</v>
      </c>
    </row>
    <row r="214" spans="12:17">
      <c r="L214" s="2">
        <f>IFERROR(K214/J214*100,0)</f>
        <v>0</v>
      </c>
      <c r="Q214" s="7">
        <f>IF(P214="Yes",C214+CertValidityDays,"")</f>
        <v>0</v>
      </c>
    </row>
    <row r="215" spans="12:17">
      <c r="L215" s="2">
        <f>IFERROR(K215/J215*100,0)</f>
        <v>0</v>
      </c>
      <c r="Q215" s="7">
        <f>IF(P215="Yes",C215+CertValidityDays,"")</f>
        <v>0</v>
      </c>
    </row>
    <row r="216" spans="12:17">
      <c r="L216" s="2">
        <f>IFERROR(K216/J216*100,0)</f>
        <v>0</v>
      </c>
      <c r="Q216" s="7">
        <f>IF(P216="Yes",C216+CertValidityDays,"")</f>
        <v>0</v>
      </c>
    </row>
    <row r="217" spans="12:17">
      <c r="L217" s="2">
        <f>IFERROR(K217/J217*100,0)</f>
        <v>0</v>
      </c>
      <c r="Q217" s="7">
        <f>IF(P217="Yes",C217+CertValidityDays,"")</f>
        <v>0</v>
      </c>
    </row>
    <row r="218" spans="12:17">
      <c r="L218" s="2">
        <f>IFERROR(K218/J218*100,0)</f>
        <v>0</v>
      </c>
      <c r="Q218" s="7">
        <f>IF(P218="Yes",C218+CertValidityDays,"")</f>
        <v>0</v>
      </c>
    </row>
    <row r="219" spans="12:17">
      <c r="L219" s="2">
        <f>IFERROR(K219/J219*100,0)</f>
        <v>0</v>
      </c>
      <c r="Q219" s="7">
        <f>IF(P219="Yes",C219+CertValidityDays,"")</f>
        <v>0</v>
      </c>
    </row>
    <row r="220" spans="12:17">
      <c r="L220" s="2">
        <f>IFERROR(K220/J220*100,0)</f>
        <v>0</v>
      </c>
      <c r="Q220" s="7">
        <f>IF(P220="Yes",C220+CertValidityDays,"")</f>
        <v>0</v>
      </c>
    </row>
    <row r="221" spans="12:17">
      <c r="L221" s="2">
        <f>IFERROR(K221/J221*100,0)</f>
        <v>0</v>
      </c>
      <c r="Q221" s="7">
        <f>IF(P221="Yes",C221+CertValidityDays,"")</f>
        <v>0</v>
      </c>
    </row>
    <row r="222" spans="12:17">
      <c r="L222" s="2">
        <f>IFERROR(K222/J222*100,0)</f>
        <v>0</v>
      </c>
      <c r="Q222" s="7">
        <f>IF(P222="Yes",C222+CertValidityDays,"")</f>
        <v>0</v>
      </c>
    </row>
    <row r="223" spans="12:17">
      <c r="L223" s="2">
        <f>IFERROR(K223/J223*100,0)</f>
        <v>0</v>
      </c>
      <c r="Q223" s="7">
        <f>IF(P223="Yes",C223+CertValidityDays,"")</f>
        <v>0</v>
      </c>
    </row>
    <row r="224" spans="12:17">
      <c r="L224" s="2">
        <f>IFERROR(K224/J224*100,0)</f>
        <v>0</v>
      </c>
      <c r="Q224" s="7">
        <f>IF(P224="Yes",C224+CertValidityDays,"")</f>
        <v>0</v>
      </c>
    </row>
    <row r="225" spans="12:17">
      <c r="L225" s="2">
        <f>IFERROR(K225/J225*100,0)</f>
        <v>0</v>
      </c>
      <c r="Q225" s="7">
        <f>IF(P225="Yes",C225+CertValidityDays,"")</f>
        <v>0</v>
      </c>
    </row>
    <row r="226" spans="12:17">
      <c r="L226" s="2">
        <f>IFERROR(K226/J226*100,0)</f>
        <v>0</v>
      </c>
      <c r="Q226" s="7">
        <f>IF(P226="Yes",C226+CertValidityDays,"")</f>
        <v>0</v>
      </c>
    </row>
    <row r="227" spans="12:17">
      <c r="L227" s="2">
        <f>IFERROR(K227/J227*100,0)</f>
        <v>0</v>
      </c>
      <c r="Q227" s="7">
        <f>IF(P227="Yes",C227+CertValidityDays,"")</f>
        <v>0</v>
      </c>
    </row>
    <row r="228" spans="12:17">
      <c r="L228" s="2">
        <f>IFERROR(K228/J228*100,0)</f>
        <v>0</v>
      </c>
      <c r="Q228" s="7">
        <f>IF(P228="Yes",C228+CertValidityDays,"")</f>
        <v>0</v>
      </c>
    </row>
    <row r="229" spans="12:17">
      <c r="L229" s="2">
        <f>IFERROR(K229/J229*100,0)</f>
        <v>0</v>
      </c>
      <c r="Q229" s="7">
        <f>IF(P229="Yes",C229+CertValidityDays,"")</f>
        <v>0</v>
      </c>
    </row>
    <row r="230" spans="12:17">
      <c r="L230" s="2">
        <f>IFERROR(K230/J230*100,0)</f>
        <v>0</v>
      </c>
      <c r="Q230" s="7">
        <f>IF(P230="Yes",C230+CertValidityDays,"")</f>
        <v>0</v>
      </c>
    </row>
    <row r="231" spans="12:17">
      <c r="L231" s="2">
        <f>IFERROR(K231/J231*100,0)</f>
        <v>0</v>
      </c>
      <c r="Q231" s="7">
        <f>IF(P231="Yes",C231+CertValidityDays,"")</f>
        <v>0</v>
      </c>
    </row>
    <row r="232" spans="12:17">
      <c r="L232" s="2">
        <f>IFERROR(K232/J232*100,0)</f>
        <v>0</v>
      </c>
      <c r="Q232" s="7">
        <f>IF(P232="Yes",C232+CertValidityDays,"")</f>
        <v>0</v>
      </c>
    </row>
    <row r="233" spans="12:17">
      <c r="L233" s="2">
        <f>IFERROR(K233/J233*100,0)</f>
        <v>0</v>
      </c>
      <c r="Q233" s="7">
        <f>IF(P233="Yes",C233+CertValidityDays,"")</f>
        <v>0</v>
      </c>
    </row>
    <row r="234" spans="12:17">
      <c r="L234" s="2">
        <f>IFERROR(K234/J234*100,0)</f>
        <v>0</v>
      </c>
      <c r="Q234" s="7">
        <f>IF(P234="Yes",C234+CertValidityDays,"")</f>
        <v>0</v>
      </c>
    </row>
    <row r="235" spans="12:17">
      <c r="L235" s="2">
        <f>IFERROR(K235/J235*100,0)</f>
        <v>0</v>
      </c>
      <c r="Q235" s="7">
        <f>IF(P235="Yes",C235+CertValidityDays,"")</f>
        <v>0</v>
      </c>
    </row>
    <row r="236" spans="12:17">
      <c r="L236" s="2">
        <f>IFERROR(K236/J236*100,0)</f>
        <v>0</v>
      </c>
      <c r="Q236" s="7">
        <f>IF(P236="Yes",C236+CertValidityDays,"")</f>
        <v>0</v>
      </c>
    </row>
    <row r="237" spans="12:17">
      <c r="L237" s="2">
        <f>IFERROR(K237/J237*100,0)</f>
        <v>0</v>
      </c>
      <c r="Q237" s="7">
        <f>IF(P237="Yes",C237+CertValidityDays,"")</f>
        <v>0</v>
      </c>
    </row>
    <row r="238" spans="12:17">
      <c r="L238" s="2">
        <f>IFERROR(K238/J238*100,0)</f>
        <v>0</v>
      </c>
      <c r="Q238" s="7">
        <f>IF(P238="Yes",C238+CertValidityDays,"")</f>
        <v>0</v>
      </c>
    </row>
    <row r="239" spans="12:17">
      <c r="L239" s="2">
        <f>IFERROR(K239/J239*100,0)</f>
        <v>0</v>
      </c>
      <c r="Q239" s="7">
        <f>IF(P239="Yes",C239+CertValidityDays,"")</f>
        <v>0</v>
      </c>
    </row>
    <row r="240" spans="12:17">
      <c r="L240" s="2">
        <f>IFERROR(K240/J240*100,0)</f>
        <v>0</v>
      </c>
      <c r="Q240" s="7">
        <f>IF(P240="Yes",C240+CertValidityDays,"")</f>
        <v>0</v>
      </c>
    </row>
    <row r="241" spans="12:17">
      <c r="L241" s="2">
        <f>IFERROR(K241/J241*100,0)</f>
        <v>0</v>
      </c>
      <c r="Q241" s="7">
        <f>IF(P241="Yes",C241+CertValidityDays,"")</f>
        <v>0</v>
      </c>
    </row>
    <row r="242" spans="12:17">
      <c r="L242" s="2">
        <f>IFERROR(K242/J242*100,0)</f>
        <v>0</v>
      </c>
      <c r="Q242" s="7">
        <f>IF(P242="Yes",C242+CertValidityDays,"")</f>
        <v>0</v>
      </c>
    </row>
    <row r="243" spans="12:17">
      <c r="L243" s="2">
        <f>IFERROR(K243/J243*100,0)</f>
        <v>0</v>
      </c>
      <c r="Q243" s="7">
        <f>IF(P243="Yes",C243+CertValidityDays,"")</f>
        <v>0</v>
      </c>
    </row>
    <row r="244" spans="12:17">
      <c r="L244" s="2">
        <f>IFERROR(K244/J244*100,0)</f>
        <v>0</v>
      </c>
      <c r="Q244" s="7">
        <f>IF(P244="Yes",C244+CertValidityDays,"")</f>
        <v>0</v>
      </c>
    </row>
    <row r="245" spans="12:17">
      <c r="L245" s="2">
        <f>IFERROR(K245/J245*100,0)</f>
        <v>0</v>
      </c>
      <c r="Q245" s="7">
        <f>IF(P245="Yes",C245+CertValidityDays,"")</f>
        <v>0</v>
      </c>
    </row>
    <row r="246" spans="12:17">
      <c r="L246" s="2">
        <f>IFERROR(K246/J246*100,0)</f>
        <v>0</v>
      </c>
      <c r="Q246" s="7">
        <f>IF(P246="Yes",C246+CertValidityDays,"")</f>
        <v>0</v>
      </c>
    </row>
    <row r="247" spans="12:17">
      <c r="L247" s="2">
        <f>IFERROR(K247/J247*100,0)</f>
        <v>0</v>
      </c>
      <c r="Q247" s="7">
        <f>IF(P247="Yes",C247+CertValidityDays,"")</f>
        <v>0</v>
      </c>
    </row>
    <row r="248" spans="12:17">
      <c r="L248" s="2">
        <f>IFERROR(K248/J248*100,0)</f>
        <v>0</v>
      </c>
      <c r="Q248" s="7">
        <f>IF(P248="Yes",C248+CertValidityDays,"")</f>
        <v>0</v>
      </c>
    </row>
    <row r="249" spans="12:17">
      <c r="L249" s="2">
        <f>IFERROR(K249/J249*100,0)</f>
        <v>0</v>
      </c>
      <c r="Q249" s="7">
        <f>IF(P249="Yes",C249+CertValidityDays,"")</f>
        <v>0</v>
      </c>
    </row>
    <row r="250" spans="12:17">
      <c r="L250" s="2">
        <f>IFERROR(K250/J250*100,0)</f>
        <v>0</v>
      </c>
      <c r="Q250" s="7">
        <f>IF(P250="Yes",C250+CertValidityDays,"")</f>
        <v>0</v>
      </c>
    </row>
    <row r="251" spans="12:17">
      <c r="L251" s="2">
        <f>IFERROR(K251/J251*100,0)</f>
        <v>0</v>
      </c>
      <c r="Q251" s="7">
        <f>IF(P251="Yes",C251+CertValidityDays,"")</f>
        <v>0</v>
      </c>
    </row>
    <row r="252" spans="12:17">
      <c r="L252" s="2">
        <f>IFERROR(K252/J252*100,0)</f>
        <v>0</v>
      </c>
      <c r="Q252" s="7">
        <f>IF(P252="Yes",C252+CertValidityDays,"")</f>
        <v>0</v>
      </c>
    </row>
    <row r="253" spans="12:17">
      <c r="L253" s="2">
        <f>IFERROR(K253/J253*100,0)</f>
        <v>0</v>
      </c>
      <c r="Q253" s="7">
        <f>IF(P253="Yes",C253+CertValidityDays,"")</f>
        <v>0</v>
      </c>
    </row>
    <row r="254" spans="12:17">
      <c r="L254" s="2">
        <f>IFERROR(K254/J254*100,0)</f>
        <v>0</v>
      </c>
      <c r="Q254" s="7">
        <f>IF(P254="Yes",C254+CertValidityDays,"")</f>
        <v>0</v>
      </c>
    </row>
    <row r="255" spans="12:17">
      <c r="L255" s="2">
        <f>IFERROR(K255/J255*100,0)</f>
        <v>0</v>
      </c>
      <c r="Q255" s="7">
        <f>IF(P255="Yes",C255+CertValidityDays,"")</f>
        <v>0</v>
      </c>
    </row>
    <row r="256" spans="12:17">
      <c r="L256" s="2">
        <f>IFERROR(K256/J256*100,0)</f>
        <v>0</v>
      </c>
      <c r="Q256" s="7">
        <f>IF(P256="Yes",C256+CertValidityDays,"")</f>
        <v>0</v>
      </c>
    </row>
    <row r="257" spans="12:17">
      <c r="L257" s="2">
        <f>IFERROR(K257/J257*100,0)</f>
        <v>0</v>
      </c>
      <c r="Q257" s="7">
        <f>IF(P257="Yes",C257+CertValidityDays,"")</f>
        <v>0</v>
      </c>
    </row>
    <row r="258" spans="12:17">
      <c r="L258" s="2">
        <f>IFERROR(K258/J258*100,0)</f>
        <v>0</v>
      </c>
      <c r="Q258" s="7">
        <f>IF(P258="Yes",C258+CertValidityDays,"")</f>
        <v>0</v>
      </c>
    </row>
    <row r="259" spans="12:17">
      <c r="L259" s="2">
        <f>IFERROR(K259/J259*100,0)</f>
        <v>0</v>
      </c>
      <c r="Q259" s="7">
        <f>IF(P259="Yes",C259+CertValidityDays,"")</f>
        <v>0</v>
      </c>
    </row>
    <row r="260" spans="12:17">
      <c r="L260" s="2">
        <f>IFERROR(K260/J260*100,0)</f>
        <v>0</v>
      </c>
      <c r="Q260" s="7">
        <f>IF(P260="Yes",C260+CertValidityDays,"")</f>
        <v>0</v>
      </c>
    </row>
    <row r="261" spans="12:17">
      <c r="L261" s="2">
        <f>IFERROR(K261/J261*100,0)</f>
        <v>0</v>
      </c>
      <c r="Q261" s="7">
        <f>IF(P261="Yes",C261+CertValidityDays,"")</f>
        <v>0</v>
      </c>
    </row>
    <row r="262" spans="12:17">
      <c r="L262" s="2">
        <f>IFERROR(K262/J262*100,0)</f>
        <v>0</v>
      </c>
      <c r="Q262" s="7">
        <f>IF(P262="Yes",C262+CertValidityDays,"")</f>
        <v>0</v>
      </c>
    </row>
    <row r="263" spans="12:17">
      <c r="L263" s="2">
        <f>IFERROR(K263/J263*100,0)</f>
        <v>0</v>
      </c>
      <c r="Q263" s="7">
        <f>IF(P263="Yes",C263+CertValidityDays,"")</f>
        <v>0</v>
      </c>
    </row>
    <row r="264" spans="12:17">
      <c r="L264" s="2">
        <f>IFERROR(K264/J264*100,0)</f>
        <v>0</v>
      </c>
      <c r="Q264" s="7">
        <f>IF(P264="Yes",C264+CertValidityDays,"")</f>
        <v>0</v>
      </c>
    </row>
    <row r="265" spans="12:17">
      <c r="L265" s="2">
        <f>IFERROR(K265/J265*100,0)</f>
        <v>0</v>
      </c>
      <c r="Q265" s="7">
        <f>IF(P265="Yes",C265+CertValidityDays,"")</f>
        <v>0</v>
      </c>
    </row>
    <row r="266" spans="12:17">
      <c r="L266" s="2">
        <f>IFERROR(K266/J266*100,0)</f>
        <v>0</v>
      </c>
      <c r="Q266" s="7">
        <f>IF(P266="Yes",C266+CertValidityDays,"")</f>
        <v>0</v>
      </c>
    </row>
    <row r="267" spans="12:17">
      <c r="L267" s="2">
        <f>IFERROR(K267/J267*100,0)</f>
        <v>0</v>
      </c>
      <c r="Q267" s="7">
        <f>IF(P267="Yes",C267+CertValidityDays,"")</f>
        <v>0</v>
      </c>
    </row>
    <row r="268" spans="12:17">
      <c r="L268" s="2">
        <f>IFERROR(K268/J268*100,0)</f>
        <v>0</v>
      </c>
      <c r="Q268" s="7">
        <f>IF(P268="Yes",C268+CertValidityDays,"")</f>
        <v>0</v>
      </c>
    </row>
    <row r="269" spans="12:17">
      <c r="L269" s="2">
        <f>IFERROR(K269/J269*100,0)</f>
        <v>0</v>
      </c>
      <c r="Q269" s="7">
        <f>IF(P269="Yes",C269+CertValidityDays,"")</f>
        <v>0</v>
      </c>
    </row>
    <row r="270" spans="12:17">
      <c r="L270" s="2">
        <f>IFERROR(K270/J270*100,0)</f>
        <v>0</v>
      </c>
      <c r="Q270" s="7">
        <f>IF(P270="Yes",C270+CertValidityDays,"")</f>
        <v>0</v>
      </c>
    </row>
    <row r="271" spans="12:17">
      <c r="L271" s="2">
        <f>IFERROR(K271/J271*100,0)</f>
        <v>0</v>
      </c>
      <c r="Q271" s="7">
        <f>IF(P271="Yes",C271+CertValidityDays,"")</f>
        <v>0</v>
      </c>
    </row>
    <row r="272" spans="12:17">
      <c r="L272" s="2">
        <f>IFERROR(K272/J272*100,0)</f>
        <v>0</v>
      </c>
      <c r="Q272" s="7">
        <f>IF(P272="Yes",C272+CertValidityDays,"")</f>
        <v>0</v>
      </c>
    </row>
    <row r="273" spans="12:17">
      <c r="L273" s="2">
        <f>IFERROR(K273/J273*100,0)</f>
        <v>0</v>
      </c>
      <c r="Q273" s="7">
        <f>IF(P273="Yes",C273+CertValidityDays,"")</f>
        <v>0</v>
      </c>
    </row>
    <row r="274" spans="12:17">
      <c r="L274" s="2">
        <f>IFERROR(K274/J274*100,0)</f>
        <v>0</v>
      </c>
      <c r="Q274" s="7">
        <f>IF(P274="Yes",C274+CertValidityDays,"")</f>
        <v>0</v>
      </c>
    </row>
    <row r="275" spans="12:17">
      <c r="L275" s="2">
        <f>IFERROR(K275/J275*100,0)</f>
        <v>0</v>
      </c>
      <c r="Q275" s="7">
        <f>IF(P275="Yes",C275+CertValidityDays,"")</f>
        <v>0</v>
      </c>
    </row>
    <row r="276" spans="12:17">
      <c r="L276" s="2">
        <f>IFERROR(K276/J276*100,0)</f>
        <v>0</v>
      </c>
      <c r="Q276" s="7">
        <f>IF(P276="Yes",C276+CertValidityDays,"")</f>
        <v>0</v>
      </c>
    </row>
    <row r="277" spans="12:17">
      <c r="L277" s="2">
        <f>IFERROR(K277/J277*100,0)</f>
        <v>0</v>
      </c>
      <c r="Q277" s="7">
        <f>IF(P277="Yes",C277+CertValidityDays,"")</f>
        <v>0</v>
      </c>
    </row>
    <row r="278" spans="12:17">
      <c r="L278" s="2">
        <f>IFERROR(K278/J278*100,0)</f>
        <v>0</v>
      </c>
      <c r="Q278" s="7">
        <f>IF(P278="Yes",C278+CertValidityDays,"")</f>
        <v>0</v>
      </c>
    </row>
    <row r="279" spans="12:17">
      <c r="L279" s="2">
        <f>IFERROR(K279/J279*100,0)</f>
        <v>0</v>
      </c>
      <c r="Q279" s="7">
        <f>IF(P279="Yes",C279+CertValidityDays,"")</f>
        <v>0</v>
      </c>
    </row>
    <row r="280" spans="12:17">
      <c r="L280" s="2">
        <f>IFERROR(K280/J280*100,0)</f>
        <v>0</v>
      </c>
      <c r="Q280" s="7">
        <f>IF(P280="Yes",C280+CertValidityDays,"")</f>
        <v>0</v>
      </c>
    </row>
    <row r="281" spans="12:17">
      <c r="L281" s="2">
        <f>IFERROR(K281/J281*100,0)</f>
        <v>0</v>
      </c>
      <c r="Q281" s="7">
        <f>IF(P281="Yes",C281+CertValidityDays,"")</f>
        <v>0</v>
      </c>
    </row>
    <row r="282" spans="12:17">
      <c r="L282" s="2">
        <f>IFERROR(K282/J282*100,0)</f>
        <v>0</v>
      </c>
      <c r="Q282" s="7">
        <f>IF(P282="Yes",C282+CertValidityDays,"")</f>
        <v>0</v>
      </c>
    </row>
    <row r="283" spans="12:17">
      <c r="L283" s="2">
        <f>IFERROR(K283/J283*100,0)</f>
        <v>0</v>
      </c>
      <c r="Q283" s="7">
        <f>IF(P283="Yes",C283+CertValidityDays,"")</f>
        <v>0</v>
      </c>
    </row>
    <row r="284" spans="12:17">
      <c r="L284" s="2">
        <f>IFERROR(K284/J284*100,0)</f>
        <v>0</v>
      </c>
      <c r="Q284" s="7">
        <f>IF(P284="Yes",C284+CertValidityDays,"")</f>
        <v>0</v>
      </c>
    </row>
    <row r="285" spans="12:17">
      <c r="L285" s="2">
        <f>IFERROR(K285/J285*100,0)</f>
        <v>0</v>
      </c>
      <c r="Q285" s="7">
        <f>IF(P285="Yes",C285+CertValidityDays,"")</f>
        <v>0</v>
      </c>
    </row>
    <row r="286" spans="12:17">
      <c r="L286" s="2">
        <f>IFERROR(K286/J286*100,0)</f>
        <v>0</v>
      </c>
      <c r="Q286" s="7">
        <f>IF(P286="Yes",C286+CertValidityDays,"")</f>
        <v>0</v>
      </c>
    </row>
    <row r="287" spans="12:17">
      <c r="L287" s="2">
        <f>IFERROR(K287/J287*100,0)</f>
        <v>0</v>
      </c>
      <c r="Q287" s="7">
        <f>IF(P287="Yes",C287+CertValidityDays,"")</f>
        <v>0</v>
      </c>
    </row>
    <row r="288" spans="12:17">
      <c r="L288" s="2">
        <f>IFERROR(K288/J288*100,0)</f>
        <v>0</v>
      </c>
      <c r="Q288" s="7">
        <f>IF(P288="Yes",C288+CertValidityDays,"")</f>
        <v>0</v>
      </c>
    </row>
    <row r="289" spans="12:17">
      <c r="L289" s="2">
        <f>IFERROR(K289/J289*100,0)</f>
        <v>0</v>
      </c>
      <c r="Q289" s="7">
        <f>IF(P289="Yes",C289+CertValidityDays,"")</f>
        <v>0</v>
      </c>
    </row>
    <row r="290" spans="12:17">
      <c r="L290" s="2">
        <f>IFERROR(K290/J290*100,0)</f>
        <v>0</v>
      </c>
      <c r="Q290" s="7">
        <f>IF(P290="Yes",C290+CertValidityDays,"")</f>
        <v>0</v>
      </c>
    </row>
    <row r="291" spans="12:17">
      <c r="L291" s="2">
        <f>IFERROR(K291/J291*100,0)</f>
        <v>0</v>
      </c>
      <c r="Q291" s="7">
        <f>IF(P291="Yes",C291+CertValidityDays,"")</f>
        <v>0</v>
      </c>
    </row>
    <row r="292" spans="12:17">
      <c r="L292" s="2">
        <f>IFERROR(K292/J292*100,0)</f>
        <v>0</v>
      </c>
      <c r="Q292" s="7">
        <f>IF(P292="Yes",C292+CertValidityDays,"")</f>
        <v>0</v>
      </c>
    </row>
    <row r="293" spans="12:17">
      <c r="L293" s="2">
        <f>IFERROR(K293/J293*100,0)</f>
        <v>0</v>
      </c>
      <c r="Q293" s="7">
        <f>IF(P293="Yes",C293+CertValidityDays,"")</f>
        <v>0</v>
      </c>
    </row>
    <row r="294" spans="12:17">
      <c r="L294" s="2">
        <f>IFERROR(K294/J294*100,0)</f>
        <v>0</v>
      </c>
      <c r="Q294" s="7">
        <f>IF(P294="Yes",C294+CertValidityDays,"")</f>
        <v>0</v>
      </c>
    </row>
    <row r="295" spans="12:17">
      <c r="L295" s="2">
        <f>IFERROR(K295/J295*100,0)</f>
        <v>0</v>
      </c>
      <c r="Q295" s="7">
        <f>IF(P295="Yes",C295+CertValidityDays,"")</f>
        <v>0</v>
      </c>
    </row>
    <row r="296" spans="12:17">
      <c r="L296" s="2">
        <f>IFERROR(K296/J296*100,0)</f>
        <v>0</v>
      </c>
      <c r="Q296" s="7">
        <f>IF(P296="Yes",C296+CertValidityDays,"")</f>
        <v>0</v>
      </c>
    </row>
    <row r="297" spans="12:17">
      <c r="L297" s="2">
        <f>IFERROR(K297/J297*100,0)</f>
        <v>0</v>
      </c>
      <c r="Q297" s="7">
        <f>IF(P297="Yes",C297+CertValidityDays,"")</f>
        <v>0</v>
      </c>
    </row>
    <row r="298" spans="12:17">
      <c r="L298" s="2">
        <f>IFERROR(K298/J298*100,0)</f>
        <v>0</v>
      </c>
      <c r="Q298" s="7">
        <f>IF(P298="Yes",C298+CertValidityDays,"")</f>
        <v>0</v>
      </c>
    </row>
    <row r="299" spans="12:17">
      <c r="L299" s="2">
        <f>IFERROR(K299/J299*100,0)</f>
        <v>0</v>
      </c>
      <c r="Q299" s="7">
        <f>IF(P299="Yes",C299+CertValidityDays,"")</f>
        <v>0</v>
      </c>
    </row>
    <row r="300" spans="12:17">
      <c r="L300" s="2">
        <f>IFERROR(K300/J300*100,0)</f>
        <v>0</v>
      </c>
      <c r="Q300" s="7">
        <f>IF(P300="Yes",C300+CertValidityDays,"")</f>
        <v>0</v>
      </c>
    </row>
    <row r="301" spans="12:17">
      <c r="L301" s="2">
        <f>IFERROR(K301/J301*100,0)</f>
        <v>0</v>
      </c>
      <c r="Q301" s="7">
        <f>IF(P301="Yes",C301+CertValidityDays,"")</f>
        <v>0</v>
      </c>
    </row>
    <row r="302" spans="12:17">
      <c r="L302" s="2">
        <f>IFERROR(K302/J302*100,0)</f>
        <v>0</v>
      </c>
      <c r="Q302" s="7">
        <f>IF(P302="Yes",C302+CertValidityDays,"")</f>
        <v>0</v>
      </c>
    </row>
    <row r="303" spans="12:17">
      <c r="L303" s="2">
        <f>IFERROR(K303/J303*100,0)</f>
        <v>0</v>
      </c>
      <c r="Q303" s="7">
        <f>IF(P303="Yes",C303+CertValidityDays,"")</f>
        <v>0</v>
      </c>
    </row>
    <row r="304" spans="12:17">
      <c r="L304" s="2">
        <f>IFERROR(K304/J304*100,0)</f>
        <v>0</v>
      </c>
      <c r="Q304" s="7">
        <f>IF(P304="Yes",C304+CertValidityDays,"")</f>
        <v>0</v>
      </c>
    </row>
    <row r="305" spans="12:17">
      <c r="L305" s="2">
        <f>IFERROR(K305/J305*100,0)</f>
        <v>0</v>
      </c>
      <c r="Q305" s="7">
        <f>IF(P305="Yes",C305+CertValidityDays,"")</f>
        <v>0</v>
      </c>
    </row>
    <row r="306" spans="12:17">
      <c r="L306" s="2">
        <f>IFERROR(K306/J306*100,0)</f>
        <v>0</v>
      </c>
      <c r="Q306" s="7">
        <f>IF(P306="Yes",C306+CertValidityDays,"")</f>
        <v>0</v>
      </c>
    </row>
    <row r="307" spans="12:17">
      <c r="L307" s="2">
        <f>IFERROR(K307/J307*100,0)</f>
        <v>0</v>
      </c>
      <c r="Q307" s="7">
        <f>IF(P307="Yes",C307+CertValidityDays,"")</f>
        <v>0</v>
      </c>
    </row>
    <row r="308" spans="12:17">
      <c r="L308" s="2">
        <f>IFERROR(K308/J308*100,0)</f>
        <v>0</v>
      </c>
      <c r="Q308" s="7">
        <f>IF(P308="Yes",C308+CertValidityDays,"")</f>
        <v>0</v>
      </c>
    </row>
    <row r="309" spans="12:17">
      <c r="L309" s="2">
        <f>IFERROR(K309/J309*100,0)</f>
        <v>0</v>
      </c>
      <c r="Q309" s="7">
        <f>IF(P309="Yes",C309+CertValidityDays,"")</f>
        <v>0</v>
      </c>
    </row>
    <row r="310" spans="12:17">
      <c r="L310" s="2">
        <f>IFERROR(K310/J310*100,0)</f>
        <v>0</v>
      </c>
      <c r="Q310" s="7">
        <f>IF(P310="Yes",C310+CertValidityDays,"")</f>
        <v>0</v>
      </c>
    </row>
    <row r="311" spans="12:17">
      <c r="L311" s="2">
        <f>IFERROR(K311/J311*100,0)</f>
        <v>0</v>
      </c>
      <c r="Q311" s="7">
        <f>IF(P311="Yes",C311+CertValidityDays,"")</f>
        <v>0</v>
      </c>
    </row>
    <row r="312" spans="12:17">
      <c r="L312" s="2">
        <f>IFERROR(K312/J312*100,0)</f>
        <v>0</v>
      </c>
      <c r="Q312" s="7">
        <f>IF(P312="Yes",C312+CertValidityDays,"")</f>
        <v>0</v>
      </c>
    </row>
    <row r="313" spans="12:17">
      <c r="L313" s="2">
        <f>IFERROR(K313/J313*100,0)</f>
        <v>0</v>
      </c>
      <c r="Q313" s="7">
        <f>IF(P313="Yes",C313+CertValidityDays,"")</f>
        <v>0</v>
      </c>
    </row>
    <row r="314" spans="12:17">
      <c r="L314" s="2">
        <f>IFERROR(K314/J314*100,0)</f>
        <v>0</v>
      </c>
      <c r="Q314" s="7">
        <f>IF(P314="Yes",C314+CertValidityDays,"")</f>
        <v>0</v>
      </c>
    </row>
    <row r="315" spans="12:17">
      <c r="L315" s="2">
        <f>IFERROR(K315/J315*100,0)</f>
        <v>0</v>
      </c>
      <c r="Q315" s="7">
        <f>IF(P315="Yes",C315+CertValidityDays,"")</f>
        <v>0</v>
      </c>
    </row>
    <row r="316" spans="12:17">
      <c r="L316" s="2">
        <f>IFERROR(K316/J316*100,0)</f>
        <v>0</v>
      </c>
      <c r="Q316" s="7">
        <f>IF(P316="Yes",C316+CertValidityDays,"")</f>
        <v>0</v>
      </c>
    </row>
    <row r="317" spans="12:17">
      <c r="L317" s="2">
        <f>IFERROR(K317/J317*100,0)</f>
        <v>0</v>
      </c>
      <c r="Q317" s="7">
        <f>IF(P317="Yes",C317+CertValidityDays,"")</f>
        <v>0</v>
      </c>
    </row>
    <row r="318" spans="12:17">
      <c r="L318" s="2">
        <f>IFERROR(K318/J318*100,0)</f>
        <v>0</v>
      </c>
      <c r="Q318" s="7">
        <f>IF(P318="Yes",C318+CertValidityDays,"")</f>
        <v>0</v>
      </c>
    </row>
    <row r="319" spans="12:17">
      <c r="L319" s="2">
        <f>IFERROR(K319/J319*100,0)</f>
        <v>0</v>
      </c>
      <c r="Q319" s="7">
        <f>IF(P319="Yes",C319+CertValidityDays,"")</f>
        <v>0</v>
      </c>
    </row>
    <row r="320" spans="12:17">
      <c r="L320" s="2">
        <f>IFERROR(K320/J320*100,0)</f>
        <v>0</v>
      </c>
      <c r="Q320" s="7">
        <f>IF(P320="Yes",C320+CertValidityDays,"")</f>
        <v>0</v>
      </c>
    </row>
    <row r="321" spans="12:17">
      <c r="L321" s="2">
        <f>IFERROR(K321/J321*100,0)</f>
        <v>0</v>
      </c>
      <c r="Q321" s="7">
        <f>IF(P321="Yes",C321+CertValidityDays,"")</f>
        <v>0</v>
      </c>
    </row>
    <row r="322" spans="12:17">
      <c r="L322" s="2">
        <f>IFERROR(K322/J322*100,0)</f>
        <v>0</v>
      </c>
      <c r="Q322" s="7">
        <f>IF(P322="Yes",C322+CertValidityDays,"")</f>
        <v>0</v>
      </c>
    </row>
    <row r="323" spans="12:17">
      <c r="L323" s="2">
        <f>IFERROR(K323/J323*100,0)</f>
        <v>0</v>
      </c>
      <c r="Q323" s="7">
        <f>IF(P323="Yes",C323+CertValidityDays,"")</f>
        <v>0</v>
      </c>
    </row>
    <row r="324" spans="12:17">
      <c r="L324" s="2">
        <f>IFERROR(K324/J324*100,0)</f>
        <v>0</v>
      </c>
      <c r="Q324" s="7">
        <f>IF(P324="Yes",C324+CertValidityDays,"")</f>
        <v>0</v>
      </c>
    </row>
    <row r="325" spans="12:17">
      <c r="L325" s="2">
        <f>IFERROR(K325/J325*100,0)</f>
        <v>0</v>
      </c>
      <c r="Q325" s="7">
        <f>IF(P325="Yes",C325+CertValidityDays,"")</f>
        <v>0</v>
      </c>
    </row>
    <row r="326" spans="12:17">
      <c r="L326" s="2">
        <f>IFERROR(K326/J326*100,0)</f>
        <v>0</v>
      </c>
      <c r="Q326" s="7">
        <f>IF(P326="Yes",C326+CertValidityDays,"")</f>
        <v>0</v>
      </c>
    </row>
    <row r="327" spans="12:17">
      <c r="L327" s="2">
        <f>IFERROR(K327/J327*100,0)</f>
        <v>0</v>
      </c>
      <c r="Q327" s="7">
        <f>IF(P327="Yes",C327+CertValidityDays,"")</f>
        <v>0</v>
      </c>
    </row>
    <row r="328" spans="12:17">
      <c r="L328" s="2">
        <f>IFERROR(K328/J328*100,0)</f>
        <v>0</v>
      </c>
      <c r="Q328" s="7">
        <f>IF(P328="Yes",C328+CertValidityDays,"")</f>
        <v>0</v>
      </c>
    </row>
    <row r="329" spans="12:17">
      <c r="L329" s="2">
        <f>IFERROR(K329/J329*100,0)</f>
        <v>0</v>
      </c>
      <c r="Q329" s="7">
        <f>IF(P329="Yes",C329+CertValidityDays,"")</f>
        <v>0</v>
      </c>
    </row>
    <row r="330" spans="12:17">
      <c r="L330" s="2">
        <f>IFERROR(K330/J330*100,0)</f>
        <v>0</v>
      </c>
      <c r="Q330" s="7">
        <f>IF(P330="Yes",C330+CertValidityDays,"")</f>
        <v>0</v>
      </c>
    </row>
    <row r="331" spans="12:17">
      <c r="L331" s="2">
        <f>IFERROR(K331/J331*100,0)</f>
        <v>0</v>
      </c>
      <c r="Q331" s="7">
        <f>IF(P331="Yes",C331+CertValidityDays,"")</f>
        <v>0</v>
      </c>
    </row>
    <row r="332" spans="12:17">
      <c r="L332" s="2">
        <f>IFERROR(K332/J332*100,0)</f>
        <v>0</v>
      </c>
      <c r="Q332" s="7">
        <f>IF(P332="Yes",C332+CertValidityDays,"")</f>
        <v>0</v>
      </c>
    </row>
    <row r="333" spans="12:17">
      <c r="L333" s="2">
        <f>IFERROR(K333/J333*100,0)</f>
        <v>0</v>
      </c>
      <c r="Q333" s="7">
        <f>IF(P333="Yes",C333+CertValidityDays,"")</f>
        <v>0</v>
      </c>
    </row>
    <row r="334" spans="12:17">
      <c r="L334" s="2">
        <f>IFERROR(K334/J334*100,0)</f>
        <v>0</v>
      </c>
      <c r="Q334" s="7">
        <f>IF(P334="Yes",C334+CertValidityDays,"")</f>
        <v>0</v>
      </c>
    </row>
    <row r="335" spans="12:17">
      <c r="L335" s="2">
        <f>IFERROR(K335/J335*100,0)</f>
        <v>0</v>
      </c>
      <c r="Q335" s="7">
        <f>IF(P335="Yes",C335+CertValidityDays,"")</f>
        <v>0</v>
      </c>
    </row>
    <row r="336" spans="12:17">
      <c r="L336" s="2">
        <f>IFERROR(K336/J336*100,0)</f>
        <v>0</v>
      </c>
      <c r="Q336" s="7">
        <f>IF(P336="Yes",C336+CertValidityDays,"")</f>
        <v>0</v>
      </c>
    </row>
    <row r="337" spans="12:17">
      <c r="L337" s="2">
        <f>IFERROR(K337/J337*100,0)</f>
        <v>0</v>
      </c>
      <c r="Q337" s="7">
        <f>IF(P337="Yes",C337+CertValidityDays,"")</f>
        <v>0</v>
      </c>
    </row>
    <row r="338" spans="12:17">
      <c r="L338" s="2">
        <f>IFERROR(K338/J338*100,0)</f>
        <v>0</v>
      </c>
      <c r="Q338" s="7">
        <f>IF(P338="Yes",C338+CertValidityDays,"")</f>
        <v>0</v>
      </c>
    </row>
    <row r="339" spans="12:17">
      <c r="L339" s="2">
        <f>IFERROR(K339/J339*100,0)</f>
        <v>0</v>
      </c>
      <c r="Q339" s="7">
        <f>IF(P339="Yes",C339+CertValidityDays,"")</f>
        <v>0</v>
      </c>
    </row>
    <row r="340" spans="12:17">
      <c r="L340" s="2">
        <f>IFERROR(K340/J340*100,0)</f>
        <v>0</v>
      </c>
      <c r="Q340" s="7">
        <f>IF(P340="Yes",C340+CertValidityDays,"")</f>
        <v>0</v>
      </c>
    </row>
    <row r="341" spans="12:17">
      <c r="L341" s="2">
        <f>IFERROR(K341/J341*100,0)</f>
        <v>0</v>
      </c>
      <c r="Q341" s="7">
        <f>IF(P341="Yes",C341+CertValidityDays,"")</f>
        <v>0</v>
      </c>
    </row>
    <row r="342" spans="12:17">
      <c r="L342" s="2">
        <f>IFERROR(K342/J342*100,0)</f>
        <v>0</v>
      </c>
      <c r="Q342" s="7">
        <f>IF(P342="Yes",C342+CertValidityDays,"")</f>
        <v>0</v>
      </c>
    </row>
    <row r="343" spans="12:17">
      <c r="L343" s="2">
        <f>IFERROR(K343/J343*100,0)</f>
        <v>0</v>
      </c>
      <c r="Q343" s="7">
        <f>IF(P343="Yes",C343+CertValidityDays,"")</f>
        <v>0</v>
      </c>
    </row>
    <row r="344" spans="12:17">
      <c r="L344" s="2">
        <f>IFERROR(K344/J344*100,0)</f>
        <v>0</v>
      </c>
      <c r="Q344" s="7">
        <f>IF(P344="Yes",C344+CertValidityDays,"")</f>
        <v>0</v>
      </c>
    </row>
    <row r="345" spans="12:17">
      <c r="L345" s="2">
        <f>IFERROR(K345/J345*100,0)</f>
        <v>0</v>
      </c>
      <c r="Q345" s="7">
        <f>IF(P345="Yes",C345+CertValidityDays,"")</f>
        <v>0</v>
      </c>
    </row>
    <row r="346" spans="12:17">
      <c r="L346" s="2">
        <f>IFERROR(K346/J346*100,0)</f>
        <v>0</v>
      </c>
      <c r="Q346" s="7">
        <f>IF(P346="Yes",C346+CertValidityDays,"")</f>
        <v>0</v>
      </c>
    </row>
    <row r="347" spans="12:17">
      <c r="L347" s="2">
        <f>IFERROR(K347/J347*100,0)</f>
        <v>0</v>
      </c>
      <c r="Q347" s="7">
        <f>IF(P347="Yes",C347+CertValidityDays,"")</f>
        <v>0</v>
      </c>
    </row>
    <row r="348" spans="12:17">
      <c r="L348" s="2">
        <f>IFERROR(K348/J348*100,0)</f>
        <v>0</v>
      </c>
      <c r="Q348" s="7">
        <f>IF(P348="Yes",C348+CertValidityDays,"")</f>
        <v>0</v>
      </c>
    </row>
    <row r="349" spans="12:17">
      <c r="L349" s="2">
        <f>IFERROR(K349/J349*100,0)</f>
        <v>0</v>
      </c>
      <c r="Q349" s="7">
        <f>IF(P349="Yes",C349+CertValidityDays,"")</f>
        <v>0</v>
      </c>
    </row>
    <row r="350" spans="12:17">
      <c r="L350" s="2">
        <f>IFERROR(K350/J350*100,0)</f>
        <v>0</v>
      </c>
      <c r="Q350" s="7">
        <f>IF(P350="Yes",C350+CertValidityDays,"")</f>
        <v>0</v>
      </c>
    </row>
    <row r="351" spans="12:17">
      <c r="L351" s="2">
        <f>IFERROR(K351/J351*100,0)</f>
        <v>0</v>
      </c>
      <c r="Q351" s="7">
        <f>IF(P351="Yes",C351+CertValidityDays,"")</f>
        <v>0</v>
      </c>
    </row>
    <row r="352" spans="12:17">
      <c r="L352" s="2">
        <f>IFERROR(K352/J352*100,0)</f>
        <v>0</v>
      </c>
      <c r="Q352" s="7">
        <f>IF(P352="Yes",C352+CertValidityDays,"")</f>
        <v>0</v>
      </c>
    </row>
    <row r="353" spans="12:17">
      <c r="L353" s="2">
        <f>IFERROR(K353/J353*100,0)</f>
        <v>0</v>
      </c>
      <c r="Q353" s="7">
        <f>IF(P353="Yes",C353+CertValidityDays,"")</f>
        <v>0</v>
      </c>
    </row>
    <row r="354" spans="12:17">
      <c r="L354" s="2">
        <f>IFERROR(K354/J354*100,0)</f>
        <v>0</v>
      </c>
      <c r="Q354" s="7">
        <f>IF(P354="Yes",C354+CertValidityDays,"")</f>
        <v>0</v>
      </c>
    </row>
    <row r="355" spans="12:17">
      <c r="L355" s="2">
        <f>IFERROR(K355/J355*100,0)</f>
        <v>0</v>
      </c>
      <c r="Q355" s="7">
        <f>IF(P355="Yes",C355+CertValidityDays,"")</f>
        <v>0</v>
      </c>
    </row>
    <row r="356" spans="12:17">
      <c r="L356" s="2">
        <f>IFERROR(K356/J356*100,0)</f>
        <v>0</v>
      </c>
      <c r="Q356" s="7">
        <f>IF(P356="Yes",C356+CertValidityDays,"")</f>
        <v>0</v>
      </c>
    </row>
    <row r="357" spans="12:17">
      <c r="L357" s="2">
        <f>IFERROR(K357/J357*100,0)</f>
        <v>0</v>
      </c>
      <c r="Q357" s="7">
        <f>IF(P357="Yes",C357+CertValidityDays,"")</f>
        <v>0</v>
      </c>
    </row>
    <row r="358" spans="12:17">
      <c r="L358" s="2">
        <f>IFERROR(K358/J358*100,0)</f>
        <v>0</v>
      </c>
      <c r="Q358" s="7">
        <f>IF(P358="Yes",C358+CertValidityDays,"")</f>
        <v>0</v>
      </c>
    </row>
    <row r="359" spans="12:17">
      <c r="L359" s="2">
        <f>IFERROR(K359/J359*100,0)</f>
        <v>0</v>
      </c>
      <c r="Q359" s="7">
        <f>IF(P359="Yes",C359+CertValidityDays,"")</f>
        <v>0</v>
      </c>
    </row>
    <row r="360" spans="12:17">
      <c r="L360" s="2">
        <f>IFERROR(K360/J360*100,0)</f>
        <v>0</v>
      </c>
      <c r="Q360" s="7">
        <f>IF(P360="Yes",C360+CertValidityDays,"")</f>
        <v>0</v>
      </c>
    </row>
    <row r="361" spans="12:17">
      <c r="L361" s="2">
        <f>IFERROR(K361/J361*100,0)</f>
        <v>0</v>
      </c>
      <c r="Q361" s="7">
        <f>IF(P361="Yes",C361+CertValidityDays,"")</f>
        <v>0</v>
      </c>
    </row>
    <row r="362" spans="12:17">
      <c r="L362" s="2">
        <f>IFERROR(K362/J362*100,0)</f>
        <v>0</v>
      </c>
      <c r="Q362" s="7">
        <f>IF(P362="Yes",C362+CertValidityDays,"")</f>
        <v>0</v>
      </c>
    </row>
    <row r="363" spans="12:17">
      <c r="L363" s="2">
        <f>IFERROR(K363/J363*100,0)</f>
        <v>0</v>
      </c>
      <c r="Q363" s="7">
        <f>IF(P363="Yes",C363+CertValidityDays,"")</f>
        <v>0</v>
      </c>
    </row>
    <row r="364" spans="12:17">
      <c r="L364" s="2">
        <f>IFERROR(K364/J364*100,0)</f>
        <v>0</v>
      </c>
      <c r="Q364" s="7">
        <f>IF(P364="Yes",C364+CertValidityDays,"")</f>
        <v>0</v>
      </c>
    </row>
    <row r="365" spans="12:17">
      <c r="L365" s="2">
        <f>IFERROR(K365/J365*100,0)</f>
        <v>0</v>
      </c>
      <c r="Q365" s="7">
        <f>IF(P365="Yes",C365+CertValidityDays,"")</f>
        <v>0</v>
      </c>
    </row>
    <row r="366" spans="12:17">
      <c r="L366" s="2">
        <f>IFERROR(K366/J366*100,0)</f>
        <v>0</v>
      </c>
      <c r="Q366" s="7">
        <f>IF(P366="Yes",C366+CertValidityDays,"")</f>
        <v>0</v>
      </c>
    </row>
    <row r="367" spans="12:17">
      <c r="L367" s="2">
        <f>IFERROR(K367/J367*100,0)</f>
        <v>0</v>
      </c>
      <c r="Q367" s="7">
        <f>IF(P367="Yes",C367+CertValidityDays,"")</f>
        <v>0</v>
      </c>
    </row>
    <row r="368" spans="12:17">
      <c r="L368" s="2">
        <f>IFERROR(K368/J368*100,0)</f>
        <v>0</v>
      </c>
      <c r="Q368" s="7">
        <f>IF(P368="Yes",C368+CertValidityDays,"")</f>
        <v>0</v>
      </c>
    </row>
    <row r="369" spans="12:17">
      <c r="L369" s="2">
        <f>IFERROR(K369/J369*100,0)</f>
        <v>0</v>
      </c>
      <c r="Q369" s="7">
        <f>IF(P369="Yes",C369+CertValidityDays,"")</f>
        <v>0</v>
      </c>
    </row>
    <row r="370" spans="12:17">
      <c r="L370" s="2">
        <f>IFERROR(K370/J370*100,0)</f>
        <v>0</v>
      </c>
      <c r="Q370" s="7">
        <f>IF(P370="Yes",C370+CertValidityDays,"")</f>
        <v>0</v>
      </c>
    </row>
    <row r="371" spans="12:17">
      <c r="L371" s="2">
        <f>IFERROR(K371/J371*100,0)</f>
        <v>0</v>
      </c>
      <c r="Q371" s="7">
        <f>IF(P371="Yes",C371+CertValidityDays,"")</f>
        <v>0</v>
      </c>
    </row>
    <row r="372" spans="12:17">
      <c r="L372" s="2">
        <f>IFERROR(K372/J372*100,0)</f>
        <v>0</v>
      </c>
      <c r="Q372" s="7">
        <f>IF(P372="Yes",C372+CertValidityDays,"")</f>
        <v>0</v>
      </c>
    </row>
    <row r="373" spans="12:17">
      <c r="L373" s="2">
        <f>IFERROR(K373/J373*100,0)</f>
        <v>0</v>
      </c>
      <c r="Q373" s="7">
        <f>IF(P373="Yes",C373+CertValidityDays,"")</f>
        <v>0</v>
      </c>
    </row>
    <row r="374" spans="12:17">
      <c r="L374" s="2">
        <f>IFERROR(K374/J374*100,0)</f>
        <v>0</v>
      </c>
      <c r="Q374" s="7">
        <f>IF(P374="Yes",C374+CertValidityDays,"")</f>
        <v>0</v>
      </c>
    </row>
    <row r="375" spans="12:17">
      <c r="L375" s="2">
        <f>IFERROR(K375/J375*100,0)</f>
        <v>0</v>
      </c>
      <c r="Q375" s="7">
        <f>IF(P375="Yes",C375+CertValidityDays,"")</f>
        <v>0</v>
      </c>
    </row>
    <row r="376" spans="12:17">
      <c r="L376" s="2">
        <f>IFERROR(K376/J376*100,0)</f>
        <v>0</v>
      </c>
      <c r="Q376" s="7">
        <f>IF(P376="Yes",C376+CertValidityDays,"")</f>
        <v>0</v>
      </c>
    </row>
    <row r="377" spans="12:17">
      <c r="L377" s="2">
        <f>IFERROR(K377/J377*100,0)</f>
        <v>0</v>
      </c>
      <c r="Q377" s="7">
        <f>IF(P377="Yes",C377+CertValidityDays,"")</f>
        <v>0</v>
      </c>
    </row>
    <row r="378" spans="12:17">
      <c r="L378" s="2">
        <f>IFERROR(K378/J378*100,0)</f>
        <v>0</v>
      </c>
      <c r="Q378" s="7">
        <f>IF(P378="Yes",C378+CertValidityDays,"")</f>
        <v>0</v>
      </c>
    </row>
    <row r="379" spans="12:17">
      <c r="L379" s="2">
        <f>IFERROR(K379/J379*100,0)</f>
        <v>0</v>
      </c>
      <c r="Q379" s="7">
        <f>IF(P379="Yes",C379+CertValidityDays,"")</f>
        <v>0</v>
      </c>
    </row>
    <row r="380" spans="12:17">
      <c r="L380" s="2">
        <f>IFERROR(K380/J380*100,0)</f>
        <v>0</v>
      </c>
      <c r="Q380" s="7">
        <f>IF(P380="Yes",C380+CertValidityDays,"")</f>
        <v>0</v>
      </c>
    </row>
    <row r="381" spans="12:17">
      <c r="L381" s="2">
        <f>IFERROR(K381/J381*100,0)</f>
        <v>0</v>
      </c>
      <c r="Q381" s="7">
        <f>IF(P381="Yes",C381+CertValidityDays,"")</f>
        <v>0</v>
      </c>
    </row>
    <row r="382" spans="12:17">
      <c r="L382" s="2">
        <f>IFERROR(K382/J382*100,0)</f>
        <v>0</v>
      </c>
      <c r="Q382" s="7">
        <f>IF(P382="Yes",C382+CertValidityDays,"")</f>
        <v>0</v>
      </c>
    </row>
    <row r="383" spans="12:17">
      <c r="L383" s="2">
        <f>IFERROR(K383/J383*100,0)</f>
        <v>0</v>
      </c>
      <c r="Q383" s="7">
        <f>IF(P383="Yes",C383+CertValidityDays,"")</f>
        <v>0</v>
      </c>
    </row>
    <row r="384" spans="12:17">
      <c r="L384" s="2">
        <f>IFERROR(K384/J384*100,0)</f>
        <v>0</v>
      </c>
      <c r="Q384" s="7">
        <f>IF(P384="Yes",C384+CertValidityDays,"")</f>
        <v>0</v>
      </c>
    </row>
    <row r="385" spans="12:17">
      <c r="L385" s="2">
        <f>IFERROR(K385/J385*100,0)</f>
        <v>0</v>
      </c>
      <c r="Q385" s="7">
        <f>IF(P385="Yes",C385+CertValidityDays,"")</f>
        <v>0</v>
      </c>
    </row>
    <row r="386" spans="12:17">
      <c r="L386" s="2">
        <f>IFERROR(K386/J386*100,0)</f>
        <v>0</v>
      </c>
      <c r="Q386" s="7">
        <f>IF(P386="Yes",C386+CertValidityDays,"")</f>
        <v>0</v>
      </c>
    </row>
    <row r="387" spans="12:17">
      <c r="L387" s="2">
        <f>IFERROR(K387/J387*100,0)</f>
        <v>0</v>
      </c>
      <c r="Q387" s="7">
        <f>IF(P387="Yes",C387+CertValidityDays,"")</f>
        <v>0</v>
      </c>
    </row>
    <row r="388" spans="12:17">
      <c r="L388" s="2">
        <f>IFERROR(K388/J388*100,0)</f>
        <v>0</v>
      </c>
      <c r="Q388" s="7">
        <f>IF(P388="Yes",C388+CertValidityDays,"")</f>
        <v>0</v>
      </c>
    </row>
    <row r="389" spans="12:17">
      <c r="L389" s="2">
        <f>IFERROR(K389/J389*100,0)</f>
        <v>0</v>
      </c>
      <c r="Q389" s="7">
        <f>IF(P389="Yes",C389+CertValidityDays,"")</f>
        <v>0</v>
      </c>
    </row>
    <row r="390" spans="12:17">
      <c r="L390" s="2">
        <f>IFERROR(K390/J390*100,0)</f>
        <v>0</v>
      </c>
      <c r="Q390" s="7">
        <f>IF(P390="Yes",C390+CertValidityDays,"")</f>
        <v>0</v>
      </c>
    </row>
    <row r="391" spans="12:17">
      <c r="L391" s="2">
        <f>IFERROR(K391/J391*100,0)</f>
        <v>0</v>
      </c>
      <c r="Q391" s="7">
        <f>IF(P391="Yes",C391+CertValidityDays,"")</f>
        <v>0</v>
      </c>
    </row>
    <row r="392" spans="12:17">
      <c r="L392" s="2">
        <f>IFERROR(K392/J392*100,0)</f>
        <v>0</v>
      </c>
      <c r="Q392" s="7">
        <f>IF(P392="Yes",C392+CertValidityDays,"")</f>
        <v>0</v>
      </c>
    </row>
    <row r="393" spans="12:17">
      <c r="L393" s="2">
        <f>IFERROR(K393/J393*100,0)</f>
        <v>0</v>
      </c>
      <c r="Q393" s="7">
        <f>IF(P393="Yes",C393+CertValidityDays,"")</f>
        <v>0</v>
      </c>
    </row>
    <row r="394" spans="12:17">
      <c r="L394" s="2">
        <f>IFERROR(K394/J394*100,0)</f>
        <v>0</v>
      </c>
      <c r="Q394" s="7">
        <f>IF(P394="Yes",C394+CertValidityDays,"")</f>
        <v>0</v>
      </c>
    </row>
    <row r="395" spans="12:17">
      <c r="L395" s="2">
        <f>IFERROR(K395/J395*100,0)</f>
        <v>0</v>
      </c>
      <c r="Q395" s="7">
        <f>IF(P395="Yes",C395+CertValidityDays,"")</f>
        <v>0</v>
      </c>
    </row>
    <row r="396" spans="12:17">
      <c r="L396" s="2">
        <f>IFERROR(K396/J396*100,0)</f>
        <v>0</v>
      </c>
      <c r="Q396" s="7">
        <f>IF(P396="Yes",C396+CertValidityDays,"")</f>
        <v>0</v>
      </c>
    </row>
    <row r="397" spans="12:17">
      <c r="L397" s="2">
        <f>IFERROR(K397/J397*100,0)</f>
        <v>0</v>
      </c>
      <c r="Q397" s="7">
        <f>IF(P397="Yes",C397+CertValidityDays,"")</f>
        <v>0</v>
      </c>
    </row>
    <row r="398" spans="12:17">
      <c r="L398" s="2">
        <f>IFERROR(K398/J398*100,0)</f>
        <v>0</v>
      </c>
      <c r="Q398" s="7">
        <f>IF(P398="Yes",C398+CertValidityDays,"")</f>
        <v>0</v>
      </c>
    </row>
    <row r="399" spans="12:17">
      <c r="L399" s="2">
        <f>IFERROR(K399/J399*100,0)</f>
        <v>0</v>
      </c>
      <c r="Q399" s="7">
        <f>IF(P399="Yes",C399+CertValidityDays,"")</f>
        <v>0</v>
      </c>
    </row>
    <row r="400" spans="12:17">
      <c r="L400" s="2">
        <f>IFERROR(K400/J400*100,0)</f>
        <v>0</v>
      </c>
      <c r="Q400" s="7">
        <f>IF(P400="Yes",C400+CertValidityDays,"")</f>
        <v>0</v>
      </c>
    </row>
    <row r="401" spans="12:17">
      <c r="L401" s="2">
        <f>IFERROR(K401/J401*100,0)</f>
        <v>0</v>
      </c>
      <c r="Q401" s="7">
        <f>IF(P401="Yes",C401+CertValidityDays,"")</f>
        <v>0</v>
      </c>
    </row>
    <row r="402" spans="12:17">
      <c r="L402" s="2">
        <f>IFERROR(K402/J402*100,0)</f>
        <v>0</v>
      </c>
      <c r="Q402" s="7">
        <f>IF(P402="Yes",C402+CertValidityDays,"")</f>
        <v>0</v>
      </c>
    </row>
    <row r="403" spans="12:17">
      <c r="L403" s="2">
        <f>IFERROR(K403/J403*100,0)</f>
        <v>0</v>
      </c>
      <c r="Q403" s="7">
        <f>IF(P403="Yes",C403+CertValidityDays,"")</f>
        <v>0</v>
      </c>
    </row>
    <row r="404" spans="12:17">
      <c r="L404" s="2">
        <f>IFERROR(K404/J404*100,0)</f>
        <v>0</v>
      </c>
      <c r="Q404" s="7">
        <f>IF(P404="Yes",C404+CertValidityDays,"")</f>
        <v>0</v>
      </c>
    </row>
    <row r="405" spans="12:17">
      <c r="L405" s="2">
        <f>IFERROR(K405/J405*100,0)</f>
        <v>0</v>
      </c>
      <c r="Q405" s="7">
        <f>IF(P405="Yes",C405+CertValidityDays,"")</f>
        <v>0</v>
      </c>
    </row>
    <row r="406" spans="12:17">
      <c r="L406" s="2">
        <f>IFERROR(K406/J406*100,0)</f>
        <v>0</v>
      </c>
      <c r="Q406" s="7">
        <f>IF(P406="Yes",C406+CertValidityDays,"")</f>
        <v>0</v>
      </c>
    </row>
    <row r="407" spans="12:17">
      <c r="L407" s="2">
        <f>IFERROR(K407/J407*100,0)</f>
        <v>0</v>
      </c>
      <c r="Q407" s="7">
        <f>IF(P407="Yes",C407+CertValidityDays,"")</f>
        <v>0</v>
      </c>
    </row>
    <row r="408" spans="12:17">
      <c r="L408" s="2">
        <f>IFERROR(K408/J408*100,0)</f>
        <v>0</v>
      </c>
      <c r="Q408" s="7">
        <f>IF(P408="Yes",C408+CertValidityDays,"")</f>
        <v>0</v>
      </c>
    </row>
    <row r="409" spans="12:17">
      <c r="L409" s="2">
        <f>IFERROR(K409/J409*100,0)</f>
        <v>0</v>
      </c>
      <c r="Q409" s="7">
        <f>IF(P409="Yes",C409+CertValidityDays,"")</f>
        <v>0</v>
      </c>
    </row>
    <row r="410" spans="12:17">
      <c r="L410" s="2">
        <f>IFERROR(K410/J410*100,0)</f>
        <v>0</v>
      </c>
      <c r="Q410" s="7">
        <f>IF(P410="Yes",C410+CertValidityDays,"")</f>
        <v>0</v>
      </c>
    </row>
    <row r="411" spans="12:17">
      <c r="L411" s="2">
        <f>IFERROR(K411/J411*100,0)</f>
        <v>0</v>
      </c>
      <c r="Q411" s="7">
        <f>IF(P411="Yes",C411+CertValidityDays,"")</f>
        <v>0</v>
      </c>
    </row>
    <row r="412" spans="12:17">
      <c r="L412" s="2">
        <f>IFERROR(K412/J412*100,0)</f>
        <v>0</v>
      </c>
      <c r="Q412" s="7">
        <f>IF(P412="Yes",C412+CertValidityDays,"")</f>
        <v>0</v>
      </c>
    </row>
    <row r="413" spans="12:17">
      <c r="L413" s="2">
        <f>IFERROR(K413/J413*100,0)</f>
        <v>0</v>
      </c>
      <c r="Q413" s="7">
        <f>IF(P413="Yes",C413+CertValidityDays,"")</f>
        <v>0</v>
      </c>
    </row>
    <row r="414" spans="12:17">
      <c r="L414" s="2">
        <f>IFERROR(K414/J414*100,0)</f>
        <v>0</v>
      </c>
      <c r="Q414" s="7">
        <f>IF(P414="Yes",C414+CertValidityDays,"")</f>
        <v>0</v>
      </c>
    </row>
    <row r="415" spans="12:17">
      <c r="L415" s="2">
        <f>IFERROR(K415/J415*100,0)</f>
        <v>0</v>
      </c>
      <c r="Q415" s="7">
        <f>IF(P415="Yes",C415+CertValidityDays,"")</f>
        <v>0</v>
      </c>
    </row>
    <row r="416" spans="12:17">
      <c r="L416" s="2">
        <f>IFERROR(K416/J416*100,0)</f>
        <v>0</v>
      </c>
      <c r="Q416" s="7">
        <f>IF(P416="Yes",C416+CertValidityDays,"")</f>
        <v>0</v>
      </c>
    </row>
    <row r="417" spans="12:17">
      <c r="L417" s="2">
        <f>IFERROR(K417/J417*100,0)</f>
        <v>0</v>
      </c>
      <c r="Q417" s="7">
        <f>IF(P417="Yes",C417+CertValidityDays,"")</f>
        <v>0</v>
      </c>
    </row>
    <row r="418" spans="12:17">
      <c r="L418" s="2">
        <f>IFERROR(K418/J418*100,0)</f>
        <v>0</v>
      </c>
      <c r="Q418" s="7">
        <f>IF(P418="Yes",C418+CertValidityDays,"")</f>
        <v>0</v>
      </c>
    </row>
    <row r="419" spans="12:17">
      <c r="L419" s="2">
        <f>IFERROR(K419/J419*100,0)</f>
        <v>0</v>
      </c>
      <c r="Q419" s="7">
        <f>IF(P419="Yes",C419+CertValidityDays,"")</f>
        <v>0</v>
      </c>
    </row>
    <row r="420" spans="12:17">
      <c r="L420" s="2">
        <f>IFERROR(K420/J420*100,0)</f>
        <v>0</v>
      </c>
      <c r="Q420" s="7">
        <f>IF(P420="Yes",C420+CertValidityDays,"")</f>
        <v>0</v>
      </c>
    </row>
    <row r="421" spans="12:17">
      <c r="L421" s="2">
        <f>IFERROR(K421/J421*100,0)</f>
        <v>0</v>
      </c>
      <c r="Q421" s="7">
        <f>IF(P421="Yes",C421+CertValidityDays,"")</f>
        <v>0</v>
      </c>
    </row>
    <row r="422" spans="12:17">
      <c r="L422" s="2">
        <f>IFERROR(K422/J422*100,0)</f>
        <v>0</v>
      </c>
      <c r="Q422" s="7">
        <f>IF(P422="Yes",C422+CertValidityDays,"")</f>
        <v>0</v>
      </c>
    </row>
    <row r="423" spans="12:17">
      <c r="L423" s="2">
        <f>IFERROR(K423/J423*100,0)</f>
        <v>0</v>
      </c>
      <c r="Q423" s="7">
        <f>IF(P423="Yes",C423+CertValidityDays,"")</f>
        <v>0</v>
      </c>
    </row>
    <row r="424" spans="12:17">
      <c r="L424" s="2">
        <f>IFERROR(K424/J424*100,0)</f>
        <v>0</v>
      </c>
      <c r="Q424" s="7">
        <f>IF(P424="Yes",C424+CertValidityDays,"")</f>
        <v>0</v>
      </c>
    </row>
    <row r="425" spans="12:17">
      <c r="L425" s="2">
        <f>IFERROR(K425/J425*100,0)</f>
        <v>0</v>
      </c>
      <c r="Q425" s="7">
        <f>IF(P425="Yes",C425+CertValidityDays,"")</f>
        <v>0</v>
      </c>
    </row>
    <row r="426" spans="12:17">
      <c r="L426" s="2">
        <f>IFERROR(K426/J426*100,0)</f>
        <v>0</v>
      </c>
      <c r="Q426" s="7">
        <f>IF(P426="Yes",C426+CertValidityDays,"")</f>
        <v>0</v>
      </c>
    </row>
    <row r="427" spans="12:17">
      <c r="L427" s="2">
        <f>IFERROR(K427/J427*100,0)</f>
        <v>0</v>
      </c>
      <c r="Q427" s="7">
        <f>IF(P427="Yes",C427+CertValidityDays,"")</f>
        <v>0</v>
      </c>
    </row>
    <row r="428" spans="12:17">
      <c r="L428" s="2">
        <f>IFERROR(K428/J428*100,0)</f>
        <v>0</v>
      </c>
      <c r="Q428" s="7">
        <f>IF(P428="Yes",C428+CertValidityDays,"")</f>
        <v>0</v>
      </c>
    </row>
    <row r="429" spans="12:17">
      <c r="L429" s="2">
        <f>IFERROR(K429/J429*100,0)</f>
        <v>0</v>
      </c>
      <c r="Q429" s="7">
        <f>IF(P429="Yes",C429+CertValidityDays,"")</f>
        <v>0</v>
      </c>
    </row>
    <row r="430" spans="12:17">
      <c r="L430" s="2">
        <f>IFERROR(K430/J430*100,0)</f>
        <v>0</v>
      </c>
      <c r="Q430" s="7">
        <f>IF(P430="Yes",C430+CertValidityDays,"")</f>
        <v>0</v>
      </c>
    </row>
    <row r="431" spans="12:17">
      <c r="L431" s="2">
        <f>IFERROR(K431/J431*100,0)</f>
        <v>0</v>
      </c>
      <c r="Q431" s="7">
        <f>IF(P431="Yes",C431+CertValidityDays,"")</f>
        <v>0</v>
      </c>
    </row>
    <row r="432" spans="12:17">
      <c r="L432" s="2">
        <f>IFERROR(K432/J432*100,0)</f>
        <v>0</v>
      </c>
      <c r="Q432" s="7">
        <f>IF(P432="Yes",C432+CertValidityDays,"")</f>
        <v>0</v>
      </c>
    </row>
    <row r="433" spans="12:17">
      <c r="L433" s="2">
        <f>IFERROR(K433/J433*100,0)</f>
        <v>0</v>
      </c>
      <c r="Q433" s="7">
        <f>IF(P433="Yes",C433+CertValidityDays,"")</f>
        <v>0</v>
      </c>
    </row>
    <row r="434" spans="12:17">
      <c r="L434" s="2">
        <f>IFERROR(K434/J434*100,0)</f>
        <v>0</v>
      </c>
      <c r="Q434" s="7">
        <f>IF(P434="Yes",C434+CertValidityDays,"")</f>
        <v>0</v>
      </c>
    </row>
    <row r="435" spans="12:17">
      <c r="L435" s="2">
        <f>IFERROR(K435/J435*100,0)</f>
        <v>0</v>
      </c>
      <c r="Q435" s="7">
        <f>IF(P435="Yes",C435+CertValidityDays,"")</f>
        <v>0</v>
      </c>
    </row>
    <row r="436" spans="12:17">
      <c r="L436" s="2">
        <f>IFERROR(K436/J436*100,0)</f>
        <v>0</v>
      </c>
      <c r="Q436" s="7">
        <f>IF(P436="Yes",C436+CertValidityDays,"")</f>
        <v>0</v>
      </c>
    </row>
    <row r="437" spans="12:17">
      <c r="L437" s="2">
        <f>IFERROR(K437/J437*100,0)</f>
        <v>0</v>
      </c>
      <c r="Q437" s="7">
        <f>IF(P437="Yes",C437+CertValidityDays,"")</f>
        <v>0</v>
      </c>
    </row>
    <row r="438" spans="12:17">
      <c r="L438" s="2">
        <f>IFERROR(K438/J438*100,0)</f>
        <v>0</v>
      </c>
      <c r="Q438" s="7">
        <f>IF(P438="Yes",C438+CertValidityDays,"")</f>
        <v>0</v>
      </c>
    </row>
    <row r="439" spans="12:17">
      <c r="L439" s="2">
        <f>IFERROR(K439/J439*100,0)</f>
        <v>0</v>
      </c>
      <c r="Q439" s="7">
        <f>IF(P439="Yes",C439+CertValidityDays,"")</f>
        <v>0</v>
      </c>
    </row>
    <row r="440" spans="12:17">
      <c r="L440" s="2">
        <f>IFERROR(K440/J440*100,0)</f>
        <v>0</v>
      </c>
      <c r="Q440" s="7">
        <f>IF(P440="Yes",C440+CertValidityDays,"")</f>
        <v>0</v>
      </c>
    </row>
    <row r="441" spans="12:17">
      <c r="L441" s="2">
        <f>IFERROR(K441/J441*100,0)</f>
        <v>0</v>
      </c>
      <c r="Q441" s="7">
        <f>IF(P441="Yes",C441+CertValidityDays,"")</f>
        <v>0</v>
      </c>
    </row>
    <row r="442" spans="12:17">
      <c r="L442" s="2">
        <f>IFERROR(K442/J442*100,0)</f>
        <v>0</v>
      </c>
      <c r="Q442" s="7">
        <f>IF(P442="Yes",C442+CertValidityDays,"")</f>
        <v>0</v>
      </c>
    </row>
    <row r="443" spans="12:17">
      <c r="L443" s="2">
        <f>IFERROR(K443/J443*100,0)</f>
        <v>0</v>
      </c>
      <c r="Q443" s="7">
        <f>IF(P443="Yes",C443+CertValidityDays,"")</f>
        <v>0</v>
      </c>
    </row>
    <row r="444" spans="12:17">
      <c r="L444" s="2">
        <f>IFERROR(K444/J444*100,0)</f>
        <v>0</v>
      </c>
      <c r="Q444" s="7">
        <f>IF(P444="Yes",C444+CertValidityDays,"")</f>
        <v>0</v>
      </c>
    </row>
    <row r="445" spans="12:17">
      <c r="L445" s="2">
        <f>IFERROR(K445/J445*100,0)</f>
        <v>0</v>
      </c>
      <c r="Q445" s="7">
        <f>IF(P445="Yes",C445+CertValidityDays,"")</f>
        <v>0</v>
      </c>
    </row>
    <row r="446" spans="12:17">
      <c r="L446" s="2">
        <f>IFERROR(K446/J446*100,0)</f>
        <v>0</v>
      </c>
      <c r="Q446" s="7">
        <f>IF(P446="Yes",C446+CertValidityDays,"")</f>
        <v>0</v>
      </c>
    </row>
    <row r="447" spans="12:17">
      <c r="L447" s="2">
        <f>IFERROR(K447/J447*100,0)</f>
        <v>0</v>
      </c>
      <c r="Q447" s="7">
        <f>IF(P447="Yes",C447+CertValidityDays,"")</f>
        <v>0</v>
      </c>
    </row>
    <row r="448" spans="12:17">
      <c r="L448" s="2">
        <f>IFERROR(K448/J448*100,0)</f>
        <v>0</v>
      </c>
      <c r="Q448" s="7">
        <f>IF(P448="Yes",C448+CertValidityDays,"")</f>
        <v>0</v>
      </c>
    </row>
    <row r="449" spans="12:17">
      <c r="L449" s="2">
        <f>IFERROR(K449/J449*100,0)</f>
        <v>0</v>
      </c>
      <c r="Q449" s="7">
        <f>IF(P449="Yes",C449+CertValidityDays,"")</f>
        <v>0</v>
      </c>
    </row>
    <row r="450" spans="12:17">
      <c r="L450" s="2">
        <f>IFERROR(K450/J450*100,0)</f>
        <v>0</v>
      </c>
      <c r="Q450" s="7">
        <f>IF(P450="Yes",C450+CertValidityDays,"")</f>
        <v>0</v>
      </c>
    </row>
    <row r="451" spans="12:17">
      <c r="L451" s="2">
        <f>IFERROR(K451/J451*100,0)</f>
        <v>0</v>
      </c>
      <c r="Q451" s="7">
        <f>IF(P451="Yes",C451+CertValidityDays,"")</f>
        <v>0</v>
      </c>
    </row>
    <row r="452" spans="12:17">
      <c r="L452" s="2">
        <f>IFERROR(K452/J452*100,0)</f>
        <v>0</v>
      </c>
      <c r="Q452" s="7">
        <f>IF(P452="Yes",C452+CertValidityDays,"")</f>
        <v>0</v>
      </c>
    </row>
    <row r="453" spans="12:17">
      <c r="L453" s="2">
        <f>IFERROR(K453/J453*100,0)</f>
        <v>0</v>
      </c>
      <c r="Q453" s="7">
        <f>IF(P453="Yes",C453+CertValidityDays,"")</f>
        <v>0</v>
      </c>
    </row>
    <row r="454" spans="12:17">
      <c r="L454" s="2">
        <f>IFERROR(K454/J454*100,0)</f>
        <v>0</v>
      </c>
      <c r="Q454" s="7">
        <f>IF(P454="Yes",C454+CertValidityDays,"")</f>
        <v>0</v>
      </c>
    </row>
    <row r="455" spans="12:17">
      <c r="L455" s="2">
        <f>IFERROR(K455/J455*100,0)</f>
        <v>0</v>
      </c>
      <c r="Q455" s="7">
        <f>IF(P455="Yes",C455+CertValidityDays,"")</f>
        <v>0</v>
      </c>
    </row>
    <row r="456" spans="12:17">
      <c r="L456" s="2">
        <f>IFERROR(K456/J456*100,0)</f>
        <v>0</v>
      </c>
      <c r="Q456" s="7">
        <f>IF(P456="Yes",C456+CertValidityDays,"")</f>
        <v>0</v>
      </c>
    </row>
    <row r="457" spans="12:17">
      <c r="L457" s="2">
        <f>IFERROR(K457/J457*100,0)</f>
        <v>0</v>
      </c>
      <c r="Q457" s="7">
        <f>IF(P457="Yes",C457+CertValidityDays,"")</f>
        <v>0</v>
      </c>
    </row>
    <row r="458" spans="12:17">
      <c r="L458" s="2">
        <f>IFERROR(K458/J458*100,0)</f>
        <v>0</v>
      </c>
      <c r="Q458" s="7">
        <f>IF(P458="Yes",C458+CertValidityDays,"")</f>
        <v>0</v>
      </c>
    </row>
    <row r="459" spans="12:17">
      <c r="L459" s="2">
        <f>IFERROR(K459/J459*100,0)</f>
        <v>0</v>
      </c>
      <c r="Q459" s="7">
        <f>IF(P459="Yes",C459+CertValidityDays,"")</f>
        <v>0</v>
      </c>
    </row>
    <row r="460" spans="12:17">
      <c r="L460" s="2">
        <f>IFERROR(K460/J460*100,0)</f>
        <v>0</v>
      </c>
      <c r="Q460" s="7">
        <f>IF(P460="Yes",C460+CertValidityDays,"")</f>
        <v>0</v>
      </c>
    </row>
    <row r="461" spans="12:17">
      <c r="L461" s="2">
        <f>IFERROR(K461/J461*100,0)</f>
        <v>0</v>
      </c>
      <c r="Q461" s="7">
        <f>IF(P461="Yes",C461+CertValidityDays,"")</f>
        <v>0</v>
      </c>
    </row>
    <row r="462" spans="12:17">
      <c r="L462" s="2">
        <f>IFERROR(K462/J462*100,0)</f>
        <v>0</v>
      </c>
      <c r="Q462" s="7">
        <f>IF(P462="Yes",C462+CertValidityDays,"")</f>
        <v>0</v>
      </c>
    </row>
    <row r="463" spans="12:17">
      <c r="L463" s="2">
        <f>IFERROR(K463/J463*100,0)</f>
        <v>0</v>
      </c>
      <c r="Q463" s="7">
        <f>IF(P463="Yes",C463+CertValidityDays,"")</f>
        <v>0</v>
      </c>
    </row>
    <row r="464" spans="12:17">
      <c r="L464" s="2">
        <f>IFERROR(K464/J464*100,0)</f>
        <v>0</v>
      </c>
      <c r="Q464" s="7">
        <f>IF(P464="Yes",C464+CertValidityDays,"")</f>
        <v>0</v>
      </c>
    </row>
    <row r="465" spans="12:17">
      <c r="L465" s="2">
        <f>IFERROR(K465/J465*100,0)</f>
        <v>0</v>
      </c>
      <c r="Q465" s="7">
        <f>IF(P465="Yes",C465+CertValidityDays,"")</f>
        <v>0</v>
      </c>
    </row>
    <row r="466" spans="12:17">
      <c r="L466" s="2">
        <f>IFERROR(K466/J466*100,0)</f>
        <v>0</v>
      </c>
      <c r="Q466" s="7">
        <f>IF(P466="Yes",C466+CertValidityDays,"")</f>
        <v>0</v>
      </c>
    </row>
    <row r="467" spans="12:17">
      <c r="L467" s="2">
        <f>IFERROR(K467/J467*100,0)</f>
        <v>0</v>
      </c>
      <c r="Q467" s="7">
        <f>IF(P467="Yes",C467+CertValidityDays,"")</f>
        <v>0</v>
      </c>
    </row>
    <row r="468" spans="12:17">
      <c r="L468" s="2">
        <f>IFERROR(K468/J468*100,0)</f>
        <v>0</v>
      </c>
      <c r="Q468" s="7">
        <f>IF(P468="Yes",C468+CertValidityDays,"")</f>
        <v>0</v>
      </c>
    </row>
    <row r="469" spans="12:17">
      <c r="L469" s="2">
        <f>IFERROR(K469/J469*100,0)</f>
        <v>0</v>
      </c>
      <c r="Q469" s="7">
        <f>IF(P469="Yes",C469+CertValidityDays,"")</f>
        <v>0</v>
      </c>
    </row>
    <row r="470" spans="12:17">
      <c r="L470" s="2">
        <f>IFERROR(K470/J470*100,0)</f>
        <v>0</v>
      </c>
      <c r="Q470" s="7">
        <f>IF(P470="Yes",C470+CertValidityDays,"")</f>
        <v>0</v>
      </c>
    </row>
    <row r="471" spans="12:17">
      <c r="L471" s="2">
        <f>IFERROR(K471/J471*100,0)</f>
        <v>0</v>
      </c>
      <c r="Q471" s="7">
        <f>IF(P471="Yes",C471+CertValidityDays,"")</f>
        <v>0</v>
      </c>
    </row>
    <row r="472" spans="12:17">
      <c r="L472" s="2">
        <f>IFERROR(K472/J472*100,0)</f>
        <v>0</v>
      </c>
      <c r="Q472" s="7">
        <f>IF(P472="Yes",C472+CertValidityDays,"")</f>
        <v>0</v>
      </c>
    </row>
    <row r="473" spans="12:17">
      <c r="L473" s="2">
        <f>IFERROR(K473/J473*100,0)</f>
        <v>0</v>
      </c>
      <c r="Q473" s="7">
        <f>IF(P473="Yes",C473+CertValidityDays,"")</f>
        <v>0</v>
      </c>
    </row>
    <row r="474" spans="12:17">
      <c r="L474" s="2">
        <f>IFERROR(K474/J474*100,0)</f>
        <v>0</v>
      </c>
      <c r="Q474" s="7">
        <f>IF(P474="Yes",C474+CertValidityDays,"")</f>
        <v>0</v>
      </c>
    </row>
    <row r="475" spans="12:17">
      <c r="L475" s="2">
        <f>IFERROR(K475/J475*100,0)</f>
        <v>0</v>
      </c>
      <c r="Q475" s="7">
        <f>IF(P475="Yes",C475+CertValidityDays,"")</f>
        <v>0</v>
      </c>
    </row>
    <row r="476" spans="12:17">
      <c r="L476" s="2">
        <f>IFERROR(K476/J476*100,0)</f>
        <v>0</v>
      </c>
      <c r="Q476" s="7">
        <f>IF(P476="Yes",C476+CertValidityDays,"")</f>
        <v>0</v>
      </c>
    </row>
    <row r="477" spans="12:17">
      <c r="L477" s="2">
        <f>IFERROR(K477/J477*100,0)</f>
        <v>0</v>
      </c>
      <c r="Q477" s="7">
        <f>IF(P477="Yes",C477+CertValidityDays,"")</f>
        <v>0</v>
      </c>
    </row>
    <row r="478" spans="12:17">
      <c r="L478" s="2">
        <f>IFERROR(K478/J478*100,0)</f>
        <v>0</v>
      </c>
      <c r="Q478" s="7">
        <f>IF(P478="Yes",C478+CertValidityDays,"")</f>
        <v>0</v>
      </c>
    </row>
    <row r="479" spans="12:17">
      <c r="L479" s="2">
        <f>IFERROR(K479/J479*100,0)</f>
        <v>0</v>
      </c>
      <c r="Q479" s="7">
        <f>IF(P479="Yes",C479+CertValidityDays,"")</f>
        <v>0</v>
      </c>
    </row>
    <row r="480" spans="12:17">
      <c r="L480" s="2">
        <f>IFERROR(K480/J480*100,0)</f>
        <v>0</v>
      </c>
      <c r="Q480" s="7">
        <f>IF(P480="Yes",C480+CertValidityDays,"")</f>
        <v>0</v>
      </c>
    </row>
    <row r="481" spans="12:17">
      <c r="L481" s="2">
        <f>IFERROR(K481/J481*100,0)</f>
        <v>0</v>
      </c>
      <c r="Q481" s="7">
        <f>IF(P481="Yes",C481+CertValidityDays,"")</f>
        <v>0</v>
      </c>
    </row>
    <row r="482" spans="12:17">
      <c r="L482" s="2">
        <f>IFERROR(K482/J482*100,0)</f>
        <v>0</v>
      </c>
      <c r="Q482" s="7">
        <f>IF(P482="Yes",C482+CertValidityDays,"")</f>
        <v>0</v>
      </c>
    </row>
    <row r="483" spans="12:17">
      <c r="L483" s="2">
        <f>IFERROR(K483/J483*100,0)</f>
        <v>0</v>
      </c>
      <c r="Q483" s="7">
        <f>IF(P483="Yes",C483+CertValidityDays,"")</f>
        <v>0</v>
      </c>
    </row>
    <row r="484" spans="12:17">
      <c r="L484" s="2">
        <f>IFERROR(K484/J484*100,0)</f>
        <v>0</v>
      </c>
      <c r="Q484" s="7">
        <f>IF(P484="Yes",C484+CertValidityDays,"")</f>
        <v>0</v>
      </c>
    </row>
    <row r="485" spans="12:17">
      <c r="L485" s="2">
        <f>IFERROR(K485/J485*100,0)</f>
        <v>0</v>
      </c>
      <c r="Q485" s="7">
        <f>IF(P485="Yes",C485+CertValidityDays,"")</f>
        <v>0</v>
      </c>
    </row>
    <row r="486" spans="12:17">
      <c r="L486" s="2">
        <f>IFERROR(K486/J486*100,0)</f>
        <v>0</v>
      </c>
      <c r="Q486" s="7">
        <f>IF(P486="Yes",C486+CertValidityDays,"")</f>
        <v>0</v>
      </c>
    </row>
    <row r="487" spans="12:17">
      <c r="L487" s="2">
        <f>IFERROR(K487/J487*100,0)</f>
        <v>0</v>
      </c>
      <c r="Q487" s="7">
        <f>IF(P487="Yes",C487+CertValidityDays,"")</f>
        <v>0</v>
      </c>
    </row>
    <row r="488" spans="12:17">
      <c r="L488" s="2">
        <f>IFERROR(K488/J488*100,0)</f>
        <v>0</v>
      </c>
      <c r="Q488" s="7">
        <f>IF(P488="Yes",C488+CertValidityDays,"")</f>
        <v>0</v>
      </c>
    </row>
    <row r="489" spans="12:17">
      <c r="L489" s="2">
        <f>IFERROR(K489/J489*100,0)</f>
        <v>0</v>
      </c>
      <c r="Q489" s="7">
        <f>IF(P489="Yes",C489+CertValidityDays,"")</f>
        <v>0</v>
      </c>
    </row>
    <row r="490" spans="12:17">
      <c r="L490" s="2">
        <f>IFERROR(K490/J490*100,0)</f>
        <v>0</v>
      </c>
      <c r="Q490" s="7">
        <f>IF(P490="Yes",C490+CertValidityDays,"")</f>
        <v>0</v>
      </c>
    </row>
    <row r="491" spans="12:17">
      <c r="L491" s="2">
        <f>IFERROR(K491/J491*100,0)</f>
        <v>0</v>
      </c>
      <c r="Q491" s="7">
        <f>IF(P491="Yes",C491+CertValidityDays,"")</f>
        <v>0</v>
      </c>
    </row>
    <row r="492" spans="12:17">
      <c r="L492" s="2">
        <f>IFERROR(K492/J492*100,0)</f>
        <v>0</v>
      </c>
      <c r="Q492" s="7">
        <f>IF(P492="Yes",C492+CertValidityDays,"")</f>
        <v>0</v>
      </c>
    </row>
    <row r="493" spans="12:17">
      <c r="L493" s="2">
        <f>IFERROR(K493/J493*100,0)</f>
        <v>0</v>
      </c>
      <c r="Q493" s="7">
        <f>IF(P493="Yes",C493+CertValidityDays,"")</f>
        <v>0</v>
      </c>
    </row>
    <row r="494" spans="12:17">
      <c r="L494" s="2">
        <f>IFERROR(K494/J494*100,0)</f>
        <v>0</v>
      </c>
      <c r="Q494" s="7">
        <f>IF(P494="Yes",C494+CertValidityDays,"")</f>
        <v>0</v>
      </c>
    </row>
    <row r="495" spans="12:17">
      <c r="L495" s="2">
        <f>IFERROR(K495/J495*100,0)</f>
        <v>0</v>
      </c>
      <c r="Q495" s="7">
        <f>IF(P495="Yes",C495+CertValidityDays,"")</f>
        <v>0</v>
      </c>
    </row>
    <row r="496" spans="12:17">
      <c r="L496" s="2">
        <f>IFERROR(K496/J496*100,0)</f>
        <v>0</v>
      </c>
      <c r="Q496" s="7">
        <f>IF(P496="Yes",C496+CertValidityDays,"")</f>
        <v>0</v>
      </c>
    </row>
    <row r="497" spans="12:17">
      <c r="L497" s="2">
        <f>IFERROR(K497/J497*100,0)</f>
        <v>0</v>
      </c>
      <c r="Q497" s="7">
        <f>IF(P497="Yes",C497+CertValidityDays,"")</f>
        <v>0</v>
      </c>
    </row>
    <row r="498" spans="12:17">
      <c r="L498" s="2">
        <f>IFERROR(K498/J498*100,0)</f>
        <v>0</v>
      </c>
      <c r="Q498" s="7">
        <f>IF(P498="Yes",C498+CertValidityDays,"")</f>
        <v>0</v>
      </c>
    </row>
    <row r="499" spans="12:17">
      <c r="L499" s="2">
        <f>IFERROR(K499/J499*100,0)</f>
        <v>0</v>
      </c>
      <c r="Q499" s="7">
        <f>IF(P499="Yes",C499+CertValidityDays,"")</f>
        <v>0</v>
      </c>
    </row>
    <row r="500" spans="12:17">
      <c r="L500" s="2">
        <f>IFERROR(K500/J500*100,0)</f>
        <v>0</v>
      </c>
      <c r="Q500" s="7">
        <f>IF(P500="Yes",C500+CertValidityDays,"")</f>
        <v>0</v>
      </c>
    </row>
    <row r="501" spans="12:17">
      <c r="L501" s="2">
        <f>IFERROR(K501/J501*100,0)</f>
        <v>0</v>
      </c>
      <c r="Q501" s="7">
        <f>IF(P501="Yes",C501+CertValidityDays,"")</f>
        <v>0</v>
      </c>
    </row>
    <row r="502" spans="12:17">
      <c r="L502" s="2">
        <f>IFERROR(K502/J502*100,0)</f>
        <v>0</v>
      </c>
      <c r="Q502" s="7">
        <f>IF(P502="Yes",C502+CertValidityDays,"")</f>
        <v>0</v>
      </c>
    </row>
    <row r="503" spans="12:17">
      <c r="L503" s="2">
        <f>IFERROR(K503/J503*100,0)</f>
        <v>0</v>
      </c>
      <c r="Q503" s="7">
        <f>IF(P503="Yes",C503+CertValidityDays,"")</f>
        <v>0</v>
      </c>
    </row>
    <row r="504" spans="12:17">
      <c r="L504" s="2">
        <f>IFERROR(K504/J504*100,0)</f>
        <v>0</v>
      </c>
      <c r="Q504" s="7">
        <f>IF(P504="Yes",C504+CertValidityDays,"")</f>
        <v>0</v>
      </c>
    </row>
    <row r="505" spans="12:17">
      <c r="L505" s="2">
        <f>IFERROR(K505/J505*100,0)</f>
        <v>0</v>
      </c>
      <c r="Q505" s="7">
        <f>IF(P505="Yes",C505+CertValidityDays,"")</f>
        <v>0</v>
      </c>
    </row>
    <row r="506" spans="12:17">
      <c r="L506" s="2">
        <f>IFERROR(K506/J506*100,0)</f>
        <v>0</v>
      </c>
      <c r="Q506" s="7">
        <f>IF(P506="Yes",C506+CertValidityDays,"")</f>
        <v>0</v>
      </c>
    </row>
    <row r="507" spans="12:17">
      <c r="L507" s="2">
        <f>IFERROR(K507/J507*100,0)</f>
        <v>0</v>
      </c>
      <c r="Q507" s="7">
        <f>IF(P507="Yes",C507+CertValidityDays,"")</f>
        <v>0</v>
      </c>
    </row>
    <row r="508" spans="12:17">
      <c r="L508" s="2">
        <f>IFERROR(K508/J508*100,0)</f>
        <v>0</v>
      </c>
      <c r="Q508" s="7">
        <f>IF(P508="Yes",C508+CertValidityDays,"")</f>
        <v>0</v>
      </c>
    </row>
    <row r="509" spans="12:17">
      <c r="L509" s="2">
        <f>IFERROR(K509/J509*100,0)</f>
        <v>0</v>
      </c>
      <c r="Q509" s="7">
        <f>IF(P509="Yes",C509+CertValidityDays,"")</f>
        <v>0</v>
      </c>
    </row>
    <row r="510" spans="12:17">
      <c r="L510" s="2">
        <f>IFERROR(K510/J510*100,0)</f>
        <v>0</v>
      </c>
      <c r="Q510" s="7">
        <f>IF(P510="Yes",C510+CertValidityDays,"")</f>
        <v>0</v>
      </c>
    </row>
    <row r="511" spans="12:17">
      <c r="L511" s="2">
        <f>IFERROR(K511/J511*100,0)</f>
        <v>0</v>
      </c>
      <c r="Q511" s="7">
        <f>IF(P511="Yes",C511+CertValidityDays,"")</f>
        <v>0</v>
      </c>
    </row>
    <row r="512" spans="12:17">
      <c r="L512" s="2">
        <f>IFERROR(K512/J512*100,0)</f>
        <v>0</v>
      </c>
      <c r="Q512" s="7">
        <f>IF(P512="Yes",C512+CertValidityDays,"")</f>
        <v>0</v>
      </c>
    </row>
    <row r="513" spans="12:17">
      <c r="L513" s="2">
        <f>IFERROR(K513/J513*100,0)</f>
        <v>0</v>
      </c>
      <c r="Q513" s="7">
        <f>IF(P513="Yes",C513+CertValidityDays,"")</f>
        <v>0</v>
      </c>
    </row>
    <row r="514" spans="12:17">
      <c r="L514" s="2">
        <f>IFERROR(K514/J514*100,0)</f>
        <v>0</v>
      </c>
      <c r="Q514" s="7">
        <f>IF(P514="Yes",C514+CertValidityDays,"")</f>
        <v>0</v>
      </c>
    </row>
    <row r="515" spans="12:17">
      <c r="L515" s="2">
        <f>IFERROR(K515/J515*100,0)</f>
        <v>0</v>
      </c>
      <c r="Q515" s="7">
        <f>IF(P515="Yes",C515+CertValidityDays,"")</f>
        <v>0</v>
      </c>
    </row>
    <row r="516" spans="12:17">
      <c r="L516" s="2">
        <f>IFERROR(K516/J516*100,0)</f>
        <v>0</v>
      </c>
      <c r="Q516" s="7">
        <f>IF(P516="Yes",C516+CertValidityDays,"")</f>
        <v>0</v>
      </c>
    </row>
    <row r="517" spans="12:17">
      <c r="L517" s="2">
        <f>IFERROR(K517/J517*100,0)</f>
        <v>0</v>
      </c>
      <c r="Q517" s="7">
        <f>IF(P517="Yes",C517+CertValidityDays,"")</f>
        <v>0</v>
      </c>
    </row>
    <row r="518" spans="12:17">
      <c r="L518" s="2">
        <f>IFERROR(K518/J518*100,0)</f>
        <v>0</v>
      </c>
      <c r="Q518" s="7">
        <f>IF(P518="Yes",C518+CertValidityDays,"")</f>
        <v>0</v>
      </c>
    </row>
    <row r="519" spans="12:17">
      <c r="L519" s="2">
        <f>IFERROR(K519/J519*100,0)</f>
        <v>0</v>
      </c>
      <c r="Q519" s="7">
        <f>IF(P519="Yes",C519+CertValidityDays,"")</f>
        <v>0</v>
      </c>
    </row>
    <row r="520" spans="12:17">
      <c r="L520" s="2">
        <f>IFERROR(K520/J520*100,0)</f>
        <v>0</v>
      </c>
      <c r="Q520" s="7">
        <f>IF(P520="Yes",C520+CertValidityDays,"")</f>
        <v>0</v>
      </c>
    </row>
    <row r="521" spans="12:17">
      <c r="L521" s="2">
        <f>IFERROR(K521/J521*100,0)</f>
        <v>0</v>
      </c>
      <c r="Q521" s="7">
        <f>IF(P521="Yes",C521+CertValidityDays,"")</f>
        <v>0</v>
      </c>
    </row>
    <row r="522" spans="12:17">
      <c r="L522" s="2">
        <f>IFERROR(K522/J522*100,0)</f>
        <v>0</v>
      </c>
      <c r="Q522" s="7">
        <f>IF(P522="Yes",C522+CertValidityDays,"")</f>
        <v>0</v>
      </c>
    </row>
    <row r="523" spans="12:17">
      <c r="L523" s="2">
        <f>IFERROR(K523/J523*100,0)</f>
        <v>0</v>
      </c>
      <c r="Q523" s="7">
        <f>IF(P523="Yes",C523+CertValidityDays,"")</f>
        <v>0</v>
      </c>
    </row>
    <row r="524" spans="12:17">
      <c r="L524" s="2">
        <f>IFERROR(K524/J524*100,0)</f>
        <v>0</v>
      </c>
      <c r="Q524" s="7">
        <f>IF(P524="Yes",C524+CertValidityDays,"")</f>
        <v>0</v>
      </c>
    </row>
    <row r="525" spans="12:17">
      <c r="L525" s="2">
        <f>IFERROR(K525/J525*100,0)</f>
        <v>0</v>
      </c>
      <c r="Q525" s="7">
        <f>IF(P525="Yes",C525+CertValidityDays,"")</f>
        <v>0</v>
      </c>
    </row>
    <row r="526" spans="12:17">
      <c r="L526" s="2">
        <f>IFERROR(K526/J526*100,0)</f>
        <v>0</v>
      </c>
      <c r="Q526" s="7">
        <f>IF(P526="Yes",C526+CertValidityDays,"")</f>
        <v>0</v>
      </c>
    </row>
    <row r="527" spans="12:17">
      <c r="L527" s="2">
        <f>IFERROR(K527/J527*100,0)</f>
        <v>0</v>
      </c>
      <c r="Q527" s="7">
        <f>IF(P527="Yes",C527+CertValidityDays,"")</f>
        <v>0</v>
      </c>
    </row>
    <row r="528" spans="12:17">
      <c r="L528" s="2">
        <f>IFERROR(K528/J528*100,0)</f>
        <v>0</v>
      </c>
      <c r="Q528" s="7">
        <f>IF(P528="Yes",C528+CertValidityDays,"")</f>
        <v>0</v>
      </c>
    </row>
    <row r="529" spans="12:17">
      <c r="L529" s="2">
        <f>IFERROR(K529/J529*100,0)</f>
        <v>0</v>
      </c>
      <c r="Q529" s="7">
        <f>IF(P529="Yes",C529+CertValidityDays,"")</f>
        <v>0</v>
      </c>
    </row>
    <row r="530" spans="12:17">
      <c r="L530" s="2">
        <f>IFERROR(K530/J530*100,0)</f>
        <v>0</v>
      </c>
      <c r="Q530" s="7">
        <f>IF(P530="Yes",C530+CertValidityDays,"")</f>
        <v>0</v>
      </c>
    </row>
    <row r="531" spans="12:17">
      <c r="L531" s="2">
        <f>IFERROR(K531/J531*100,0)</f>
        <v>0</v>
      </c>
      <c r="Q531" s="7">
        <f>IF(P531="Yes",C531+CertValidityDays,"")</f>
        <v>0</v>
      </c>
    </row>
    <row r="532" spans="12:17">
      <c r="L532" s="2">
        <f>IFERROR(K532/J532*100,0)</f>
        <v>0</v>
      </c>
      <c r="Q532" s="7">
        <f>IF(P532="Yes",C532+CertValidityDays,"")</f>
        <v>0</v>
      </c>
    </row>
    <row r="533" spans="12:17">
      <c r="L533" s="2">
        <f>IFERROR(K533/J533*100,0)</f>
        <v>0</v>
      </c>
      <c r="Q533" s="7">
        <f>IF(P533="Yes",C533+CertValidityDays,"")</f>
        <v>0</v>
      </c>
    </row>
    <row r="534" spans="12:17">
      <c r="L534" s="2">
        <f>IFERROR(K534/J534*100,0)</f>
        <v>0</v>
      </c>
      <c r="Q534" s="7">
        <f>IF(P534="Yes",C534+CertValidityDays,"")</f>
        <v>0</v>
      </c>
    </row>
    <row r="535" spans="12:17">
      <c r="L535" s="2">
        <f>IFERROR(K535/J535*100,0)</f>
        <v>0</v>
      </c>
      <c r="Q535" s="7">
        <f>IF(P535="Yes",C535+CertValidityDays,"")</f>
        <v>0</v>
      </c>
    </row>
    <row r="536" spans="12:17">
      <c r="L536" s="2">
        <f>IFERROR(K536/J536*100,0)</f>
        <v>0</v>
      </c>
      <c r="Q536" s="7">
        <f>IF(P536="Yes",C536+CertValidityDays,"")</f>
        <v>0</v>
      </c>
    </row>
    <row r="537" spans="12:17">
      <c r="L537" s="2">
        <f>IFERROR(K537/J537*100,0)</f>
        <v>0</v>
      </c>
      <c r="Q537" s="7">
        <f>IF(P537="Yes",C537+CertValidityDays,"")</f>
        <v>0</v>
      </c>
    </row>
    <row r="538" spans="12:17">
      <c r="L538" s="2">
        <f>IFERROR(K538/J538*100,0)</f>
        <v>0</v>
      </c>
      <c r="Q538" s="7">
        <f>IF(P538="Yes",C538+CertValidityDays,"")</f>
        <v>0</v>
      </c>
    </row>
    <row r="539" spans="12:17">
      <c r="L539" s="2">
        <f>IFERROR(K539/J539*100,0)</f>
        <v>0</v>
      </c>
      <c r="Q539" s="7">
        <f>IF(P539="Yes",C539+CertValidityDays,"")</f>
        <v>0</v>
      </c>
    </row>
    <row r="540" spans="12:17">
      <c r="L540" s="2">
        <f>IFERROR(K540/J540*100,0)</f>
        <v>0</v>
      </c>
      <c r="Q540" s="7">
        <f>IF(P540="Yes",C540+CertValidityDays,"")</f>
        <v>0</v>
      </c>
    </row>
    <row r="541" spans="12:17">
      <c r="L541" s="2">
        <f>IFERROR(K541/J541*100,0)</f>
        <v>0</v>
      </c>
      <c r="Q541" s="7">
        <f>IF(P541="Yes",C541+CertValidityDays,"")</f>
        <v>0</v>
      </c>
    </row>
    <row r="542" spans="12:17">
      <c r="L542" s="2">
        <f>IFERROR(K542/J542*100,0)</f>
        <v>0</v>
      </c>
      <c r="Q542" s="7">
        <f>IF(P542="Yes",C542+CertValidityDays,"")</f>
        <v>0</v>
      </c>
    </row>
    <row r="543" spans="12:17">
      <c r="L543" s="2">
        <f>IFERROR(K543/J543*100,0)</f>
        <v>0</v>
      </c>
      <c r="Q543" s="7">
        <f>IF(P543="Yes",C543+CertValidityDays,"")</f>
        <v>0</v>
      </c>
    </row>
    <row r="544" spans="12:17">
      <c r="L544" s="2">
        <f>IFERROR(K544/J544*100,0)</f>
        <v>0</v>
      </c>
      <c r="Q544" s="7">
        <f>IF(P544="Yes",C544+CertValidityDays,"")</f>
        <v>0</v>
      </c>
    </row>
    <row r="545" spans="12:17">
      <c r="L545" s="2">
        <f>IFERROR(K545/J545*100,0)</f>
        <v>0</v>
      </c>
      <c r="Q545" s="7">
        <f>IF(P545="Yes",C545+CertValidityDays,"")</f>
        <v>0</v>
      </c>
    </row>
    <row r="546" spans="12:17">
      <c r="L546" s="2">
        <f>IFERROR(K546/J546*100,0)</f>
        <v>0</v>
      </c>
      <c r="Q546" s="7">
        <f>IF(P546="Yes",C546+CertValidityDays,"")</f>
        <v>0</v>
      </c>
    </row>
    <row r="547" spans="12:17">
      <c r="L547" s="2">
        <f>IFERROR(K547/J547*100,0)</f>
        <v>0</v>
      </c>
      <c r="Q547" s="7">
        <f>IF(P547="Yes",C547+CertValidityDays,"")</f>
        <v>0</v>
      </c>
    </row>
    <row r="548" spans="12:17">
      <c r="L548" s="2">
        <f>IFERROR(K548/J548*100,0)</f>
        <v>0</v>
      </c>
      <c r="Q548" s="7">
        <f>IF(P548="Yes",C548+CertValidityDays,"")</f>
        <v>0</v>
      </c>
    </row>
    <row r="549" spans="12:17">
      <c r="L549" s="2">
        <f>IFERROR(K549/J549*100,0)</f>
        <v>0</v>
      </c>
      <c r="Q549" s="7">
        <f>IF(P549="Yes",C549+CertValidityDays,"")</f>
        <v>0</v>
      </c>
    </row>
    <row r="550" spans="12:17">
      <c r="L550" s="2">
        <f>IFERROR(K550/J550*100,0)</f>
        <v>0</v>
      </c>
      <c r="Q550" s="7">
        <f>IF(P550="Yes",C550+CertValidityDays,"")</f>
        <v>0</v>
      </c>
    </row>
    <row r="551" spans="12:17">
      <c r="L551" s="2">
        <f>IFERROR(K551/J551*100,0)</f>
        <v>0</v>
      </c>
      <c r="Q551" s="7">
        <f>IF(P551="Yes",C551+CertValidityDays,"")</f>
        <v>0</v>
      </c>
    </row>
    <row r="552" spans="12:17">
      <c r="L552" s="2">
        <f>IFERROR(K552/J552*100,0)</f>
        <v>0</v>
      </c>
      <c r="Q552" s="7">
        <f>IF(P552="Yes",C552+CertValidityDays,"")</f>
        <v>0</v>
      </c>
    </row>
    <row r="553" spans="12:17">
      <c r="L553" s="2">
        <f>IFERROR(K553/J553*100,0)</f>
        <v>0</v>
      </c>
      <c r="Q553" s="7">
        <f>IF(P553="Yes",C553+CertValidityDays,"")</f>
        <v>0</v>
      </c>
    </row>
    <row r="554" spans="12:17">
      <c r="L554" s="2">
        <f>IFERROR(K554/J554*100,0)</f>
        <v>0</v>
      </c>
      <c r="Q554" s="7">
        <f>IF(P554="Yes",C554+CertValidityDays,"")</f>
        <v>0</v>
      </c>
    </row>
    <row r="555" spans="12:17">
      <c r="L555" s="2">
        <f>IFERROR(K555/J555*100,0)</f>
        <v>0</v>
      </c>
      <c r="Q555" s="7">
        <f>IF(P555="Yes",C555+CertValidityDays,"")</f>
        <v>0</v>
      </c>
    </row>
    <row r="556" spans="12:17">
      <c r="L556" s="2">
        <f>IFERROR(K556/J556*100,0)</f>
        <v>0</v>
      </c>
      <c r="Q556" s="7">
        <f>IF(P556="Yes",C556+CertValidityDays,"")</f>
        <v>0</v>
      </c>
    </row>
    <row r="557" spans="12:17">
      <c r="L557" s="2">
        <f>IFERROR(K557/J557*100,0)</f>
        <v>0</v>
      </c>
      <c r="Q557" s="7">
        <f>IF(P557="Yes",C557+CertValidityDays,"")</f>
        <v>0</v>
      </c>
    </row>
    <row r="558" spans="12:17">
      <c r="L558" s="2">
        <f>IFERROR(K558/J558*100,0)</f>
        <v>0</v>
      </c>
      <c r="Q558" s="7">
        <f>IF(P558="Yes",C558+CertValidityDays,"")</f>
        <v>0</v>
      </c>
    </row>
    <row r="559" spans="12:17">
      <c r="L559" s="2">
        <f>IFERROR(K559/J559*100,0)</f>
        <v>0</v>
      </c>
      <c r="Q559" s="7">
        <f>IF(P559="Yes",C559+CertValidityDays,"")</f>
        <v>0</v>
      </c>
    </row>
    <row r="560" spans="12:17">
      <c r="L560" s="2">
        <f>IFERROR(K560/J560*100,0)</f>
        <v>0</v>
      </c>
      <c r="Q560" s="7">
        <f>IF(P560="Yes",C560+CertValidityDays,"")</f>
        <v>0</v>
      </c>
    </row>
    <row r="561" spans="12:17">
      <c r="L561" s="2">
        <f>IFERROR(K561/J561*100,0)</f>
        <v>0</v>
      </c>
      <c r="Q561" s="7">
        <f>IF(P561="Yes",C561+CertValidityDays,"")</f>
        <v>0</v>
      </c>
    </row>
    <row r="562" spans="12:17">
      <c r="L562" s="2">
        <f>IFERROR(K562/J562*100,0)</f>
        <v>0</v>
      </c>
      <c r="Q562" s="7">
        <f>IF(P562="Yes",C562+CertValidityDays,"")</f>
        <v>0</v>
      </c>
    </row>
    <row r="563" spans="12:17">
      <c r="L563" s="2">
        <f>IFERROR(K563/J563*100,0)</f>
        <v>0</v>
      </c>
      <c r="Q563" s="7">
        <f>IF(P563="Yes",C563+CertValidityDays,"")</f>
        <v>0</v>
      </c>
    </row>
    <row r="564" spans="12:17">
      <c r="L564" s="2">
        <f>IFERROR(K564/J564*100,0)</f>
        <v>0</v>
      </c>
      <c r="Q564" s="7">
        <f>IF(P564="Yes",C564+CertValidityDays,"")</f>
        <v>0</v>
      </c>
    </row>
    <row r="565" spans="12:17">
      <c r="L565" s="2">
        <f>IFERROR(K565/J565*100,0)</f>
        <v>0</v>
      </c>
      <c r="Q565" s="7">
        <f>IF(P565="Yes",C565+CertValidityDays,"")</f>
        <v>0</v>
      </c>
    </row>
    <row r="566" spans="12:17">
      <c r="L566" s="2">
        <f>IFERROR(K566/J566*100,0)</f>
        <v>0</v>
      </c>
      <c r="Q566" s="7">
        <f>IF(P566="Yes",C566+CertValidityDays,"")</f>
        <v>0</v>
      </c>
    </row>
    <row r="567" spans="12:17">
      <c r="L567" s="2">
        <f>IFERROR(K567/J567*100,0)</f>
        <v>0</v>
      </c>
      <c r="Q567" s="7">
        <f>IF(P567="Yes",C567+CertValidityDays,"")</f>
        <v>0</v>
      </c>
    </row>
    <row r="568" spans="12:17">
      <c r="L568" s="2">
        <f>IFERROR(K568/J568*100,0)</f>
        <v>0</v>
      </c>
      <c r="Q568" s="7">
        <f>IF(P568="Yes",C568+CertValidityDays,"")</f>
        <v>0</v>
      </c>
    </row>
    <row r="569" spans="12:17">
      <c r="L569" s="2">
        <f>IFERROR(K569/J569*100,0)</f>
        <v>0</v>
      </c>
      <c r="Q569" s="7">
        <f>IF(P569="Yes",C569+CertValidityDays,"")</f>
        <v>0</v>
      </c>
    </row>
    <row r="570" spans="12:17">
      <c r="L570" s="2">
        <f>IFERROR(K570/J570*100,0)</f>
        <v>0</v>
      </c>
      <c r="Q570" s="7">
        <f>IF(P570="Yes",C570+CertValidityDays,"")</f>
        <v>0</v>
      </c>
    </row>
    <row r="571" spans="12:17">
      <c r="L571" s="2">
        <f>IFERROR(K571/J571*100,0)</f>
        <v>0</v>
      </c>
      <c r="Q571" s="7">
        <f>IF(P571="Yes",C571+CertValidityDays,"")</f>
        <v>0</v>
      </c>
    </row>
    <row r="572" spans="12:17">
      <c r="L572" s="2">
        <f>IFERROR(K572/J572*100,0)</f>
        <v>0</v>
      </c>
      <c r="Q572" s="7">
        <f>IF(P572="Yes",C572+CertValidityDays,"")</f>
        <v>0</v>
      </c>
    </row>
    <row r="573" spans="12:17">
      <c r="L573" s="2">
        <f>IFERROR(K573/J573*100,0)</f>
        <v>0</v>
      </c>
      <c r="Q573" s="7">
        <f>IF(P573="Yes",C573+CertValidityDays,"")</f>
        <v>0</v>
      </c>
    </row>
    <row r="574" spans="12:17">
      <c r="L574" s="2">
        <f>IFERROR(K574/J574*100,0)</f>
        <v>0</v>
      </c>
      <c r="Q574" s="7">
        <f>IF(P574="Yes",C574+CertValidityDays,"")</f>
        <v>0</v>
      </c>
    </row>
    <row r="575" spans="12:17">
      <c r="L575" s="2">
        <f>IFERROR(K575/J575*100,0)</f>
        <v>0</v>
      </c>
      <c r="Q575" s="7">
        <f>IF(P575="Yes",C575+CertValidityDays,"")</f>
        <v>0</v>
      </c>
    </row>
    <row r="576" spans="12:17">
      <c r="L576" s="2">
        <f>IFERROR(K576/J576*100,0)</f>
        <v>0</v>
      </c>
      <c r="Q576" s="7">
        <f>IF(P576="Yes",C576+CertValidityDays,"")</f>
        <v>0</v>
      </c>
    </row>
    <row r="577" spans="12:17">
      <c r="L577" s="2">
        <f>IFERROR(K577/J577*100,0)</f>
        <v>0</v>
      </c>
      <c r="Q577" s="7">
        <f>IF(P577="Yes",C577+CertValidityDays,"")</f>
        <v>0</v>
      </c>
    </row>
    <row r="578" spans="12:17">
      <c r="L578" s="2">
        <f>IFERROR(K578/J578*100,0)</f>
        <v>0</v>
      </c>
      <c r="Q578" s="7">
        <f>IF(P578="Yes",C578+CertValidityDays,"")</f>
        <v>0</v>
      </c>
    </row>
    <row r="579" spans="12:17">
      <c r="L579" s="2">
        <f>IFERROR(K579/J579*100,0)</f>
        <v>0</v>
      </c>
      <c r="Q579" s="7">
        <f>IF(P579="Yes",C579+CertValidityDays,"")</f>
        <v>0</v>
      </c>
    </row>
    <row r="580" spans="12:17">
      <c r="L580" s="2">
        <f>IFERROR(K580/J580*100,0)</f>
        <v>0</v>
      </c>
      <c r="Q580" s="7">
        <f>IF(P580="Yes",C580+CertValidityDays,"")</f>
        <v>0</v>
      </c>
    </row>
    <row r="581" spans="12:17">
      <c r="L581" s="2">
        <f>IFERROR(K581/J581*100,0)</f>
        <v>0</v>
      </c>
      <c r="Q581" s="7">
        <f>IF(P581="Yes",C581+CertValidityDays,"")</f>
        <v>0</v>
      </c>
    </row>
    <row r="582" spans="12:17">
      <c r="L582" s="2">
        <f>IFERROR(K582/J582*100,0)</f>
        <v>0</v>
      </c>
      <c r="Q582" s="7">
        <f>IF(P582="Yes",C582+CertValidityDays,"")</f>
        <v>0</v>
      </c>
    </row>
    <row r="583" spans="12:17">
      <c r="L583" s="2">
        <f>IFERROR(K583/J583*100,0)</f>
        <v>0</v>
      </c>
      <c r="Q583" s="7">
        <f>IF(P583="Yes",C583+CertValidityDays,"")</f>
        <v>0</v>
      </c>
    </row>
    <row r="584" spans="12:17">
      <c r="L584" s="2">
        <f>IFERROR(K584/J584*100,0)</f>
        <v>0</v>
      </c>
      <c r="Q584" s="7">
        <f>IF(P584="Yes",C584+CertValidityDays,"")</f>
        <v>0</v>
      </c>
    </row>
    <row r="585" spans="12:17">
      <c r="L585" s="2">
        <f>IFERROR(K585/J585*100,0)</f>
        <v>0</v>
      </c>
      <c r="Q585" s="7">
        <f>IF(P585="Yes",C585+CertValidityDays,"")</f>
        <v>0</v>
      </c>
    </row>
    <row r="586" spans="12:17">
      <c r="L586" s="2">
        <f>IFERROR(K586/J586*100,0)</f>
        <v>0</v>
      </c>
      <c r="Q586" s="7">
        <f>IF(P586="Yes",C586+CertValidityDays,"")</f>
        <v>0</v>
      </c>
    </row>
    <row r="587" spans="12:17">
      <c r="L587" s="2">
        <f>IFERROR(K587/J587*100,0)</f>
        <v>0</v>
      </c>
      <c r="Q587" s="7">
        <f>IF(P587="Yes",C587+CertValidityDays,"")</f>
        <v>0</v>
      </c>
    </row>
    <row r="588" spans="12:17">
      <c r="L588" s="2">
        <f>IFERROR(K588/J588*100,0)</f>
        <v>0</v>
      </c>
      <c r="Q588" s="7">
        <f>IF(P588="Yes",C588+CertValidityDays,"")</f>
        <v>0</v>
      </c>
    </row>
    <row r="589" spans="12:17">
      <c r="L589" s="2">
        <f>IFERROR(K589/J589*100,0)</f>
        <v>0</v>
      </c>
      <c r="Q589" s="7">
        <f>IF(P589="Yes",C589+CertValidityDays,"")</f>
        <v>0</v>
      </c>
    </row>
    <row r="590" spans="12:17">
      <c r="L590" s="2">
        <f>IFERROR(K590/J590*100,0)</f>
        <v>0</v>
      </c>
      <c r="Q590" s="7">
        <f>IF(P590="Yes",C590+CertValidityDays,"")</f>
        <v>0</v>
      </c>
    </row>
    <row r="591" spans="12:17">
      <c r="L591" s="2">
        <f>IFERROR(K591/J591*100,0)</f>
        <v>0</v>
      </c>
      <c r="Q591" s="7">
        <f>IF(P591="Yes",C591+CertValidityDays,"")</f>
        <v>0</v>
      </c>
    </row>
    <row r="592" spans="12:17">
      <c r="L592" s="2">
        <f>IFERROR(K592/J592*100,0)</f>
        <v>0</v>
      </c>
      <c r="Q592" s="7">
        <f>IF(P592="Yes",C592+CertValidityDays,"")</f>
        <v>0</v>
      </c>
    </row>
    <row r="593" spans="12:17">
      <c r="L593" s="2">
        <f>IFERROR(K593/J593*100,0)</f>
        <v>0</v>
      </c>
      <c r="Q593" s="7">
        <f>IF(P593="Yes",C593+CertValidityDays,"")</f>
        <v>0</v>
      </c>
    </row>
    <row r="594" spans="12:17">
      <c r="L594" s="2">
        <f>IFERROR(K594/J594*100,0)</f>
        <v>0</v>
      </c>
      <c r="Q594" s="7">
        <f>IF(P594="Yes",C594+CertValidityDays,"")</f>
        <v>0</v>
      </c>
    </row>
    <row r="595" spans="12:17">
      <c r="L595" s="2">
        <f>IFERROR(K595/J595*100,0)</f>
        <v>0</v>
      </c>
      <c r="Q595" s="7">
        <f>IF(P595="Yes",C595+CertValidityDays,"")</f>
        <v>0</v>
      </c>
    </row>
    <row r="596" spans="12:17">
      <c r="L596" s="2">
        <f>IFERROR(K596/J596*100,0)</f>
        <v>0</v>
      </c>
      <c r="Q596" s="7">
        <f>IF(P596="Yes",C596+CertValidityDays,"")</f>
        <v>0</v>
      </c>
    </row>
    <row r="597" spans="12:17">
      <c r="L597" s="2">
        <f>IFERROR(K597/J597*100,0)</f>
        <v>0</v>
      </c>
      <c r="Q597" s="7">
        <f>IF(P597="Yes",C597+CertValidityDays,"")</f>
        <v>0</v>
      </c>
    </row>
    <row r="598" spans="12:17">
      <c r="L598" s="2">
        <f>IFERROR(K598/J598*100,0)</f>
        <v>0</v>
      </c>
      <c r="Q598" s="7">
        <f>IF(P598="Yes",C598+CertValidityDays,"")</f>
        <v>0</v>
      </c>
    </row>
    <row r="599" spans="12:17">
      <c r="L599" s="2">
        <f>IFERROR(K599/J599*100,0)</f>
        <v>0</v>
      </c>
      <c r="Q599" s="7">
        <f>IF(P599="Yes",C599+CertValidityDays,"")</f>
        <v>0</v>
      </c>
    </row>
    <row r="600" spans="12:17">
      <c r="L600" s="2">
        <f>IFERROR(K600/J600*100,0)</f>
        <v>0</v>
      </c>
      <c r="Q600" s="7">
        <f>IF(P600="Yes",C600+CertValidityDays,"")</f>
        <v>0</v>
      </c>
    </row>
    <row r="601" spans="12:17">
      <c r="L601" s="2">
        <f>IFERROR(K601/J601*100,0)</f>
        <v>0</v>
      </c>
      <c r="Q601" s="7">
        <f>IF(P601="Yes",C601+CertValidityDays,"")</f>
        <v>0</v>
      </c>
    </row>
    <row r="602" spans="12:17">
      <c r="L602" s="2">
        <f>IFERROR(K602/J602*100,0)</f>
        <v>0</v>
      </c>
      <c r="Q602" s="7">
        <f>IF(P602="Yes",C602+CertValidityDays,"")</f>
        <v>0</v>
      </c>
    </row>
    <row r="603" spans="12:17">
      <c r="L603" s="2">
        <f>IFERROR(K603/J603*100,0)</f>
        <v>0</v>
      </c>
      <c r="Q603" s="7">
        <f>IF(P603="Yes",C603+CertValidityDays,"")</f>
        <v>0</v>
      </c>
    </row>
    <row r="604" spans="12:17">
      <c r="L604" s="2">
        <f>IFERROR(K604/J604*100,0)</f>
        <v>0</v>
      </c>
      <c r="Q604" s="7">
        <f>IF(P604="Yes",C604+CertValidityDays,"")</f>
        <v>0</v>
      </c>
    </row>
    <row r="605" spans="12:17">
      <c r="L605" s="2">
        <f>IFERROR(K605/J605*100,0)</f>
        <v>0</v>
      </c>
      <c r="Q605" s="7">
        <f>IF(P605="Yes",C605+CertValidityDays,"")</f>
        <v>0</v>
      </c>
    </row>
    <row r="606" spans="12:17">
      <c r="L606" s="2">
        <f>IFERROR(K606/J606*100,0)</f>
        <v>0</v>
      </c>
      <c r="Q606" s="7">
        <f>IF(P606="Yes",C606+CertValidityDays,"")</f>
        <v>0</v>
      </c>
    </row>
    <row r="607" spans="12:17">
      <c r="L607" s="2">
        <f>IFERROR(K607/J607*100,0)</f>
        <v>0</v>
      </c>
      <c r="Q607" s="7">
        <f>IF(P607="Yes",C607+CertValidityDays,"")</f>
        <v>0</v>
      </c>
    </row>
    <row r="608" spans="12:17">
      <c r="L608" s="2">
        <f>IFERROR(K608/J608*100,0)</f>
        <v>0</v>
      </c>
      <c r="Q608" s="7">
        <f>IF(P608="Yes",C608+CertValidityDays,"")</f>
        <v>0</v>
      </c>
    </row>
    <row r="609" spans="12:17">
      <c r="L609" s="2">
        <f>IFERROR(K609/J609*100,0)</f>
        <v>0</v>
      </c>
      <c r="Q609" s="7">
        <f>IF(P609="Yes",C609+CertValidityDays,"")</f>
        <v>0</v>
      </c>
    </row>
    <row r="610" spans="12:17">
      <c r="L610" s="2">
        <f>IFERROR(K610/J610*100,0)</f>
        <v>0</v>
      </c>
      <c r="Q610" s="7">
        <f>IF(P610="Yes",C610+CertValidityDays,"")</f>
        <v>0</v>
      </c>
    </row>
    <row r="611" spans="12:17">
      <c r="L611" s="2">
        <f>IFERROR(K611/J611*100,0)</f>
        <v>0</v>
      </c>
      <c r="Q611" s="7">
        <f>IF(P611="Yes",C611+CertValidityDays,"")</f>
        <v>0</v>
      </c>
    </row>
    <row r="612" spans="12:17">
      <c r="L612" s="2">
        <f>IFERROR(K612/J612*100,0)</f>
        <v>0</v>
      </c>
      <c r="Q612" s="7">
        <f>IF(P612="Yes",C612+CertValidityDays,"")</f>
        <v>0</v>
      </c>
    </row>
    <row r="613" spans="12:17">
      <c r="L613" s="2">
        <f>IFERROR(K613/J613*100,0)</f>
        <v>0</v>
      </c>
      <c r="Q613" s="7">
        <f>IF(P613="Yes",C613+CertValidityDays,"")</f>
        <v>0</v>
      </c>
    </row>
    <row r="614" spans="12:17">
      <c r="L614" s="2">
        <f>IFERROR(K614/J614*100,0)</f>
        <v>0</v>
      </c>
      <c r="Q614" s="7">
        <f>IF(P614="Yes",C614+CertValidityDays,"")</f>
        <v>0</v>
      </c>
    </row>
    <row r="615" spans="12:17">
      <c r="L615" s="2">
        <f>IFERROR(K615/J615*100,0)</f>
        <v>0</v>
      </c>
      <c r="Q615" s="7">
        <f>IF(P615="Yes",C615+CertValidityDays,"")</f>
        <v>0</v>
      </c>
    </row>
    <row r="616" spans="12:17">
      <c r="L616" s="2">
        <f>IFERROR(K616/J616*100,0)</f>
        <v>0</v>
      </c>
      <c r="Q616" s="7">
        <f>IF(P616="Yes",C616+CertValidityDays,"")</f>
        <v>0</v>
      </c>
    </row>
    <row r="617" spans="12:17">
      <c r="L617" s="2">
        <f>IFERROR(K617/J617*100,0)</f>
        <v>0</v>
      </c>
      <c r="Q617" s="7">
        <f>IF(P617="Yes",C617+CertValidityDays,"")</f>
        <v>0</v>
      </c>
    </row>
    <row r="618" spans="12:17">
      <c r="L618" s="2">
        <f>IFERROR(K618/J618*100,0)</f>
        <v>0</v>
      </c>
      <c r="Q618" s="7">
        <f>IF(P618="Yes",C618+CertValidityDays,"")</f>
        <v>0</v>
      </c>
    </row>
    <row r="619" spans="12:17">
      <c r="L619" s="2">
        <f>IFERROR(K619/J619*100,0)</f>
        <v>0</v>
      </c>
      <c r="Q619" s="7">
        <f>IF(P619="Yes",C619+CertValidityDays,"")</f>
        <v>0</v>
      </c>
    </row>
    <row r="620" spans="12:17">
      <c r="L620" s="2">
        <f>IFERROR(K620/J620*100,0)</f>
        <v>0</v>
      </c>
      <c r="Q620" s="7">
        <f>IF(P620="Yes",C620+CertValidityDays,"")</f>
        <v>0</v>
      </c>
    </row>
    <row r="621" spans="12:17">
      <c r="L621" s="2">
        <f>IFERROR(K621/J621*100,0)</f>
        <v>0</v>
      </c>
      <c r="Q621" s="7">
        <f>IF(P621="Yes",C621+CertValidityDays,"")</f>
        <v>0</v>
      </c>
    </row>
    <row r="622" spans="12:17">
      <c r="L622" s="2">
        <f>IFERROR(K622/J622*100,0)</f>
        <v>0</v>
      </c>
      <c r="Q622" s="7">
        <f>IF(P622="Yes",C622+CertValidityDays,"")</f>
        <v>0</v>
      </c>
    </row>
    <row r="623" spans="12:17">
      <c r="L623" s="2">
        <f>IFERROR(K623/J623*100,0)</f>
        <v>0</v>
      </c>
      <c r="Q623" s="7">
        <f>IF(P623="Yes",C623+CertValidityDays,"")</f>
        <v>0</v>
      </c>
    </row>
    <row r="624" spans="12:17">
      <c r="L624" s="2">
        <f>IFERROR(K624/J624*100,0)</f>
        <v>0</v>
      </c>
      <c r="Q624" s="7">
        <f>IF(P624="Yes",C624+CertValidityDays,"")</f>
        <v>0</v>
      </c>
    </row>
    <row r="625" spans="12:17">
      <c r="L625" s="2">
        <f>IFERROR(K625/J625*100,0)</f>
        <v>0</v>
      </c>
      <c r="Q625" s="7">
        <f>IF(P625="Yes",C625+CertValidityDays,"")</f>
        <v>0</v>
      </c>
    </row>
    <row r="626" spans="12:17">
      <c r="L626" s="2">
        <f>IFERROR(K626/J626*100,0)</f>
        <v>0</v>
      </c>
      <c r="Q626" s="7">
        <f>IF(P626="Yes",C626+CertValidityDays,"")</f>
        <v>0</v>
      </c>
    </row>
    <row r="627" spans="12:17">
      <c r="L627" s="2">
        <f>IFERROR(K627/J627*100,0)</f>
        <v>0</v>
      </c>
      <c r="Q627" s="7">
        <f>IF(P627="Yes",C627+CertValidityDays,"")</f>
        <v>0</v>
      </c>
    </row>
    <row r="628" spans="12:17">
      <c r="L628" s="2">
        <f>IFERROR(K628/J628*100,0)</f>
        <v>0</v>
      </c>
      <c r="Q628" s="7">
        <f>IF(P628="Yes",C628+CertValidityDays,"")</f>
        <v>0</v>
      </c>
    </row>
    <row r="629" spans="12:17">
      <c r="L629" s="2">
        <f>IFERROR(K629/J629*100,0)</f>
        <v>0</v>
      </c>
      <c r="Q629" s="7">
        <f>IF(P629="Yes",C629+CertValidityDays,"")</f>
        <v>0</v>
      </c>
    </row>
    <row r="630" spans="12:17">
      <c r="L630" s="2">
        <f>IFERROR(K630/J630*100,0)</f>
        <v>0</v>
      </c>
      <c r="Q630" s="7">
        <f>IF(P630="Yes",C630+CertValidityDays,"")</f>
        <v>0</v>
      </c>
    </row>
    <row r="631" spans="12:17">
      <c r="L631" s="2">
        <f>IFERROR(K631/J631*100,0)</f>
        <v>0</v>
      </c>
      <c r="Q631" s="7">
        <f>IF(P631="Yes",C631+CertValidityDays,"")</f>
        <v>0</v>
      </c>
    </row>
    <row r="632" spans="12:17">
      <c r="L632" s="2">
        <f>IFERROR(K632/J632*100,0)</f>
        <v>0</v>
      </c>
      <c r="Q632" s="7">
        <f>IF(P632="Yes",C632+CertValidityDays,"")</f>
        <v>0</v>
      </c>
    </row>
    <row r="633" spans="12:17">
      <c r="L633" s="2">
        <f>IFERROR(K633/J633*100,0)</f>
        <v>0</v>
      </c>
      <c r="Q633" s="7">
        <f>IF(P633="Yes",C633+CertValidityDays,"")</f>
        <v>0</v>
      </c>
    </row>
    <row r="634" spans="12:17">
      <c r="L634" s="2">
        <f>IFERROR(K634/J634*100,0)</f>
        <v>0</v>
      </c>
      <c r="Q634" s="7">
        <f>IF(P634="Yes",C634+CertValidityDays,"")</f>
        <v>0</v>
      </c>
    </row>
    <row r="635" spans="12:17">
      <c r="L635" s="2">
        <f>IFERROR(K635/J635*100,0)</f>
        <v>0</v>
      </c>
      <c r="Q635" s="7">
        <f>IF(P635="Yes",C635+CertValidityDays,"")</f>
        <v>0</v>
      </c>
    </row>
    <row r="636" spans="12:17">
      <c r="L636" s="2">
        <f>IFERROR(K636/J636*100,0)</f>
        <v>0</v>
      </c>
      <c r="Q636" s="7">
        <f>IF(P636="Yes",C636+CertValidityDays,"")</f>
        <v>0</v>
      </c>
    </row>
    <row r="637" spans="12:17">
      <c r="L637" s="2">
        <f>IFERROR(K637/J637*100,0)</f>
        <v>0</v>
      </c>
      <c r="Q637" s="7">
        <f>IF(P637="Yes",C637+CertValidityDays,"")</f>
        <v>0</v>
      </c>
    </row>
    <row r="638" spans="12:17">
      <c r="L638" s="2">
        <f>IFERROR(K638/J638*100,0)</f>
        <v>0</v>
      </c>
      <c r="Q638" s="7">
        <f>IF(P638="Yes",C638+CertValidityDays,"")</f>
        <v>0</v>
      </c>
    </row>
    <row r="639" spans="12:17">
      <c r="L639" s="2">
        <f>IFERROR(K639/J639*100,0)</f>
        <v>0</v>
      </c>
      <c r="Q639" s="7">
        <f>IF(P639="Yes",C639+CertValidityDays,"")</f>
        <v>0</v>
      </c>
    </row>
    <row r="640" spans="12:17">
      <c r="L640" s="2">
        <f>IFERROR(K640/J640*100,0)</f>
        <v>0</v>
      </c>
      <c r="Q640" s="7">
        <f>IF(P640="Yes",C640+CertValidityDays,"")</f>
        <v>0</v>
      </c>
    </row>
    <row r="641" spans="12:17">
      <c r="L641" s="2">
        <f>IFERROR(K641/J641*100,0)</f>
        <v>0</v>
      </c>
      <c r="Q641" s="7">
        <f>IF(P641="Yes",C641+CertValidityDays,"")</f>
        <v>0</v>
      </c>
    </row>
    <row r="642" spans="12:17">
      <c r="L642" s="2">
        <f>IFERROR(K642/J642*100,0)</f>
        <v>0</v>
      </c>
      <c r="Q642" s="7">
        <f>IF(P642="Yes",C642+CertValidityDays,"")</f>
        <v>0</v>
      </c>
    </row>
    <row r="643" spans="12:17">
      <c r="L643" s="2">
        <f>IFERROR(K643/J643*100,0)</f>
        <v>0</v>
      </c>
      <c r="Q643" s="7">
        <f>IF(P643="Yes",C643+CertValidityDays,"")</f>
        <v>0</v>
      </c>
    </row>
    <row r="644" spans="12:17">
      <c r="L644" s="2">
        <f>IFERROR(K644/J644*100,0)</f>
        <v>0</v>
      </c>
      <c r="Q644" s="7">
        <f>IF(P644="Yes",C644+CertValidityDays,"")</f>
        <v>0</v>
      </c>
    </row>
    <row r="645" spans="12:17">
      <c r="L645" s="2">
        <f>IFERROR(K645/J645*100,0)</f>
        <v>0</v>
      </c>
      <c r="Q645" s="7">
        <f>IF(P645="Yes",C645+CertValidityDays,"")</f>
        <v>0</v>
      </c>
    </row>
    <row r="646" spans="12:17">
      <c r="L646" s="2">
        <f>IFERROR(K646/J646*100,0)</f>
        <v>0</v>
      </c>
      <c r="Q646" s="7">
        <f>IF(P646="Yes",C646+CertValidityDays,"")</f>
        <v>0</v>
      </c>
    </row>
    <row r="647" spans="12:17">
      <c r="L647" s="2">
        <f>IFERROR(K647/J647*100,0)</f>
        <v>0</v>
      </c>
      <c r="Q647" s="7">
        <f>IF(P647="Yes",C647+CertValidityDays,"")</f>
        <v>0</v>
      </c>
    </row>
    <row r="648" spans="12:17">
      <c r="L648" s="2">
        <f>IFERROR(K648/J648*100,0)</f>
        <v>0</v>
      </c>
      <c r="Q648" s="7">
        <f>IF(P648="Yes",C648+CertValidityDays,"")</f>
        <v>0</v>
      </c>
    </row>
    <row r="649" spans="12:17">
      <c r="L649" s="2">
        <f>IFERROR(K649/J649*100,0)</f>
        <v>0</v>
      </c>
      <c r="Q649" s="7">
        <f>IF(P649="Yes",C649+CertValidityDays,"")</f>
        <v>0</v>
      </c>
    </row>
    <row r="650" spans="12:17">
      <c r="L650" s="2">
        <f>IFERROR(K650/J650*100,0)</f>
        <v>0</v>
      </c>
      <c r="Q650" s="7">
        <f>IF(P650="Yes",C650+CertValidityDays,"")</f>
        <v>0</v>
      </c>
    </row>
    <row r="651" spans="12:17">
      <c r="L651" s="2">
        <f>IFERROR(K651/J651*100,0)</f>
        <v>0</v>
      </c>
      <c r="Q651" s="7">
        <f>IF(P651="Yes",C651+CertValidityDays,"")</f>
        <v>0</v>
      </c>
    </row>
    <row r="652" spans="12:17">
      <c r="L652" s="2">
        <f>IFERROR(K652/J652*100,0)</f>
        <v>0</v>
      </c>
      <c r="Q652" s="7">
        <f>IF(P652="Yes",C652+CertValidityDays,"")</f>
        <v>0</v>
      </c>
    </row>
    <row r="653" spans="12:17">
      <c r="L653" s="2">
        <f>IFERROR(K653/J653*100,0)</f>
        <v>0</v>
      </c>
      <c r="Q653" s="7">
        <f>IF(P653="Yes",C653+CertValidityDays,"")</f>
        <v>0</v>
      </c>
    </row>
    <row r="654" spans="12:17">
      <c r="L654" s="2">
        <f>IFERROR(K654/J654*100,0)</f>
        <v>0</v>
      </c>
      <c r="Q654" s="7">
        <f>IF(P654="Yes",C654+CertValidityDays,"")</f>
        <v>0</v>
      </c>
    </row>
    <row r="655" spans="12:17">
      <c r="L655" s="2">
        <f>IFERROR(K655/J655*100,0)</f>
        <v>0</v>
      </c>
      <c r="Q655" s="7">
        <f>IF(P655="Yes",C655+CertValidityDays,"")</f>
        <v>0</v>
      </c>
    </row>
    <row r="656" spans="12:17">
      <c r="L656" s="2">
        <f>IFERROR(K656/J656*100,0)</f>
        <v>0</v>
      </c>
      <c r="Q656" s="7">
        <f>IF(P656="Yes",C656+CertValidityDays,"")</f>
        <v>0</v>
      </c>
    </row>
    <row r="657" spans="12:17">
      <c r="L657" s="2">
        <f>IFERROR(K657/J657*100,0)</f>
        <v>0</v>
      </c>
      <c r="Q657" s="7">
        <f>IF(P657="Yes",C657+CertValidityDays,"")</f>
        <v>0</v>
      </c>
    </row>
    <row r="658" spans="12:17">
      <c r="L658" s="2">
        <f>IFERROR(K658/J658*100,0)</f>
        <v>0</v>
      </c>
      <c r="Q658" s="7">
        <f>IF(P658="Yes",C658+CertValidityDays,"")</f>
        <v>0</v>
      </c>
    </row>
    <row r="659" spans="12:17">
      <c r="L659" s="2">
        <f>IFERROR(K659/J659*100,0)</f>
        <v>0</v>
      </c>
      <c r="Q659" s="7">
        <f>IF(P659="Yes",C659+CertValidityDays,"")</f>
        <v>0</v>
      </c>
    </row>
    <row r="660" spans="12:17">
      <c r="L660" s="2">
        <f>IFERROR(K660/J660*100,0)</f>
        <v>0</v>
      </c>
      <c r="Q660" s="7">
        <f>IF(P660="Yes",C660+CertValidityDays,"")</f>
        <v>0</v>
      </c>
    </row>
    <row r="661" spans="12:17">
      <c r="L661" s="2">
        <f>IFERROR(K661/J661*100,0)</f>
        <v>0</v>
      </c>
      <c r="Q661" s="7">
        <f>IF(P661="Yes",C661+CertValidityDays,"")</f>
        <v>0</v>
      </c>
    </row>
    <row r="662" spans="12:17">
      <c r="L662" s="2">
        <f>IFERROR(K662/J662*100,0)</f>
        <v>0</v>
      </c>
      <c r="Q662" s="7">
        <f>IF(P662="Yes",C662+CertValidityDays,"")</f>
        <v>0</v>
      </c>
    </row>
    <row r="663" spans="12:17">
      <c r="L663" s="2">
        <f>IFERROR(K663/J663*100,0)</f>
        <v>0</v>
      </c>
      <c r="Q663" s="7">
        <f>IF(P663="Yes",C663+CertValidityDays,"")</f>
        <v>0</v>
      </c>
    </row>
    <row r="664" spans="12:17">
      <c r="L664" s="2">
        <f>IFERROR(K664/J664*100,0)</f>
        <v>0</v>
      </c>
      <c r="Q664" s="7">
        <f>IF(P664="Yes",C664+CertValidityDays,"")</f>
        <v>0</v>
      </c>
    </row>
    <row r="665" spans="12:17">
      <c r="L665" s="2">
        <f>IFERROR(K665/J665*100,0)</f>
        <v>0</v>
      </c>
      <c r="Q665" s="7">
        <f>IF(P665="Yes",C665+CertValidityDays,"")</f>
        <v>0</v>
      </c>
    </row>
    <row r="666" spans="12:17">
      <c r="L666" s="2">
        <f>IFERROR(K666/J666*100,0)</f>
        <v>0</v>
      </c>
      <c r="Q666" s="7">
        <f>IF(P666="Yes",C666+CertValidityDays,"")</f>
        <v>0</v>
      </c>
    </row>
    <row r="667" spans="12:17">
      <c r="L667" s="2">
        <f>IFERROR(K667/J667*100,0)</f>
        <v>0</v>
      </c>
      <c r="Q667" s="7">
        <f>IF(P667="Yes",C667+CertValidityDays,"")</f>
        <v>0</v>
      </c>
    </row>
    <row r="668" spans="12:17">
      <c r="L668" s="2">
        <f>IFERROR(K668/J668*100,0)</f>
        <v>0</v>
      </c>
      <c r="Q668" s="7">
        <f>IF(P668="Yes",C668+CertValidityDays,"")</f>
        <v>0</v>
      </c>
    </row>
    <row r="669" spans="12:17">
      <c r="L669" s="2">
        <f>IFERROR(K669/J669*100,0)</f>
        <v>0</v>
      </c>
      <c r="Q669" s="7">
        <f>IF(P669="Yes",C669+CertValidityDays,"")</f>
        <v>0</v>
      </c>
    </row>
    <row r="670" spans="12:17">
      <c r="L670" s="2">
        <f>IFERROR(K670/J670*100,0)</f>
        <v>0</v>
      </c>
      <c r="Q670" s="7">
        <f>IF(P670="Yes",C670+CertValidityDays,"")</f>
        <v>0</v>
      </c>
    </row>
    <row r="671" spans="12:17">
      <c r="L671" s="2">
        <f>IFERROR(K671/J671*100,0)</f>
        <v>0</v>
      </c>
      <c r="Q671" s="7">
        <f>IF(P671="Yes",C671+CertValidityDays,"")</f>
        <v>0</v>
      </c>
    </row>
    <row r="672" spans="12:17">
      <c r="L672" s="2">
        <f>IFERROR(K672/J672*100,0)</f>
        <v>0</v>
      </c>
      <c r="Q672" s="7">
        <f>IF(P672="Yes",C672+CertValidityDays,"")</f>
        <v>0</v>
      </c>
    </row>
    <row r="673" spans="12:17">
      <c r="L673" s="2">
        <f>IFERROR(K673/J673*100,0)</f>
        <v>0</v>
      </c>
      <c r="Q673" s="7">
        <f>IF(P673="Yes",C673+CertValidityDays,"")</f>
        <v>0</v>
      </c>
    </row>
    <row r="674" spans="12:17">
      <c r="L674" s="2">
        <f>IFERROR(K674/J674*100,0)</f>
        <v>0</v>
      </c>
      <c r="Q674" s="7">
        <f>IF(P674="Yes",C674+CertValidityDays,"")</f>
        <v>0</v>
      </c>
    </row>
    <row r="675" spans="12:17">
      <c r="L675" s="2">
        <f>IFERROR(K675/J675*100,0)</f>
        <v>0</v>
      </c>
      <c r="Q675" s="7">
        <f>IF(P675="Yes",C675+CertValidityDays,"")</f>
        <v>0</v>
      </c>
    </row>
    <row r="676" spans="12:17">
      <c r="L676" s="2">
        <f>IFERROR(K676/J676*100,0)</f>
        <v>0</v>
      </c>
      <c r="Q676" s="7">
        <f>IF(P676="Yes",C676+CertValidityDays,"")</f>
        <v>0</v>
      </c>
    </row>
    <row r="677" spans="12:17">
      <c r="L677" s="2">
        <f>IFERROR(K677/J677*100,0)</f>
        <v>0</v>
      </c>
      <c r="Q677" s="7">
        <f>IF(P677="Yes",C677+CertValidityDays,"")</f>
        <v>0</v>
      </c>
    </row>
    <row r="678" spans="12:17">
      <c r="L678" s="2">
        <f>IFERROR(K678/J678*100,0)</f>
        <v>0</v>
      </c>
      <c r="Q678" s="7">
        <f>IF(P678="Yes",C678+CertValidityDays,"")</f>
        <v>0</v>
      </c>
    </row>
    <row r="679" spans="12:17">
      <c r="L679" s="2">
        <f>IFERROR(K679/J679*100,0)</f>
        <v>0</v>
      </c>
      <c r="Q679" s="7">
        <f>IF(P679="Yes",C679+CertValidityDays,"")</f>
        <v>0</v>
      </c>
    </row>
    <row r="680" spans="12:17">
      <c r="L680" s="2">
        <f>IFERROR(K680/J680*100,0)</f>
        <v>0</v>
      </c>
      <c r="Q680" s="7">
        <f>IF(P680="Yes",C680+CertValidityDays,"")</f>
        <v>0</v>
      </c>
    </row>
    <row r="681" spans="12:17">
      <c r="L681" s="2">
        <f>IFERROR(K681/J681*100,0)</f>
        <v>0</v>
      </c>
      <c r="Q681" s="7">
        <f>IF(P681="Yes",C681+CertValidityDays,"")</f>
        <v>0</v>
      </c>
    </row>
    <row r="682" spans="12:17">
      <c r="L682" s="2">
        <f>IFERROR(K682/J682*100,0)</f>
        <v>0</v>
      </c>
      <c r="Q682" s="7">
        <f>IF(P682="Yes",C682+CertValidityDays,"")</f>
        <v>0</v>
      </c>
    </row>
    <row r="683" spans="12:17">
      <c r="L683" s="2">
        <f>IFERROR(K683/J683*100,0)</f>
        <v>0</v>
      </c>
      <c r="Q683" s="7">
        <f>IF(P683="Yes",C683+CertValidityDays,"")</f>
        <v>0</v>
      </c>
    </row>
    <row r="684" spans="12:17">
      <c r="L684" s="2">
        <f>IFERROR(K684/J684*100,0)</f>
        <v>0</v>
      </c>
      <c r="Q684" s="7">
        <f>IF(P684="Yes",C684+CertValidityDays,"")</f>
        <v>0</v>
      </c>
    </row>
    <row r="685" spans="12:17">
      <c r="L685" s="2">
        <f>IFERROR(K685/J685*100,0)</f>
        <v>0</v>
      </c>
      <c r="Q685" s="7">
        <f>IF(P685="Yes",C685+CertValidityDays,"")</f>
        <v>0</v>
      </c>
    </row>
    <row r="686" spans="12:17">
      <c r="L686" s="2">
        <f>IFERROR(K686/J686*100,0)</f>
        <v>0</v>
      </c>
      <c r="Q686" s="7">
        <f>IF(P686="Yes",C686+CertValidityDays,"")</f>
        <v>0</v>
      </c>
    </row>
    <row r="687" spans="12:17">
      <c r="L687" s="2">
        <f>IFERROR(K687/J687*100,0)</f>
        <v>0</v>
      </c>
      <c r="Q687" s="7">
        <f>IF(P687="Yes",C687+CertValidityDays,"")</f>
        <v>0</v>
      </c>
    </row>
    <row r="688" spans="12:17">
      <c r="L688" s="2">
        <f>IFERROR(K688/J688*100,0)</f>
        <v>0</v>
      </c>
      <c r="Q688" s="7">
        <f>IF(P688="Yes",C688+CertValidityDays,"")</f>
        <v>0</v>
      </c>
    </row>
    <row r="689" spans="12:17">
      <c r="L689" s="2">
        <f>IFERROR(K689/J689*100,0)</f>
        <v>0</v>
      </c>
      <c r="Q689" s="7">
        <f>IF(P689="Yes",C689+CertValidityDays,"")</f>
        <v>0</v>
      </c>
    </row>
    <row r="690" spans="12:17">
      <c r="L690" s="2">
        <f>IFERROR(K690/J690*100,0)</f>
        <v>0</v>
      </c>
      <c r="Q690" s="7">
        <f>IF(P690="Yes",C690+CertValidityDays,"")</f>
        <v>0</v>
      </c>
    </row>
    <row r="691" spans="12:17">
      <c r="L691" s="2">
        <f>IFERROR(K691/J691*100,0)</f>
        <v>0</v>
      </c>
      <c r="Q691" s="7">
        <f>IF(P691="Yes",C691+CertValidityDays,"")</f>
        <v>0</v>
      </c>
    </row>
    <row r="692" spans="12:17">
      <c r="L692" s="2">
        <f>IFERROR(K692/J692*100,0)</f>
        <v>0</v>
      </c>
      <c r="Q692" s="7">
        <f>IF(P692="Yes",C692+CertValidityDays,"")</f>
        <v>0</v>
      </c>
    </row>
    <row r="693" spans="12:17">
      <c r="L693" s="2">
        <f>IFERROR(K693/J693*100,0)</f>
        <v>0</v>
      </c>
      <c r="Q693" s="7">
        <f>IF(P693="Yes",C693+CertValidityDays,"")</f>
        <v>0</v>
      </c>
    </row>
    <row r="694" spans="12:17">
      <c r="L694" s="2">
        <f>IFERROR(K694/J694*100,0)</f>
        <v>0</v>
      </c>
      <c r="Q694" s="7">
        <f>IF(P694="Yes",C694+CertValidityDays,"")</f>
        <v>0</v>
      </c>
    </row>
    <row r="695" spans="12:17">
      <c r="L695" s="2">
        <f>IFERROR(K695/J695*100,0)</f>
        <v>0</v>
      </c>
      <c r="Q695" s="7">
        <f>IF(P695="Yes",C695+CertValidityDays,"")</f>
        <v>0</v>
      </c>
    </row>
    <row r="696" spans="12:17">
      <c r="L696" s="2">
        <f>IFERROR(K696/J696*100,0)</f>
        <v>0</v>
      </c>
      <c r="Q696" s="7">
        <f>IF(P696="Yes",C696+CertValidityDays,"")</f>
        <v>0</v>
      </c>
    </row>
    <row r="697" spans="12:17">
      <c r="L697" s="2">
        <f>IFERROR(K697/J697*100,0)</f>
        <v>0</v>
      </c>
      <c r="Q697" s="7">
        <f>IF(P697="Yes",C697+CertValidityDays,"")</f>
        <v>0</v>
      </c>
    </row>
    <row r="698" spans="12:17">
      <c r="L698" s="2">
        <f>IFERROR(K698/J698*100,0)</f>
        <v>0</v>
      </c>
      <c r="Q698" s="7">
        <f>IF(P698="Yes",C698+CertValidityDays,"")</f>
        <v>0</v>
      </c>
    </row>
    <row r="699" spans="12:17">
      <c r="L699" s="2">
        <f>IFERROR(K699/J699*100,0)</f>
        <v>0</v>
      </c>
      <c r="Q699" s="7">
        <f>IF(P699="Yes",C699+CertValidityDays,"")</f>
        <v>0</v>
      </c>
    </row>
    <row r="700" spans="12:17">
      <c r="L700" s="2">
        <f>IFERROR(K700/J700*100,0)</f>
        <v>0</v>
      </c>
      <c r="Q700" s="7">
        <f>IF(P700="Yes",C700+CertValidityDays,"")</f>
        <v>0</v>
      </c>
    </row>
    <row r="701" spans="12:17">
      <c r="L701" s="2">
        <f>IFERROR(K701/J701*100,0)</f>
        <v>0</v>
      </c>
      <c r="Q701" s="7">
        <f>IF(P701="Yes",C701+CertValidityDays,"")</f>
        <v>0</v>
      </c>
    </row>
    <row r="702" spans="12:17">
      <c r="L702" s="2">
        <f>IFERROR(K702/J702*100,0)</f>
        <v>0</v>
      </c>
      <c r="Q702" s="7">
        <f>IF(P702="Yes",C702+CertValidityDays,"")</f>
        <v>0</v>
      </c>
    </row>
    <row r="703" spans="12:17">
      <c r="L703" s="2">
        <f>IFERROR(K703/J703*100,0)</f>
        <v>0</v>
      </c>
      <c r="Q703" s="7">
        <f>IF(P703="Yes",C703+CertValidityDays,"")</f>
        <v>0</v>
      </c>
    </row>
    <row r="704" spans="12:17">
      <c r="L704" s="2">
        <f>IFERROR(K704/J704*100,0)</f>
        <v>0</v>
      </c>
      <c r="Q704" s="7">
        <f>IF(P704="Yes",C704+CertValidityDays,"")</f>
        <v>0</v>
      </c>
    </row>
    <row r="705" spans="12:17">
      <c r="L705" s="2">
        <f>IFERROR(K705/J705*100,0)</f>
        <v>0</v>
      </c>
      <c r="Q705" s="7">
        <f>IF(P705="Yes",C705+CertValidityDays,"")</f>
        <v>0</v>
      </c>
    </row>
    <row r="706" spans="12:17">
      <c r="L706" s="2">
        <f>IFERROR(K706/J706*100,0)</f>
        <v>0</v>
      </c>
      <c r="Q706" s="7">
        <f>IF(P706="Yes",C706+CertValidityDays,"")</f>
        <v>0</v>
      </c>
    </row>
    <row r="707" spans="12:17">
      <c r="L707" s="2">
        <f>IFERROR(K707/J707*100,0)</f>
        <v>0</v>
      </c>
      <c r="Q707" s="7">
        <f>IF(P707="Yes",C707+CertValidityDays,"")</f>
        <v>0</v>
      </c>
    </row>
    <row r="708" spans="12:17">
      <c r="L708" s="2">
        <f>IFERROR(K708/J708*100,0)</f>
        <v>0</v>
      </c>
      <c r="Q708" s="7">
        <f>IF(P708="Yes",C708+CertValidityDays,"")</f>
        <v>0</v>
      </c>
    </row>
    <row r="709" spans="12:17">
      <c r="L709" s="2">
        <f>IFERROR(K709/J709*100,0)</f>
        <v>0</v>
      </c>
      <c r="Q709" s="7">
        <f>IF(P709="Yes",C709+CertValidityDays,"")</f>
        <v>0</v>
      </c>
    </row>
    <row r="710" spans="12:17">
      <c r="L710" s="2">
        <f>IFERROR(K710/J710*100,0)</f>
        <v>0</v>
      </c>
      <c r="Q710" s="7">
        <f>IF(P710="Yes",C710+CertValidityDays,"")</f>
        <v>0</v>
      </c>
    </row>
    <row r="711" spans="12:17">
      <c r="L711" s="2">
        <f>IFERROR(K711/J711*100,0)</f>
        <v>0</v>
      </c>
      <c r="Q711" s="7">
        <f>IF(P711="Yes",C711+CertValidityDays,"")</f>
        <v>0</v>
      </c>
    </row>
    <row r="712" spans="12:17">
      <c r="L712" s="2">
        <f>IFERROR(K712/J712*100,0)</f>
        <v>0</v>
      </c>
      <c r="Q712" s="7">
        <f>IF(P712="Yes",C712+CertValidityDays,"")</f>
        <v>0</v>
      </c>
    </row>
    <row r="713" spans="12:17">
      <c r="L713" s="2">
        <f>IFERROR(K713/J713*100,0)</f>
        <v>0</v>
      </c>
      <c r="Q713" s="7">
        <f>IF(P713="Yes",C713+CertValidityDays,"")</f>
        <v>0</v>
      </c>
    </row>
    <row r="714" spans="12:17">
      <c r="L714" s="2">
        <f>IFERROR(K714/J714*100,0)</f>
        <v>0</v>
      </c>
      <c r="Q714" s="7">
        <f>IF(P714="Yes",C714+CertValidityDays,"")</f>
        <v>0</v>
      </c>
    </row>
    <row r="715" spans="12:17">
      <c r="L715" s="2">
        <f>IFERROR(K715/J715*100,0)</f>
        <v>0</v>
      </c>
      <c r="Q715" s="7">
        <f>IF(P715="Yes",C715+CertValidityDays,"")</f>
        <v>0</v>
      </c>
    </row>
    <row r="716" spans="12:17">
      <c r="L716" s="2">
        <f>IFERROR(K716/J716*100,0)</f>
        <v>0</v>
      </c>
      <c r="Q716" s="7">
        <f>IF(P716="Yes",C716+CertValidityDays,"")</f>
        <v>0</v>
      </c>
    </row>
    <row r="717" spans="12:17">
      <c r="L717" s="2">
        <f>IFERROR(K717/J717*100,0)</f>
        <v>0</v>
      </c>
      <c r="Q717" s="7">
        <f>IF(P717="Yes",C717+CertValidityDays,"")</f>
        <v>0</v>
      </c>
    </row>
    <row r="718" spans="12:17">
      <c r="L718" s="2">
        <f>IFERROR(K718/J718*100,0)</f>
        <v>0</v>
      </c>
      <c r="Q718" s="7">
        <f>IF(P718="Yes",C718+CertValidityDays,"")</f>
        <v>0</v>
      </c>
    </row>
    <row r="719" spans="12:17">
      <c r="L719" s="2">
        <f>IFERROR(K719/J719*100,0)</f>
        <v>0</v>
      </c>
      <c r="Q719" s="7">
        <f>IF(P719="Yes",C719+CertValidityDays,"")</f>
        <v>0</v>
      </c>
    </row>
    <row r="720" spans="12:17">
      <c r="L720" s="2">
        <f>IFERROR(K720/J720*100,0)</f>
        <v>0</v>
      </c>
      <c r="Q720" s="7">
        <f>IF(P720="Yes",C720+CertValidityDays,"")</f>
        <v>0</v>
      </c>
    </row>
    <row r="721" spans="12:17">
      <c r="L721" s="2">
        <f>IFERROR(K721/J721*100,0)</f>
        <v>0</v>
      </c>
      <c r="Q721" s="7">
        <f>IF(P721="Yes",C721+CertValidityDays,"")</f>
        <v>0</v>
      </c>
    </row>
    <row r="722" spans="12:17">
      <c r="L722" s="2">
        <f>IFERROR(K722/J722*100,0)</f>
        <v>0</v>
      </c>
      <c r="Q722" s="7">
        <f>IF(P722="Yes",C722+CertValidityDays,"")</f>
        <v>0</v>
      </c>
    </row>
    <row r="723" spans="12:17">
      <c r="L723" s="2">
        <f>IFERROR(K723/J723*100,0)</f>
        <v>0</v>
      </c>
      <c r="Q723" s="7">
        <f>IF(P723="Yes",C723+CertValidityDays,"")</f>
        <v>0</v>
      </c>
    </row>
    <row r="724" spans="12:17">
      <c r="L724" s="2">
        <f>IFERROR(K724/J724*100,0)</f>
        <v>0</v>
      </c>
      <c r="Q724" s="7">
        <f>IF(P724="Yes",C724+CertValidityDays,"")</f>
        <v>0</v>
      </c>
    </row>
    <row r="725" spans="12:17">
      <c r="L725" s="2">
        <f>IFERROR(K725/J725*100,0)</f>
        <v>0</v>
      </c>
      <c r="Q725" s="7">
        <f>IF(P725="Yes",C725+CertValidityDays,"")</f>
        <v>0</v>
      </c>
    </row>
    <row r="726" spans="12:17">
      <c r="L726" s="2">
        <f>IFERROR(K726/J726*100,0)</f>
        <v>0</v>
      </c>
      <c r="Q726" s="7">
        <f>IF(P726="Yes",C726+CertValidityDays,"")</f>
        <v>0</v>
      </c>
    </row>
    <row r="727" spans="12:17">
      <c r="L727" s="2">
        <f>IFERROR(K727/J727*100,0)</f>
        <v>0</v>
      </c>
      <c r="Q727" s="7">
        <f>IF(P727="Yes",C727+CertValidityDays,"")</f>
        <v>0</v>
      </c>
    </row>
    <row r="728" spans="12:17">
      <c r="L728" s="2">
        <f>IFERROR(K728/J728*100,0)</f>
        <v>0</v>
      </c>
      <c r="Q728" s="7">
        <f>IF(P728="Yes",C728+CertValidityDays,"")</f>
        <v>0</v>
      </c>
    </row>
    <row r="729" spans="12:17">
      <c r="L729" s="2">
        <f>IFERROR(K729/J729*100,0)</f>
        <v>0</v>
      </c>
      <c r="Q729" s="7">
        <f>IF(P729="Yes",C729+CertValidityDays,"")</f>
        <v>0</v>
      </c>
    </row>
    <row r="730" spans="12:17">
      <c r="L730" s="2">
        <f>IFERROR(K730/J730*100,0)</f>
        <v>0</v>
      </c>
      <c r="Q730" s="7">
        <f>IF(P730="Yes",C730+CertValidityDays,"")</f>
        <v>0</v>
      </c>
    </row>
    <row r="731" spans="12:17">
      <c r="L731" s="2">
        <f>IFERROR(K731/J731*100,0)</f>
        <v>0</v>
      </c>
      <c r="Q731" s="7">
        <f>IF(P731="Yes",C731+CertValidityDays,"")</f>
        <v>0</v>
      </c>
    </row>
    <row r="732" spans="12:17">
      <c r="L732" s="2">
        <f>IFERROR(K732/J732*100,0)</f>
        <v>0</v>
      </c>
      <c r="Q732" s="7">
        <f>IF(P732="Yes",C732+CertValidityDays,"")</f>
        <v>0</v>
      </c>
    </row>
    <row r="733" spans="12:17">
      <c r="L733" s="2">
        <f>IFERROR(K733/J733*100,0)</f>
        <v>0</v>
      </c>
      <c r="Q733" s="7">
        <f>IF(P733="Yes",C733+CertValidityDays,"")</f>
        <v>0</v>
      </c>
    </row>
    <row r="734" spans="12:17">
      <c r="L734" s="2">
        <f>IFERROR(K734/J734*100,0)</f>
        <v>0</v>
      </c>
      <c r="Q734" s="7">
        <f>IF(P734="Yes",C734+CertValidityDays,"")</f>
        <v>0</v>
      </c>
    </row>
    <row r="735" spans="12:17">
      <c r="L735" s="2">
        <f>IFERROR(K735/J735*100,0)</f>
        <v>0</v>
      </c>
      <c r="Q735" s="7">
        <f>IF(P735="Yes",C735+CertValidityDays,"")</f>
        <v>0</v>
      </c>
    </row>
    <row r="736" spans="12:17">
      <c r="L736" s="2">
        <f>IFERROR(K736/J736*100,0)</f>
        <v>0</v>
      </c>
      <c r="Q736" s="7">
        <f>IF(P736="Yes",C736+CertValidityDays,"")</f>
        <v>0</v>
      </c>
    </row>
    <row r="737" spans="12:17">
      <c r="L737" s="2">
        <f>IFERROR(K737/J737*100,0)</f>
        <v>0</v>
      </c>
      <c r="Q737" s="7">
        <f>IF(P737="Yes",C737+CertValidityDays,"")</f>
        <v>0</v>
      </c>
    </row>
    <row r="738" spans="12:17">
      <c r="L738" s="2">
        <f>IFERROR(K738/J738*100,0)</f>
        <v>0</v>
      </c>
      <c r="Q738" s="7">
        <f>IF(P738="Yes",C738+CertValidityDays,"")</f>
        <v>0</v>
      </c>
    </row>
    <row r="739" spans="12:17">
      <c r="L739" s="2">
        <f>IFERROR(K739/J739*100,0)</f>
        <v>0</v>
      </c>
      <c r="Q739" s="7">
        <f>IF(P739="Yes",C739+CertValidityDays,"")</f>
        <v>0</v>
      </c>
    </row>
    <row r="740" spans="12:17">
      <c r="L740" s="2">
        <f>IFERROR(K740/J740*100,0)</f>
        <v>0</v>
      </c>
      <c r="Q740" s="7">
        <f>IF(P740="Yes",C740+CertValidityDays,"")</f>
        <v>0</v>
      </c>
    </row>
    <row r="741" spans="12:17">
      <c r="L741" s="2">
        <f>IFERROR(K741/J741*100,0)</f>
        <v>0</v>
      </c>
      <c r="Q741" s="7">
        <f>IF(P741="Yes",C741+CertValidityDays,"")</f>
        <v>0</v>
      </c>
    </row>
    <row r="742" spans="12:17">
      <c r="L742" s="2">
        <f>IFERROR(K742/J742*100,0)</f>
        <v>0</v>
      </c>
      <c r="Q742" s="7">
        <f>IF(P742="Yes",C742+CertValidityDays,"")</f>
        <v>0</v>
      </c>
    </row>
    <row r="743" spans="12:17">
      <c r="L743" s="2">
        <f>IFERROR(K743/J743*100,0)</f>
        <v>0</v>
      </c>
      <c r="Q743" s="7">
        <f>IF(P743="Yes",C743+CertValidityDays,"")</f>
        <v>0</v>
      </c>
    </row>
    <row r="744" spans="12:17">
      <c r="L744" s="2">
        <f>IFERROR(K744/J744*100,0)</f>
        <v>0</v>
      </c>
      <c r="Q744" s="7">
        <f>IF(P744="Yes",C744+CertValidityDays,"")</f>
        <v>0</v>
      </c>
    </row>
    <row r="745" spans="12:17">
      <c r="L745" s="2">
        <f>IFERROR(K745/J745*100,0)</f>
        <v>0</v>
      </c>
      <c r="Q745" s="7">
        <f>IF(P745="Yes",C745+CertValidityDays,"")</f>
        <v>0</v>
      </c>
    </row>
    <row r="746" spans="12:17">
      <c r="L746" s="2">
        <f>IFERROR(K746/J746*100,0)</f>
        <v>0</v>
      </c>
      <c r="Q746" s="7">
        <f>IF(P746="Yes",C746+CertValidityDays,"")</f>
        <v>0</v>
      </c>
    </row>
    <row r="747" spans="12:17">
      <c r="L747" s="2">
        <f>IFERROR(K747/J747*100,0)</f>
        <v>0</v>
      </c>
      <c r="Q747" s="7">
        <f>IF(P747="Yes",C747+CertValidityDays,"")</f>
        <v>0</v>
      </c>
    </row>
    <row r="748" spans="12:17">
      <c r="L748" s="2">
        <f>IFERROR(K748/J748*100,0)</f>
        <v>0</v>
      </c>
      <c r="Q748" s="7">
        <f>IF(P748="Yes",C748+CertValidityDays,"")</f>
        <v>0</v>
      </c>
    </row>
    <row r="749" spans="12:17">
      <c r="L749" s="2">
        <f>IFERROR(K749/J749*100,0)</f>
        <v>0</v>
      </c>
      <c r="Q749" s="7">
        <f>IF(P749="Yes",C749+CertValidityDays,"")</f>
        <v>0</v>
      </c>
    </row>
    <row r="750" spans="12:17">
      <c r="L750" s="2">
        <f>IFERROR(K750/J750*100,0)</f>
        <v>0</v>
      </c>
      <c r="Q750" s="7">
        <f>IF(P750="Yes",C750+CertValidityDays,"")</f>
        <v>0</v>
      </c>
    </row>
    <row r="751" spans="12:17">
      <c r="L751" s="2">
        <f>IFERROR(K751/J751*100,0)</f>
        <v>0</v>
      </c>
      <c r="Q751" s="7">
        <f>IF(P751="Yes",C751+CertValidityDays,"")</f>
        <v>0</v>
      </c>
    </row>
    <row r="752" spans="12:17">
      <c r="L752" s="2">
        <f>IFERROR(K752/J752*100,0)</f>
        <v>0</v>
      </c>
      <c r="Q752" s="7">
        <f>IF(P752="Yes",C752+CertValidityDays,"")</f>
        <v>0</v>
      </c>
    </row>
    <row r="753" spans="12:17">
      <c r="L753" s="2">
        <f>IFERROR(K753/J753*100,0)</f>
        <v>0</v>
      </c>
      <c r="Q753" s="7">
        <f>IF(P753="Yes",C753+CertValidityDays,"")</f>
        <v>0</v>
      </c>
    </row>
    <row r="754" spans="12:17">
      <c r="L754" s="2">
        <f>IFERROR(K754/J754*100,0)</f>
        <v>0</v>
      </c>
      <c r="Q754" s="7">
        <f>IF(P754="Yes",C754+CertValidityDays,"")</f>
        <v>0</v>
      </c>
    </row>
    <row r="755" spans="12:17">
      <c r="L755" s="2">
        <f>IFERROR(K755/J755*100,0)</f>
        <v>0</v>
      </c>
      <c r="Q755" s="7">
        <f>IF(P755="Yes",C755+CertValidityDays,"")</f>
        <v>0</v>
      </c>
    </row>
    <row r="756" spans="12:17">
      <c r="L756" s="2">
        <f>IFERROR(K756/J756*100,0)</f>
        <v>0</v>
      </c>
      <c r="Q756" s="7">
        <f>IF(P756="Yes",C756+CertValidityDays,"")</f>
        <v>0</v>
      </c>
    </row>
    <row r="757" spans="12:17">
      <c r="L757" s="2">
        <f>IFERROR(K757/J757*100,0)</f>
        <v>0</v>
      </c>
      <c r="Q757" s="7">
        <f>IF(P757="Yes",C757+CertValidityDays,"")</f>
        <v>0</v>
      </c>
    </row>
    <row r="758" spans="12:17">
      <c r="L758" s="2">
        <f>IFERROR(K758/J758*100,0)</f>
        <v>0</v>
      </c>
      <c r="Q758" s="7">
        <f>IF(P758="Yes",C758+CertValidityDays,"")</f>
        <v>0</v>
      </c>
    </row>
    <row r="759" spans="12:17">
      <c r="L759" s="2">
        <f>IFERROR(K759/J759*100,0)</f>
        <v>0</v>
      </c>
      <c r="Q759" s="7">
        <f>IF(P759="Yes",C759+CertValidityDays,"")</f>
        <v>0</v>
      </c>
    </row>
    <row r="760" spans="12:17">
      <c r="L760" s="2">
        <f>IFERROR(K760/J760*100,0)</f>
        <v>0</v>
      </c>
      <c r="Q760" s="7">
        <f>IF(P760="Yes",C760+CertValidityDays,"")</f>
        <v>0</v>
      </c>
    </row>
    <row r="761" spans="12:17">
      <c r="L761" s="2">
        <f>IFERROR(K761/J761*100,0)</f>
        <v>0</v>
      </c>
      <c r="Q761" s="7">
        <f>IF(P761="Yes",C761+CertValidityDays,"")</f>
        <v>0</v>
      </c>
    </row>
    <row r="762" spans="12:17">
      <c r="L762" s="2">
        <f>IFERROR(K762/J762*100,0)</f>
        <v>0</v>
      </c>
      <c r="Q762" s="7">
        <f>IF(P762="Yes",C762+CertValidityDays,"")</f>
        <v>0</v>
      </c>
    </row>
    <row r="763" spans="12:17">
      <c r="L763" s="2">
        <f>IFERROR(K763/J763*100,0)</f>
        <v>0</v>
      </c>
      <c r="Q763" s="7">
        <f>IF(P763="Yes",C763+CertValidityDays,"")</f>
        <v>0</v>
      </c>
    </row>
    <row r="764" spans="12:17">
      <c r="L764" s="2">
        <f>IFERROR(K764/J764*100,0)</f>
        <v>0</v>
      </c>
      <c r="Q764" s="7">
        <f>IF(P764="Yes",C764+CertValidityDays,"")</f>
        <v>0</v>
      </c>
    </row>
    <row r="765" spans="12:17">
      <c r="L765" s="2">
        <f>IFERROR(K765/J765*100,0)</f>
        <v>0</v>
      </c>
      <c r="Q765" s="7">
        <f>IF(P765="Yes",C765+CertValidityDays,"")</f>
        <v>0</v>
      </c>
    </row>
    <row r="766" spans="12:17">
      <c r="L766" s="2">
        <f>IFERROR(K766/J766*100,0)</f>
        <v>0</v>
      </c>
      <c r="Q766" s="7">
        <f>IF(P766="Yes",C766+CertValidityDays,"")</f>
        <v>0</v>
      </c>
    </row>
    <row r="767" spans="12:17">
      <c r="L767" s="2">
        <f>IFERROR(K767/J767*100,0)</f>
        <v>0</v>
      </c>
      <c r="Q767" s="7">
        <f>IF(P767="Yes",C767+CertValidityDays,"")</f>
        <v>0</v>
      </c>
    </row>
    <row r="768" spans="12:17">
      <c r="L768" s="2">
        <f>IFERROR(K768/J768*100,0)</f>
        <v>0</v>
      </c>
      <c r="Q768" s="7">
        <f>IF(P768="Yes",C768+CertValidityDays,"")</f>
        <v>0</v>
      </c>
    </row>
    <row r="769" spans="12:17">
      <c r="L769" s="2">
        <f>IFERROR(K769/J769*100,0)</f>
        <v>0</v>
      </c>
      <c r="Q769" s="7">
        <f>IF(P769="Yes",C769+CertValidityDays,"")</f>
        <v>0</v>
      </c>
    </row>
    <row r="770" spans="12:17">
      <c r="L770" s="2">
        <f>IFERROR(K770/J770*100,0)</f>
        <v>0</v>
      </c>
      <c r="Q770" s="7">
        <f>IF(P770="Yes",C770+CertValidityDays,"")</f>
        <v>0</v>
      </c>
    </row>
    <row r="771" spans="12:17">
      <c r="L771" s="2">
        <f>IFERROR(K771/J771*100,0)</f>
        <v>0</v>
      </c>
      <c r="Q771" s="7">
        <f>IF(P771="Yes",C771+CertValidityDays,"")</f>
        <v>0</v>
      </c>
    </row>
    <row r="772" spans="12:17">
      <c r="L772" s="2">
        <f>IFERROR(K772/J772*100,0)</f>
        <v>0</v>
      </c>
      <c r="Q772" s="7">
        <f>IF(P772="Yes",C772+CertValidityDays,"")</f>
        <v>0</v>
      </c>
    </row>
    <row r="773" spans="12:17">
      <c r="L773" s="2">
        <f>IFERROR(K773/J773*100,0)</f>
        <v>0</v>
      </c>
      <c r="Q773" s="7">
        <f>IF(P773="Yes",C773+CertValidityDays,"")</f>
        <v>0</v>
      </c>
    </row>
    <row r="774" spans="12:17">
      <c r="L774" s="2">
        <f>IFERROR(K774/J774*100,0)</f>
        <v>0</v>
      </c>
      <c r="Q774" s="7">
        <f>IF(P774="Yes",C774+CertValidityDays,"")</f>
        <v>0</v>
      </c>
    </row>
    <row r="775" spans="12:17">
      <c r="L775" s="2">
        <f>IFERROR(K775/J775*100,0)</f>
        <v>0</v>
      </c>
      <c r="Q775" s="7">
        <f>IF(P775="Yes",C775+CertValidityDays,"")</f>
        <v>0</v>
      </c>
    </row>
    <row r="776" spans="12:17">
      <c r="L776" s="2">
        <f>IFERROR(K776/J776*100,0)</f>
        <v>0</v>
      </c>
      <c r="Q776" s="7">
        <f>IF(P776="Yes",C776+CertValidityDays,"")</f>
        <v>0</v>
      </c>
    </row>
    <row r="777" spans="12:17">
      <c r="L777" s="2">
        <f>IFERROR(K777/J777*100,0)</f>
        <v>0</v>
      </c>
      <c r="Q777" s="7">
        <f>IF(P777="Yes",C777+CertValidityDays,"")</f>
        <v>0</v>
      </c>
    </row>
    <row r="778" spans="12:17">
      <c r="L778" s="2">
        <f>IFERROR(K778/J778*100,0)</f>
        <v>0</v>
      </c>
      <c r="Q778" s="7">
        <f>IF(P778="Yes",C778+CertValidityDays,"")</f>
        <v>0</v>
      </c>
    </row>
    <row r="779" spans="12:17">
      <c r="L779" s="2">
        <f>IFERROR(K779/J779*100,0)</f>
        <v>0</v>
      </c>
      <c r="Q779" s="7">
        <f>IF(P779="Yes",C779+CertValidityDays,"")</f>
        <v>0</v>
      </c>
    </row>
    <row r="780" spans="12:17">
      <c r="L780" s="2">
        <f>IFERROR(K780/J780*100,0)</f>
        <v>0</v>
      </c>
      <c r="Q780" s="7">
        <f>IF(P780="Yes",C780+CertValidityDays,"")</f>
        <v>0</v>
      </c>
    </row>
    <row r="781" spans="12:17">
      <c r="L781" s="2">
        <f>IFERROR(K781/J781*100,0)</f>
        <v>0</v>
      </c>
      <c r="Q781" s="7">
        <f>IF(P781="Yes",C781+CertValidityDays,"")</f>
        <v>0</v>
      </c>
    </row>
    <row r="782" spans="12:17">
      <c r="L782" s="2">
        <f>IFERROR(K782/J782*100,0)</f>
        <v>0</v>
      </c>
      <c r="Q782" s="7">
        <f>IF(P782="Yes",C782+CertValidityDays,"")</f>
        <v>0</v>
      </c>
    </row>
    <row r="783" spans="12:17">
      <c r="L783" s="2">
        <f>IFERROR(K783/J783*100,0)</f>
        <v>0</v>
      </c>
      <c r="Q783" s="7">
        <f>IF(P783="Yes",C783+CertValidityDays,"")</f>
        <v>0</v>
      </c>
    </row>
    <row r="784" spans="12:17">
      <c r="L784" s="2">
        <f>IFERROR(K784/J784*100,0)</f>
        <v>0</v>
      </c>
      <c r="Q784" s="7">
        <f>IF(P784="Yes",C784+CertValidityDays,"")</f>
        <v>0</v>
      </c>
    </row>
    <row r="785" spans="12:17">
      <c r="L785" s="2">
        <f>IFERROR(K785/J785*100,0)</f>
        <v>0</v>
      </c>
      <c r="Q785" s="7">
        <f>IF(P785="Yes",C785+CertValidityDays,"")</f>
        <v>0</v>
      </c>
    </row>
    <row r="786" spans="12:17">
      <c r="L786" s="2">
        <f>IFERROR(K786/J786*100,0)</f>
        <v>0</v>
      </c>
      <c r="Q786" s="7">
        <f>IF(P786="Yes",C786+CertValidityDays,"")</f>
        <v>0</v>
      </c>
    </row>
    <row r="787" spans="12:17">
      <c r="L787" s="2">
        <f>IFERROR(K787/J787*100,0)</f>
        <v>0</v>
      </c>
      <c r="Q787" s="7">
        <f>IF(P787="Yes",C787+CertValidityDays,"")</f>
        <v>0</v>
      </c>
    </row>
    <row r="788" spans="12:17">
      <c r="L788" s="2">
        <f>IFERROR(K788/J788*100,0)</f>
        <v>0</v>
      </c>
      <c r="Q788" s="7">
        <f>IF(P788="Yes",C788+CertValidityDays,"")</f>
        <v>0</v>
      </c>
    </row>
    <row r="789" spans="12:17">
      <c r="L789" s="2">
        <f>IFERROR(K789/J789*100,0)</f>
        <v>0</v>
      </c>
      <c r="Q789" s="7">
        <f>IF(P789="Yes",C789+CertValidityDays,"")</f>
        <v>0</v>
      </c>
    </row>
    <row r="790" spans="12:17">
      <c r="L790" s="2">
        <f>IFERROR(K790/J790*100,0)</f>
        <v>0</v>
      </c>
      <c r="Q790" s="7">
        <f>IF(P790="Yes",C790+CertValidityDays,"")</f>
        <v>0</v>
      </c>
    </row>
    <row r="791" spans="12:17">
      <c r="L791" s="2">
        <f>IFERROR(K791/J791*100,0)</f>
        <v>0</v>
      </c>
      <c r="Q791" s="7">
        <f>IF(P791="Yes",C791+CertValidityDays,"")</f>
        <v>0</v>
      </c>
    </row>
    <row r="792" spans="12:17">
      <c r="L792" s="2">
        <f>IFERROR(K792/J792*100,0)</f>
        <v>0</v>
      </c>
      <c r="Q792" s="7">
        <f>IF(P792="Yes",C792+CertValidityDays,"")</f>
        <v>0</v>
      </c>
    </row>
    <row r="793" spans="12:17">
      <c r="L793" s="2">
        <f>IFERROR(K793/J793*100,0)</f>
        <v>0</v>
      </c>
      <c r="Q793" s="7">
        <f>IF(P793="Yes",C793+CertValidityDays,"")</f>
        <v>0</v>
      </c>
    </row>
    <row r="794" spans="12:17">
      <c r="L794" s="2">
        <f>IFERROR(K794/J794*100,0)</f>
        <v>0</v>
      </c>
      <c r="Q794" s="7">
        <f>IF(P794="Yes",C794+CertValidityDays,"")</f>
        <v>0</v>
      </c>
    </row>
    <row r="795" spans="12:17">
      <c r="L795" s="2">
        <f>IFERROR(K795/J795*100,0)</f>
        <v>0</v>
      </c>
      <c r="Q795" s="7">
        <f>IF(P795="Yes",C795+CertValidityDays,"")</f>
        <v>0</v>
      </c>
    </row>
    <row r="796" spans="12:17">
      <c r="L796" s="2">
        <f>IFERROR(K796/J796*100,0)</f>
        <v>0</v>
      </c>
      <c r="Q796" s="7">
        <f>IF(P796="Yes",C796+CertValidityDays,"")</f>
        <v>0</v>
      </c>
    </row>
    <row r="797" spans="12:17">
      <c r="L797" s="2">
        <f>IFERROR(K797/J797*100,0)</f>
        <v>0</v>
      </c>
      <c r="Q797" s="7">
        <f>IF(P797="Yes",C797+CertValidityDays,"")</f>
        <v>0</v>
      </c>
    </row>
    <row r="798" spans="12:17">
      <c r="L798" s="2">
        <f>IFERROR(K798/J798*100,0)</f>
        <v>0</v>
      </c>
      <c r="Q798" s="7">
        <f>IF(P798="Yes",C798+CertValidityDays,"")</f>
        <v>0</v>
      </c>
    </row>
    <row r="799" spans="12:17">
      <c r="L799" s="2">
        <f>IFERROR(K799/J799*100,0)</f>
        <v>0</v>
      </c>
      <c r="Q799" s="7">
        <f>IF(P799="Yes",C799+CertValidityDays,"")</f>
        <v>0</v>
      </c>
    </row>
    <row r="800" spans="12:17">
      <c r="L800" s="2">
        <f>IFERROR(K800/J800*100,0)</f>
        <v>0</v>
      </c>
      <c r="Q800" s="7">
        <f>IF(P800="Yes",C800+CertValidityDays,"")</f>
        <v>0</v>
      </c>
    </row>
    <row r="801" spans="12:17">
      <c r="L801" s="2">
        <f>IFERROR(K801/J801*100,0)</f>
        <v>0</v>
      </c>
      <c r="Q801" s="7">
        <f>IF(P801="Yes",C801+CertValidityDays,"")</f>
        <v>0</v>
      </c>
    </row>
    <row r="802" spans="12:17">
      <c r="L802" s="2">
        <f>IFERROR(K802/J802*100,0)</f>
        <v>0</v>
      </c>
      <c r="Q802" s="7">
        <f>IF(P802="Yes",C802+CertValidityDays,"")</f>
        <v>0</v>
      </c>
    </row>
    <row r="803" spans="12:17">
      <c r="L803" s="2">
        <f>IFERROR(K803/J803*100,0)</f>
        <v>0</v>
      </c>
      <c r="Q803" s="7">
        <f>IF(P803="Yes",C803+CertValidityDays,"")</f>
        <v>0</v>
      </c>
    </row>
    <row r="804" spans="12:17">
      <c r="L804" s="2">
        <f>IFERROR(K804/J804*100,0)</f>
        <v>0</v>
      </c>
      <c r="Q804" s="7">
        <f>IF(P804="Yes",C804+CertValidityDays,"")</f>
        <v>0</v>
      </c>
    </row>
    <row r="805" spans="12:17">
      <c r="L805" s="2">
        <f>IFERROR(K805/J805*100,0)</f>
        <v>0</v>
      </c>
      <c r="Q805" s="7">
        <f>IF(P805="Yes",C805+CertValidityDays,"")</f>
        <v>0</v>
      </c>
    </row>
    <row r="806" spans="12:17">
      <c r="L806" s="2">
        <f>IFERROR(K806/J806*100,0)</f>
        <v>0</v>
      </c>
      <c r="Q806" s="7">
        <f>IF(P806="Yes",C806+CertValidityDays,"")</f>
        <v>0</v>
      </c>
    </row>
    <row r="807" spans="12:17">
      <c r="L807" s="2">
        <f>IFERROR(K807/J807*100,0)</f>
        <v>0</v>
      </c>
      <c r="Q807" s="7">
        <f>IF(P807="Yes",C807+CertValidityDays,"")</f>
        <v>0</v>
      </c>
    </row>
    <row r="808" spans="12:17">
      <c r="L808" s="2">
        <f>IFERROR(K808/J808*100,0)</f>
        <v>0</v>
      </c>
      <c r="Q808" s="7">
        <f>IF(P808="Yes",C808+CertValidityDays,"")</f>
        <v>0</v>
      </c>
    </row>
    <row r="809" spans="12:17">
      <c r="L809" s="2">
        <f>IFERROR(K809/J809*100,0)</f>
        <v>0</v>
      </c>
      <c r="Q809" s="7">
        <f>IF(P809="Yes",C809+CertValidityDays,"")</f>
        <v>0</v>
      </c>
    </row>
    <row r="810" spans="12:17">
      <c r="L810" s="2">
        <f>IFERROR(K810/J810*100,0)</f>
        <v>0</v>
      </c>
      <c r="Q810" s="7">
        <f>IF(P810="Yes",C810+CertValidityDays,"")</f>
        <v>0</v>
      </c>
    </row>
    <row r="811" spans="12:17">
      <c r="L811" s="2">
        <f>IFERROR(K811/J811*100,0)</f>
        <v>0</v>
      </c>
      <c r="Q811" s="7">
        <f>IF(P811="Yes",C811+CertValidityDays,"")</f>
        <v>0</v>
      </c>
    </row>
    <row r="812" spans="12:17">
      <c r="L812" s="2">
        <f>IFERROR(K812/J812*100,0)</f>
        <v>0</v>
      </c>
      <c r="Q812" s="7">
        <f>IF(P812="Yes",C812+CertValidityDays,"")</f>
        <v>0</v>
      </c>
    </row>
    <row r="813" spans="12:17">
      <c r="L813" s="2">
        <f>IFERROR(K813/J813*100,0)</f>
        <v>0</v>
      </c>
      <c r="Q813" s="7">
        <f>IF(P813="Yes",C813+CertValidityDays,"")</f>
        <v>0</v>
      </c>
    </row>
    <row r="814" spans="12:17">
      <c r="L814" s="2">
        <f>IFERROR(K814/J814*100,0)</f>
        <v>0</v>
      </c>
      <c r="Q814" s="7">
        <f>IF(P814="Yes",C814+CertValidityDays,"")</f>
        <v>0</v>
      </c>
    </row>
    <row r="815" spans="12:17">
      <c r="L815" s="2">
        <f>IFERROR(K815/J815*100,0)</f>
        <v>0</v>
      </c>
      <c r="Q815" s="7">
        <f>IF(P815="Yes",C815+CertValidityDays,"")</f>
        <v>0</v>
      </c>
    </row>
    <row r="816" spans="12:17">
      <c r="L816" s="2">
        <f>IFERROR(K816/J816*100,0)</f>
        <v>0</v>
      </c>
      <c r="Q816" s="7">
        <f>IF(P816="Yes",C816+CertValidityDays,"")</f>
        <v>0</v>
      </c>
    </row>
    <row r="817" spans="12:17">
      <c r="L817" s="2">
        <f>IFERROR(K817/J817*100,0)</f>
        <v>0</v>
      </c>
      <c r="Q817" s="7">
        <f>IF(P817="Yes",C817+CertValidityDays,"")</f>
        <v>0</v>
      </c>
    </row>
    <row r="818" spans="12:17">
      <c r="L818" s="2">
        <f>IFERROR(K818/J818*100,0)</f>
        <v>0</v>
      </c>
      <c r="Q818" s="7">
        <f>IF(P818="Yes",C818+CertValidityDays,"")</f>
        <v>0</v>
      </c>
    </row>
    <row r="819" spans="12:17">
      <c r="L819" s="2">
        <f>IFERROR(K819/J819*100,0)</f>
        <v>0</v>
      </c>
      <c r="Q819" s="7">
        <f>IF(P819="Yes",C819+CertValidityDays,"")</f>
        <v>0</v>
      </c>
    </row>
    <row r="820" spans="12:17">
      <c r="L820" s="2">
        <f>IFERROR(K820/J820*100,0)</f>
        <v>0</v>
      </c>
      <c r="Q820" s="7">
        <f>IF(P820="Yes",C820+CertValidityDays,"")</f>
        <v>0</v>
      </c>
    </row>
    <row r="821" spans="12:17">
      <c r="L821" s="2">
        <f>IFERROR(K821/J821*100,0)</f>
        <v>0</v>
      </c>
      <c r="Q821" s="7">
        <f>IF(P821="Yes",C821+CertValidityDays,"")</f>
        <v>0</v>
      </c>
    </row>
    <row r="822" spans="12:17">
      <c r="L822" s="2">
        <f>IFERROR(K822/J822*100,0)</f>
        <v>0</v>
      </c>
      <c r="Q822" s="7">
        <f>IF(P822="Yes",C822+CertValidityDays,"")</f>
        <v>0</v>
      </c>
    </row>
    <row r="823" spans="12:17">
      <c r="L823" s="2">
        <f>IFERROR(K823/J823*100,0)</f>
        <v>0</v>
      </c>
      <c r="Q823" s="7">
        <f>IF(P823="Yes",C823+CertValidityDays,"")</f>
        <v>0</v>
      </c>
    </row>
    <row r="824" spans="12:17">
      <c r="L824" s="2">
        <f>IFERROR(K824/J824*100,0)</f>
        <v>0</v>
      </c>
      <c r="Q824" s="7">
        <f>IF(P824="Yes",C824+CertValidityDays,"")</f>
        <v>0</v>
      </c>
    </row>
    <row r="825" spans="12:17">
      <c r="L825" s="2">
        <f>IFERROR(K825/J825*100,0)</f>
        <v>0</v>
      </c>
      <c r="Q825" s="7">
        <f>IF(P825="Yes",C825+CertValidityDays,"")</f>
        <v>0</v>
      </c>
    </row>
    <row r="826" spans="12:17">
      <c r="L826" s="2">
        <f>IFERROR(K826/J826*100,0)</f>
        <v>0</v>
      </c>
      <c r="Q826" s="7">
        <f>IF(P826="Yes",C826+CertValidityDays,"")</f>
        <v>0</v>
      </c>
    </row>
    <row r="827" spans="12:17">
      <c r="L827" s="2">
        <f>IFERROR(K827/J827*100,0)</f>
        <v>0</v>
      </c>
      <c r="Q827" s="7">
        <f>IF(P827="Yes",C827+CertValidityDays,"")</f>
        <v>0</v>
      </c>
    </row>
    <row r="828" spans="12:17">
      <c r="L828" s="2">
        <f>IFERROR(K828/J828*100,0)</f>
        <v>0</v>
      </c>
      <c r="Q828" s="7">
        <f>IF(P828="Yes",C828+CertValidityDays,"")</f>
        <v>0</v>
      </c>
    </row>
    <row r="829" spans="12:17">
      <c r="L829" s="2">
        <f>IFERROR(K829/J829*100,0)</f>
        <v>0</v>
      </c>
      <c r="Q829" s="7">
        <f>IF(P829="Yes",C829+CertValidityDays,"")</f>
        <v>0</v>
      </c>
    </row>
    <row r="830" spans="12:17">
      <c r="L830" s="2">
        <f>IFERROR(K830/J830*100,0)</f>
        <v>0</v>
      </c>
      <c r="Q830" s="7">
        <f>IF(P830="Yes",C830+CertValidityDays,"")</f>
        <v>0</v>
      </c>
    </row>
    <row r="831" spans="12:17">
      <c r="L831" s="2">
        <f>IFERROR(K831/J831*100,0)</f>
        <v>0</v>
      </c>
      <c r="Q831" s="7">
        <f>IF(P831="Yes",C831+CertValidityDays,"")</f>
        <v>0</v>
      </c>
    </row>
    <row r="832" spans="12:17">
      <c r="L832" s="2">
        <f>IFERROR(K832/J832*100,0)</f>
        <v>0</v>
      </c>
      <c r="Q832" s="7">
        <f>IF(P832="Yes",C832+CertValidityDays,"")</f>
        <v>0</v>
      </c>
    </row>
    <row r="833" spans="12:17">
      <c r="L833" s="2">
        <f>IFERROR(K833/J833*100,0)</f>
        <v>0</v>
      </c>
      <c r="Q833" s="7">
        <f>IF(P833="Yes",C833+CertValidityDays,"")</f>
        <v>0</v>
      </c>
    </row>
    <row r="834" spans="12:17">
      <c r="L834" s="2">
        <f>IFERROR(K834/J834*100,0)</f>
        <v>0</v>
      </c>
      <c r="Q834" s="7">
        <f>IF(P834="Yes",C834+CertValidityDays,"")</f>
        <v>0</v>
      </c>
    </row>
    <row r="835" spans="12:17">
      <c r="L835" s="2">
        <f>IFERROR(K835/J835*100,0)</f>
        <v>0</v>
      </c>
      <c r="Q835" s="7">
        <f>IF(P835="Yes",C835+CertValidityDays,"")</f>
        <v>0</v>
      </c>
    </row>
    <row r="836" spans="12:17">
      <c r="L836" s="2">
        <f>IFERROR(K836/J836*100,0)</f>
        <v>0</v>
      </c>
      <c r="Q836" s="7">
        <f>IF(P836="Yes",C836+CertValidityDays,"")</f>
        <v>0</v>
      </c>
    </row>
    <row r="837" spans="12:17">
      <c r="L837" s="2">
        <f>IFERROR(K837/J837*100,0)</f>
        <v>0</v>
      </c>
      <c r="Q837" s="7">
        <f>IF(P837="Yes",C837+CertValidityDays,"")</f>
        <v>0</v>
      </c>
    </row>
    <row r="838" spans="12:17">
      <c r="L838" s="2">
        <f>IFERROR(K838/J838*100,0)</f>
        <v>0</v>
      </c>
      <c r="Q838" s="7">
        <f>IF(P838="Yes",C838+CertValidityDays,"")</f>
        <v>0</v>
      </c>
    </row>
    <row r="839" spans="12:17">
      <c r="L839" s="2">
        <f>IFERROR(K839/J839*100,0)</f>
        <v>0</v>
      </c>
      <c r="Q839" s="7">
        <f>IF(P839="Yes",C839+CertValidityDays,"")</f>
        <v>0</v>
      </c>
    </row>
    <row r="840" spans="12:17">
      <c r="L840" s="2">
        <f>IFERROR(K840/J840*100,0)</f>
        <v>0</v>
      </c>
      <c r="Q840" s="7">
        <f>IF(P840="Yes",C840+CertValidityDays,"")</f>
        <v>0</v>
      </c>
    </row>
    <row r="841" spans="12:17">
      <c r="L841" s="2">
        <f>IFERROR(K841/J841*100,0)</f>
        <v>0</v>
      </c>
      <c r="Q841" s="7">
        <f>IF(P841="Yes",C841+CertValidityDays,"")</f>
        <v>0</v>
      </c>
    </row>
    <row r="842" spans="12:17">
      <c r="L842" s="2">
        <f>IFERROR(K842/J842*100,0)</f>
        <v>0</v>
      </c>
      <c r="Q842" s="7">
        <f>IF(P842="Yes",C842+CertValidityDays,"")</f>
        <v>0</v>
      </c>
    </row>
    <row r="843" spans="12:17">
      <c r="L843" s="2">
        <f>IFERROR(K843/J843*100,0)</f>
        <v>0</v>
      </c>
      <c r="Q843" s="7">
        <f>IF(P843="Yes",C843+CertValidityDays,"")</f>
        <v>0</v>
      </c>
    </row>
    <row r="844" spans="12:17">
      <c r="L844" s="2">
        <f>IFERROR(K844/J844*100,0)</f>
        <v>0</v>
      </c>
      <c r="Q844" s="7">
        <f>IF(P844="Yes",C844+CertValidityDays,"")</f>
        <v>0</v>
      </c>
    </row>
    <row r="845" spans="12:17">
      <c r="L845" s="2">
        <f>IFERROR(K845/J845*100,0)</f>
        <v>0</v>
      </c>
      <c r="Q845" s="7">
        <f>IF(P845="Yes",C845+CertValidityDays,"")</f>
        <v>0</v>
      </c>
    </row>
    <row r="846" spans="12:17">
      <c r="L846" s="2">
        <f>IFERROR(K846/J846*100,0)</f>
        <v>0</v>
      </c>
      <c r="Q846" s="7">
        <f>IF(P846="Yes",C846+CertValidityDays,"")</f>
        <v>0</v>
      </c>
    </row>
    <row r="847" spans="12:17">
      <c r="L847" s="2">
        <f>IFERROR(K847/J847*100,0)</f>
        <v>0</v>
      </c>
      <c r="Q847" s="7">
        <f>IF(P847="Yes",C847+CertValidityDays,"")</f>
        <v>0</v>
      </c>
    </row>
    <row r="848" spans="12:17">
      <c r="L848" s="2">
        <f>IFERROR(K848/J848*100,0)</f>
        <v>0</v>
      </c>
      <c r="Q848" s="7">
        <f>IF(P848="Yes",C848+CertValidityDays,"")</f>
        <v>0</v>
      </c>
    </row>
    <row r="849" spans="12:17">
      <c r="L849" s="2">
        <f>IFERROR(K849/J849*100,0)</f>
        <v>0</v>
      </c>
      <c r="Q849" s="7">
        <f>IF(P849="Yes",C849+CertValidityDays,"")</f>
        <v>0</v>
      </c>
    </row>
    <row r="850" spans="12:17">
      <c r="L850" s="2">
        <f>IFERROR(K850/J850*100,0)</f>
        <v>0</v>
      </c>
      <c r="Q850" s="7">
        <f>IF(P850="Yes",C850+CertValidityDays,"")</f>
        <v>0</v>
      </c>
    </row>
    <row r="851" spans="12:17">
      <c r="L851" s="2">
        <f>IFERROR(K851/J851*100,0)</f>
        <v>0</v>
      </c>
      <c r="Q851" s="7">
        <f>IF(P851="Yes",C851+CertValidityDays,"")</f>
        <v>0</v>
      </c>
    </row>
    <row r="852" spans="12:17">
      <c r="L852" s="2">
        <f>IFERROR(K852/J852*100,0)</f>
        <v>0</v>
      </c>
      <c r="Q852" s="7">
        <f>IF(P852="Yes",C852+CertValidityDays,"")</f>
        <v>0</v>
      </c>
    </row>
    <row r="853" spans="12:17">
      <c r="L853" s="2">
        <f>IFERROR(K853/J853*100,0)</f>
        <v>0</v>
      </c>
      <c r="Q853" s="7">
        <f>IF(P853="Yes",C853+CertValidityDays,"")</f>
        <v>0</v>
      </c>
    </row>
    <row r="854" spans="12:17">
      <c r="L854" s="2">
        <f>IFERROR(K854/J854*100,0)</f>
        <v>0</v>
      </c>
      <c r="Q854" s="7">
        <f>IF(P854="Yes",C854+CertValidityDays,"")</f>
        <v>0</v>
      </c>
    </row>
    <row r="855" spans="12:17">
      <c r="L855" s="2">
        <f>IFERROR(K855/J855*100,0)</f>
        <v>0</v>
      </c>
      <c r="Q855" s="7">
        <f>IF(P855="Yes",C855+CertValidityDays,"")</f>
        <v>0</v>
      </c>
    </row>
    <row r="856" spans="12:17">
      <c r="L856" s="2">
        <f>IFERROR(K856/J856*100,0)</f>
        <v>0</v>
      </c>
      <c r="Q856" s="7">
        <f>IF(P856="Yes",C856+CertValidityDays,"")</f>
        <v>0</v>
      </c>
    </row>
    <row r="857" spans="12:17">
      <c r="L857" s="2">
        <f>IFERROR(K857/J857*100,0)</f>
        <v>0</v>
      </c>
      <c r="Q857" s="7">
        <f>IF(P857="Yes",C857+CertValidityDays,"")</f>
        <v>0</v>
      </c>
    </row>
    <row r="858" spans="12:17">
      <c r="L858" s="2">
        <f>IFERROR(K858/J858*100,0)</f>
        <v>0</v>
      </c>
      <c r="Q858" s="7">
        <f>IF(P858="Yes",C858+CertValidityDays,"")</f>
        <v>0</v>
      </c>
    </row>
    <row r="859" spans="12:17">
      <c r="L859" s="2">
        <f>IFERROR(K859/J859*100,0)</f>
        <v>0</v>
      </c>
      <c r="Q859" s="7">
        <f>IF(P859="Yes",C859+CertValidityDays,"")</f>
        <v>0</v>
      </c>
    </row>
    <row r="860" spans="12:17">
      <c r="L860" s="2">
        <f>IFERROR(K860/J860*100,0)</f>
        <v>0</v>
      </c>
      <c r="Q860" s="7">
        <f>IF(P860="Yes",C860+CertValidityDays,"")</f>
        <v>0</v>
      </c>
    </row>
    <row r="861" spans="12:17">
      <c r="L861" s="2">
        <f>IFERROR(K861/J861*100,0)</f>
        <v>0</v>
      </c>
      <c r="Q861" s="7">
        <f>IF(P861="Yes",C861+CertValidityDays,"")</f>
        <v>0</v>
      </c>
    </row>
    <row r="862" spans="12:17">
      <c r="L862" s="2">
        <f>IFERROR(K862/J862*100,0)</f>
        <v>0</v>
      </c>
      <c r="Q862" s="7">
        <f>IF(P862="Yes",C862+CertValidityDays,"")</f>
        <v>0</v>
      </c>
    </row>
    <row r="863" spans="12:17">
      <c r="L863" s="2">
        <f>IFERROR(K863/J863*100,0)</f>
        <v>0</v>
      </c>
      <c r="Q863" s="7">
        <f>IF(P863="Yes",C863+CertValidityDays,"")</f>
        <v>0</v>
      </c>
    </row>
    <row r="864" spans="12:17">
      <c r="L864" s="2">
        <f>IFERROR(K864/J864*100,0)</f>
        <v>0</v>
      </c>
      <c r="Q864" s="7">
        <f>IF(P864="Yes",C864+CertValidityDays,"")</f>
        <v>0</v>
      </c>
    </row>
    <row r="865" spans="12:17">
      <c r="L865" s="2">
        <f>IFERROR(K865/J865*100,0)</f>
        <v>0</v>
      </c>
      <c r="Q865" s="7">
        <f>IF(P865="Yes",C865+CertValidityDays,"")</f>
        <v>0</v>
      </c>
    </row>
    <row r="866" spans="12:17">
      <c r="L866" s="2">
        <f>IFERROR(K866/J866*100,0)</f>
        <v>0</v>
      </c>
      <c r="Q866" s="7">
        <f>IF(P866="Yes",C866+CertValidityDays,"")</f>
        <v>0</v>
      </c>
    </row>
    <row r="867" spans="12:17">
      <c r="L867" s="2">
        <f>IFERROR(K867/J867*100,0)</f>
        <v>0</v>
      </c>
      <c r="Q867" s="7">
        <f>IF(P867="Yes",C867+CertValidityDays,"")</f>
        <v>0</v>
      </c>
    </row>
    <row r="868" spans="12:17">
      <c r="L868" s="2">
        <f>IFERROR(K868/J868*100,0)</f>
        <v>0</v>
      </c>
      <c r="Q868" s="7">
        <f>IF(P868="Yes",C868+CertValidityDays,"")</f>
        <v>0</v>
      </c>
    </row>
    <row r="869" spans="12:17">
      <c r="L869" s="2">
        <f>IFERROR(K869/J869*100,0)</f>
        <v>0</v>
      </c>
      <c r="Q869" s="7">
        <f>IF(P869="Yes",C869+CertValidityDays,"")</f>
        <v>0</v>
      </c>
    </row>
    <row r="870" spans="12:17">
      <c r="L870" s="2">
        <f>IFERROR(K870/J870*100,0)</f>
        <v>0</v>
      </c>
      <c r="Q870" s="7">
        <f>IF(P870="Yes",C870+CertValidityDays,"")</f>
        <v>0</v>
      </c>
    </row>
    <row r="871" spans="12:17">
      <c r="L871" s="2">
        <f>IFERROR(K871/J871*100,0)</f>
        <v>0</v>
      </c>
      <c r="Q871" s="7">
        <f>IF(P871="Yes",C871+CertValidityDays,"")</f>
        <v>0</v>
      </c>
    </row>
    <row r="872" spans="12:17">
      <c r="L872" s="2">
        <f>IFERROR(K872/J872*100,0)</f>
        <v>0</v>
      </c>
      <c r="Q872" s="7">
        <f>IF(P872="Yes",C872+CertValidityDays,"")</f>
        <v>0</v>
      </c>
    </row>
    <row r="873" spans="12:17">
      <c r="L873" s="2">
        <f>IFERROR(K873/J873*100,0)</f>
        <v>0</v>
      </c>
      <c r="Q873" s="7">
        <f>IF(P873="Yes",C873+CertValidityDays,"")</f>
        <v>0</v>
      </c>
    </row>
    <row r="874" spans="12:17">
      <c r="L874" s="2">
        <f>IFERROR(K874/J874*100,0)</f>
        <v>0</v>
      </c>
      <c r="Q874" s="7">
        <f>IF(P874="Yes",C874+CertValidityDays,"")</f>
        <v>0</v>
      </c>
    </row>
    <row r="875" spans="12:17">
      <c r="L875" s="2">
        <f>IFERROR(K875/J875*100,0)</f>
        <v>0</v>
      </c>
      <c r="Q875" s="7">
        <f>IF(P875="Yes",C875+CertValidityDays,"")</f>
        <v>0</v>
      </c>
    </row>
    <row r="876" spans="12:17">
      <c r="L876" s="2">
        <f>IFERROR(K876/J876*100,0)</f>
        <v>0</v>
      </c>
      <c r="Q876" s="7">
        <f>IF(P876="Yes",C876+CertValidityDays,"")</f>
        <v>0</v>
      </c>
    </row>
    <row r="877" spans="12:17">
      <c r="L877" s="2">
        <f>IFERROR(K877/J877*100,0)</f>
        <v>0</v>
      </c>
      <c r="Q877" s="7">
        <f>IF(P877="Yes",C877+CertValidityDays,"")</f>
        <v>0</v>
      </c>
    </row>
    <row r="878" spans="12:17">
      <c r="L878" s="2">
        <f>IFERROR(K878/J878*100,0)</f>
        <v>0</v>
      </c>
      <c r="Q878" s="7">
        <f>IF(P878="Yes",C878+CertValidityDays,"")</f>
        <v>0</v>
      </c>
    </row>
    <row r="879" spans="12:17">
      <c r="L879" s="2">
        <f>IFERROR(K879/J879*100,0)</f>
        <v>0</v>
      </c>
      <c r="Q879" s="7">
        <f>IF(P879="Yes",C879+CertValidityDays,"")</f>
        <v>0</v>
      </c>
    </row>
    <row r="880" spans="12:17">
      <c r="L880" s="2">
        <f>IFERROR(K880/J880*100,0)</f>
        <v>0</v>
      </c>
      <c r="Q880" s="7">
        <f>IF(P880="Yes",C880+CertValidityDays,"")</f>
        <v>0</v>
      </c>
    </row>
    <row r="881" spans="12:17">
      <c r="L881" s="2">
        <f>IFERROR(K881/J881*100,0)</f>
        <v>0</v>
      </c>
      <c r="Q881" s="7">
        <f>IF(P881="Yes",C881+CertValidityDays,"")</f>
        <v>0</v>
      </c>
    </row>
    <row r="882" spans="12:17">
      <c r="L882" s="2">
        <f>IFERROR(K882/J882*100,0)</f>
        <v>0</v>
      </c>
      <c r="Q882" s="7">
        <f>IF(P882="Yes",C882+CertValidityDays,"")</f>
        <v>0</v>
      </c>
    </row>
    <row r="883" spans="12:17">
      <c r="L883" s="2">
        <f>IFERROR(K883/J883*100,0)</f>
        <v>0</v>
      </c>
      <c r="Q883" s="7">
        <f>IF(P883="Yes",C883+CertValidityDays,"")</f>
        <v>0</v>
      </c>
    </row>
    <row r="884" spans="12:17">
      <c r="L884" s="2">
        <f>IFERROR(K884/J884*100,0)</f>
        <v>0</v>
      </c>
      <c r="Q884" s="7">
        <f>IF(P884="Yes",C884+CertValidityDays,"")</f>
        <v>0</v>
      </c>
    </row>
    <row r="885" spans="12:17">
      <c r="L885" s="2">
        <f>IFERROR(K885/J885*100,0)</f>
        <v>0</v>
      </c>
      <c r="Q885" s="7">
        <f>IF(P885="Yes",C885+CertValidityDays,"")</f>
        <v>0</v>
      </c>
    </row>
    <row r="886" spans="12:17">
      <c r="L886" s="2">
        <f>IFERROR(K886/J886*100,0)</f>
        <v>0</v>
      </c>
      <c r="Q886" s="7">
        <f>IF(P886="Yes",C886+CertValidityDays,"")</f>
        <v>0</v>
      </c>
    </row>
    <row r="887" spans="12:17">
      <c r="L887" s="2">
        <f>IFERROR(K887/J887*100,0)</f>
        <v>0</v>
      </c>
      <c r="Q887" s="7">
        <f>IF(P887="Yes",C887+CertValidityDays,"")</f>
        <v>0</v>
      </c>
    </row>
    <row r="888" spans="12:17">
      <c r="L888" s="2">
        <f>IFERROR(K888/J888*100,0)</f>
        <v>0</v>
      </c>
      <c r="Q888" s="7">
        <f>IF(P888="Yes",C888+CertValidityDays,"")</f>
        <v>0</v>
      </c>
    </row>
    <row r="889" spans="12:17">
      <c r="L889" s="2">
        <f>IFERROR(K889/J889*100,0)</f>
        <v>0</v>
      </c>
      <c r="Q889" s="7">
        <f>IF(P889="Yes",C889+CertValidityDays,"")</f>
        <v>0</v>
      </c>
    </row>
    <row r="890" spans="12:17">
      <c r="L890" s="2">
        <f>IFERROR(K890/J890*100,0)</f>
        <v>0</v>
      </c>
      <c r="Q890" s="7">
        <f>IF(P890="Yes",C890+CertValidityDays,"")</f>
        <v>0</v>
      </c>
    </row>
    <row r="891" spans="12:17">
      <c r="L891" s="2">
        <f>IFERROR(K891/J891*100,0)</f>
        <v>0</v>
      </c>
      <c r="Q891" s="7">
        <f>IF(P891="Yes",C891+CertValidityDays,"")</f>
        <v>0</v>
      </c>
    </row>
    <row r="892" spans="12:17">
      <c r="L892" s="2">
        <f>IFERROR(K892/J892*100,0)</f>
        <v>0</v>
      </c>
      <c r="Q892" s="7">
        <f>IF(P892="Yes",C892+CertValidityDays,"")</f>
        <v>0</v>
      </c>
    </row>
    <row r="893" spans="12:17">
      <c r="L893" s="2">
        <f>IFERROR(K893/J893*100,0)</f>
        <v>0</v>
      </c>
      <c r="Q893" s="7">
        <f>IF(P893="Yes",C893+CertValidityDays,"")</f>
        <v>0</v>
      </c>
    </row>
    <row r="894" spans="12:17">
      <c r="L894" s="2">
        <f>IFERROR(K894/J894*100,0)</f>
        <v>0</v>
      </c>
      <c r="Q894" s="7">
        <f>IF(P894="Yes",C894+CertValidityDays,"")</f>
        <v>0</v>
      </c>
    </row>
    <row r="895" spans="12:17">
      <c r="L895" s="2">
        <f>IFERROR(K895/J895*100,0)</f>
        <v>0</v>
      </c>
      <c r="Q895" s="7">
        <f>IF(P895="Yes",C895+CertValidityDays,"")</f>
        <v>0</v>
      </c>
    </row>
    <row r="896" spans="12:17">
      <c r="L896" s="2">
        <f>IFERROR(K896/J896*100,0)</f>
        <v>0</v>
      </c>
      <c r="Q896" s="7">
        <f>IF(P896="Yes",C896+CertValidityDays,"")</f>
        <v>0</v>
      </c>
    </row>
    <row r="897" spans="12:17">
      <c r="L897" s="2">
        <f>IFERROR(K897/J897*100,0)</f>
        <v>0</v>
      </c>
      <c r="Q897" s="7">
        <f>IF(P897="Yes",C897+CertValidityDays,"")</f>
        <v>0</v>
      </c>
    </row>
    <row r="898" spans="12:17">
      <c r="L898" s="2">
        <f>IFERROR(K898/J898*100,0)</f>
        <v>0</v>
      </c>
      <c r="Q898" s="7">
        <f>IF(P898="Yes",C898+CertValidityDays,"")</f>
        <v>0</v>
      </c>
    </row>
    <row r="899" spans="12:17">
      <c r="L899" s="2">
        <f>IFERROR(K899/J899*100,0)</f>
        <v>0</v>
      </c>
      <c r="Q899" s="7">
        <f>IF(P899="Yes",C899+CertValidityDays,"")</f>
        <v>0</v>
      </c>
    </row>
    <row r="900" spans="12:17">
      <c r="L900" s="2">
        <f>IFERROR(K900/J900*100,0)</f>
        <v>0</v>
      </c>
      <c r="Q900" s="7">
        <f>IF(P900="Yes",C900+CertValidityDays,"")</f>
        <v>0</v>
      </c>
    </row>
    <row r="901" spans="12:17">
      <c r="L901" s="2">
        <f>IFERROR(K901/J901*100,0)</f>
        <v>0</v>
      </c>
      <c r="Q901" s="7">
        <f>IF(P901="Yes",C901+CertValidityDays,"")</f>
        <v>0</v>
      </c>
    </row>
    <row r="902" spans="12:17">
      <c r="L902" s="2">
        <f>IFERROR(K902/J902*100,0)</f>
        <v>0</v>
      </c>
      <c r="Q902" s="7">
        <f>IF(P902="Yes",C902+CertValidityDays,"")</f>
        <v>0</v>
      </c>
    </row>
    <row r="903" spans="12:17">
      <c r="L903" s="2">
        <f>IFERROR(K903/J903*100,0)</f>
        <v>0</v>
      </c>
      <c r="Q903" s="7">
        <f>IF(P903="Yes",C903+CertValidityDays,"")</f>
        <v>0</v>
      </c>
    </row>
    <row r="904" spans="12:17">
      <c r="L904" s="2">
        <f>IFERROR(K904/J904*100,0)</f>
        <v>0</v>
      </c>
      <c r="Q904" s="7">
        <f>IF(P904="Yes",C904+CertValidityDays,"")</f>
        <v>0</v>
      </c>
    </row>
    <row r="905" spans="12:17">
      <c r="L905" s="2">
        <f>IFERROR(K905/J905*100,0)</f>
        <v>0</v>
      </c>
      <c r="Q905" s="7">
        <f>IF(P905="Yes",C905+CertValidityDays,"")</f>
        <v>0</v>
      </c>
    </row>
    <row r="906" spans="12:17">
      <c r="L906" s="2">
        <f>IFERROR(K906/J906*100,0)</f>
        <v>0</v>
      </c>
      <c r="Q906" s="7">
        <f>IF(P906="Yes",C906+CertValidityDays,"")</f>
        <v>0</v>
      </c>
    </row>
    <row r="907" spans="12:17">
      <c r="L907" s="2">
        <f>IFERROR(K907/J907*100,0)</f>
        <v>0</v>
      </c>
      <c r="Q907" s="7">
        <f>IF(P907="Yes",C907+CertValidityDays,"")</f>
        <v>0</v>
      </c>
    </row>
    <row r="908" spans="12:17">
      <c r="L908" s="2">
        <f>IFERROR(K908/J908*100,0)</f>
        <v>0</v>
      </c>
      <c r="Q908" s="7">
        <f>IF(P908="Yes",C908+CertValidityDays,"")</f>
        <v>0</v>
      </c>
    </row>
    <row r="909" spans="12:17">
      <c r="L909" s="2">
        <f>IFERROR(K909/J909*100,0)</f>
        <v>0</v>
      </c>
      <c r="Q909" s="7">
        <f>IF(P909="Yes",C909+CertValidityDays,"")</f>
        <v>0</v>
      </c>
    </row>
    <row r="910" spans="12:17">
      <c r="L910" s="2">
        <f>IFERROR(K910/J910*100,0)</f>
        <v>0</v>
      </c>
      <c r="Q910" s="7">
        <f>IF(P910="Yes",C910+CertValidityDays,"")</f>
        <v>0</v>
      </c>
    </row>
    <row r="911" spans="12:17">
      <c r="L911" s="2">
        <f>IFERROR(K911/J911*100,0)</f>
        <v>0</v>
      </c>
      <c r="Q911" s="7">
        <f>IF(P911="Yes",C911+CertValidityDays,"")</f>
        <v>0</v>
      </c>
    </row>
    <row r="912" spans="12:17">
      <c r="L912" s="2">
        <f>IFERROR(K912/J912*100,0)</f>
        <v>0</v>
      </c>
      <c r="Q912" s="7">
        <f>IF(P912="Yes",C912+CertValidityDays,"")</f>
        <v>0</v>
      </c>
    </row>
    <row r="913" spans="12:17">
      <c r="L913" s="2">
        <f>IFERROR(K913/J913*100,0)</f>
        <v>0</v>
      </c>
      <c r="Q913" s="7">
        <f>IF(P913="Yes",C913+CertValidityDays,"")</f>
        <v>0</v>
      </c>
    </row>
    <row r="914" spans="12:17">
      <c r="L914" s="2">
        <f>IFERROR(K914/J914*100,0)</f>
        <v>0</v>
      </c>
      <c r="Q914" s="7">
        <f>IF(P914="Yes",C914+CertValidityDays,"")</f>
        <v>0</v>
      </c>
    </row>
    <row r="915" spans="12:17">
      <c r="L915" s="2">
        <f>IFERROR(K915/J915*100,0)</f>
        <v>0</v>
      </c>
      <c r="Q915" s="7">
        <f>IF(P915="Yes",C915+CertValidityDays,"")</f>
        <v>0</v>
      </c>
    </row>
    <row r="916" spans="12:17">
      <c r="L916" s="2">
        <f>IFERROR(K916/J916*100,0)</f>
        <v>0</v>
      </c>
      <c r="Q916" s="7">
        <f>IF(P916="Yes",C916+CertValidityDays,"")</f>
        <v>0</v>
      </c>
    </row>
    <row r="917" spans="12:17">
      <c r="L917" s="2">
        <f>IFERROR(K917/J917*100,0)</f>
        <v>0</v>
      </c>
      <c r="Q917" s="7">
        <f>IF(P917="Yes",C917+CertValidityDays,"")</f>
        <v>0</v>
      </c>
    </row>
    <row r="918" spans="12:17">
      <c r="L918" s="2">
        <f>IFERROR(K918/J918*100,0)</f>
        <v>0</v>
      </c>
      <c r="Q918" s="7">
        <f>IF(P918="Yes",C918+CertValidityDays,"")</f>
        <v>0</v>
      </c>
    </row>
    <row r="919" spans="12:17">
      <c r="L919" s="2">
        <f>IFERROR(K919/J919*100,0)</f>
        <v>0</v>
      </c>
      <c r="Q919" s="7">
        <f>IF(P919="Yes",C919+CertValidityDays,"")</f>
        <v>0</v>
      </c>
    </row>
    <row r="920" spans="12:17">
      <c r="L920" s="2">
        <f>IFERROR(K920/J920*100,0)</f>
        <v>0</v>
      </c>
      <c r="Q920" s="7">
        <f>IF(P920="Yes",C920+CertValidityDays,"")</f>
        <v>0</v>
      </c>
    </row>
    <row r="921" spans="12:17">
      <c r="L921" s="2">
        <f>IFERROR(K921/J921*100,0)</f>
        <v>0</v>
      </c>
      <c r="Q921" s="7">
        <f>IF(P921="Yes",C921+CertValidityDays,"")</f>
        <v>0</v>
      </c>
    </row>
    <row r="922" spans="12:17">
      <c r="L922" s="2">
        <f>IFERROR(K922/J922*100,0)</f>
        <v>0</v>
      </c>
      <c r="Q922" s="7">
        <f>IF(P922="Yes",C922+CertValidityDays,"")</f>
        <v>0</v>
      </c>
    </row>
    <row r="923" spans="12:17">
      <c r="L923" s="2">
        <f>IFERROR(K923/J923*100,0)</f>
        <v>0</v>
      </c>
      <c r="Q923" s="7">
        <f>IF(P923="Yes",C923+CertValidityDays,"")</f>
        <v>0</v>
      </c>
    </row>
    <row r="924" spans="12:17">
      <c r="L924" s="2">
        <f>IFERROR(K924/J924*100,0)</f>
        <v>0</v>
      </c>
      <c r="Q924" s="7">
        <f>IF(P924="Yes",C924+CertValidityDays,"")</f>
        <v>0</v>
      </c>
    </row>
    <row r="925" spans="12:17">
      <c r="L925" s="2">
        <f>IFERROR(K925/J925*100,0)</f>
        <v>0</v>
      </c>
      <c r="Q925" s="7">
        <f>IF(P925="Yes",C925+CertValidityDays,"")</f>
        <v>0</v>
      </c>
    </row>
    <row r="926" spans="12:17">
      <c r="L926" s="2">
        <f>IFERROR(K926/J926*100,0)</f>
        <v>0</v>
      </c>
      <c r="Q926" s="7">
        <f>IF(P926="Yes",C926+CertValidityDays,"")</f>
        <v>0</v>
      </c>
    </row>
    <row r="927" spans="12:17">
      <c r="L927" s="2">
        <f>IFERROR(K927/J927*100,0)</f>
        <v>0</v>
      </c>
      <c r="Q927" s="7">
        <f>IF(P927="Yes",C927+CertValidityDays,"")</f>
        <v>0</v>
      </c>
    </row>
    <row r="928" spans="12:17">
      <c r="L928" s="2">
        <f>IFERROR(K928/J928*100,0)</f>
        <v>0</v>
      </c>
      <c r="Q928" s="7">
        <f>IF(P928="Yes",C928+CertValidityDays,"")</f>
        <v>0</v>
      </c>
    </row>
    <row r="929" spans="12:17">
      <c r="L929" s="2">
        <f>IFERROR(K929/J929*100,0)</f>
        <v>0</v>
      </c>
      <c r="Q929" s="7">
        <f>IF(P929="Yes",C929+CertValidityDays,"")</f>
        <v>0</v>
      </c>
    </row>
    <row r="930" spans="12:17">
      <c r="L930" s="2">
        <f>IFERROR(K930/J930*100,0)</f>
        <v>0</v>
      </c>
      <c r="Q930" s="7">
        <f>IF(P930="Yes",C930+CertValidityDays,"")</f>
        <v>0</v>
      </c>
    </row>
    <row r="931" spans="12:17">
      <c r="L931" s="2">
        <f>IFERROR(K931/J931*100,0)</f>
        <v>0</v>
      </c>
      <c r="Q931" s="7">
        <f>IF(P931="Yes",C931+CertValidityDays,"")</f>
        <v>0</v>
      </c>
    </row>
    <row r="932" spans="12:17">
      <c r="L932" s="2">
        <f>IFERROR(K932/J932*100,0)</f>
        <v>0</v>
      </c>
      <c r="Q932" s="7">
        <f>IF(P932="Yes",C932+CertValidityDays,"")</f>
        <v>0</v>
      </c>
    </row>
    <row r="933" spans="12:17">
      <c r="L933" s="2">
        <f>IFERROR(K933/J933*100,0)</f>
        <v>0</v>
      </c>
      <c r="Q933" s="7">
        <f>IF(P933="Yes",C933+CertValidityDays,"")</f>
        <v>0</v>
      </c>
    </row>
    <row r="934" spans="12:17">
      <c r="L934" s="2">
        <f>IFERROR(K934/J934*100,0)</f>
        <v>0</v>
      </c>
      <c r="Q934" s="7">
        <f>IF(P934="Yes",C934+CertValidityDays,"")</f>
        <v>0</v>
      </c>
    </row>
    <row r="935" spans="12:17">
      <c r="L935" s="2">
        <f>IFERROR(K935/J935*100,0)</f>
        <v>0</v>
      </c>
      <c r="Q935" s="7">
        <f>IF(P935="Yes",C935+CertValidityDays,"")</f>
        <v>0</v>
      </c>
    </row>
    <row r="936" spans="12:17">
      <c r="L936" s="2">
        <f>IFERROR(K936/J936*100,0)</f>
        <v>0</v>
      </c>
      <c r="Q936" s="7">
        <f>IF(P936="Yes",C936+CertValidityDays,"")</f>
        <v>0</v>
      </c>
    </row>
    <row r="937" spans="12:17">
      <c r="L937" s="2">
        <f>IFERROR(K937/J937*100,0)</f>
        <v>0</v>
      </c>
      <c r="Q937" s="7">
        <f>IF(P937="Yes",C937+CertValidityDays,"")</f>
        <v>0</v>
      </c>
    </row>
    <row r="938" spans="12:17">
      <c r="L938" s="2">
        <f>IFERROR(K938/J938*100,0)</f>
        <v>0</v>
      </c>
      <c r="Q938" s="7">
        <f>IF(P938="Yes",C938+CertValidityDays,"")</f>
        <v>0</v>
      </c>
    </row>
    <row r="939" spans="12:17">
      <c r="L939" s="2">
        <f>IFERROR(K939/J939*100,0)</f>
        <v>0</v>
      </c>
      <c r="Q939" s="7">
        <f>IF(P939="Yes",C939+CertValidityDays,"")</f>
        <v>0</v>
      </c>
    </row>
    <row r="940" spans="12:17">
      <c r="L940" s="2">
        <f>IFERROR(K940/J940*100,0)</f>
        <v>0</v>
      </c>
      <c r="Q940" s="7">
        <f>IF(P940="Yes",C940+CertValidityDays,"")</f>
        <v>0</v>
      </c>
    </row>
    <row r="941" spans="12:17">
      <c r="L941" s="2">
        <f>IFERROR(K941/J941*100,0)</f>
        <v>0</v>
      </c>
      <c r="Q941" s="7">
        <f>IF(P941="Yes",C941+CertValidityDays,"")</f>
        <v>0</v>
      </c>
    </row>
    <row r="942" spans="12:17">
      <c r="L942" s="2">
        <f>IFERROR(K942/J942*100,0)</f>
        <v>0</v>
      </c>
      <c r="Q942" s="7">
        <f>IF(P942="Yes",C942+CertValidityDays,"")</f>
        <v>0</v>
      </c>
    </row>
    <row r="943" spans="12:17">
      <c r="L943" s="2">
        <f>IFERROR(K943/J943*100,0)</f>
        <v>0</v>
      </c>
      <c r="Q943" s="7">
        <f>IF(P943="Yes",C943+CertValidityDays,"")</f>
        <v>0</v>
      </c>
    </row>
    <row r="944" spans="12:17">
      <c r="L944" s="2">
        <f>IFERROR(K944/J944*100,0)</f>
        <v>0</v>
      </c>
      <c r="Q944" s="7">
        <f>IF(P944="Yes",C944+CertValidityDays,"")</f>
        <v>0</v>
      </c>
    </row>
    <row r="945" spans="12:17">
      <c r="L945" s="2">
        <f>IFERROR(K945/J945*100,0)</f>
        <v>0</v>
      </c>
      <c r="Q945" s="7">
        <f>IF(P945="Yes",C945+CertValidityDays,"")</f>
        <v>0</v>
      </c>
    </row>
    <row r="946" spans="12:17">
      <c r="L946" s="2">
        <f>IFERROR(K946/J946*100,0)</f>
        <v>0</v>
      </c>
      <c r="Q946" s="7">
        <f>IF(P946="Yes",C946+CertValidityDays,"")</f>
        <v>0</v>
      </c>
    </row>
    <row r="947" spans="12:17">
      <c r="L947" s="2">
        <f>IFERROR(K947/J947*100,0)</f>
        <v>0</v>
      </c>
      <c r="Q947" s="7">
        <f>IF(P947="Yes",C947+CertValidityDays,"")</f>
        <v>0</v>
      </c>
    </row>
    <row r="948" spans="12:17">
      <c r="L948" s="2">
        <f>IFERROR(K948/J948*100,0)</f>
        <v>0</v>
      </c>
      <c r="Q948" s="7">
        <f>IF(P948="Yes",C948+CertValidityDays,"")</f>
        <v>0</v>
      </c>
    </row>
    <row r="949" spans="12:17">
      <c r="L949" s="2">
        <f>IFERROR(K949/J949*100,0)</f>
        <v>0</v>
      </c>
      <c r="Q949" s="7">
        <f>IF(P949="Yes",C949+CertValidityDays,"")</f>
        <v>0</v>
      </c>
    </row>
    <row r="950" spans="12:17">
      <c r="L950" s="2">
        <f>IFERROR(K950/J950*100,0)</f>
        <v>0</v>
      </c>
      <c r="Q950" s="7">
        <f>IF(P950="Yes",C950+CertValidityDays,"")</f>
        <v>0</v>
      </c>
    </row>
    <row r="951" spans="12:17">
      <c r="L951" s="2">
        <f>IFERROR(K951/J951*100,0)</f>
        <v>0</v>
      </c>
      <c r="Q951" s="7">
        <f>IF(P951="Yes",C951+CertValidityDays,"")</f>
        <v>0</v>
      </c>
    </row>
    <row r="952" spans="12:17">
      <c r="L952" s="2">
        <f>IFERROR(K952/J952*100,0)</f>
        <v>0</v>
      </c>
      <c r="Q952" s="7">
        <f>IF(P952="Yes",C952+CertValidityDays,"")</f>
        <v>0</v>
      </c>
    </row>
    <row r="953" spans="12:17">
      <c r="L953" s="2">
        <f>IFERROR(K953/J953*100,0)</f>
        <v>0</v>
      </c>
      <c r="Q953" s="7">
        <f>IF(P953="Yes",C953+CertValidityDays,"")</f>
        <v>0</v>
      </c>
    </row>
    <row r="954" spans="12:17">
      <c r="L954" s="2">
        <f>IFERROR(K954/J954*100,0)</f>
        <v>0</v>
      </c>
      <c r="Q954" s="7">
        <f>IF(P954="Yes",C954+CertValidityDays,"")</f>
        <v>0</v>
      </c>
    </row>
    <row r="955" spans="12:17">
      <c r="L955" s="2">
        <f>IFERROR(K955/J955*100,0)</f>
        <v>0</v>
      </c>
      <c r="Q955" s="7">
        <f>IF(P955="Yes",C955+CertValidityDays,"")</f>
        <v>0</v>
      </c>
    </row>
    <row r="956" spans="12:17">
      <c r="L956" s="2">
        <f>IFERROR(K956/J956*100,0)</f>
        <v>0</v>
      </c>
      <c r="Q956" s="7">
        <f>IF(P956="Yes",C956+CertValidityDays,"")</f>
        <v>0</v>
      </c>
    </row>
    <row r="957" spans="12:17">
      <c r="L957" s="2">
        <f>IFERROR(K957/J957*100,0)</f>
        <v>0</v>
      </c>
      <c r="Q957" s="7">
        <f>IF(P957="Yes",C957+CertValidityDays,"")</f>
        <v>0</v>
      </c>
    </row>
    <row r="958" spans="12:17">
      <c r="L958" s="2">
        <f>IFERROR(K958/J958*100,0)</f>
        <v>0</v>
      </c>
      <c r="Q958" s="7">
        <f>IF(P958="Yes",C958+CertValidityDays,"")</f>
        <v>0</v>
      </c>
    </row>
    <row r="959" spans="12:17">
      <c r="L959" s="2">
        <f>IFERROR(K959/J959*100,0)</f>
        <v>0</v>
      </c>
      <c r="Q959" s="7">
        <f>IF(P959="Yes",C959+CertValidityDays,"")</f>
        <v>0</v>
      </c>
    </row>
    <row r="960" spans="12:17">
      <c r="L960" s="2">
        <f>IFERROR(K960/J960*100,0)</f>
        <v>0</v>
      </c>
      <c r="Q960" s="7">
        <f>IF(P960="Yes",C960+CertValidityDays,"")</f>
        <v>0</v>
      </c>
    </row>
    <row r="961" spans="12:17">
      <c r="L961" s="2">
        <f>IFERROR(K961/J961*100,0)</f>
        <v>0</v>
      </c>
      <c r="Q961" s="7">
        <f>IF(P961="Yes",C961+CertValidityDays,"")</f>
        <v>0</v>
      </c>
    </row>
    <row r="962" spans="12:17">
      <c r="L962" s="2">
        <f>IFERROR(K962/J962*100,0)</f>
        <v>0</v>
      </c>
      <c r="Q962" s="7">
        <f>IF(P962="Yes",C962+CertValidityDays,"")</f>
        <v>0</v>
      </c>
    </row>
    <row r="963" spans="12:17">
      <c r="L963" s="2">
        <f>IFERROR(K963/J963*100,0)</f>
        <v>0</v>
      </c>
      <c r="Q963" s="7">
        <f>IF(P963="Yes",C963+CertValidityDays,"")</f>
        <v>0</v>
      </c>
    </row>
    <row r="964" spans="12:17">
      <c r="L964" s="2">
        <f>IFERROR(K964/J964*100,0)</f>
        <v>0</v>
      </c>
      <c r="Q964" s="7">
        <f>IF(P964="Yes",C964+CertValidityDays,"")</f>
        <v>0</v>
      </c>
    </row>
    <row r="965" spans="12:17">
      <c r="L965" s="2">
        <f>IFERROR(K965/J965*100,0)</f>
        <v>0</v>
      </c>
      <c r="Q965" s="7">
        <f>IF(P965="Yes",C965+CertValidityDays,"")</f>
        <v>0</v>
      </c>
    </row>
    <row r="966" spans="12:17">
      <c r="L966" s="2">
        <f>IFERROR(K966/J966*100,0)</f>
        <v>0</v>
      </c>
      <c r="Q966" s="7">
        <f>IF(P966="Yes",C966+CertValidityDays,"")</f>
        <v>0</v>
      </c>
    </row>
    <row r="967" spans="12:17">
      <c r="L967" s="2">
        <f>IFERROR(K967/J967*100,0)</f>
        <v>0</v>
      </c>
      <c r="Q967" s="7">
        <f>IF(P967="Yes",C967+CertValidityDays,"")</f>
        <v>0</v>
      </c>
    </row>
    <row r="968" spans="12:17">
      <c r="L968" s="2">
        <f>IFERROR(K968/J968*100,0)</f>
        <v>0</v>
      </c>
      <c r="Q968" s="7">
        <f>IF(P968="Yes",C968+CertValidityDays,"")</f>
        <v>0</v>
      </c>
    </row>
    <row r="969" spans="12:17">
      <c r="L969" s="2">
        <f>IFERROR(K969/J969*100,0)</f>
        <v>0</v>
      </c>
      <c r="Q969" s="7">
        <f>IF(P969="Yes",C969+CertValidityDays,"")</f>
        <v>0</v>
      </c>
    </row>
    <row r="970" spans="12:17">
      <c r="L970" s="2">
        <f>IFERROR(K970/J970*100,0)</f>
        <v>0</v>
      </c>
      <c r="Q970" s="7">
        <f>IF(P970="Yes",C970+CertValidityDays,"")</f>
        <v>0</v>
      </c>
    </row>
    <row r="971" spans="12:17">
      <c r="L971" s="2">
        <f>IFERROR(K971/J971*100,0)</f>
        <v>0</v>
      </c>
      <c r="Q971" s="7">
        <f>IF(P971="Yes",C971+CertValidityDays,"")</f>
        <v>0</v>
      </c>
    </row>
    <row r="972" spans="12:17">
      <c r="L972" s="2">
        <f>IFERROR(K972/J972*100,0)</f>
        <v>0</v>
      </c>
      <c r="Q972" s="7">
        <f>IF(P972="Yes",C972+CertValidityDays,"")</f>
        <v>0</v>
      </c>
    </row>
    <row r="973" spans="12:17">
      <c r="L973" s="2">
        <f>IFERROR(K973/J973*100,0)</f>
        <v>0</v>
      </c>
      <c r="Q973" s="7">
        <f>IF(P973="Yes",C973+CertValidityDays,"")</f>
        <v>0</v>
      </c>
    </row>
    <row r="974" spans="12:17">
      <c r="L974" s="2">
        <f>IFERROR(K974/J974*100,0)</f>
        <v>0</v>
      </c>
      <c r="Q974" s="7">
        <f>IF(P974="Yes",C974+CertValidityDays,"")</f>
        <v>0</v>
      </c>
    </row>
    <row r="975" spans="12:17">
      <c r="L975" s="2">
        <f>IFERROR(K975/J975*100,0)</f>
        <v>0</v>
      </c>
      <c r="Q975" s="7">
        <f>IF(P975="Yes",C975+CertValidityDays,"")</f>
        <v>0</v>
      </c>
    </row>
    <row r="976" spans="12:17">
      <c r="L976" s="2">
        <f>IFERROR(K976/J976*100,0)</f>
        <v>0</v>
      </c>
      <c r="Q976" s="7">
        <f>IF(P976="Yes",C976+CertValidityDays,"")</f>
        <v>0</v>
      </c>
    </row>
    <row r="977" spans="12:17">
      <c r="L977" s="2">
        <f>IFERROR(K977/J977*100,0)</f>
        <v>0</v>
      </c>
      <c r="Q977" s="7">
        <f>IF(P977="Yes",C977+CertValidityDays,"")</f>
        <v>0</v>
      </c>
    </row>
    <row r="978" spans="12:17">
      <c r="L978" s="2">
        <f>IFERROR(K978/J978*100,0)</f>
        <v>0</v>
      </c>
      <c r="Q978" s="7">
        <f>IF(P978="Yes",C978+CertValidityDays,"")</f>
        <v>0</v>
      </c>
    </row>
    <row r="979" spans="12:17">
      <c r="L979" s="2">
        <f>IFERROR(K979/J979*100,0)</f>
        <v>0</v>
      </c>
      <c r="Q979" s="7">
        <f>IF(P979="Yes",C979+CertValidityDays,"")</f>
        <v>0</v>
      </c>
    </row>
    <row r="980" spans="12:17">
      <c r="L980" s="2">
        <f>IFERROR(K980/J980*100,0)</f>
        <v>0</v>
      </c>
      <c r="Q980" s="7">
        <f>IF(P980="Yes",C980+CertValidityDays,"")</f>
        <v>0</v>
      </c>
    </row>
    <row r="981" spans="12:17">
      <c r="L981" s="2">
        <f>IFERROR(K981/J981*100,0)</f>
        <v>0</v>
      </c>
      <c r="Q981" s="7">
        <f>IF(P981="Yes",C981+CertValidityDays,"")</f>
        <v>0</v>
      </c>
    </row>
    <row r="982" spans="12:17">
      <c r="L982" s="2">
        <f>IFERROR(K982/J982*100,0)</f>
        <v>0</v>
      </c>
      <c r="Q982" s="7">
        <f>IF(P982="Yes",C982+CertValidityDays,"")</f>
        <v>0</v>
      </c>
    </row>
    <row r="983" spans="12:17">
      <c r="L983" s="2">
        <f>IFERROR(K983/J983*100,0)</f>
        <v>0</v>
      </c>
      <c r="Q983" s="7">
        <f>IF(P983="Yes",C983+CertValidityDays,"")</f>
        <v>0</v>
      </c>
    </row>
    <row r="984" spans="12:17">
      <c r="L984" s="2">
        <f>IFERROR(K984/J984*100,0)</f>
        <v>0</v>
      </c>
      <c r="Q984" s="7">
        <f>IF(P984="Yes",C984+CertValidityDays,"")</f>
        <v>0</v>
      </c>
    </row>
    <row r="985" spans="12:17">
      <c r="L985" s="2">
        <f>IFERROR(K985/J985*100,0)</f>
        <v>0</v>
      </c>
      <c r="Q985" s="7">
        <f>IF(P985="Yes",C985+CertValidityDays,"")</f>
        <v>0</v>
      </c>
    </row>
    <row r="986" spans="12:17">
      <c r="L986" s="2">
        <f>IFERROR(K986/J986*100,0)</f>
        <v>0</v>
      </c>
      <c r="Q986" s="7">
        <f>IF(P986="Yes",C986+CertValidityDays,"")</f>
        <v>0</v>
      </c>
    </row>
    <row r="987" spans="12:17">
      <c r="L987" s="2">
        <f>IFERROR(K987/J987*100,0)</f>
        <v>0</v>
      </c>
      <c r="Q987" s="7">
        <f>IF(P987="Yes",C987+CertValidityDays,"")</f>
        <v>0</v>
      </c>
    </row>
    <row r="988" spans="12:17">
      <c r="L988" s="2">
        <f>IFERROR(K988/J988*100,0)</f>
        <v>0</v>
      </c>
      <c r="Q988" s="7">
        <f>IF(P988="Yes",C988+CertValidityDays,"")</f>
        <v>0</v>
      </c>
    </row>
    <row r="989" spans="12:17">
      <c r="L989" s="2">
        <f>IFERROR(K989/J989*100,0)</f>
        <v>0</v>
      </c>
      <c r="Q989" s="7">
        <f>IF(P989="Yes",C989+CertValidityDays,"")</f>
        <v>0</v>
      </c>
    </row>
    <row r="990" spans="12:17">
      <c r="L990" s="2">
        <f>IFERROR(K990/J990*100,0)</f>
        <v>0</v>
      </c>
      <c r="Q990" s="7">
        <f>IF(P990="Yes",C990+CertValidityDays,"")</f>
        <v>0</v>
      </c>
    </row>
    <row r="991" spans="12:17">
      <c r="L991" s="2">
        <f>IFERROR(K991/J991*100,0)</f>
        <v>0</v>
      </c>
      <c r="Q991" s="7">
        <f>IF(P991="Yes",C991+CertValidityDays,"")</f>
        <v>0</v>
      </c>
    </row>
    <row r="992" spans="12:17">
      <c r="L992" s="2">
        <f>IFERROR(K992/J992*100,0)</f>
        <v>0</v>
      </c>
      <c r="Q992" s="7">
        <f>IF(P992="Yes",C992+CertValidityDays,"")</f>
        <v>0</v>
      </c>
    </row>
    <row r="993" spans="12:17">
      <c r="L993" s="2">
        <f>IFERROR(K993/J993*100,0)</f>
        <v>0</v>
      </c>
      <c r="Q993" s="7">
        <f>IF(P993="Yes",C993+CertValidityDays,"")</f>
        <v>0</v>
      </c>
    </row>
    <row r="994" spans="12:17">
      <c r="L994" s="2">
        <f>IFERROR(K994/J994*100,0)</f>
        <v>0</v>
      </c>
      <c r="Q994" s="7">
        <f>IF(P994="Yes",C994+CertValidityDays,"")</f>
        <v>0</v>
      </c>
    </row>
    <row r="995" spans="12:17">
      <c r="L995" s="2">
        <f>IFERROR(K995/J995*100,0)</f>
        <v>0</v>
      </c>
      <c r="Q995" s="7">
        <f>IF(P995="Yes",C995+CertValidityDays,"")</f>
        <v>0</v>
      </c>
    </row>
    <row r="996" spans="12:17">
      <c r="L996" s="2">
        <f>IFERROR(K996/J996*100,0)</f>
        <v>0</v>
      </c>
      <c r="Q996" s="7">
        <f>IF(P996="Yes",C996+CertValidityDays,"")</f>
        <v>0</v>
      </c>
    </row>
    <row r="997" spans="12:17">
      <c r="L997" s="2">
        <f>IFERROR(K997/J997*100,0)</f>
        <v>0</v>
      </c>
      <c r="Q997" s="7">
        <f>IF(P997="Yes",C997+CertValidityDays,"")</f>
        <v>0</v>
      </c>
    </row>
    <row r="998" spans="12:17">
      <c r="L998" s="2">
        <f>IFERROR(K998/J998*100,0)</f>
        <v>0</v>
      </c>
      <c r="Q998" s="7">
        <f>IF(P998="Yes",C998+CertValidityDays,"")</f>
        <v>0</v>
      </c>
    </row>
    <row r="999" spans="12:17">
      <c r="L999" s="2">
        <f>IFERROR(K999/J999*100,0)</f>
        <v>0</v>
      </c>
      <c r="Q999" s="7">
        <f>IF(P999="Yes",C999+CertValidityDays,"")</f>
        <v>0</v>
      </c>
    </row>
    <row r="1000" spans="12:17">
      <c r="L1000" s="2">
        <f>IFERROR(K1000/J1000*100,0)</f>
        <v>0</v>
      </c>
      <c r="Q1000" s="7">
        <f>IF(P1000="Yes",C1000+CertValidityDays,"")</f>
        <v>0</v>
      </c>
    </row>
    <row r="1001" spans="12:17">
      <c r="L1001" s="2">
        <f>IFERROR(K1001/J1001*100,0)</f>
        <v>0</v>
      </c>
      <c r="Q1001" s="7">
        <f>IF(P1001="Yes",C1001+CertValidityDays,"")</f>
        <v>0</v>
      </c>
    </row>
    <row r="1002" spans="12:17">
      <c r="L1002" s="2">
        <f>IFERROR(K1002/J1002*100,0)</f>
        <v>0</v>
      </c>
      <c r="Q1002" s="7">
        <f>IF(P1002="Yes",C1002+CertValidityDays,"")</f>
        <v>0</v>
      </c>
    </row>
    <row r="1003" spans="12:17">
      <c r="L1003" s="2">
        <f>IFERROR(K1003/J1003*100,0)</f>
        <v>0</v>
      </c>
      <c r="Q1003" s="7">
        <f>IF(P1003="Yes",C1003+CertValidityDays,"")</f>
        <v>0</v>
      </c>
    </row>
  </sheetData>
  <mergeCells count="2">
    <mergeCell ref="A1:Q1"/>
    <mergeCell ref="A2:Q2"/>
  </mergeCells>
  <dataValidations count="2">
    <dataValidation type="list" allowBlank="1" showInputMessage="1" showErrorMessage="1" sqref="G4:G100003">
      <formula1>L_Dept</formula1>
    </dataValidation>
    <dataValidation type="list" allowBlank="1" showInputMessage="1" showErrorMessage="1" sqref="N4:N100003">
      <formula1>L_Status</formula1>
    </dataValidation>
  </dataValidations>
  <hyperlinks>
    <hyperlink ref="S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tabColor rgb="FF64748B"/>
    <pageSetUpPr fitToPage="1"/>
  </sheetPr>
  <dimension ref="A1:Q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4" width="9.7109375" style="1" customWidth="1"/>
    <col min="5" max="5" width="18.7109375" style="1" customWidth="1"/>
    <col min="6" max="6" width="13.7109375" style="1" customWidth="1"/>
    <col min="7" max="7" width="12.7109375" style="1" customWidth="1"/>
    <col min="8" max="8" width="10.7109375" style="1" customWidth="1"/>
    <col min="9" max="9" width="13.7109375" style="1" customWidth="1"/>
    <col min="10" max="10" width="20.7109375" style="1" customWidth="1"/>
    <col min="11" max="11" width="10.7109375" style="1" customWidth="1"/>
    <col min="12" max="12" width="12.7109375" style="1" customWidth="1"/>
    <col min="13" max="13" width="9.7109375" style="1" customWidth="1"/>
    <col min="14" max="14" width="14.7109375" style="1" customWidth="1"/>
    <col min="15" max="15" width="10.7109375" style="1" customWidth="1"/>
  </cols>
  <sheetData>
    <row r="1" spans="1:17" ht="22" customHeight="1">
      <c r="A1" s="3" t="s">
        <v>292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353</v>
      </c>
      <c r="C3" s="1" t="s">
        <v>126</v>
      </c>
      <c r="D3" s="1" t="s">
        <v>127</v>
      </c>
      <c r="E3" s="1" t="s">
        <v>354</v>
      </c>
      <c r="F3" s="1" t="s">
        <v>355</v>
      </c>
      <c r="G3" s="1" t="s">
        <v>129</v>
      </c>
      <c r="H3" s="1" t="s">
        <v>130</v>
      </c>
      <c r="I3" s="1" t="s">
        <v>356</v>
      </c>
      <c r="J3" s="1" t="s">
        <v>357</v>
      </c>
      <c r="K3" s="1" t="s">
        <v>358</v>
      </c>
      <c r="L3" s="1" t="s">
        <v>210</v>
      </c>
      <c r="M3" s="1" t="s">
        <v>288</v>
      </c>
      <c r="N3" s="1" t="s">
        <v>359</v>
      </c>
      <c r="O3" s="1" t="s">
        <v>360</v>
      </c>
    </row>
    <row r="4" spans="1:17">
      <c r="A4" s="1">
        <v>1</v>
      </c>
      <c r="B4" s="1" t="s">
        <v>293</v>
      </c>
      <c r="C4" s="5">
        <v>46030</v>
      </c>
      <c r="D4" s="1" t="s">
        <v>3</v>
      </c>
      <c r="E4" s="6" t="s">
        <v>294</v>
      </c>
      <c r="F4" s="6" t="s">
        <v>12</v>
      </c>
      <c r="G4" s="1" t="s">
        <v>46</v>
      </c>
      <c r="H4" s="1" t="s">
        <v>40</v>
      </c>
      <c r="I4" s="1" t="s">
        <v>62</v>
      </c>
      <c r="J4" s="1" t="s">
        <v>104</v>
      </c>
      <c r="K4" s="1" t="s">
        <v>47</v>
      </c>
      <c r="L4" s="1" t="s">
        <v>142</v>
      </c>
      <c r="M4" s="1" t="s">
        <v>222</v>
      </c>
      <c r="N4" s="1" t="s">
        <v>295</v>
      </c>
      <c r="O4" s="5">
        <v>46065</v>
      </c>
    </row>
    <row r="5" spans="1:17">
      <c r="A5" s="1">
        <v>2</v>
      </c>
      <c r="B5" s="1" t="s">
        <v>296</v>
      </c>
      <c r="C5" s="5">
        <v>46028</v>
      </c>
      <c r="D5" s="1" t="s">
        <v>3</v>
      </c>
      <c r="E5" s="6" t="s">
        <v>297</v>
      </c>
      <c r="F5" s="6" t="s">
        <v>49</v>
      </c>
      <c r="G5" s="1" t="s">
        <v>13</v>
      </c>
      <c r="H5" s="1" t="s">
        <v>87</v>
      </c>
      <c r="I5" s="1" t="s">
        <v>22</v>
      </c>
      <c r="J5" s="1" t="s">
        <v>28</v>
      </c>
      <c r="K5" s="1" t="s">
        <v>33</v>
      </c>
      <c r="L5" s="1" t="s">
        <v>142</v>
      </c>
      <c r="M5" s="1" t="s">
        <v>226</v>
      </c>
      <c r="N5" s="1" t="s">
        <v>298</v>
      </c>
      <c r="O5" s="5">
        <v>46072</v>
      </c>
    </row>
    <row r="6" spans="1:17">
      <c r="A6" s="1">
        <v>3</v>
      </c>
      <c r="B6" s="1" t="s">
        <v>299</v>
      </c>
      <c r="C6" s="5">
        <v>46048</v>
      </c>
      <c r="D6" s="1" t="s">
        <v>3</v>
      </c>
      <c r="E6" s="6" t="s">
        <v>294</v>
      </c>
      <c r="F6" s="6" t="s">
        <v>45</v>
      </c>
      <c r="G6" s="1" t="s">
        <v>89</v>
      </c>
      <c r="H6" s="1" t="s">
        <v>95</v>
      </c>
      <c r="I6" s="1" t="s">
        <v>32</v>
      </c>
      <c r="J6" s="1" t="s">
        <v>78</v>
      </c>
      <c r="K6" s="1" t="s">
        <v>55</v>
      </c>
      <c r="L6" s="1" t="s">
        <v>147</v>
      </c>
      <c r="M6" s="1" t="s">
        <v>222</v>
      </c>
      <c r="N6" s="1" t="s">
        <v>300</v>
      </c>
      <c r="O6" s="5">
        <v>46063</v>
      </c>
    </row>
    <row r="7" spans="1:17">
      <c r="A7" s="1">
        <v>4</v>
      </c>
      <c r="B7" s="1" t="s">
        <v>301</v>
      </c>
      <c r="C7" s="5">
        <v>46044</v>
      </c>
      <c r="D7" s="1" t="s">
        <v>3</v>
      </c>
      <c r="E7" s="6" t="s">
        <v>302</v>
      </c>
      <c r="F7" s="6" t="s">
        <v>61</v>
      </c>
      <c r="G7" s="1" t="s">
        <v>39</v>
      </c>
      <c r="H7" s="1" t="s">
        <v>35</v>
      </c>
      <c r="I7" s="1" t="s">
        <v>7</v>
      </c>
      <c r="J7" s="1" t="s">
        <v>22</v>
      </c>
      <c r="K7" s="1" t="s">
        <v>55</v>
      </c>
      <c r="L7" s="1" t="s">
        <v>147</v>
      </c>
      <c r="M7" s="1" t="s">
        <v>303</v>
      </c>
      <c r="N7" s="1" t="s">
        <v>295</v>
      </c>
      <c r="O7" s="5">
        <v>46084</v>
      </c>
    </row>
    <row r="8" spans="1:17">
      <c r="A8" s="1">
        <v>5</v>
      </c>
      <c r="B8" s="1" t="s">
        <v>304</v>
      </c>
      <c r="C8" s="5">
        <v>46066</v>
      </c>
      <c r="D8" s="1" t="s">
        <v>19</v>
      </c>
      <c r="E8" s="6" t="s">
        <v>302</v>
      </c>
      <c r="F8" s="6" t="s">
        <v>26</v>
      </c>
      <c r="G8" s="1" t="s">
        <v>46</v>
      </c>
      <c r="H8" s="1" t="s">
        <v>6</v>
      </c>
      <c r="I8" s="1" t="s">
        <v>66</v>
      </c>
      <c r="J8" s="1" t="s">
        <v>22</v>
      </c>
      <c r="K8" s="1" t="s">
        <v>99</v>
      </c>
      <c r="L8" s="1" t="s">
        <v>147</v>
      </c>
      <c r="M8" s="1" t="s">
        <v>222</v>
      </c>
      <c r="N8" s="1" t="s">
        <v>300</v>
      </c>
      <c r="O8" s="5">
        <v>46076</v>
      </c>
    </row>
    <row r="9" spans="1:17">
      <c r="A9" s="1">
        <v>6</v>
      </c>
      <c r="B9" s="1" t="s">
        <v>305</v>
      </c>
      <c r="C9" s="5">
        <v>46064</v>
      </c>
      <c r="D9" s="1" t="s">
        <v>19</v>
      </c>
      <c r="E9" s="6" t="s">
        <v>302</v>
      </c>
      <c r="F9" s="6" t="s">
        <v>20</v>
      </c>
      <c r="G9" s="1" t="s">
        <v>92</v>
      </c>
      <c r="H9" s="1" t="s">
        <v>87</v>
      </c>
      <c r="I9" s="1" t="s">
        <v>22</v>
      </c>
      <c r="J9" s="1" t="s">
        <v>70</v>
      </c>
      <c r="K9" s="1" t="s">
        <v>47</v>
      </c>
      <c r="L9" s="1" t="s">
        <v>164</v>
      </c>
      <c r="M9" s="1" t="s">
        <v>226</v>
      </c>
      <c r="N9" s="1" t="s">
        <v>306</v>
      </c>
      <c r="O9" s="5">
        <v>46080</v>
      </c>
    </row>
    <row r="10" spans="1:17">
      <c r="A10" s="1">
        <v>7</v>
      </c>
      <c r="B10" s="1" t="s">
        <v>307</v>
      </c>
      <c r="C10" s="5">
        <v>46066</v>
      </c>
      <c r="D10" s="1" t="s">
        <v>19</v>
      </c>
      <c r="E10" s="6" t="s">
        <v>294</v>
      </c>
      <c r="F10" s="6" t="s">
        <v>64</v>
      </c>
      <c r="G10" s="1" t="s">
        <v>92</v>
      </c>
      <c r="H10" s="1" t="s">
        <v>87</v>
      </c>
      <c r="I10" s="1" t="s">
        <v>66</v>
      </c>
      <c r="J10" s="1" t="s">
        <v>66</v>
      </c>
      <c r="K10" s="1" t="s">
        <v>99</v>
      </c>
      <c r="L10" s="1" t="s">
        <v>151</v>
      </c>
      <c r="M10" s="1" t="s">
        <v>222</v>
      </c>
      <c r="N10" s="1" t="s">
        <v>308</v>
      </c>
      <c r="O10" s="5">
        <v>46071</v>
      </c>
    </row>
    <row r="11" spans="1:17">
      <c r="A11" s="1">
        <v>8</v>
      </c>
      <c r="B11" s="1" t="s">
        <v>309</v>
      </c>
      <c r="C11" s="5">
        <v>46072</v>
      </c>
      <c r="D11" s="1" t="s">
        <v>19</v>
      </c>
      <c r="E11" s="6" t="s">
        <v>310</v>
      </c>
      <c r="F11" s="6" t="s">
        <v>49</v>
      </c>
      <c r="G11" s="1" t="s">
        <v>27</v>
      </c>
      <c r="H11" s="1" t="s">
        <v>82</v>
      </c>
      <c r="I11" s="1" t="s">
        <v>62</v>
      </c>
      <c r="J11" s="1" t="s">
        <v>78</v>
      </c>
      <c r="K11" s="1" t="s">
        <v>55</v>
      </c>
      <c r="L11" s="1" t="s">
        <v>147</v>
      </c>
      <c r="M11" s="1" t="s">
        <v>303</v>
      </c>
      <c r="N11" s="1" t="s">
        <v>306</v>
      </c>
      <c r="O11" s="5">
        <v>46085</v>
      </c>
    </row>
    <row r="12" spans="1:17">
      <c r="A12" s="1">
        <v>9</v>
      </c>
      <c r="B12" s="1" t="s">
        <v>311</v>
      </c>
      <c r="C12" s="5">
        <v>46063</v>
      </c>
      <c r="D12" s="1" t="s">
        <v>19</v>
      </c>
      <c r="E12" s="6" t="s">
        <v>294</v>
      </c>
      <c r="F12" s="6" t="s">
        <v>91</v>
      </c>
      <c r="G12" s="1" t="s">
        <v>13</v>
      </c>
      <c r="H12" s="1" t="s">
        <v>77</v>
      </c>
      <c r="I12" s="1" t="s">
        <v>104</v>
      </c>
      <c r="J12" s="1" t="s">
        <v>68</v>
      </c>
      <c r="K12" s="1" t="s">
        <v>47</v>
      </c>
      <c r="L12" s="1" t="s">
        <v>164</v>
      </c>
      <c r="M12" s="1" t="s">
        <v>303</v>
      </c>
      <c r="N12" s="1" t="s">
        <v>298</v>
      </c>
      <c r="O12" s="5">
        <v>46070</v>
      </c>
    </row>
    <row r="13" spans="1:17">
      <c r="A13" s="1">
        <v>10</v>
      </c>
      <c r="B13" s="1" t="s">
        <v>312</v>
      </c>
      <c r="C13" s="5">
        <v>46054</v>
      </c>
      <c r="D13" s="1" t="s">
        <v>19</v>
      </c>
      <c r="E13" s="6" t="s">
        <v>294</v>
      </c>
      <c r="F13" s="6" t="s">
        <v>61</v>
      </c>
      <c r="G13" s="1" t="s">
        <v>92</v>
      </c>
      <c r="H13" s="1" t="s">
        <v>35</v>
      </c>
      <c r="I13" s="1" t="s">
        <v>22</v>
      </c>
      <c r="J13" s="1" t="s">
        <v>41</v>
      </c>
      <c r="K13" s="1" t="s">
        <v>55</v>
      </c>
      <c r="L13" s="1" t="s">
        <v>142</v>
      </c>
      <c r="M13" s="1" t="s">
        <v>222</v>
      </c>
      <c r="N13" s="1" t="s">
        <v>306</v>
      </c>
      <c r="O13" s="5">
        <v>46078</v>
      </c>
    </row>
    <row r="14" spans="1:17">
      <c r="A14" s="1">
        <v>11</v>
      </c>
      <c r="B14" s="1" t="s">
        <v>313</v>
      </c>
      <c r="C14" s="5">
        <v>46090</v>
      </c>
      <c r="D14" s="1" t="s">
        <v>44</v>
      </c>
      <c r="E14" s="6" t="s">
        <v>302</v>
      </c>
      <c r="F14" s="6" t="s">
        <v>64</v>
      </c>
      <c r="G14" s="1" t="s">
        <v>92</v>
      </c>
      <c r="H14" s="1" t="s">
        <v>21</v>
      </c>
      <c r="I14" s="1" t="s">
        <v>32</v>
      </c>
      <c r="J14" s="1" t="s">
        <v>66</v>
      </c>
      <c r="K14" s="1" t="s">
        <v>16</v>
      </c>
      <c r="L14" s="1" t="s">
        <v>147</v>
      </c>
      <c r="M14" s="1" t="s">
        <v>303</v>
      </c>
      <c r="N14" s="1" t="s">
        <v>298</v>
      </c>
      <c r="O14" s="5">
        <v>46120</v>
      </c>
    </row>
    <row r="15" spans="1:17">
      <c r="A15" s="1">
        <v>12</v>
      </c>
      <c r="B15" s="1" t="s">
        <v>314</v>
      </c>
      <c r="C15" s="5">
        <v>46098</v>
      </c>
      <c r="D15" s="1" t="s">
        <v>44</v>
      </c>
      <c r="E15" s="6" t="s">
        <v>315</v>
      </c>
      <c r="F15" s="6" t="s">
        <v>64</v>
      </c>
      <c r="G15" s="1" t="s">
        <v>39</v>
      </c>
      <c r="H15" s="1" t="s">
        <v>14</v>
      </c>
      <c r="I15" s="1" t="s">
        <v>68</v>
      </c>
      <c r="J15" s="1" t="s">
        <v>66</v>
      </c>
      <c r="K15" s="1" t="s">
        <v>33</v>
      </c>
      <c r="L15" s="1" t="s">
        <v>147</v>
      </c>
      <c r="M15" s="1" t="s">
        <v>303</v>
      </c>
      <c r="N15" s="1" t="s">
        <v>308</v>
      </c>
      <c r="O15" s="5">
        <v>46122</v>
      </c>
    </row>
    <row r="16" spans="1:17">
      <c r="A16" s="1">
        <v>13</v>
      </c>
      <c r="B16" s="1" t="s">
        <v>316</v>
      </c>
      <c r="C16" s="5">
        <v>46102</v>
      </c>
      <c r="D16" s="1" t="s">
        <v>44</v>
      </c>
      <c r="E16" s="6" t="s">
        <v>294</v>
      </c>
      <c r="F16" s="6" t="s">
        <v>57</v>
      </c>
      <c r="G16" s="1" t="s">
        <v>39</v>
      </c>
      <c r="H16" s="1" t="s">
        <v>95</v>
      </c>
      <c r="I16" s="1" t="s">
        <v>78</v>
      </c>
      <c r="J16" s="1" t="s">
        <v>66</v>
      </c>
      <c r="K16" s="1" t="s">
        <v>8</v>
      </c>
      <c r="L16" s="1" t="s">
        <v>164</v>
      </c>
      <c r="M16" s="1" t="s">
        <v>226</v>
      </c>
      <c r="N16" s="1" t="s">
        <v>295</v>
      </c>
      <c r="O16" s="5">
        <v>46145</v>
      </c>
    </row>
    <row r="17" spans="1:15">
      <c r="A17" s="1">
        <v>14</v>
      </c>
      <c r="B17" s="1" t="s">
        <v>317</v>
      </c>
      <c r="C17" s="5">
        <v>46083</v>
      </c>
      <c r="D17" s="1" t="s">
        <v>44</v>
      </c>
      <c r="E17" s="6" t="s">
        <v>315</v>
      </c>
      <c r="F17" s="6" t="s">
        <v>49</v>
      </c>
      <c r="G17" s="1" t="s">
        <v>89</v>
      </c>
      <c r="H17" s="1" t="s">
        <v>95</v>
      </c>
      <c r="I17" s="1" t="s">
        <v>7</v>
      </c>
      <c r="J17" s="1" t="s">
        <v>93</v>
      </c>
      <c r="K17" s="1" t="s">
        <v>55</v>
      </c>
      <c r="L17" s="1" t="s">
        <v>147</v>
      </c>
      <c r="M17" s="1" t="s">
        <v>222</v>
      </c>
      <c r="N17" s="1" t="s">
        <v>300</v>
      </c>
      <c r="O17" s="5">
        <v>46109</v>
      </c>
    </row>
    <row r="18" spans="1:15">
      <c r="A18" s="1">
        <v>15</v>
      </c>
      <c r="B18" s="1" t="s">
        <v>318</v>
      </c>
      <c r="C18" s="5">
        <v>46101</v>
      </c>
      <c r="D18" s="1" t="s">
        <v>44</v>
      </c>
      <c r="E18" s="6" t="s">
        <v>294</v>
      </c>
      <c r="F18" s="6" t="s">
        <v>49</v>
      </c>
      <c r="G18" s="1" t="s">
        <v>13</v>
      </c>
      <c r="H18" s="1" t="s">
        <v>51</v>
      </c>
      <c r="I18" s="1" t="s">
        <v>62</v>
      </c>
      <c r="J18" s="1" t="s">
        <v>66</v>
      </c>
      <c r="K18" s="1" t="s">
        <v>33</v>
      </c>
      <c r="L18" s="1" t="s">
        <v>142</v>
      </c>
      <c r="M18" s="1" t="s">
        <v>303</v>
      </c>
      <c r="N18" s="1" t="s">
        <v>308</v>
      </c>
      <c r="O18" s="5">
        <v>46123</v>
      </c>
    </row>
    <row r="19" spans="1:15">
      <c r="A19" s="1">
        <v>16</v>
      </c>
      <c r="B19" s="1" t="s">
        <v>319</v>
      </c>
      <c r="C19" s="5">
        <v>46096</v>
      </c>
      <c r="D19" s="1" t="s">
        <v>44</v>
      </c>
      <c r="E19" s="6" t="s">
        <v>294</v>
      </c>
      <c r="F19" s="6" t="s">
        <v>4</v>
      </c>
      <c r="G19" s="1" t="s">
        <v>92</v>
      </c>
      <c r="H19" s="1" t="s">
        <v>77</v>
      </c>
      <c r="I19" s="1" t="s">
        <v>66</v>
      </c>
      <c r="J19" s="1" t="s">
        <v>93</v>
      </c>
      <c r="K19" s="1" t="s">
        <v>99</v>
      </c>
      <c r="L19" s="1" t="s">
        <v>142</v>
      </c>
      <c r="M19" s="1" t="s">
        <v>226</v>
      </c>
      <c r="N19" s="1" t="s">
        <v>306</v>
      </c>
      <c r="O19" s="5">
        <v>46102</v>
      </c>
    </row>
    <row r="20" spans="1:15">
      <c r="A20" s="1">
        <v>17</v>
      </c>
      <c r="B20" s="1" t="s">
        <v>320</v>
      </c>
      <c r="C20" s="5">
        <v>46140</v>
      </c>
      <c r="D20" s="1" t="s">
        <v>53</v>
      </c>
      <c r="E20" s="6" t="s">
        <v>294</v>
      </c>
      <c r="F20" s="6" t="s">
        <v>38</v>
      </c>
      <c r="G20" s="1" t="s">
        <v>5</v>
      </c>
      <c r="H20" s="1" t="s">
        <v>35</v>
      </c>
      <c r="I20" s="1" t="s">
        <v>68</v>
      </c>
      <c r="J20" s="1" t="s">
        <v>7</v>
      </c>
      <c r="K20" s="1" t="s">
        <v>16</v>
      </c>
      <c r="L20" s="1" t="s">
        <v>164</v>
      </c>
      <c r="M20" s="1" t="s">
        <v>303</v>
      </c>
      <c r="N20" s="1" t="s">
        <v>298</v>
      </c>
      <c r="O20" s="5">
        <v>46149</v>
      </c>
    </row>
    <row r="21" spans="1:15">
      <c r="A21" s="1">
        <v>18</v>
      </c>
      <c r="B21" s="1" t="s">
        <v>321</v>
      </c>
      <c r="C21" s="5">
        <v>46132</v>
      </c>
      <c r="D21" s="1" t="s">
        <v>53</v>
      </c>
      <c r="E21" s="6" t="s">
        <v>302</v>
      </c>
      <c r="F21" s="6" t="s">
        <v>91</v>
      </c>
      <c r="G21" s="1" t="s">
        <v>89</v>
      </c>
      <c r="H21" s="1" t="s">
        <v>21</v>
      </c>
      <c r="I21" s="1" t="s">
        <v>41</v>
      </c>
      <c r="J21" s="1" t="s">
        <v>41</v>
      </c>
      <c r="K21" s="1" t="s">
        <v>33</v>
      </c>
      <c r="L21" s="1" t="s">
        <v>147</v>
      </c>
      <c r="M21" s="1" t="s">
        <v>222</v>
      </c>
      <c r="N21" s="1" t="s">
        <v>298</v>
      </c>
      <c r="O21" s="5">
        <v>46137</v>
      </c>
    </row>
    <row r="22" spans="1:15">
      <c r="A22" s="1">
        <v>19</v>
      </c>
      <c r="B22" s="1" t="s">
        <v>322</v>
      </c>
      <c r="C22" s="5">
        <v>46136</v>
      </c>
      <c r="D22" s="1" t="s">
        <v>53</v>
      </c>
      <c r="E22" s="6" t="s">
        <v>302</v>
      </c>
      <c r="F22" s="6" t="s">
        <v>45</v>
      </c>
      <c r="G22" s="1" t="s">
        <v>58</v>
      </c>
      <c r="H22" s="1" t="s">
        <v>87</v>
      </c>
      <c r="I22" s="1" t="s">
        <v>7</v>
      </c>
      <c r="J22" s="1" t="s">
        <v>68</v>
      </c>
      <c r="K22" s="1" t="s">
        <v>8</v>
      </c>
      <c r="L22" s="1" t="s">
        <v>147</v>
      </c>
      <c r="M22" s="1" t="s">
        <v>303</v>
      </c>
      <c r="N22" s="1" t="s">
        <v>298</v>
      </c>
      <c r="O22" s="5">
        <v>46142</v>
      </c>
    </row>
    <row r="23" spans="1:15">
      <c r="A23" s="1">
        <v>20</v>
      </c>
      <c r="B23" s="1" t="s">
        <v>323</v>
      </c>
      <c r="C23" s="5">
        <v>46128</v>
      </c>
      <c r="D23" s="1" t="s">
        <v>53</v>
      </c>
      <c r="E23" s="6" t="s">
        <v>294</v>
      </c>
      <c r="F23" s="6" t="s">
        <v>16</v>
      </c>
      <c r="G23" s="1" t="s">
        <v>89</v>
      </c>
      <c r="H23" s="1" t="s">
        <v>21</v>
      </c>
      <c r="I23" s="1" t="s">
        <v>93</v>
      </c>
      <c r="J23" s="1" t="s">
        <v>68</v>
      </c>
      <c r="K23" s="1" t="s">
        <v>16</v>
      </c>
      <c r="L23" s="1" t="s">
        <v>147</v>
      </c>
      <c r="M23" s="1" t="s">
        <v>303</v>
      </c>
      <c r="N23" s="1" t="s">
        <v>295</v>
      </c>
      <c r="O23" s="5">
        <v>46159</v>
      </c>
    </row>
    <row r="24" spans="1:15">
      <c r="A24" s="1">
        <v>21</v>
      </c>
      <c r="B24" s="1" t="s">
        <v>324</v>
      </c>
      <c r="C24" s="5">
        <v>46149</v>
      </c>
      <c r="D24" s="1" t="s">
        <v>60</v>
      </c>
      <c r="E24" s="6" t="s">
        <v>310</v>
      </c>
      <c r="F24" s="6" t="s">
        <v>30</v>
      </c>
      <c r="G24" s="1" t="s">
        <v>92</v>
      </c>
      <c r="H24" s="1" t="s">
        <v>51</v>
      </c>
      <c r="I24" s="1" t="s">
        <v>36</v>
      </c>
      <c r="J24" s="1" t="s">
        <v>78</v>
      </c>
      <c r="K24" s="1" t="s">
        <v>16</v>
      </c>
      <c r="L24" s="1" t="s">
        <v>147</v>
      </c>
      <c r="M24" s="1" t="s">
        <v>222</v>
      </c>
      <c r="N24" s="1" t="s">
        <v>308</v>
      </c>
      <c r="O24" s="5">
        <v>46161</v>
      </c>
    </row>
    <row r="25" spans="1:15">
      <c r="A25" s="1">
        <v>22</v>
      </c>
      <c r="B25" s="1" t="s">
        <v>325</v>
      </c>
      <c r="C25" s="5">
        <v>46157</v>
      </c>
      <c r="D25" s="1" t="s">
        <v>60</v>
      </c>
      <c r="E25" s="6" t="s">
        <v>310</v>
      </c>
      <c r="F25" s="6" t="s">
        <v>16</v>
      </c>
      <c r="G25" s="1" t="s">
        <v>58</v>
      </c>
      <c r="H25" s="1" t="s">
        <v>51</v>
      </c>
      <c r="I25" s="1" t="s">
        <v>66</v>
      </c>
      <c r="J25" s="1" t="s">
        <v>15</v>
      </c>
      <c r="K25" s="1" t="s">
        <v>99</v>
      </c>
      <c r="L25" s="1" t="s">
        <v>142</v>
      </c>
      <c r="M25" s="1" t="s">
        <v>222</v>
      </c>
      <c r="N25" s="1" t="s">
        <v>300</v>
      </c>
      <c r="O25" s="5">
        <v>46198</v>
      </c>
    </row>
    <row r="26" spans="1:15">
      <c r="A26" s="1">
        <v>23</v>
      </c>
      <c r="B26" s="1" t="s">
        <v>326</v>
      </c>
      <c r="C26" s="5">
        <v>46167</v>
      </c>
      <c r="D26" s="1" t="s">
        <v>60</v>
      </c>
      <c r="E26" s="6" t="s">
        <v>315</v>
      </c>
      <c r="F26" s="6" t="s">
        <v>26</v>
      </c>
      <c r="G26" s="1" t="s">
        <v>27</v>
      </c>
      <c r="H26" s="1" t="s">
        <v>82</v>
      </c>
      <c r="I26" s="1" t="s">
        <v>28</v>
      </c>
      <c r="J26" s="1" t="s">
        <v>62</v>
      </c>
      <c r="K26" s="1" t="s">
        <v>55</v>
      </c>
      <c r="L26" s="1" t="s">
        <v>142</v>
      </c>
      <c r="M26" s="1" t="s">
        <v>226</v>
      </c>
      <c r="N26" s="1" t="s">
        <v>300</v>
      </c>
      <c r="O26" s="5">
        <v>46198</v>
      </c>
    </row>
    <row r="27" spans="1:15">
      <c r="A27" s="1">
        <v>24</v>
      </c>
      <c r="B27" s="1" t="s">
        <v>327</v>
      </c>
      <c r="C27" s="5">
        <v>46191</v>
      </c>
      <c r="D27" s="1" t="s">
        <v>73</v>
      </c>
      <c r="E27" s="6" t="s">
        <v>294</v>
      </c>
      <c r="F27" s="6" t="s">
        <v>26</v>
      </c>
      <c r="G27" s="1" t="s">
        <v>5</v>
      </c>
      <c r="H27" s="1" t="s">
        <v>6</v>
      </c>
      <c r="I27" s="1" t="s">
        <v>15</v>
      </c>
      <c r="J27" s="1" t="s">
        <v>78</v>
      </c>
      <c r="K27" s="1" t="s">
        <v>8</v>
      </c>
      <c r="L27" s="1" t="s">
        <v>151</v>
      </c>
      <c r="M27" s="1" t="s">
        <v>222</v>
      </c>
      <c r="N27" s="1" t="s">
        <v>306</v>
      </c>
      <c r="O27" s="5">
        <v>46209</v>
      </c>
    </row>
    <row r="28" spans="1:15">
      <c r="A28" s="1">
        <v>25</v>
      </c>
      <c r="B28" s="1" t="s">
        <v>328</v>
      </c>
      <c r="C28" s="5">
        <v>46196</v>
      </c>
      <c r="D28" s="1" t="s">
        <v>73</v>
      </c>
      <c r="E28" s="6" t="s">
        <v>294</v>
      </c>
      <c r="F28" s="6" t="s">
        <v>20</v>
      </c>
      <c r="G28" s="1" t="s">
        <v>92</v>
      </c>
      <c r="H28" s="1" t="s">
        <v>95</v>
      </c>
      <c r="I28" s="1" t="s">
        <v>93</v>
      </c>
      <c r="J28" s="1" t="s">
        <v>15</v>
      </c>
      <c r="K28" s="1" t="s">
        <v>99</v>
      </c>
      <c r="L28" s="1" t="s">
        <v>142</v>
      </c>
      <c r="M28" s="1" t="s">
        <v>303</v>
      </c>
      <c r="N28" s="1" t="s">
        <v>308</v>
      </c>
      <c r="O28" s="5">
        <v>46219</v>
      </c>
    </row>
    <row r="29" spans="1:15">
      <c r="A29" s="1">
        <v>26</v>
      </c>
      <c r="B29" s="1" t="s">
        <v>329</v>
      </c>
      <c r="C29" s="5">
        <v>46186</v>
      </c>
      <c r="D29" s="1" t="s">
        <v>73</v>
      </c>
      <c r="E29" s="6" t="s">
        <v>315</v>
      </c>
      <c r="F29" s="6" t="s">
        <v>16</v>
      </c>
      <c r="G29" s="1" t="s">
        <v>13</v>
      </c>
      <c r="H29" s="1" t="s">
        <v>31</v>
      </c>
      <c r="I29" s="1" t="s">
        <v>70</v>
      </c>
      <c r="J29" s="1" t="s">
        <v>78</v>
      </c>
      <c r="K29" s="1" t="s">
        <v>55</v>
      </c>
      <c r="L29" s="1" t="s">
        <v>147</v>
      </c>
      <c r="M29" s="1" t="s">
        <v>222</v>
      </c>
      <c r="N29" s="1" t="s">
        <v>300</v>
      </c>
      <c r="O29" s="5">
        <v>46224</v>
      </c>
    </row>
    <row r="30" spans="1:15">
      <c r="A30" s="1">
        <v>27</v>
      </c>
      <c r="B30" s="1" t="s">
        <v>330</v>
      </c>
      <c r="C30" s="5">
        <v>46207</v>
      </c>
      <c r="D30" s="1" t="s">
        <v>76</v>
      </c>
      <c r="E30" s="6" t="s">
        <v>315</v>
      </c>
      <c r="F30" s="6" t="s">
        <v>45</v>
      </c>
      <c r="G30" s="1" t="s">
        <v>5</v>
      </c>
      <c r="H30" s="1" t="s">
        <v>95</v>
      </c>
      <c r="I30" s="1" t="s">
        <v>22</v>
      </c>
      <c r="J30" s="1" t="s">
        <v>93</v>
      </c>
      <c r="K30" s="1" t="s">
        <v>8</v>
      </c>
      <c r="L30" s="1" t="s">
        <v>147</v>
      </c>
      <c r="M30" s="1" t="s">
        <v>331</v>
      </c>
      <c r="N30" s="1" t="s">
        <v>298</v>
      </c>
      <c r="O30" s="5">
        <v>46213</v>
      </c>
    </row>
    <row r="31" spans="1:15">
      <c r="A31" s="1">
        <v>28</v>
      </c>
      <c r="B31" s="1" t="s">
        <v>332</v>
      </c>
      <c r="C31" s="5">
        <v>46222</v>
      </c>
      <c r="D31" s="1" t="s">
        <v>76</v>
      </c>
      <c r="E31" s="6" t="s">
        <v>310</v>
      </c>
      <c r="F31" s="6" t="s">
        <v>16</v>
      </c>
      <c r="G31" s="1" t="s">
        <v>5</v>
      </c>
      <c r="H31" s="1" t="s">
        <v>35</v>
      </c>
      <c r="I31" s="1" t="s">
        <v>104</v>
      </c>
      <c r="J31" s="1" t="s">
        <v>15</v>
      </c>
      <c r="K31" s="1" t="s">
        <v>16</v>
      </c>
      <c r="L31" s="1" t="s">
        <v>147</v>
      </c>
      <c r="M31" s="1" t="s">
        <v>303</v>
      </c>
      <c r="N31" s="1" t="s">
        <v>308</v>
      </c>
      <c r="O31" s="5">
        <v>46256</v>
      </c>
    </row>
    <row r="32" spans="1:15">
      <c r="A32" s="1">
        <v>29</v>
      </c>
      <c r="B32" s="1" t="s">
        <v>333</v>
      </c>
      <c r="C32" s="5">
        <v>46226</v>
      </c>
      <c r="D32" s="1" t="s">
        <v>76</v>
      </c>
      <c r="E32" s="6" t="s">
        <v>315</v>
      </c>
      <c r="F32" s="6" t="s">
        <v>49</v>
      </c>
      <c r="G32" s="1" t="s">
        <v>27</v>
      </c>
      <c r="H32" s="1" t="s">
        <v>77</v>
      </c>
      <c r="I32" s="1" t="s">
        <v>32</v>
      </c>
      <c r="J32" s="1" t="s">
        <v>22</v>
      </c>
      <c r="K32" s="1" t="s">
        <v>8</v>
      </c>
      <c r="L32" s="1" t="s">
        <v>147</v>
      </c>
      <c r="M32" s="1" t="s">
        <v>222</v>
      </c>
      <c r="N32" s="1" t="s">
        <v>295</v>
      </c>
      <c r="O32" s="5">
        <v>46243</v>
      </c>
    </row>
    <row r="33" spans="1:15">
      <c r="A33" s="1">
        <v>30</v>
      </c>
      <c r="B33" s="1" t="s">
        <v>334</v>
      </c>
      <c r="C33" s="5">
        <v>46221</v>
      </c>
      <c r="D33" s="1" t="s">
        <v>76</v>
      </c>
      <c r="E33" s="6" t="s">
        <v>302</v>
      </c>
      <c r="F33" s="6" t="s">
        <v>91</v>
      </c>
      <c r="G33" s="1" t="s">
        <v>46</v>
      </c>
      <c r="H33" s="1" t="s">
        <v>14</v>
      </c>
      <c r="I33" s="1" t="s">
        <v>68</v>
      </c>
      <c r="J33" s="1" t="s">
        <v>93</v>
      </c>
      <c r="K33" s="1" t="s">
        <v>16</v>
      </c>
      <c r="L33" s="1" t="s">
        <v>147</v>
      </c>
      <c r="M33" s="1" t="s">
        <v>222</v>
      </c>
      <c r="N33" s="1" t="s">
        <v>300</v>
      </c>
      <c r="O33" s="5">
        <v>46245</v>
      </c>
    </row>
    <row r="34" spans="1:15">
      <c r="A34" s="1">
        <v>31</v>
      </c>
      <c r="B34" s="1" t="s">
        <v>335</v>
      </c>
      <c r="C34" s="5">
        <v>46226</v>
      </c>
      <c r="D34" s="1" t="s">
        <v>76</v>
      </c>
      <c r="E34" s="6" t="s">
        <v>310</v>
      </c>
      <c r="F34" s="6" t="s">
        <v>54</v>
      </c>
      <c r="G34" s="1" t="s">
        <v>46</v>
      </c>
      <c r="H34" s="1" t="s">
        <v>14</v>
      </c>
      <c r="I34" s="1" t="s">
        <v>66</v>
      </c>
      <c r="J34" s="1" t="s">
        <v>70</v>
      </c>
      <c r="K34" s="1" t="s">
        <v>99</v>
      </c>
      <c r="L34" s="1" t="s">
        <v>164</v>
      </c>
      <c r="M34" s="1" t="s">
        <v>222</v>
      </c>
      <c r="N34" s="1" t="s">
        <v>308</v>
      </c>
      <c r="O34" s="5">
        <v>46249</v>
      </c>
    </row>
    <row r="35" spans="1:15">
      <c r="A35" s="1">
        <v>32</v>
      </c>
      <c r="B35" s="1" t="s">
        <v>336</v>
      </c>
      <c r="C35" s="5">
        <v>46206</v>
      </c>
      <c r="D35" s="1" t="s">
        <v>76</v>
      </c>
      <c r="E35" s="6" t="s">
        <v>294</v>
      </c>
      <c r="F35" s="6" t="s">
        <v>12</v>
      </c>
      <c r="G35" s="1" t="s">
        <v>5</v>
      </c>
      <c r="H35" s="1" t="s">
        <v>51</v>
      </c>
      <c r="I35" s="1" t="s">
        <v>41</v>
      </c>
      <c r="J35" s="1" t="s">
        <v>32</v>
      </c>
      <c r="K35" s="1" t="s">
        <v>55</v>
      </c>
      <c r="L35" s="1" t="s">
        <v>164</v>
      </c>
      <c r="M35" s="1" t="s">
        <v>226</v>
      </c>
      <c r="N35" s="1" t="s">
        <v>308</v>
      </c>
      <c r="O35" s="5">
        <v>46215</v>
      </c>
    </row>
    <row r="36" spans="1:15">
      <c r="A36" s="1">
        <v>33</v>
      </c>
      <c r="B36" s="1" t="s">
        <v>337</v>
      </c>
      <c r="C36" s="5">
        <v>46277</v>
      </c>
      <c r="D36" s="1" t="s">
        <v>102</v>
      </c>
      <c r="E36" s="6" t="s">
        <v>294</v>
      </c>
      <c r="F36" s="6" t="s">
        <v>91</v>
      </c>
      <c r="G36" s="1" t="s">
        <v>50</v>
      </c>
      <c r="H36" s="1" t="s">
        <v>87</v>
      </c>
      <c r="I36" s="1" t="s">
        <v>66</v>
      </c>
      <c r="J36" s="1" t="s">
        <v>66</v>
      </c>
      <c r="K36" s="1" t="s">
        <v>47</v>
      </c>
      <c r="L36" s="1" t="s">
        <v>147</v>
      </c>
      <c r="M36" s="1" t="s">
        <v>331</v>
      </c>
      <c r="N36" s="1" t="s">
        <v>300</v>
      </c>
      <c r="O36" s="5">
        <v>46307</v>
      </c>
    </row>
    <row r="37" spans="1:15">
      <c r="A37" s="1">
        <v>34</v>
      </c>
      <c r="B37" s="1" t="s">
        <v>338</v>
      </c>
      <c r="C37" s="5">
        <v>46280</v>
      </c>
      <c r="D37" s="1" t="s">
        <v>102</v>
      </c>
      <c r="E37" s="6" t="s">
        <v>302</v>
      </c>
      <c r="F37" s="6" t="s">
        <v>57</v>
      </c>
      <c r="G37" s="1" t="s">
        <v>46</v>
      </c>
      <c r="H37" s="1" t="s">
        <v>35</v>
      </c>
      <c r="I37" s="1" t="s">
        <v>7</v>
      </c>
      <c r="J37" s="1" t="s">
        <v>41</v>
      </c>
      <c r="K37" s="1" t="s">
        <v>99</v>
      </c>
      <c r="L37" s="1" t="s">
        <v>142</v>
      </c>
      <c r="M37" s="1" t="s">
        <v>222</v>
      </c>
      <c r="N37" s="1" t="s">
        <v>298</v>
      </c>
      <c r="O37" s="5">
        <v>46318</v>
      </c>
    </row>
    <row r="38" spans="1:15">
      <c r="A38" s="1">
        <v>35</v>
      </c>
      <c r="B38" s="1" t="s">
        <v>339</v>
      </c>
      <c r="C38" s="5">
        <v>46323</v>
      </c>
      <c r="D38" s="1" t="s">
        <v>106</v>
      </c>
      <c r="E38" s="6" t="s">
        <v>294</v>
      </c>
      <c r="F38" s="6" t="s">
        <v>4</v>
      </c>
      <c r="G38" s="1" t="s">
        <v>13</v>
      </c>
      <c r="H38" s="1" t="s">
        <v>82</v>
      </c>
      <c r="I38" s="1" t="s">
        <v>28</v>
      </c>
      <c r="J38" s="1" t="s">
        <v>7</v>
      </c>
      <c r="K38" s="1" t="s">
        <v>47</v>
      </c>
      <c r="L38" s="1" t="s">
        <v>142</v>
      </c>
      <c r="M38" s="1" t="s">
        <v>226</v>
      </c>
      <c r="N38" s="1" t="s">
        <v>295</v>
      </c>
      <c r="O38" s="5">
        <v>46360</v>
      </c>
    </row>
    <row r="39" spans="1:15">
      <c r="A39" s="1">
        <v>36</v>
      </c>
      <c r="B39" s="1" t="s">
        <v>340</v>
      </c>
      <c r="C39" s="5">
        <v>46306</v>
      </c>
      <c r="D39" s="1" t="s">
        <v>106</v>
      </c>
      <c r="E39" s="6" t="s">
        <v>294</v>
      </c>
      <c r="F39" s="6" t="s">
        <v>49</v>
      </c>
      <c r="G39" s="1" t="s">
        <v>89</v>
      </c>
      <c r="H39" s="1" t="s">
        <v>51</v>
      </c>
      <c r="I39" s="1" t="s">
        <v>36</v>
      </c>
      <c r="J39" s="1" t="s">
        <v>68</v>
      </c>
      <c r="K39" s="1" t="s">
        <v>16</v>
      </c>
      <c r="L39" s="1" t="s">
        <v>142</v>
      </c>
      <c r="M39" s="1" t="s">
        <v>303</v>
      </c>
      <c r="N39" s="1" t="s">
        <v>295</v>
      </c>
      <c r="O39" s="5">
        <v>46315</v>
      </c>
    </row>
    <row r="40" spans="1:15">
      <c r="A40" s="1">
        <v>37</v>
      </c>
      <c r="B40" s="1" t="s">
        <v>341</v>
      </c>
      <c r="C40" s="5">
        <v>46309</v>
      </c>
      <c r="D40" s="1" t="s">
        <v>106</v>
      </c>
      <c r="E40" s="6" t="s">
        <v>302</v>
      </c>
      <c r="F40" s="6" t="s">
        <v>57</v>
      </c>
      <c r="G40" s="1" t="s">
        <v>27</v>
      </c>
      <c r="H40" s="1" t="s">
        <v>35</v>
      </c>
      <c r="I40" s="1" t="s">
        <v>104</v>
      </c>
      <c r="J40" s="1" t="s">
        <v>104</v>
      </c>
      <c r="K40" s="1" t="s">
        <v>47</v>
      </c>
      <c r="L40" s="1" t="s">
        <v>147</v>
      </c>
      <c r="M40" s="1" t="s">
        <v>331</v>
      </c>
      <c r="N40" s="1" t="s">
        <v>300</v>
      </c>
      <c r="O40" s="5">
        <v>46324</v>
      </c>
    </row>
    <row r="41" spans="1:15">
      <c r="A41" s="1">
        <v>38</v>
      </c>
      <c r="B41" s="1" t="s">
        <v>342</v>
      </c>
      <c r="C41" s="5">
        <v>46312</v>
      </c>
      <c r="D41" s="1" t="s">
        <v>106</v>
      </c>
      <c r="E41" s="6" t="s">
        <v>302</v>
      </c>
      <c r="F41" s="6" t="s">
        <v>54</v>
      </c>
      <c r="G41" s="1" t="s">
        <v>89</v>
      </c>
      <c r="H41" s="1" t="s">
        <v>35</v>
      </c>
      <c r="I41" s="1" t="s">
        <v>78</v>
      </c>
      <c r="J41" s="1" t="s">
        <v>104</v>
      </c>
      <c r="K41" s="1" t="s">
        <v>99</v>
      </c>
      <c r="L41" s="1" t="s">
        <v>147</v>
      </c>
      <c r="M41" s="1" t="s">
        <v>222</v>
      </c>
      <c r="N41" s="1" t="s">
        <v>295</v>
      </c>
      <c r="O41" s="5">
        <v>46344</v>
      </c>
    </row>
    <row r="42" spans="1:15">
      <c r="A42" s="1">
        <v>39</v>
      </c>
      <c r="B42" s="1" t="s">
        <v>343</v>
      </c>
      <c r="C42" s="5">
        <v>46309</v>
      </c>
      <c r="D42" s="1" t="s">
        <v>106</v>
      </c>
      <c r="E42" s="6" t="s">
        <v>310</v>
      </c>
      <c r="F42" s="6" t="s">
        <v>20</v>
      </c>
      <c r="G42" s="1" t="s">
        <v>5</v>
      </c>
      <c r="H42" s="1" t="s">
        <v>80</v>
      </c>
      <c r="I42" s="1" t="s">
        <v>41</v>
      </c>
      <c r="J42" s="1" t="s">
        <v>32</v>
      </c>
      <c r="K42" s="1" t="s">
        <v>33</v>
      </c>
      <c r="L42" s="1" t="s">
        <v>151</v>
      </c>
      <c r="M42" s="1" t="s">
        <v>226</v>
      </c>
      <c r="N42" s="1" t="s">
        <v>300</v>
      </c>
      <c r="O42" s="5">
        <v>46334</v>
      </c>
    </row>
    <row r="43" spans="1:15">
      <c r="A43" s="1">
        <v>40</v>
      </c>
      <c r="B43" s="1" t="s">
        <v>344</v>
      </c>
      <c r="C43" s="5">
        <v>46339</v>
      </c>
      <c r="D43" s="1" t="s">
        <v>111</v>
      </c>
      <c r="E43" s="6" t="s">
        <v>310</v>
      </c>
      <c r="F43" s="6" t="s">
        <v>12</v>
      </c>
      <c r="G43" s="1" t="s">
        <v>46</v>
      </c>
      <c r="H43" s="1" t="s">
        <v>80</v>
      </c>
      <c r="I43" s="1" t="s">
        <v>62</v>
      </c>
      <c r="J43" s="1" t="s">
        <v>41</v>
      </c>
      <c r="K43" s="1" t="s">
        <v>33</v>
      </c>
      <c r="L43" s="1" t="s">
        <v>147</v>
      </c>
      <c r="M43" s="1" t="s">
        <v>331</v>
      </c>
      <c r="N43" s="1" t="s">
        <v>308</v>
      </c>
      <c r="O43" s="5">
        <v>46365</v>
      </c>
    </row>
    <row r="44" spans="1:15">
      <c r="A44" s="1">
        <v>41</v>
      </c>
      <c r="B44" s="1" t="s">
        <v>345</v>
      </c>
      <c r="C44" s="5">
        <v>46349</v>
      </c>
      <c r="D44" s="1" t="s">
        <v>111</v>
      </c>
      <c r="E44" s="6" t="s">
        <v>294</v>
      </c>
      <c r="F44" s="6" t="s">
        <v>91</v>
      </c>
      <c r="G44" s="1" t="s">
        <v>5</v>
      </c>
      <c r="H44" s="1" t="s">
        <v>21</v>
      </c>
      <c r="I44" s="1" t="s">
        <v>70</v>
      </c>
      <c r="J44" s="1" t="s">
        <v>62</v>
      </c>
      <c r="K44" s="1" t="s">
        <v>8</v>
      </c>
      <c r="L44" s="1" t="s">
        <v>147</v>
      </c>
      <c r="M44" s="1" t="s">
        <v>226</v>
      </c>
      <c r="N44" s="1" t="s">
        <v>295</v>
      </c>
      <c r="O44" s="5">
        <v>46373</v>
      </c>
    </row>
    <row r="45" spans="1:15">
      <c r="A45" s="1">
        <v>42</v>
      </c>
      <c r="B45" s="1" t="s">
        <v>346</v>
      </c>
      <c r="C45" s="5">
        <v>46342</v>
      </c>
      <c r="D45" s="1" t="s">
        <v>111</v>
      </c>
      <c r="E45" s="6" t="s">
        <v>294</v>
      </c>
      <c r="F45" s="6" t="s">
        <v>64</v>
      </c>
      <c r="G45" s="1" t="s">
        <v>65</v>
      </c>
      <c r="H45" s="1" t="s">
        <v>51</v>
      </c>
      <c r="I45" s="1" t="s">
        <v>78</v>
      </c>
      <c r="J45" s="1" t="s">
        <v>78</v>
      </c>
      <c r="K45" s="1" t="s">
        <v>33</v>
      </c>
      <c r="L45" s="1" t="s">
        <v>147</v>
      </c>
      <c r="M45" s="1" t="s">
        <v>331</v>
      </c>
      <c r="N45" s="1" t="s">
        <v>298</v>
      </c>
      <c r="O45" s="5">
        <v>46352</v>
      </c>
    </row>
    <row r="46" spans="1:15">
      <c r="A46" s="1">
        <v>43</v>
      </c>
      <c r="B46" s="1" t="s">
        <v>347</v>
      </c>
      <c r="C46" s="5">
        <v>46331</v>
      </c>
      <c r="D46" s="1" t="s">
        <v>111</v>
      </c>
      <c r="E46" s="6" t="s">
        <v>302</v>
      </c>
      <c r="F46" s="6" t="s">
        <v>61</v>
      </c>
      <c r="G46" s="1" t="s">
        <v>58</v>
      </c>
      <c r="H46" s="1" t="s">
        <v>95</v>
      </c>
      <c r="I46" s="1" t="s">
        <v>7</v>
      </c>
      <c r="J46" s="1" t="s">
        <v>28</v>
      </c>
      <c r="K46" s="1" t="s">
        <v>99</v>
      </c>
      <c r="L46" s="1" t="s">
        <v>164</v>
      </c>
      <c r="M46" s="1" t="s">
        <v>222</v>
      </c>
      <c r="N46" s="1" t="s">
        <v>306</v>
      </c>
      <c r="O46" s="5">
        <v>46367</v>
      </c>
    </row>
    <row r="47" spans="1:15">
      <c r="A47" s="1">
        <v>44</v>
      </c>
      <c r="B47" s="1" t="s">
        <v>348</v>
      </c>
      <c r="C47" s="5">
        <v>46343</v>
      </c>
      <c r="D47" s="1" t="s">
        <v>111</v>
      </c>
      <c r="E47" s="6" t="s">
        <v>310</v>
      </c>
      <c r="F47" s="6" t="s">
        <v>38</v>
      </c>
      <c r="G47" s="1" t="s">
        <v>58</v>
      </c>
      <c r="H47" s="1" t="s">
        <v>87</v>
      </c>
      <c r="I47" s="1" t="s">
        <v>36</v>
      </c>
      <c r="J47" s="1" t="s">
        <v>93</v>
      </c>
      <c r="K47" s="1" t="s">
        <v>8</v>
      </c>
      <c r="L47" s="1" t="s">
        <v>147</v>
      </c>
      <c r="M47" s="1" t="s">
        <v>303</v>
      </c>
      <c r="N47" s="1" t="s">
        <v>306</v>
      </c>
      <c r="O47" s="5">
        <v>46359</v>
      </c>
    </row>
    <row r="48" spans="1:15">
      <c r="A48" s="1">
        <v>45</v>
      </c>
      <c r="B48" s="1" t="s">
        <v>349</v>
      </c>
      <c r="C48" s="5">
        <v>46379</v>
      </c>
      <c r="D48" s="1" t="s">
        <v>122</v>
      </c>
      <c r="E48" s="6" t="s">
        <v>294</v>
      </c>
      <c r="F48" s="6" t="s">
        <v>64</v>
      </c>
      <c r="G48" s="1" t="s">
        <v>46</v>
      </c>
      <c r="H48" s="1" t="s">
        <v>77</v>
      </c>
      <c r="I48" s="1" t="s">
        <v>66</v>
      </c>
      <c r="J48" s="1" t="s">
        <v>68</v>
      </c>
      <c r="K48" s="1" t="s">
        <v>99</v>
      </c>
      <c r="L48" s="1" t="s">
        <v>164</v>
      </c>
      <c r="M48" s="1" t="s">
        <v>226</v>
      </c>
      <c r="N48" s="1" t="s">
        <v>295</v>
      </c>
      <c r="O48" s="5">
        <v>46410</v>
      </c>
    </row>
    <row r="49" spans="1:15">
      <c r="A49" s="1">
        <v>46</v>
      </c>
      <c r="B49" s="1" t="s">
        <v>350</v>
      </c>
      <c r="C49" s="5">
        <v>46360</v>
      </c>
      <c r="D49" s="1" t="s">
        <v>122</v>
      </c>
      <c r="E49" s="6" t="s">
        <v>294</v>
      </c>
      <c r="F49" s="6" t="s">
        <v>4</v>
      </c>
      <c r="G49" s="1" t="s">
        <v>39</v>
      </c>
      <c r="H49" s="1" t="s">
        <v>35</v>
      </c>
      <c r="I49" s="1" t="s">
        <v>68</v>
      </c>
      <c r="J49" s="1" t="s">
        <v>68</v>
      </c>
      <c r="K49" s="1" t="s">
        <v>8</v>
      </c>
      <c r="L49" s="1" t="s">
        <v>142</v>
      </c>
      <c r="M49" s="1" t="s">
        <v>226</v>
      </c>
      <c r="N49" s="1" t="s">
        <v>308</v>
      </c>
      <c r="O49" s="5">
        <v>46396</v>
      </c>
    </row>
    <row r="50" spans="1:15">
      <c r="A50" s="1">
        <v>47</v>
      </c>
      <c r="B50" s="1" t="s">
        <v>351</v>
      </c>
      <c r="C50" s="5">
        <v>46367</v>
      </c>
      <c r="D50" s="1" t="s">
        <v>122</v>
      </c>
      <c r="E50" s="6" t="s">
        <v>315</v>
      </c>
      <c r="F50" s="6" t="s">
        <v>57</v>
      </c>
      <c r="G50" s="1" t="s">
        <v>65</v>
      </c>
      <c r="H50" s="1" t="s">
        <v>95</v>
      </c>
      <c r="I50" s="1" t="s">
        <v>68</v>
      </c>
      <c r="J50" s="1" t="s">
        <v>28</v>
      </c>
      <c r="K50" s="1" t="s">
        <v>16</v>
      </c>
      <c r="L50" s="1" t="s">
        <v>147</v>
      </c>
      <c r="M50" s="1" t="s">
        <v>331</v>
      </c>
      <c r="N50" s="1" t="s">
        <v>308</v>
      </c>
      <c r="O50" s="5">
        <v>46411</v>
      </c>
    </row>
    <row r="51" spans="1:15">
      <c r="A51" s="1">
        <v>48</v>
      </c>
      <c r="B51" s="1" t="s">
        <v>352</v>
      </c>
      <c r="C51" s="5">
        <v>46365</v>
      </c>
      <c r="D51" s="1" t="s">
        <v>122</v>
      </c>
      <c r="E51" s="6" t="s">
        <v>294</v>
      </c>
      <c r="F51" s="6" t="s">
        <v>26</v>
      </c>
      <c r="G51" s="1" t="s">
        <v>5</v>
      </c>
      <c r="H51" s="1" t="s">
        <v>77</v>
      </c>
      <c r="I51" s="1" t="s">
        <v>70</v>
      </c>
      <c r="J51" s="1" t="s">
        <v>36</v>
      </c>
      <c r="K51" s="1" t="s">
        <v>99</v>
      </c>
      <c r="L51" s="1" t="s">
        <v>147</v>
      </c>
      <c r="M51" s="1" t="s">
        <v>303</v>
      </c>
      <c r="N51" s="1" t="s">
        <v>298</v>
      </c>
      <c r="O51" s="5">
        <v>46372</v>
      </c>
    </row>
  </sheetData>
  <mergeCells count="2">
    <mergeCell ref="A1:O1"/>
    <mergeCell ref="A2:O2"/>
  </mergeCells>
  <dataValidations count="4">
    <dataValidation type="list" allowBlank="1" showInputMessage="1" showErrorMessage="1" sqref="G4:G100003">
      <formula1>L_Dept</formula1>
    </dataValidation>
    <dataValidation type="list" allowBlank="1" showInputMessage="1" showErrorMessage="1" sqref="H4:H100003">
      <formula1>L_Loc</formula1>
    </dataValidation>
    <dataValidation type="list" allowBlank="1" showInputMessage="1" showErrorMessage="1" sqref="M4:M100003">
      <formula1>L_Status</formula1>
    </dataValidation>
    <dataValidation type="list" allowBlank="1" showInputMessage="1" showErrorMessage="1" sqref="L4:L100003">
      <formula1>L_Risk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64748B"/>
    <pageSetUpPr fitToPage="1"/>
  </sheetPr>
  <dimension ref="A1:Q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4" width="9.7109375" style="1" customWidth="1"/>
    <col min="5" max="5" width="22.7109375" style="1" customWidth="1"/>
    <col min="6" max="6" width="12.7109375" style="1" customWidth="1"/>
    <col min="7" max="7" width="10.7109375" style="1" customWidth="1"/>
    <col min="8" max="8" width="11.7109375" style="1" customWidth="1"/>
    <col min="9" max="9" width="23.7109375" style="1" customWidth="1"/>
    <col min="10" max="10" width="18.7109375" style="1" customWidth="1"/>
    <col min="11" max="11" width="19.7109375" style="1" customWidth="1"/>
    <col min="12" max="12" width="16.7109375" style="1" customWidth="1"/>
    <col min="13" max="13" width="9.7109375" style="1" customWidth="1"/>
    <col min="14" max="14" width="19.7109375" style="1" customWidth="1"/>
    <col min="15" max="15" width="10.7109375" style="1" customWidth="1"/>
  </cols>
  <sheetData>
    <row r="1" spans="1:17" ht="22" customHeight="1">
      <c r="A1" s="3" t="s">
        <v>361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125</v>
      </c>
      <c r="C3" s="1" t="s">
        <v>126</v>
      </c>
      <c r="D3" s="1" t="s">
        <v>127</v>
      </c>
      <c r="E3" s="1" t="s">
        <v>410</v>
      </c>
      <c r="F3" s="1" t="s">
        <v>129</v>
      </c>
      <c r="G3" s="1" t="s">
        <v>130</v>
      </c>
      <c r="H3" s="1" t="s">
        <v>411</v>
      </c>
      <c r="I3" s="1" t="s">
        <v>412</v>
      </c>
      <c r="J3" s="1" t="s">
        <v>413</v>
      </c>
      <c r="K3" s="1" t="s">
        <v>414</v>
      </c>
      <c r="L3" s="1" t="s">
        <v>415</v>
      </c>
      <c r="M3" s="1" t="s">
        <v>288</v>
      </c>
      <c r="N3" s="1" t="s">
        <v>416</v>
      </c>
      <c r="O3" s="1" t="s">
        <v>360</v>
      </c>
    </row>
    <row r="4" spans="1:17">
      <c r="A4" s="1">
        <v>1</v>
      </c>
      <c r="B4" s="1" t="s">
        <v>362</v>
      </c>
      <c r="C4" s="5">
        <v>46028</v>
      </c>
      <c r="D4" s="1" t="s">
        <v>3</v>
      </c>
      <c r="E4" s="6" t="s">
        <v>80</v>
      </c>
      <c r="F4" s="6" t="s">
        <v>13</v>
      </c>
      <c r="G4" s="1" t="s">
        <v>6</v>
      </c>
      <c r="H4" s="1" t="s">
        <v>41</v>
      </c>
      <c r="I4" s="1">
        <v>23</v>
      </c>
      <c r="J4" s="1">
        <v>5</v>
      </c>
      <c r="K4" s="1">
        <v>8</v>
      </c>
      <c r="L4" s="1" t="s">
        <v>10</v>
      </c>
      <c r="M4" s="1" t="s">
        <v>303</v>
      </c>
      <c r="N4" s="1" t="s">
        <v>64</v>
      </c>
      <c r="O4" s="5">
        <v>46056</v>
      </c>
    </row>
    <row r="5" spans="1:17">
      <c r="A5" s="1">
        <v>2</v>
      </c>
      <c r="B5" s="1" t="s">
        <v>363</v>
      </c>
      <c r="C5" s="5">
        <v>46070</v>
      </c>
      <c r="D5" s="1" t="s">
        <v>19</v>
      </c>
      <c r="E5" s="6" t="s">
        <v>77</v>
      </c>
      <c r="F5" s="6" t="s">
        <v>50</v>
      </c>
      <c r="G5" s="1" t="s">
        <v>82</v>
      </c>
      <c r="H5" s="1" t="s">
        <v>15</v>
      </c>
      <c r="I5" s="1">
        <v>31</v>
      </c>
      <c r="J5" s="1">
        <v>0</v>
      </c>
      <c r="K5" s="1">
        <v>6</v>
      </c>
      <c r="L5" s="1" t="s">
        <v>24</v>
      </c>
      <c r="M5" s="1" t="s">
        <v>226</v>
      </c>
      <c r="N5" s="1" t="s">
        <v>16</v>
      </c>
      <c r="O5" s="5">
        <v>46089</v>
      </c>
    </row>
    <row r="6" spans="1:17">
      <c r="A6" s="1">
        <v>3</v>
      </c>
      <c r="B6" s="1" t="s">
        <v>364</v>
      </c>
      <c r="C6" s="5">
        <v>46062</v>
      </c>
      <c r="D6" s="1" t="s">
        <v>19</v>
      </c>
      <c r="E6" s="6" t="s">
        <v>14</v>
      </c>
      <c r="F6" s="6" t="s">
        <v>89</v>
      </c>
      <c r="G6" s="1" t="s">
        <v>21</v>
      </c>
      <c r="H6" s="1" t="s">
        <v>22</v>
      </c>
      <c r="I6" s="1">
        <v>38</v>
      </c>
      <c r="J6" s="1">
        <v>4</v>
      </c>
      <c r="K6" s="1">
        <v>6</v>
      </c>
      <c r="L6" s="1" t="s">
        <v>10</v>
      </c>
      <c r="M6" s="1" t="s">
        <v>226</v>
      </c>
      <c r="N6" s="1" t="s">
        <v>38</v>
      </c>
      <c r="O6" s="5">
        <v>46095</v>
      </c>
    </row>
    <row r="7" spans="1:17">
      <c r="A7" s="1">
        <v>4</v>
      </c>
      <c r="B7" s="1" t="s">
        <v>365</v>
      </c>
      <c r="C7" s="5">
        <v>46063</v>
      </c>
      <c r="D7" s="1" t="s">
        <v>19</v>
      </c>
      <c r="E7" s="6" t="s">
        <v>82</v>
      </c>
      <c r="F7" s="6" t="s">
        <v>89</v>
      </c>
      <c r="G7" s="1" t="s">
        <v>31</v>
      </c>
      <c r="H7" s="1" t="s">
        <v>93</v>
      </c>
      <c r="I7" s="1">
        <v>20</v>
      </c>
      <c r="J7" s="1">
        <v>8</v>
      </c>
      <c r="K7" s="1">
        <v>3</v>
      </c>
      <c r="L7" s="1" t="s">
        <v>24</v>
      </c>
      <c r="M7" s="1" t="s">
        <v>222</v>
      </c>
      <c r="N7" s="1" t="s">
        <v>57</v>
      </c>
      <c r="O7" s="5">
        <v>46107</v>
      </c>
    </row>
    <row r="8" spans="1:17">
      <c r="A8" s="1">
        <v>5</v>
      </c>
      <c r="B8" s="1" t="s">
        <v>366</v>
      </c>
      <c r="C8" s="5">
        <v>46058</v>
      </c>
      <c r="D8" s="1" t="s">
        <v>19</v>
      </c>
      <c r="E8" s="6" t="s">
        <v>35</v>
      </c>
      <c r="F8" s="6" t="s">
        <v>5</v>
      </c>
      <c r="G8" s="1" t="s">
        <v>95</v>
      </c>
      <c r="H8" s="1" t="s">
        <v>7</v>
      </c>
      <c r="I8" s="1">
        <v>34</v>
      </c>
      <c r="J8" s="1">
        <v>2</v>
      </c>
      <c r="K8" s="1">
        <v>6</v>
      </c>
      <c r="L8" s="1" t="s">
        <v>17</v>
      </c>
      <c r="M8" s="1" t="s">
        <v>303</v>
      </c>
      <c r="N8" s="1" t="s">
        <v>45</v>
      </c>
      <c r="O8" s="5">
        <v>46087</v>
      </c>
    </row>
    <row r="9" spans="1:17">
      <c r="A9" s="1">
        <v>6</v>
      </c>
      <c r="B9" s="1" t="s">
        <v>367</v>
      </c>
      <c r="C9" s="5">
        <v>46073</v>
      </c>
      <c r="D9" s="1" t="s">
        <v>19</v>
      </c>
      <c r="E9" s="6" t="s">
        <v>31</v>
      </c>
      <c r="F9" s="6" t="s">
        <v>58</v>
      </c>
      <c r="G9" s="1" t="s">
        <v>35</v>
      </c>
      <c r="H9" s="1" t="s">
        <v>22</v>
      </c>
      <c r="I9" s="1">
        <v>38</v>
      </c>
      <c r="J9" s="1">
        <v>3</v>
      </c>
      <c r="K9" s="1">
        <v>2</v>
      </c>
      <c r="L9" s="1" t="s">
        <v>24</v>
      </c>
      <c r="M9" s="1" t="s">
        <v>303</v>
      </c>
      <c r="N9" s="1" t="s">
        <v>20</v>
      </c>
      <c r="O9" s="5">
        <v>46083</v>
      </c>
    </row>
    <row r="10" spans="1:17">
      <c r="A10" s="1">
        <v>7</v>
      </c>
      <c r="B10" s="1" t="s">
        <v>368</v>
      </c>
      <c r="C10" s="5">
        <v>46066</v>
      </c>
      <c r="D10" s="1" t="s">
        <v>19</v>
      </c>
      <c r="E10" s="6" t="s">
        <v>40</v>
      </c>
      <c r="F10" s="6" t="s">
        <v>58</v>
      </c>
      <c r="G10" s="1" t="s">
        <v>51</v>
      </c>
      <c r="H10" s="1" t="s">
        <v>78</v>
      </c>
      <c r="I10" s="1">
        <v>34</v>
      </c>
      <c r="J10" s="1">
        <v>4</v>
      </c>
      <c r="K10" s="1">
        <v>7</v>
      </c>
      <c r="L10" s="1" t="s">
        <v>24</v>
      </c>
      <c r="M10" s="1" t="s">
        <v>226</v>
      </c>
      <c r="N10" s="1" t="s">
        <v>20</v>
      </c>
      <c r="O10" s="5">
        <v>46086</v>
      </c>
    </row>
    <row r="11" spans="1:17">
      <c r="A11" s="1">
        <v>8</v>
      </c>
      <c r="B11" s="1" t="s">
        <v>369</v>
      </c>
      <c r="C11" s="5">
        <v>46101</v>
      </c>
      <c r="D11" s="1" t="s">
        <v>44</v>
      </c>
      <c r="E11" s="6" t="s">
        <v>82</v>
      </c>
      <c r="F11" s="6" t="s">
        <v>27</v>
      </c>
      <c r="G11" s="1" t="s">
        <v>31</v>
      </c>
      <c r="H11" s="1" t="s">
        <v>28</v>
      </c>
      <c r="I11" s="1">
        <v>36</v>
      </c>
      <c r="J11" s="1">
        <v>0</v>
      </c>
      <c r="K11" s="1">
        <v>5</v>
      </c>
      <c r="L11" s="1" t="s">
        <v>24</v>
      </c>
      <c r="M11" s="1" t="s">
        <v>222</v>
      </c>
      <c r="N11" s="1" t="s">
        <v>26</v>
      </c>
      <c r="O11" s="5">
        <v>46137</v>
      </c>
    </row>
    <row r="12" spans="1:17">
      <c r="A12" s="1">
        <v>9</v>
      </c>
      <c r="B12" s="1" t="s">
        <v>370</v>
      </c>
      <c r="C12" s="5">
        <v>46094</v>
      </c>
      <c r="D12" s="1" t="s">
        <v>44</v>
      </c>
      <c r="E12" s="6" t="s">
        <v>31</v>
      </c>
      <c r="F12" s="6" t="s">
        <v>58</v>
      </c>
      <c r="G12" s="1" t="s">
        <v>6</v>
      </c>
      <c r="H12" s="1" t="s">
        <v>104</v>
      </c>
      <c r="I12" s="1">
        <v>37</v>
      </c>
      <c r="J12" s="1">
        <v>0</v>
      </c>
      <c r="K12" s="1">
        <v>2</v>
      </c>
      <c r="L12" s="1" t="s">
        <v>96</v>
      </c>
      <c r="M12" s="1" t="s">
        <v>303</v>
      </c>
      <c r="N12" s="1" t="s">
        <v>91</v>
      </c>
      <c r="O12" s="5">
        <v>46122</v>
      </c>
    </row>
    <row r="13" spans="1:17">
      <c r="A13" s="1">
        <v>10</v>
      </c>
      <c r="B13" s="1" t="s">
        <v>371</v>
      </c>
      <c r="C13" s="5">
        <v>46099</v>
      </c>
      <c r="D13" s="1" t="s">
        <v>44</v>
      </c>
      <c r="E13" s="6" t="s">
        <v>31</v>
      </c>
      <c r="F13" s="6" t="s">
        <v>50</v>
      </c>
      <c r="G13" s="1" t="s">
        <v>35</v>
      </c>
      <c r="H13" s="1" t="s">
        <v>93</v>
      </c>
      <c r="I13" s="1">
        <v>34</v>
      </c>
      <c r="J13" s="1">
        <v>6</v>
      </c>
      <c r="K13" s="1">
        <v>0</v>
      </c>
      <c r="L13" s="1" t="s">
        <v>17</v>
      </c>
      <c r="M13" s="1" t="s">
        <v>222</v>
      </c>
      <c r="N13" s="1" t="s">
        <v>26</v>
      </c>
      <c r="O13" s="5">
        <v>46144</v>
      </c>
    </row>
    <row r="14" spans="1:17">
      <c r="A14" s="1">
        <v>11</v>
      </c>
      <c r="B14" s="1" t="s">
        <v>372</v>
      </c>
      <c r="C14" s="5">
        <v>46094</v>
      </c>
      <c r="D14" s="1" t="s">
        <v>44</v>
      </c>
      <c r="E14" s="6" t="s">
        <v>80</v>
      </c>
      <c r="F14" s="6" t="s">
        <v>5</v>
      </c>
      <c r="G14" s="1" t="s">
        <v>14</v>
      </c>
      <c r="H14" s="1" t="s">
        <v>68</v>
      </c>
      <c r="I14" s="1">
        <v>17</v>
      </c>
      <c r="J14" s="1">
        <v>8</v>
      </c>
      <c r="K14" s="1">
        <v>8</v>
      </c>
      <c r="L14" s="1" t="s">
        <v>42</v>
      </c>
      <c r="M14" s="1" t="s">
        <v>222</v>
      </c>
      <c r="N14" s="1" t="s">
        <v>20</v>
      </c>
      <c r="O14" s="5">
        <v>46116</v>
      </c>
    </row>
    <row r="15" spans="1:17">
      <c r="A15" s="1">
        <v>12</v>
      </c>
      <c r="B15" s="1" t="s">
        <v>373</v>
      </c>
      <c r="C15" s="5">
        <v>46097</v>
      </c>
      <c r="D15" s="1" t="s">
        <v>44</v>
      </c>
      <c r="E15" s="6" t="s">
        <v>82</v>
      </c>
      <c r="F15" s="6" t="s">
        <v>65</v>
      </c>
      <c r="G15" s="1" t="s">
        <v>40</v>
      </c>
      <c r="H15" s="1" t="s">
        <v>15</v>
      </c>
      <c r="I15" s="1">
        <v>50</v>
      </c>
      <c r="J15" s="1">
        <v>0</v>
      </c>
      <c r="K15" s="1">
        <v>4</v>
      </c>
      <c r="L15" s="1" t="s">
        <v>42</v>
      </c>
      <c r="M15" s="1" t="s">
        <v>222</v>
      </c>
      <c r="N15" s="1" t="s">
        <v>57</v>
      </c>
      <c r="O15" s="5">
        <v>46108</v>
      </c>
    </row>
    <row r="16" spans="1:17">
      <c r="A16" s="1">
        <v>13</v>
      </c>
      <c r="B16" s="1" t="s">
        <v>374</v>
      </c>
      <c r="C16" s="5">
        <v>46088</v>
      </c>
      <c r="D16" s="1" t="s">
        <v>44</v>
      </c>
      <c r="E16" s="6" t="s">
        <v>31</v>
      </c>
      <c r="F16" s="6" t="s">
        <v>50</v>
      </c>
      <c r="G16" s="1" t="s">
        <v>35</v>
      </c>
      <c r="H16" s="1" t="s">
        <v>93</v>
      </c>
      <c r="I16" s="1">
        <v>41</v>
      </c>
      <c r="J16" s="1">
        <v>6</v>
      </c>
      <c r="K16" s="1">
        <v>0</v>
      </c>
      <c r="L16" s="1" t="s">
        <v>42</v>
      </c>
      <c r="M16" s="1" t="s">
        <v>222</v>
      </c>
      <c r="N16" s="1" t="s">
        <v>20</v>
      </c>
      <c r="O16" s="5">
        <v>46108</v>
      </c>
    </row>
    <row r="17" spans="1:15">
      <c r="A17" s="1">
        <v>14</v>
      </c>
      <c r="B17" s="1" t="s">
        <v>375</v>
      </c>
      <c r="C17" s="5">
        <v>46115</v>
      </c>
      <c r="D17" s="1" t="s">
        <v>53</v>
      </c>
      <c r="E17" s="6" t="s">
        <v>80</v>
      </c>
      <c r="F17" s="6" t="s">
        <v>39</v>
      </c>
      <c r="G17" s="1" t="s">
        <v>31</v>
      </c>
      <c r="H17" s="1" t="s">
        <v>66</v>
      </c>
      <c r="I17" s="1">
        <v>50</v>
      </c>
      <c r="J17" s="1">
        <v>7</v>
      </c>
      <c r="K17" s="1">
        <v>7</v>
      </c>
      <c r="L17" s="1" t="s">
        <v>10</v>
      </c>
      <c r="M17" s="1" t="s">
        <v>222</v>
      </c>
      <c r="N17" s="1" t="s">
        <v>38</v>
      </c>
      <c r="O17" s="5">
        <v>46148</v>
      </c>
    </row>
    <row r="18" spans="1:15">
      <c r="A18" s="1">
        <v>15</v>
      </c>
      <c r="B18" s="1" t="s">
        <v>376</v>
      </c>
      <c r="C18" s="5">
        <v>46113</v>
      </c>
      <c r="D18" s="1" t="s">
        <v>53</v>
      </c>
      <c r="E18" s="6" t="s">
        <v>14</v>
      </c>
      <c r="F18" s="6" t="s">
        <v>5</v>
      </c>
      <c r="G18" s="1" t="s">
        <v>35</v>
      </c>
      <c r="H18" s="1" t="s">
        <v>68</v>
      </c>
      <c r="I18" s="1">
        <v>15</v>
      </c>
      <c r="J18" s="1">
        <v>6</v>
      </c>
      <c r="K18" s="1">
        <v>1</v>
      </c>
      <c r="L18" s="1" t="s">
        <v>24</v>
      </c>
      <c r="M18" s="1" t="s">
        <v>222</v>
      </c>
      <c r="N18" s="1" t="s">
        <v>30</v>
      </c>
      <c r="O18" s="5">
        <v>46146</v>
      </c>
    </row>
    <row r="19" spans="1:15">
      <c r="A19" s="1">
        <v>16</v>
      </c>
      <c r="B19" s="1" t="s">
        <v>377</v>
      </c>
      <c r="C19" s="5">
        <v>46151</v>
      </c>
      <c r="D19" s="1" t="s">
        <v>60</v>
      </c>
      <c r="E19" s="6" t="s">
        <v>80</v>
      </c>
      <c r="F19" s="6" t="s">
        <v>27</v>
      </c>
      <c r="G19" s="1" t="s">
        <v>82</v>
      </c>
      <c r="H19" s="1" t="s">
        <v>22</v>
      </c>
      <c r="I19" s="1">
        <v>17</v>
      </c>
      <c r="J19" s="1">
        <v>6</v>
      </c>
      <c r="K19" s="1">
        <v>4</v>
      </c>
      <c r="L19" s="1" t="s">
        <v>42</v>
      </c>
      <c r="M19" s="1" t="s">
        <v>226</v>
      </c>
      <c r="N19" s="1" t="s">
        <v>57</v>
      </c>
      <c r="O19" s="5">
        <v>46169</v>
      </c>
    </row>
    <row r="20" spans="1:15">
      <c r="A20" s="1">
        <v>17</v>
      </c>
      <c r="B20" s="1" t="s">
        <v>378</v>
      </c>
      <c r="C20" s="5">
        <v>46174</v>
      </c>
      <c r="D20" s="1" t="s">
        <v>73</v>
      </c>
      <c r="E20" s="6" t="s">
        <v>14</v>
      </c>
      <c r="F20" s="6" t="s">
        <v>50</v>
      </c>
      <c r="G20" s="1" t="s">
        <v>35</v>
      </c>
      <c r="H20" s="1" t="s">
        <v>36</v>
      </c>
      <c r="I20" s="1">
        <v>25</v>
      </c>
      <c r="J20" s="1">
        <v>6</v>
      </c>
      <c r="K20" s="1">
        <v>6</v>
      </c>
      <c r="L20" s="1" t="s">
        <v>24</v>
      </c>
      <c r="M20" s="1" t="s">
        <v>226</v>
      </c>
      <c r="N20" s="1" t="s">
        <v>45</v>
      </c>
      <c r="O20" s="5">
        <v>46198</v>
      </c>
    </row>
    <row r="21" spans="1:15">
      <c r="A21" s="1">
        <v>18</v>
      </c>
      <c r="B21" s="1" t="s">
        <v>379</v>
      </c>
      <c r="C21" s="5">
        <v>46186</v>
      </c>
      <c r="D21" s="1" t="s">
        <v>73</v>
      </c>
      <c r="E21" s="6" t="s">
        <v>6</v>
      </c>
      <c r="F21" s="6" t="s">
        <v>46</v>
      </c>
      <c r="G21" s="1" t="s">
        <v>77</v>
      </c>
      <c r="H21" s="1" t="s">
        <v>28</v>
      </c>
      <c r="I21" s="1">
        <v>24</v>
      </c>
      <c r="J21" s="1">
        <v>4</v>
      </c>
      <c r="K21" s="1">
        <v>6</v>
      </c>
      <c r="L21" s="1" t="s">
        <v>96</v>
      </c>
      <c r="M21" s="1" t="s">
        <v>222</v>
      </c>
      <c r="N21" s="1" t="s">
        <v>49</v>
      </c>
      <c r="O21" s="5">
        <v>46200</v>
      </c>
    </row>
    <row r="22" spans="1:15">
      <c r="A22" s="1">
        <v>19</v>
      </c>
      <c r="B22" s="1" t="s">
        <v>380</v>
      </c>
      <c r="C22" s="5">
        <v>46198</v>
      </c>
      <c r="D22" s="1" t="s">
        <v>73</v>
      </c>
      <c r="E22" s="6" t="s">
        <v>35</v>
      </c>
      <c r="F22" s="6" t="s">
        <v>92</v>
      </c>
      <c r="G22" s="1" t="s">
        <v>80</v>
      </c>
      <c r="H22" s="1" t="s">
        <v>104</v>
      </c>
      <c r="I22" s="1">
        <v>35</v>
      </c>
      <c r="J22" s="1">
        <v>1</v>
      </c>
      <c r="K22" s="1">
        <v>1</v>
      </c>
      <c r="L22" s="1" t="s">
        <v>17</v>
      </c>
      <c r="M22" s="1" t="s">
        <v>226</v>
      </c>
      <c r="N22" s="1" t="s">
        <v>54</v>
      </c>
      <c r="O22" s="5">
        <v>46243</v>
      </c>
    </row>
    <row r="23" spans="1:15">
      <c r="A23" s="1">
        <v>20</v>
      </c>
      <c r="B23" s="1" t="s">
        <v>381</v>
      </c>
      <c r="C23" s="5">
        <v>46199</v>
      </c>
      <c r="D23" s="1" t="s">
        <v>73</v>
      </c>
      <c r="E23" s="6" t="s">
        <v>80</v>
      </c>
      <c r="F23" s="6" t="s">
        <v>46</v>
      </c>
      <c r="G23" s="1" t="s">
        <v>80</v>
      </c>
      <c r="H23" s="1" t="s">
        <v>70</v>
      </c>
      <c r="I23" s="1">
        <v>35</v>
      </c>
      <c r="J23" s="1">
        <v>8</v>
      </c>
      <c r="K23" s="1">
        <v>6</v>
      </c>
      <c r="L23" s="1" t="s">
        <v>96</v>
      </c>
      <c r="M23" s="1" t="s">
        <v>222</v>
      </c>
      <c r="N23" s="1" t="s">
        <v>64</v>
      </c>
      <c r="O23" s="5">
        <v>46234</v>
      </c>
    </row>
    <row r="24" spans="1:15">
      <c r="A24" s="1">
        <v>21</v>
      </c>
      <c r="B24" s="1" t="s">
        <v>382</v>
      </c>
      <c r="C24" s="5">
        <v>46184</v>
      </c>
      <c r="D24" s="1" t="s">
        <v>73</v>
      </c>
      <c r="E24" s="6" t="s">
        <v>31</v>
      </c>
      <c r="F24" s="6" t="s">
        <v>89</v>
      </c>
      <c r="G24" s="1" t="s">
        <v>80</v>
      </c>
      <c r="H24" s="1" t="s">
        <v>62</v>
      </c>
      <c r="I24" s="1">
        <v>30</v>
      </c>
      <c r="J24" s="1">
        <v>4</v>
      </c>
      <c r="K24" s="1">
        <v>4</v>
      </c>
      <c r="L24" s="1" t="s">
        <v>96</v>
      </c>
      <c r="M24" s="1" t="s">
        <v>222</v>
      </c>
      <c r="N24" s="1" t="s">
        <v>64</v>
      </c>
      <c r="O24" s="5">
        <v>46211</v>
      </c>
    </row>
    <row r="25" spans="1:15">
      <c r="A25" s="1">
        <v>22</v>
      </c>
      <c r="B25" s="1" t="s">
        <v>383</v>
      </c>
      <c r="C25" s="5">
        <v>46178</v>
      </c>
      <c r="D25" s="1" t="s">
        <v>73</v>
      </c>
      <c r="E25" s="6" t="s">
        <v>6</v>
      </c>
      <c r="F25" s="6" t="s">
        <v>50</v>
      </c>
      <c r="G25" s="1" t="s">
        <v>87</v>
      </c>
      <c r="H25" s="1" t="s">
        <v>41</v>
      </c>
      <c r="I25" s="1">
        <v>46</v>
      </c>
      <c r="J25" s="1">
        <v>8</v>
      </c>
      <c r="K25" s="1">
        <v>6</v>
      </c>
      <c r="L25" s="1" t="s">
        <v>10</v>
      </c>
      <c r="M25" s="1" t="s">
        <v>222</v>
      </c>
      <c r="N25" s="1" t="s">
        <v>30</v>
      </c>
      <c r="O25" s="5">
        <v>46190</v>
      </c>
    </row>
    <row r="26" spans="1:15">
      <c r="A26" s="1">
        <v>23</v>
      </c>
      <c r="B26" s="1" t="s">
        <v>384</v>
      </c>
      <c r="C26" s="5">
        <v>46206</v>
      </c>
      <c r="D26" s="1" t="s">
        <v>76</v>
      </c>
      <c r="E26" s="6" t="s">
        <v>40</v>
      </c>
      <c r="F26" s="6" t="s">
        <v>13</v>
      </c>
      <c r="G26" s="1" t="s">
        <v>35</v>
      </c>
      <c r="H26" s="1" t="s">
        <v>104</v>
      </c>
      <c r="I26" s="1">
        <v>31</v>
      </c>
      <c r="J26" s="1">
        <v>0</v>
      </c>
      <c r="K26" s="1">
        <v>5</v>
      </c>
      <c r="L26" s="1" t="s">
        <v>96</v>
      </c>
      <c r="M26" s="1" t="s">
        <v>222</v>
      </c>
      <c r="N26" s="1" t="s">
        <v>12</v>
      </c>
      <c r="O26" s="5">
        <v>46242</v>
      </c>
    </row>
    <row r="27" spans="1:15">
      <c r="A27" s="1">
        <v>24</v>
      </c>
      <c r="B27" s="1" t="s">
        <v>385</v>
      </c>
      <c r="C27" s="5">
        <v>46204</v>
      </c>
      <c r="D27" s="1" t="s">
        <v>76</v>
      </c>
      <c r="E27" s="6" t="s">
        <v>31</v>
      </c>
      <c r="F27" s="6" t="s">
        <v>5</v>
      </c>
      <c r="G27" s="1" t="s">
        <v>80</v>
      </c>
      <c r="H27" s="1" t="s">
        <v>15</v>
      </c>
      <c r="I27" s="1">
        <v>48</v>
      </c>
      <c r="J27" s="1">
        <v>3</v>
      </c>
      <c r="K27" s="1">
        <v>6</v>
      </c>
      <c r="L27" s="1" t="s">
        <v>96</v>
      </c>
      <c r="M27" s="1" t="s">
        <v>222</v>
      </c>
      <c r="N27" s="1" t="s">
        <v>20</v>
      </c>
      <c r="O27" s="5">
        <v>46240</v>
      </c>
    </row>
    <row r="28" spans="1:15">
      <c r="A28" s="1">
        <v>25</v>
      </c>
      <c r="B28" s="1" t="s">
        <v>386</v>
      </c>
      <c r="C28" s="5">
        <v>46224</v>
      </c>
      <c r="D28" s="1" t="s">
        <v>76</v>
      </c>
      <c r="E28" s="6" t="s">
        <v>51</v>
      </c>
      <c r="F28" s="6" t="s">
        <v>5</v>
      </c>
      <c r="G28" s="1" t="s">
        <v>40</v>
      </c>
      <c r="H28" s="1" t="s">
        <v>28</v>
      </c>
      <c r="I28" s="1">
        <v>37</v>
      </c>
      <c r="J28" s="1">
        <v>2</v>
      </c>
      <c r="K28" s="1">
        <v>6</v>
      </c>
      <c r="L28" s="1" t="s">
        <v>10</v>
      </c>
      <c r="M28" s="1" t="s">
        <v>222</v>
      </c>
      <c r="N28" s="1" t="s">
        <v>64</v>
      </c>
      <c r="O28" s="5">
        <v>46234</v>
      </c>
    </row>
    <row r="29" spans="1:15">
      <c r="A29" s="1">
        <v>26</v>
      </c>
      <c r="B29" s="1" t="s">
        <v>387</v>
      </c>
      <c r="C29" s="5">
        <v>46247</v>
      </c>
      <c r="D29" s="1" t="s">
        <v>86</v>
      </c>
      <c r="E29" s="6" t="s">
        <v>21</v>
      </c>
      <c r="F29" s="6" t="s">
        <v>89</v>
      </c>
      <c r="G29" s="1" t="s">
        <v>6</v>
      </c>
      <c r="H29" s="1" t="s">
        <v>62</v>
      </c>
      <c r="I29" s="1">
        <v>40</v>
      </c>
      <c r="J29" s="1">
        <v>1</v>
      </c>
      <c r="K29" s="1">
        <v>8</v>
      </c>
      <c r="L29" s="1" t="s">
        <v>10</v>
      </c>
      <c r="M29" s="1" t="s">
        <v>222</v>
      </c>
      <c r="N29" s="1" t="s">
        <v>30</v>
      </c>
      <c r="O29" s="5">
        <v>46269</v>
      </c>
    </row>
    <row r="30" spans="1:15">
      <c r="A30" s="1">
        <v>27</v>
      </c>
      <c r="B30" s="1" t="s">
        <v>388</v>
      </c>
      <c r="C30" s="5">
        <v>46251</v>
      </c>
      <c r="D30" s="1" t="s">
        <v>86</v>
      </c>
      <c r="E30" s="6" t="s">
        <v>35</v>
      </c>
      <c r="F30" s="6" t="s">
        <v>5</v>
      </c>
      <c r="G30" s="1" t="s">
        <v>80</v>
      </c>
      <c r="H30" s="1" t="s">
        <v>41</v>
      </c>
      <c r="I30" s="1">
        <v>45</v>
      </c>
      <c r="J30" s="1">
        <v>1</v>
      </c>
      <c r="K30" s="1">
        <v>0</v>
      </c>
      <c r="L30" s="1" t="s">
        <v>10</v>
      </c>
      <c r="M30" s="1" t="s">
        <v>303</v>
      </c>
      <c r="N30" s="1" t="s">
        <v>26</v>
      </c>
      <c r="O30" s="5">
        <v>46280</v>
      </c>
    </row>
    <row r="31" spans="1:15">
      <c r="A31" s="1">
        <v>28</v>
      </c>
      <c r="B31" s="1" t="s">
        <v>389</v>
      </c>
      <c r="C31" s="5">
        <v>46259</v>
      </c>
      <c r="D31" s="1" t="s">
        <v>86</v>
      </c>
      <c r="E31" s="6" t="s">
        <v>35</v>
      </c>
      <c r="F31" s="6" t="s">
        <v>39</v>
      </c>
      <c r="G31" s="1" t="s">
        <v>95</v>
      </c>
      <c r="H31" s="1" t="s">
        <v>104</v>
      </c>
      <c r="I31" s="1">
        <v>32</v>
      </c>
      <c r="J31" s="1">
        <v>8</v>
      </c>
      <c r="K31" s="1">
        <v>8</v>
      </c>
      <c r="L31" s="1" t="s">
        <v>24</v>
      </c>
      <c r="M31" s="1" t="s">
        <v>303</v>
      </c>
      <c r="N31" s="1" t="s">
        <v>91</v>
      </c>
      <c r="O31" s="5">
        <v>46274</v>
      </c>
    </row>
    <row r="32" spans="1:15">
      <c r="A32" s="1">
        <v>29</v>
      </c>
      <c r="B32" s="1" t="s">
        <v>390</v>
      </c>
      <c r="C32" s="5">
        <v>46236</v>
      </c>
      <c r="D32" s="1" t="s">
        <v>86</v>
      </c>
      <c r="E32" s="6" t="s">
        <v>35</v>
      </c>
      <c r="F32" s="6" t="s">
        <v>89</v>
      </c>
      <c r="G32" s="1" t="s">
        <v>40</v>
      </c>
      <c r="H32" s="1" t="s">
        <v>70</v>
      </c>
      <c r="I32" s="1">
        <v>27</v>
      </c>
      <c r="J32" s="1">
        <v>8</v>
      </c>
      <c r="K32" s="1">
        <v>7</v>
      </c>
      <c r="L32" s="1" t="s">
        <v>42</v>
      </c>
      <c r="M32" s="1" t="s">
        <v>222</v>
      </c>
      <c r="N32" s="1" t="s">
        <v>4</v>
      </c>
      <c r="O32" s="5">
        <v>46269</v>
      </c>
    </row>
    <row r="33" spans="1:15">
      <c r="A33" s="1">
        <v>30</v>
      </c>
      <c r="B33" s="1" t="s">
        <v>391</v>
      </c>
      <c r="C33" s="5">
        <v>46240</v>
      </c>
      <c r="D33" s="1" t="s">
        <v>86</v>
      </c>
      <c r="E33" s="6" t="s">
        <v>77</v>
      </c>
      <c r="F33" s="6" t="s">
        <v>50</v>
      </c>
      <c r="G33" s="1" t="s">
        <v>80</v>
      </c>
      <c r="H33" s="1" t="s">
        <v>15</v>
      </c>
      <c r="I33" s="1">
        <v>23</v>
      </c>
      <c r="J33" s="1">
        <v>2</v>
      </c>
      <c r="K33" s="1">
        <v>5</v>
      </c>
      <c r="L33" s="1" t="s">
        <v>10</v>
      </c>
      <c r="M33" s="1" t="s">
        <v>303</v>
      </c>
      <c r="N33" s="1" t="s">
        <v>49</v>
      </c>
      <c r="O33" s="5">
        <v>46249</v>
      </c>
    </row>
    <row r="34" spans="1:15">
      <c r="A34" s="1">
        <v>31</v>
      </c>
      <c r="B34" s="1" t="s">
        <v>392</v>
      </c>
      <c r="C34" s="5">
        <v>46250</v>
      </c>
      <c r="D34" s="1" t="s">
        <v>86</v>
      </c>
      <c r="E34" s="6" t="s">
        <v>14</v>
      </c>
      <c r="F34" s="6" t="s">
        <v>27</v>
      </c>
      <c r="G34" s="1" t="s">
        <v>77</v>
      </c>
      <c r="H34" s="1" t="s">
        <v>104</v>
      </c>
      <c r="I34" s="1">
        <v>20</v>
      </c>
      <c r="J34" s="1">
        <v>7</v>
      </c>
      <c r="K34" s="1">
        <v>5</v>
      </c>
      <c r="L34" s="1" t="s">
        <v>96</v>
      </c>
      <c r="M34" s="1" t="s">
        <v>222</v>
      </c>
      <c r="N34" s="1" t="s">
        <v>16</v>
      </c>
      <c r="O34" s="5">
        <v>46258</v>
      </c>
    </row>
    <row r="35" spans="1:15">
      <c r="A35" s="1">
        <v>32</v>
      </c>
      <c r="B35" s="1" t="s">
        <v>393</v>
      </c>
      <c r="C35" s="5">
        <v>46248</v>
      </c>
      <c r="D35" s="1" t="s">
        <v>86</v>
      </c>
      <c r="E35" s="6" t="s">
        <v>14</v>
      </c>
      <c r="F35" s="6" t="s">
        <v>13</v>
      </c>
      <c r="G35" s="1" t="s">
        <v>21</v>
      </c>
      <c r="H35" s="1" t="s">
        <v>68</v>
      </c>
      <c r="I35" s="1">
        <v>22</v>
      </c>
      <c r="J35" s="1">
        <v>7</v>
      </c>
      <c r="K35" s="1">
        <v>7</v>
      </c>
      <c r="L35" s="1" t="s">
        <v>96</v>
      </c>
      <c r="M35" s="1" t="s">
        <v>331</v>
      </c>
      <c r="N35" s="1" t="s">
        <v>4</v>
      </c>
      <c r="O35" s="5">
        <v>46271</v>
      </c>
    </row>
    <row r="36" spans="1:15">
      <c r="A36" s="1">
        <v>33</v>
      </c>
      <c r="B36" s="1" t="s">
        <v>394</v>
      </c>
      <c r="C36" s="5">
        <v>46245</v>
      </c>
      <c r="D36" s="1" t="s">
        <v>86</v>
      </c>
      <c r="E36" s="6" t="s">
        <v>35</v>
      </c>
      <c r="F36" s="6" t="s">
        <v>65</v>
      </c>
      <c r="G36" s="1" t="s">
        <v>51</v>
      </c>
      <c r="H36" s="1" t="s">
        <v>36</v>
      </c>
      <c r="I36" s="1">
        <v>21</v>
      </c>
      <c r="J36" s="1">
        <v>5</v>
      </c>
      <c r="K36" s="1">
        <v>4</v>
      </c>
      <c r="L36" s="1" t="s">
        <v>96</v>
      </c>
      <c r="M36" s="1" t="s">
        <v>226</v>
      </c>
      <c r="N36" s="1" t="s">
        <v>4</v>
      </c>
      <c r="O36" s="5">
        <v>46263</v>
      </c>
    </row>
    <row r="37" spans="1:15">
      <c r="A37" s="1">
        <v>34</v>
      </c>
      <c r="B37" s="1" t="s">
        <v>395</v>
      </c>
      <c r="C37" s="5">
        <v>46276</v>
      </c>
      <c r="D37" s="1" t="s">
        <v>102</v>
      </c>
      <c r="E37" s="6" t="s">
        <v>95</v>
      </c>
      <c r="F37" s="6" t="s">
        <v>65</v>
      </c>
      <c r="G37" s="1" t="s">
        <v>80</v>
      </c>
      <c r="H37" s="1" t="s">
        <v>28</v>
      </c>
      <c r="I37" s="1">
        <v>34</v>
      </c>
      <c r="J37" s="1">
        <v>4</v>
      </c>
      <c r="K37" s="1">
        <v>8</v>
      </c>
      <c r="L37" s="1" t="s">
        <v>10</v>
      </c>
      <c r="M37" s="1" t="s">
        <v>222</v>
      </c>
      <c r="N37" s="1" t="s">
        <v>57</v>
      </c>
      <c r="O37" s="5">
        <v>46319</v>
      </c>
    </row>
    <row r="38" spans="1:15">
      <c r="A38" s="1">
        <v>35</v>
      </c>
      <c r="B38" s="1" t="s">
        <v>396</v>
      </c>
      <c r="C38" s="5">
        <v>46267</v>
      </c>
      <c r="D38" s="1" t="s">
        <v>102</v>
      </c>
      <c r="E38" s="6" t="s">
        <v>31</v>
      </c>
      <c r="F38" s="6" t="s">
        <v>50</v>
      </c>
      <c r="G38" s="1" t="s">
        <v>31</v>
      </c>
      <c r="H38" s="1" t="s">
        <v>62</v>
      </c>
      <c r="I38" s="1">
        <v>37</v>
      </c>
      <c r="J38" s="1">
        <v>6</v>
      </c>
      <c r="K38" s="1">
        <v>2</v>
      </c>
      <c r="L38" s="1" t="s">
        <v>17</v>
      </c>
      <c r="M38" s="1" t="s">
        <v>222</v>
      </c>
      <c r="N38" s="1" t="s">
        <v>57</v>
      </c>
      <c r="O38" s="5">
        <v>46292</v>
      </c>
    </row>
    <row r="39" spans="1:15">
      <c r="A39" s="1">
        <v>36</v>
      </c>
      <c r="B39" s="1" t="s">
        <v>397</v>
      </c>
      <c r="C39" s="5">
        <v>46276</v>
      </c>
      <c r="D39" s="1" t="s">
        <v>102</v>
      </c>
      <c r="E39" s="6" t="s">
        <v>77</v>
      </c>
      <c r="F39" s="6" t="s">
        <v>89</v>
      </c>
      <c r="G39" s="1" t="s">
        <v>40</v>
      </c>
      <c r="H39" s="1" t="s">
        <v>66</v>
      </c>
      <c r="I39" s="1">
        <v>31</v>
      </c>
      <c r="J39" s="1">
        <v>4</v>
      </c>
      <c r="K39" s="1">
        <v>8</v>
      </c>
      <c r="L39" s="1" t="s">
        <v>96</v>
      </c>
      <c r="M39" s="1" t="s">
        <v>222</v>
      </c>
      <c r="N39" s="1" t="s">
        <v>54</v>
      </c>
      <c r="O39" s="5">
        <v>46297</v>
      </c>
    </row>
    <row r="40" spans="1:15">
      <c r="A40" s="1">
        <v>37</v>
      </c>
      <c r="B40" s="1" t="s">
        <v>398</v>
      </c>
      <c r="C40" s="5">
        <v>46272</v>
      </c>
      <c r="D40" s="1" t="s">
        <v>102</v>
      </c>
      <c r="E40" s="6" t="s">
        <v>21</v>
      </c>
      <c r="F40" s="6" t="s">
        <v>50</v>
      </c>
      <c r="G40" s="1" t="s">
        <v>80</v>
      </c>
      <c r="H40" s="1" t="s">
        <v>7</v>
      </c>
      <c r="I40" s="1">
        <v>27</v>
      </c>
      <c r="J40" s="1">
        <v>2</v>
      </c>
      <c r="K40" s="1">
        <v>0</v>
      </c>
      <c r="L40" s="1" t="s">
        <v>10</v>
      </c>
      <c r="M40" s="1" t="s">
        <v>226</v>
      </c>
      <c r="N40" s="1" t="s">
        <v>54</v>
      </c>
      <c r="O40" s="5">
        <v>46287</v>
      </c>
    </row>
    <row r="41" spans="1:15">
      <c r="A41" s="1">
        <v>38</v>
      </c>
      <c r="B41" s="1" t="s">
        <v>399</v>
      </c>
      <c r="C41" s="5">
        <v>46280</v>
      </c>
      <c r="D41" s="1" t="s">
        <v>102</v>
      </c>
      <c r="E41" s="6" t="s">
        <v>40</v>
      </c>
      <c r="F41" s="6" t="s">
        <v>89</v>
      </c>
      <c r="G41" s="1" t="s">
        <v>40</v>
      </c>
      <c r="H41" s="1" t="s">
        <v>28</v>
      </c>
      <c r="I41" s="1">
        <v>34</v>
      </c>
      <c r="J41" s="1">
        <v>7</v>
      </c>
      <c r="K41" s="1">
        <v>1</v>
      </c>
      <c r="L41" s="1" t="s">
        <v>17</v>
      </c>
      <c r="M41" s="1" t="s">
        <v>303</v>
      </c>
      <c r="N41" s="1" t="s">
        <v>4</v>
      </c>
      <c r="O41" s="5">
        <v>46293</v>
      </c>
    </row>
    <row r="42" spans="1:15">
      <c r="A42" s="1">
        <v>39</v>
      </c>
      <c r="B42" s="1" t="s">
        <v>400</v>
      </c>
      <c r="C42" s="5">
        <v>46273</v>
      </c>
      <c r="D42" s="1" t="s">
        <v>102</v>
      </c>
      <c r="E42" s="6" t="s">
        <v>87</v>
      </c>
      <c r="F42" s="6" t="s">
        <v>27</v>
      </c>
      <c r="G42" s="1" t="s">
        <v>21</v>
      </c>
      <c r="H42" s="1" t="s">
        <v>7</v>
      </c>
      <c r="I42" s="1">
        <v>43</v>
      </c>
      <c r="J42" s="1">
        <v>1</v>
      </c>
      <c r="K42" s="1">
        <v>4</v>
      </c>
      <c r="L42" s="1" t="s">
        <v>96</v>
      </c>
      <c r="M42" s="1" t="s">
        <v>222</v>
      </c>
      <c r="N42" s="1" t="s">
        <v>12</v>
      </c>
      <c r="O42" s="5">
        <v>46299</v>
      </c>
    </row>
    <row r="43" spans="1:15">
      <c r="A43" s="1">
        <v>40</v>
      </c>
      <c r="B43" s="1" t="s">
        <v>401</v>
      </c>
      <c r="C43" s="5">
        <v>46282</v>
      </c>
      <c r="D43" s="1" t="s">
        <v>102</v>
      </c>
      <c r="E43" s="6" t="s">
        <v>6</v>
      </c>
      <c r="F43" s="6" t="s">
        <v>5</v>
      </c>
      <c r="G43" s="1" t="s">
        <v>14</v>
      </c>
      <c r="H43" s="1" t="s">
        <v>68</v>
      </c>
      <c r="I43" s="1">
        <v>27</v>
      </c>
      <c r="J43" s="1">
        <v>8</v>
      </c>
      <c r="K43" s="1">
        <v>3</v>
      </c>
      <c r="L43" s="1" t="s">
        <v>42</v>
      </c>
      <c r="M43" s="1" t="s">
        <v>226</v>
      </c>
      <c r="N43" s="1" t="s">
        <v>38</v>
      </c>
      <c r="O43" s="5">
        <v>46288</v>
      </c>
    </row>
    <row r="44" spans="1:15">
      <c r="A44" s="1">
        <v>41</v>
      </c>
      <c r="B44" s="1" t="s">
        <v>402</v>
      </c>
      <c r="C44" s="5">
        <v>46314</v>
      </c>
      <c r="D44" s="1" t="s">
        <v>106</v>
      </c>
      <c r="E44" s="6" t="s">
        <v>40</v>
      </c>
      <c r="F44" s="6" t="s">
        <v>58</v>
      </c>
      <c r="G44" s="1" t="s">
        <v>21</v>
      </c>
      <c r="H44" s="1" t="s">
        <v>70</v>
      </c>
      <c r="I44" s="1">
        <v>46</v>
      </c>
      <c r="J44" s="1">
        <v>7</v>
      </c>
      <c r="K44" s="1">
        <v>8</v>
      </c>
      <c r="L44" s="1" t="s">
        <v>17</v>
      </c>
      <c r="M44" s="1" t="s">
        <v>222</v>
      </c>
      <c r="N44" s="1" t="s">
        <v>12</v>
      </c>
      <c r="O44" s="5">
        <v>46345</v>
      </c>
    </row>
    <row r="45" spans="1:15">
      <c r="A45" s="1">
        <v>42</v>
      </c>
      <c r="B45" s="1" t="s">
        <v>403</v>
      </c>
      <c r="C45" s="5">
        <v>46314</v>
      </c>
      <c r="D45" s="1" t="s">
        <v>106</v>
      </c>
      <c r="E45" s="6" t="s">
        <v>14</v>
      </c>
      <c r="F45" s="6" t="s">
        <v>39</v>
      </c>
      <c r="G45" s="1" t="s">
        <v>82</v>
      </c>
      <c r="H45" s="1" t="s">
        <v>32</v>
      </c>
      <c r="I45" s="1">
        <v>48</v>
      </c>
      <c r="J45" s="1">
        <v>3</v>
      </c>
      <c r="K45" s="1">
        <v>2</v>
      </c>
      <c r="L45" s="1" t="s">
        <v>96</v>
      </c>
      <c r="M45" s="1" t="s">
        <v>222</v>
      </c>
      <c r="N45" s="1" t="s">
        <v>54</v>
      </c>
      <c r="O45" s="5">
        <v>46336</v>
      </c>
    </row>
    <row r="46" spans="1:15">
      <c r="A46" s="1">
        <v>43</v>
      </c>
      <c r="B46" s="1" t="s">
        <v>404</v>
      </c>
      <c r="C46" s="5">
        <v>46297</v>
      </c>
      <c r="D46" s="1" t="s">
        <v>106</v>
      </c>
      <c r="E46" s="6" t="s">
        <v>40</v>
      </c>
      <c r="F46" s="6" t="s">
        <v>13</v>
      </c>
      <c r="G46" s="1" t="s">
        <v>95</v>
      </c>
      <c r="H46" s="1" t="s">
        <v>28</v>
      </c>
      <c r="I46" s="1">
        <v>44</v>
      </c>
      <c r="J46" s="1">
        <v>3</v>
      </c>
      <c r="K46" s="1">
        <v>2</v>
      </c>
      <c r="L46" s="1" t="s">
        <v>96</v>
      </c>
      <c r="M46" s="1" t="s">
        <v>222</v>
      </c>
      <c r="N46" s="1" t="s">
        <v>57</v>
      </c>
      <c r="O46" s="5">
        <v>46322</v>
      </c>
    </row>
    <row r="47" spans="1:15">
      <c r="A47" s="1">
        <v>44</v>
      </c>
      <c r="B47" s="1" t="s">
        <v>405</v>
      </c>
      <c r="C47" s="5">
        <v>46333</v>
      </c>
      <c r="D47" s="1" t="s">
        <v>111</v>
      </c>
      <c r="E47" s="6" t="s">
        <v>77</v>
      </c>
      <c r="F47" s="6" t="s">
        <v>89</v>
      </c>
      <c r="G47" s="1" t="s">
        <v>51</v>
      </c>
      <c r="H47" s="1" t="s">
        <v>93</v>
      </c>
      <c r="I47" s="1">
        <v>20</v>
      </c>
      <c r="J47" s="1">
        <v>4</v>
      </c>
      <c r="K47" s="1">
        <v>3</v>
      </c>
      <c r="L47" s="1" t="s">
        <v>10</v>
      </c>
      <c r="M47" s="1" t="s">
        <v>226</v>
      </c>
      <c r="N47" s="1" t="s">
        <v>54</v>
      </c>
      <c r="O47" s="5">
        <v>46366</v>
      </c>
    </row>
    <row r="48" spans="1:15">
      <c r="A48" s="1">
        <v>45</v>
      </c>
      <c r="B48" s="1" t="s">
        <v>406</v>
      </c>
      <c r="C48" s="5">
        <v>46341</v>
      </c>
      <c r="D48" s="1" t="s">
        <v>111</v>
      </c>
      <c r="E48" s="6" t="s">
        <v>21</v>
      </c>
      <c r="F48" s="6" t="s">
        <v>58</v>
      </c>
      <c r="G48" s="1" t="s">
        <v>51</v>
      </c>
      <c r="H48" s="1" t="s">
        <v>62</v>
      </c>
      <c r="I48" s="1">
        <v>19</v>
      </c>
      <c r="J48" s="1">
        <v>7</v>
      </c>
      <c r="K48" s="1">
        <v>6</v>
      </c>
      <c r="L48" s="1" t="s">
        <v>24</v>
      </c>
      <c r="M48" s="1" t="s">
        <v>226</v>
      </c>
      <c r="N48" s="1" t="s">
        <v>20</v>
      </c>
      <c r="O48" s="5">
        <v>46362</v>
      </c>
    </row>
    <row r="49" spans="1:15">
      <c r="A49" s="1">
        <v>46</v>
      </c>
      <c r="B49" s="1" t="s">
        <v>407</v>
      </c>
      <c r="C49" s="5">
        <v>46352</v>
      </c>
      <c r="D49" s="1" t="s">
        <v>111</v>
      </c>
      <c r="E49" s="6" t="s">
        <v>82</v>
      </c>
      <c r="F49" s="6" t="s">
        <v>13</v>
      </c>
      <c r="G49" s="1" t="s">
        <v>35</v>
      </c>
      <c r="H49" s="1" t="s">
        <v>22</v>
      </c>
      <c r="I49" s="1">
        <v>45</v>
      </c>
      <c r="J49" s="1">
        <v>6</v>
      </c>
      <c r="K49" s="1">
        <v>1</v>
      </c>
      <c r="L49" s="1" t="s">
        <v>42</v>
      </c>
      <c r="M49" s="1" t="s">
        <v>222</v>
      </c>
      <c r="N49" s="1" t="s">
        <v>61</v>
      </c>
      <c r="O49" s="5">
        <v>46392</v>
      </c>
    </row>
    <row r="50" spans="1:15">
      <c r="A50" s="1">
        <v>47</v>
      </c>
      <c r="B50" s="1" t="s">
        <v>408</v>
      </c>
      <c r="C50" s="5">
        <v>46333</v>
      </c>
      <c r="D50" s="1" t="s">
        <v>111</v>
      </c>
      <c r="E50" s="6" t="s">
        <v>80</v>
      </c>
      <c r="F50" s="6" t="s">
        <v>46</v>
      </c>
      <c r="G50" s="1" t="s">
        <v>21</v>
      </c>
      <c r="H50" s="1" t="s">
        <v>68</v>
      </c>
      <c r="I50" s="1">
        <v>29</v>
      </c>
      <c r="J50" s="1">
        <v>6</v>
      </c>
      <c r="K50" s="1">
        <v>6</v>
      </c>
      <c r="L50" s="1" t="s">
        <v>42</v>
      </c>
      <c r="M50" s="1" t="s">
        <v>222</v>
      </c>
      <c r="N50" s="1" t="s">
        <v>26</v>
      </c>
      <c r="O50" s="5">
        <v>46357</v>
      </c>
    </row>
    <row r="51" spans="1:15">
      <c r="A51" s="1">
        <v>48</v>
      </c>
      <c r="B51" s="1" t="s">
        <v>409</v>
      </c>
      <c r="C51" s="5">
        <v>46362</v>
      </c>
      <c r="D51" s="1" t="s">
        <v>122</v>
      </c>
      <c r="E51" s="6" t="s">
        <v>51</v>
      </c>
      <c r="F51" s="6" t="s">
        <v>5</v>
      </c>
      <c r="G51" s="1" t="s">
        <v>31</v>
      </c>
      <c r="H51" s="1" t="s">
        <v>32</v>
      </c>
      <c r="I51" s="1">
        <v>30</v>
      </c>
      <c r="J51" s="1">
        <v>7</v>
      </c>
      <c r="K51" s="1">
        <v>0</v>
      </c>
      <c r="L51" s="1" t="s">
        <v>96</v>
      </c>
      <c r="M51" s="1" t="s">
        <v>222</v>
      </c>
      <c r="N51" s="1" t="s">
        <v>20</v>
      </c>
      <c r="O51" s="5">
        <v>46367</v>
      </c>
    </row>
  </sheetData>
  <mergeCells count="2">
    <mergeCell ref="A1:O1"/>
    <mergeCell ref="A2:O2"/>
  </mergeCells>
  <dataValidations count="3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M4:M100003">
      <formula1>L_Status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64748B"/>
    <pageSetUpPr fitToPage="1"/>
  </sheetPr>
  <dimension ref="A1:Q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4" width="9.7109375" style="1" customWidth="1"/>
    <col min="5" max="5" width="22.7109375" style="1" customWidth="1"/>
    <col min="6" max="6" width="12.7109375" style="1" customWidth="1"/>
    <col min="7" max="7" width="10.7109375" style="1" customWidth="1"/>
    <col min="8" max="8" width="11.7109375" style="1" customWidth="1"/>
    <col min="9" max="9" width="23.7109375" style="1" customWidth="1"/>
    <col min="10" max="10" width="18.7109375" style="1" customWidth="1"/>
    <col min="11" max="11" width="19.7109375" style="1" customWidth="1"/>
    <col min="12" max="12" width="16.7109375" style="1" customWidth="1"/>
    <col min="13" max="13" width="9.7109375" style="1" customWidth="1"/>
    <col min="14" max="14" width="19.7109375" style="1" customWidth="1"/>
    <col min="15" max="15" width="10.7109375" style="1" customWidth="1"/>
  </cols>
  <sheetData>
    <row r="1" spans="1:17" ht="22" customHeight="1">
      <c r="A1" s="3" t="s">
        <v>417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125</v>
      </c>
      <c r="C3" s="1" t="s">
        <v>126</v>
      </c>
      <c r="D3" s="1" t="s">
        <v>127</v>
      </c>
      <c r="E3" s="1" t="s">
        <v>410</v>
      </c>
      <c r="F3" s="1" t="s">
        <v>129</v>
      </c>
      <c r="G3" s="1" t="s">
        <v>130</v>
      </c>
      <c r="H3" s="1" t="s">
        <v>411</v>
      </c>
      <c r="I3" s="1" t="s">
        <v>412</v>
      </c>
      <c r="J3" s="1" t="s">
        <v>413</v>
      </c>
      <c r="K3" s="1" t="s">
        <v>414</v>
      </c>
      <c r="L3" s="1" t="s">
        <v>415</v>
      </c>
      <c r="M3" s="1" t="s">
        <v>288</v>
      </c>
      <c r="N3" s="1" t="s">
        <v>416</v>
      </c>
      <c r="O3" s="1" t="s">
        <v>360</v>
      </c>
    </row>
    <row r="4" spans="1:17">
      <c r="A4" s="1">
        <v>1</v>
      </c>
      <c r="B4" s="1" t="s">
        <v>418</v>
      </c>
      <c r="C4" s="5">
        <v>46024</v>
      </c>
      <c r="D4" s="1" t="s">
        <v>3</v>
      </c>
      <c r="E4" s="6" t="s">
        <v>51</v>
      </c>
      <c r="F4" s="6" t="s">
        <v>65</v>
      </c>
      <c r="G4" s="1" t="s">
        <v>77</v>
      </c>
      <c r="H4" s="1" t="s">
        <v>68</v>
      </c>
      <c r="I4" s="1">
        <v>50</v>
      </c>
      <c r="J4" s="1">
        <v>4</v>
      </c>
      <c r="K4" s="1">
        <v>8</v>
      </c>
      <c r="L4" s="1" t="s">
        <v>10</v>
      </c>
      <c r="M4" s="1" t="s">
        <v>226</v>
      </c>
      <c r="N4" s="1" t="s">
        <v>20</v>
      </c>
      <c r="O4" s="5">
        <v>46039</v>
      </c>
    </row>
    <row r="5" spans="1:17">
      <c r="A5" s="1">
        <v>2</v>
      </c>
      <c r="B5" s="1" t="s">
        <v>419</v>
      </c>
      <c r="C5" s="5">
        <v>46031</v>
      </c>
      <c r="D5" s="1" t="s">
        <v>3</v>
      </c>
      <c r="E5" s="6" t="s">
        <v>21</v>
      </c>
      <c r="F5" s="6" t="s">
        <v>58</v>
      </c>
      <c r="G5" s="1" t="s">
        <v>14</v>
      </c>
      <c r="H5" s="1" t="s">
        <v>28</v>
      </c>
      <c r="I5" s="1">
        <v>21</v>
      </c>
      <c r="J5" s="1">
        <v>6</v>
      </c>
      <c r="K5" s="1">
        <v>2</v>
      </c>
      <c r="L5" s="1" t="s">
        <v>42</v>
      </c>
      <c r="M5" s="1" t="s">
        <v>303</v>
      </c>
      <c r="N5" s="1" t="s">
        <v>38</v>
      </c>
      <c r="O5" s="5">
        <v>46047</v>
      </c>
    </row>
    <row r="6" spans="1:17">
      <c r="A6" s="1">
        <v>3</v>
      </c>
      <c r="B6" s="1" t="s">
        <v>420</v>
      </c>
      <c r="C6" s="5">
        <v>46043</v>
      </c>
      <c r="D6" s="1" t="s">
        <v>3</v>
      </c>
      <c r="E6" s="6" t="s">
        <v>82</v>
      </c>
      <c r="F6" s="6" t="s">
        <v>65</v>
      </c>
      <c r="G6" s="1" t="s">
        <v>31</v>
      </c>
      <c r="H6" s="1" t="s">
        <v>70</v>
      </c>
      <c r="I6" s="1">
        <v>43</v>
      </c>
      <c r="J6" s="1">
        <v>6</v>
      </c>
      <c r="K6" s="1">
        <v>0</v>
      </c>
      <c r="L6" s="1" t="s">
        <v>17</v>
      </c>
      <c r="M6" s="1" t="s">
        <v>222</v>
      </c>
      <c r="N6" s="1" t="s">
        <v>4</v>
      </c>
      <c r="O6" s="5">
        <v>46083</v>
      </c>
    </row>
    <row r="7" spans="1:17">
      <c r="A7" s="1">
        <v>4</v>
      </c>
      <c r="B7" s="1" t="s">
        <v>421</v>
      </c>
      <c r="C7" s="5">
        <v>46042</v>
      </c>
      <c r="D7" s="1" t="s">
        <v>3</v>
      </c>
      <c r="E7" s="6" t="s">
        <v>87</v>
      </c>
      <c r="F7" s="6" t="s">
        <v>89</v>
      </c>
      <c r="G7" s="1" t="s">
        <v>40</v>
      </c>
      <c r="H7" s="1" t="s">
        <v>41</v>
      </c>
      <c r="I7" s="1">
        <v>32</v>
      </c>
      <c r="J7" s="1">
        <v>7</v>
      </c>
      <c r="K7" s="1">
        <v>7</v>
      </c>
      <c r="L7" s="1" t="s">
        <v>10</v>
      </c>
      <c r="M7" s="1" t="s">
        <v>222</v>
      </c>
      <c r="N7" s="1" t="s">
        <v>4</v>
      </c>
      <c r="O7" s="5">
        <v>46078</v>
      </c>
    </row>
    <row r="8" spans="1:17">
      <c r="A8" s="1">
        <v>5</v>
      </c>
      <c r="B8" s="1" t="s">
        <v>422</v>
      </c>
      <c r="C8" s="5">
        <v>46025</v>
      </c>
      <c r="D8" s="1" t="s">
        <v>3</v>
      </c>
      <c r="E8" s="6" t="s">
        <v>77</v>
      </c>
      <c r="F8" s="6" t="s">
        <v>39</v>
      </c>
      <c r="G8" s="1" t="s">
        <v>95</v>
      </c>
      <c r="H8" s="1" t="s">
        <v>15</v>
      </c>
      <c r="I8" s="1">
        <v>18</v>
      </c>
      <c r="J8" s="1">
        <v>6</v>
      </c>
      <c r="K8" s="1">
        <v>6</v>
      </c>
      <c r="L8" s="1" t="s">
        <v>96</v>
      </c>
      <c r="M8" s="1" t="s">
        <v>222</v>
      </c>
      <c r="N8" s="1" t="s">
        <v>26</v>
      </c>
      <c r="O8" s="5">
        <v>46030</v>
      </c>
    </row>
    <row r="9" spans="1:17">
      <c r="A9" s="1">
        <v>6</v>
      </c>
      <c r="B9" s="1" t="s">
        <v>423</v>
      </c>
      <c r="C9" s="5">
        <v>46024</v>
      </c>
      <c r="D9" s="1" t="s">
        <v>3</v>
      </c>
      <c r="E9" s="6" t="s">
        <v>21</v>
      </c>
      <c r="F9" s="6" t="s">
        <v>89</v>
      </c>
      <c r="G9" s="1" t="s">
        <v>80</v>
      </c>
      <c r="H9" s="1" t="s">
        <v>78</v>
      </c>
      <c r="I9" s="1">
        <v>48</v>
      </c>
      <c r="J9" s="1">
        <v>4</v>
      </c>
      <c r="K9" s="1">
        <v>2</v>
      </c>
      <c r="L9" s="1" t="s">
        <v>10</v>
      </c>
      <c r="M9" s="1" t="s">
        <v>303</v>
      </c>
      <c r="N9" s="1" t="s">
        <v>57</v>
      </c>
      <c r="O9" s="5">
        <v>46031</v>
      </c>
    </row>
    <row r="10" spans="1:17">
      <c r="A10" s="1">
        <v>7</v>
      </c>
      <c r="B10" s="1" t="s">
        <v>424</v>
      </c>
      <c r="C10" s="5">
        <v>46026</v>
      </c>
      <c r="D10" s="1" t="s">
        <v>3</v>
      </c>
      <c r="E10" s="6" t="s">
        <v>95</v>
      </c>
      <c r="F10" s="6" t="s">
        <v>46</v>
      </c>
      <c r="G10" s="1" t="s">
        <v>51</v>
      </c>
      <c r="H10" s="1" t="s">
        <v>70</v>
      </c>
      <c r="I10" s="1">
        <v>44</v>
      </c>
      <c r="J10" s="1">
        <v>2</v>
      </c>
      <c r="K10" s="1">
        <v>2</v>
      </c>
      <c r="L10" s="1" t="s">
        <v>17</v>
      </c>
      <c r="M10" s="1" t="s">
        <v>331</v>
      </c>
      <c r="N10" s="1" t="s">
        <v>26</v>
      </c>
      <c r="O10" s="5">
        <v>46068</v>
      </c>
    </row>
    <row r="11" spans="1:17">
      <c r="A11" s="1">
        <v>8</v>
      </c>
      <c r="B11" s="1" t="s">
        <v>425</v>
      </c>
      <c r="C11" s="5">
        <v>46045</v>
      </c>
      <c r="D11" s="1" t="s">
        <v>3</v>
      </c>
      <c r="E11" s="6" t="s">
        <v>40</v>
      </c>
      <c r="F11" s="6" t="s">
        <v>39</v>
      </c>
      <c r="G11" s="1" t="s">
        <v>80</v>
      </c>
      <c r="H11" s="1" t="s">
        <v>32</v>
      </c>
      <c r="I11" s="1">
        <v>32</v>
      </c>
      <c r="J11" s="1">
        <v>0</v>
      </c>
      <c r="K11" s="1">
        <v>8</v>
      </c>
      <c r="L11" s="1" t="s">
        <v>10</v>
      </c>
      <c r="M11" s="1" t="s">
        <v>226</v>
      </c>
      <c r="N11" s="1" t="s">
        <v>61</v>
      </c>
      <c r="O11" s="5">
        <v>46071</v>
      </c>
    </row>
    <row r="12" spans="1:17">
      <c r="A12" s="1">
        <v>9</v>
      </c>
      <c r="B12" s="1" t="s">
        <v>426</v>
      </c>
      <c r="C12" s="5">
        <v>46079</v>
      </c>
      <c r="D12" s="1" t="s">
        <v>19</v>
      </c>
      <c r="E12" s="6" t="s">
        <v>95</v>
      </c>
      <c r="F12" s="6" t="s">
        <v>46</v>
      </c>
      <c r="G12" s="1" t="s">
        <v>77</v>
      </c>
      <c r="H12" s="1" t="s">
        <v>78</v>
      </c>
      <c r="I12" s="1">
        <v>49</v>
      </c>
      <c r="J12" s="1">
        <v>3</v>
      </c>
      <c r="K12" s="1">
        <v>5</v>
      </c>
      <c r="L12" s="1" t="s">
        <v>96</v>
      </c>
      <c r="M12" s="1" t="s">
        <v>226</v>
      </c>
      <c r="N12" s="1" t="s">
        <v>45</v>
      </c>
      <c r="O12" s="5">
        <v>46111</v>
      </c>
    </row>
    <row r="13" spans="1:17">
      <c r="A13" s="1">
        <v>10</v>
      </c>
      <c r="B13" s="1" t="s">
        <v>427</v>
      </c>
      <c r="C13" s="5">
        <v>46066</v>
      </c>
      <c r="D13" s="1" t="s">
        <v>19</v>
      </c>
      <c r="E13" s="6" t="s">
        <v>6</v>
      </c>
      <c r="F13" s="6" t="s">
        <v>92</v>
      </c>
      <c r="G13" s="1" t="s">
        <v>6</v>
      </c>
      <c r="H13" s="1" t="s">
        <v>70</v>
      </c>
      <c r="I13" s="1">
        <v>31</v>
      </c>
      <c r="J13" s="1">
        <v>4</v>
      </c>
      <c r="K13" s="1">
        <v>3</v>
      </c>
      <c r="L13" s="1" t="s">
        <v>42</v>
      </c>
      <c r="M13" s="1" t="s">
        <v>222</v>
      </c>
      <c r="N13" s="1" t="s">
        <v>30</v>
      </c>
      <c r="O13" s="5">
        <v>46072</v>
      </c>
    </row>
    <row r="14" spans="1:17">
      <c r="A14" s="1">
        <v>11</v>
      </c>
      <c r="B14" s="1" t="s">
        <v>428</v>
      </c>
      <c r="C14" s="5">
        <v>46074</v>
      </c>
      <c r="D14" s="1" t="s">
        <v>19</v>
      </c>
      <c r="E14" s="6" t="s">
        <v>77</v>
      </c>
      <c r="F14" s="6" t="s">
        <v>92</v>
      </c>
      <c r="G14" s="1" t="s">
        <v>77</v>
      </c>
      <c r="H14" s="1" t="s">
        <v>78</v>
      </c>
      <c r="I14" s="1">
        <v>47</v>
      </c>
      <c r="J14" s="1">
        <v>7</v>
      </c>
      <c r="K14" s="1">
        <v>2</v>
      </c>
      <c r="L14" s="1" t="s">
        <v>24</v>
      </c>
      <c r="M14" s="1" t="s">
        <v>226</v>
      </c>
      <c r="N14" s="1" t="s">
        <v>57</v>
      </c>
      <c r="O14" s="5">
        <v>46081</v>
      </c>
    </row>
    <row r="15" spans="1:17">
      <c r="A15" s="1">
        <v>12</v>
      </c>
      <c r="B15" s="1" t="s">
        <v>429</v>
      </c>
      <c r="C15" s="5">
        <v>46076</v>
      </c>
      <c r="D15" s="1" t="s">
        <v>19</v>
      </c>
      <c r="E15" s="6" t="s">
        <v>40</v>
      </c>
      <c r="F15" s="6" t="s">
        <v>5</v>
      </c>
      <c r="G15" s="1" t="s">
        <v>51</v>
      </c>
      <c r="H15" s="1" t="s">
        <v>66</v>
      </c>
      <c r="I15" s="1">
        <v>21</v>
      </c>
      <c r="J15" s="1">
        <v>6</v>
      </c>
      <c r="K15" s="1">
        <v>1</v>
      </c>
      <c r="L15" s="1" t="s">
        <v>10</v>
      </c>
      <c r="M15" s="1" t="s">
        <v>303</v>
      </c>
      <c r="N15" s="1" t="s">
        <v>64</v>
      </c>
      <c r="O15" s="5">
        <v>46087</v>
      </c>
    </row>
    <row r="16" spans="1:17">
      <c r="A16" s="1">
        <v>13</v>
      </c>
      <c r="B16" s="1" t="s">
        <v>430</v>
      </c>
      <c r="C16" s="5">
        <v>46085</v>
      </c>
      <c r="D16" s="1" t="s">
        <v>44</v>
      </c>
      <c r="E16" s="6" t="s">
        <v>40</v>
      </c>
      <c r="F16" s="6" t="s">
        <v>58</v>
      </c>
      <c r="G16" s="1" t="s">
        <v>87</v>
      </c>
      <c r="H16" s="1" t="s">
        <v>28</v>
      </c>
      <c r="I16" s="1">
        <v>42</v>
      </c>
      <c r="J16" s="1">
        <v>3</v>
      </c>
      <c r="K16" s="1">
        <v>8</v>
      </c>
      <c r="L16" s="1" t="s">
        <v>96</v>
      </c>
      <c r="M16" s="1" t="s">
        <v>222</v>
      </c>
      <c r="N16" s="1" t="s">
        <v>12</v>
      </c>
      <c r="O16" s="5">
        <v>46097</v>
      </c>
    </row>
    <row r="17" spans="1:15">
      <c r="A17" s="1">
        <v>14</v>
      </c>
      <c r="B17" s="1" t="s">
        <v>431</v>
      </c>
      <c r="C17" s="5">
        <v>46084</v>
      </c>
      <c r="D17" s="1" t="s">
        <v>44</v>
      </c>
      <c r="E17" s="6" t="s">
        <v>80</v>
      </c>
      <c r="F17" s="6" t="s">
        <v>27</v>
      </c>
      <c r="G17" s="1" t="s">
        <v>6</v>
      </c>
      <c r="H17" s="1" t="s">
        <v>70</v>
      </c>
      <c r="I17" s="1">
        <v>18</v>
      </c>
      <c r="J17" s="1">
        <v>3</v>
      </c>
      <c r="K17" s="1">
        <v>5</v>
      </c>
      <c r="L17" s="1" t="s">
        <v>42</v>
      </c>
      <c r="M17" s="1" t="s">
        <v>222</v>
      </c>
      <c r="N17" s="1" t="s">
        <v>20</v>
      </c>
      <c r="O17" s="5">
        <v>46117</v>
      </c>
    </row>
    <row r="18" spans="1:15">
      <c r="A18" s="1">
        <v>15</v>
      </c>
      <c r="B18" s="1" t="s">
        <v>432</v>
      </c>
      <c r="C18" s="5">
        <v>46114</v>
      </c>
      <c r="D18" s="1" t="s">
        <v>53</v>
      </c>
      <c r="E18" s="6" t="s">
        <v>87</v>
      </c>
      <c r="F18" s="6" t="s">
        <v>46</v>
      </c>
      <c r="G18" s="1" t="s">
        <v>35</v>
      </c>
      <c r="H18" s="1" t="s">
        <v>68</v>
      </c>
      <c r="I18" s="1">
        <v>15</v>
      </c>
      <c r="J18" s="1">
        <v>1</v>
      </c>
      <c r="K18" s="1">
        <v>5</v>
      </c>
      <c r="L18" s="1" t="s">
        <v>42</v>
      </c>
      <c r="M18" s="1" t="s">
        <v>226</v>
      </c>
      <c r="N18" s="1" t="s">
        <v>26</v>
      </c>
      <c r="O18" s="5">
        <v>46125</v>
      </c>
    </row>
    <row r="19" spans="1:15">
      <c r="A19" s="1">
        <v>16</v>
      </c>
      <c r="B19" s="1" t="s">
        <v>433</v>
      </c>
      <c r="C19" s="5">
        <v>46155</v>
      </c>
      <c r="D19" s="1" t="s">
        <v>60</v>
      </c>
      <c r="E19" s="6" t="s">
        <v>6</v>
      </c>
      <c r="F19" s="6" t="s">
        <v>92</v>
      </c>
      <c r="G19" s="1" t="s">
        <v>77</v>
      </c>
      <c r="H19" s="1" t="s">
        <v>70</v>
      </c>
      <c r="I19" s="1">
        <v>47</v>
      </c>
      <c r="J19" s="1">
        <v>3</v>
      </c>
      <c r="K19" s="1">
        <v>3</v>
      </c>
      <c r="L19" s="1" t="s">
        <v>10</v>
      </c>
      <c r="M19" s="1" t="s">
        <v>226</v>
      </c>
      <c r="N19" s="1" t="s">
        <v>49</v>
      </c>
      <c r="O19" s="5">
        <v>46163</v>
      </c>
    </row>
    <row r="20" spans="1:15">
      <c r="A20" s="1">
        <v>17</v>
      </c>
      <c r="B20" s="1" t="s">
        <v>434</v>
      </c>
      <c r="C20" s="5">
        <v>46161</v>
      </c>
      <c r="D20" s="1" t="s">
        <v>60</v>
      </c>
      <c r="E20" s="6" t="s">
        <v>77</v>
      </c>
      <c r="F20" s="6" t="s">
        <v>39</v>
      </c>
      <c r="G20" s="1" t="s">
        <v>21</v>
      </c>
      <c r="H20" s="1" t="s">
        <v>28</v>
      </c>
      <c r="I20" s="1">
        <v>16</v>
      </c>
      <c r="J20" s="1">
        <v>7</v>
      </c>
      <c r="K20" s="1">
        <v>8</v>
      </c>
      <c r="L20" s="1" t="s">
        <v>24</v>
      </c>
      <c r="M20" s="1" t="s">
        <v>331</v>
      </c>
      <c r="N20" s="1" t="s">
        <v>57</v>
      </c>
      <c r="O20" s="5">
        <v>46187</v>
      </c>
    </row>
    <row r="21" spans="1:15">
      <c r="A21" s="1">
        <v>18</v>
      </c>
      <c r="B21" s="1" t="s">
        <v>435</v>
      </c>
      <c r="C21" s="5">
        <v>46166</v>
      </c>
      <c r="D21" s="1" t="s">
        <v>60</v>
      </c>
      <c r="E21" s="6" t="s">
        <v>95</v>
      </c>
      <c r="F21" s="6" t="s">
        <v>58</v>
      </c>
      <c r="G21" s="1" t="s">
        <v>80</v>
      </c>
      <c r="H21" s="1" t="s">
        <v>36</v>
      </c>
      <c r="I21" s="1">
        <v>25</v>
      </c>
      <c r="J21" s="1">
        <v>1</v>
      </c>
      <c r="K21" s="1">
        <v>4</v>
      </c>
      <c r="L21" s="1" t="s">
        <v>42</v>
      </c>
      <c r="M21" s="1" t="s">
        <v>222</v>
      </c>
      <c r="N21" s="1" t="s">
        <v>4</v>
      </c>
      <c r="O21" s="5">
        <v>46191</v>
      </c>
    </row>
    <row r="22" spans="1:15">
      <c r="A22" s="1">
        <v>19</v>
      </c>
      <c r="B22" s="1" t="s">
        <v>436</v>
      </c>
      <c r="C22" s="5">
        <v>46183</v>
      </c>
      <c r="D22" s="1" t="s">
        <v>73</v>
      </c>
      <c r="E22" s="6" t="s">
        <v>21</v>
      </c>
      <c r="F22" s="6" t="s">
        <v>27</v>
      </c>
      <c r="G22" s="1" t="s">
        <v>35</v>
      </c>
      <c r="H22" s="1" t="s">
        <v>15</v>
      </c>
      <c r="I22" s="1">
        <v>34</v>
      </c>
      <c r="J22" s="1">
        <v>1</v>
      </c>
      <c r="K22" s="1">
        <v>5</v>
      </c>
      <c r="L22" s="1" t="s">
        <v>42</v>
      </c>
      <c r="M22" s="1" t="s">
        <v>222</v>
      </c>
      <c r="N22" s="1" t="s">
        <v>16</v>
      </c>
      <c r="O22" s="5">
        <v>46220</v>
      </c>
    </row>
    <row r="23" spans="1:15">
      <c r="A23" s="1">
        <v>20</v>
      </c>
      <c r="B23" s="1" t="s">
        <v>437</v>
      </c>
      <c r="C23" s="5">
        <v>46176</v>
      </c>
      <c r="D23" s="1" t="s">
        <v>73</v>
      </c>
      <c r="E23" s="6" t="s">
        <v>51</v>
      </c>
      <c r="F23" s="6" t="s">
        <v>39</v>
      </c>
      <c r="G23" s="1" t="s">
        <v>21</v>
      </c>
      <c r="H23" s="1" t="s">
        <v>66</v>
      </c>
      <c r="I23" s="1">
        <v>38</v>
      </c>
      <c r="J23" s="1">
        <v>5</v>
      </c>
      <c r="K23" s="1">
        <v>5</v>
      </c>
      <c r="L23" s="1" t="s">
        <v>96</v>
      </c>
      <c r="M23" s="1" t="s">
        <v>222</v>
      </c>
      <c r="N23" s="1" t="s">
        <v>54</v>
      </c>
      <c r="O23" s="5">
        <v>46200</v>
      </c>
    </row>
    <row r="24" spans="1:15">
      <c r="A24" s="1">
        <v>21</v>
      </c>
      <c r="B24" s="1" t="s">
        <v>438</v>
      </c>
      <c r="C24" s="5">
        <v>46180</v>
      </c>
      <c r="D24" s="1" t="s">
        <v>73</v>
      </c>
      <c r="E24" s="6" t="s">
        <v>87</v>
      </c>
      <c r="F24" s="6" t="s">
        <v>27</v>
      </c>
      <c r="G24" s="1" t="s">
        <v>31</v>
      </c>
      <c r="H24" s="1" t="s">
        <v>7</v>
      </c>
      <c r="I24" s="1">
        <v>26</v>
      </c>
      <c r="J24" s="1">
        <v>7</v>
      </c>
      <c r="K24" s="1">
        <v>7</v>
      </c>
      <c r="L24" s="1" t="s">
        <v>17</v>
      </c>
      <c r="M24" s="1" t="s">
        <v>226</v>
      </c>
      <c r="N24" s="1" t="s">
        <v>20</v>
      </c>
      <c r="O24" s="5">
        <v>46219</v>
      </c>
    </row>
    <row r="25" spans="1:15">
      <c r="A25" s="1">
        <v>22</v>
      </c>
      <c r="B25" s="1" t="s">
        <v>439</v>
      </c>
      <c r="C25" s="5">
        <v>46186</v>
      </c>
      <c r="D25" s="1" t="s">
        <v>73</v>
      </c>
      <c r="E25" s="6" t="s">
        <v>21</v>
      </c>
      <c r="F25" s="6" t="s">
        <v>39</v>
      </c>
      <c r="G25" s="1" t="s">
        <v>35</v>
      </c>
      <c r="H25" s="1" t="s">
        <v>7</v>
      </c>
      <c r="I25" s="1">
        <v>18</v>
      </c>
      <c r="J25" s="1">
        <v>1</v>
      </c>
      <c r="K25" s="1">
        <v>1</v>
      </c>
      <c r="L25" s="1" t="s">
        <v>10</v>
      </c>
      <c r="M25" s="1" t="s">
        <v>226</v>
      </c>
      <c r="N25" s="1" t="s">
        <v>54</v>
      </c>
      <c r="O25" s="5">
        <v>46211</v>
      </c>
    </row>
    <row r="26" spans="1:15">
      <c r="A26" s="1">
        <v>23</v>
      </c>
      <c r="B26" s="1" t="s">
        <v>440</v>
      </c>
      <c r="C26" s="5">
        <v>46229</v>
      </c>
      <c r="D26" s="1" t="s">
        <v>76</v>
      </c>
      <c r="E26" s="6" t="s">
        <v>31</v>
      </c>
      <c r="F26" s="6" t="s">
        <v>58</v>
      </c>
      <c r="G26" s="1" t="s">
        <v>31</v>
      </c>
      <c r="H26" s="1" t="s">
        <v>7</v>
      </c>
      <c r="I26" s="1">
        <v>34</v>
      </c>
      <c r="J26" s="1">
        <v>3</v>
      </c>
      <c r="K26" s="1">
        <v>7</v>
      </c>
      <c r="L26" s="1" t="s">
        <v>17</v>
      </c>
      <c r="M26" s="1" t="s">
        <v>222</v>
      </c>
      <c r="N26" s="1" t="s">
        <v>49</v>
      </c>
      <c r="O26" s="5">
        <v>46256</v>
      </c>
    </row>
    <row r="27" spans="1:15">
      <c r="A27" s="1">
        <v>24</v>
      </c>
      <c r="B27" s="1" t="s">
        <v>441</v>
      </c>
      <c r="C27" s="5">
        <v>46209</v>
      </c>
      <c r="D27" s="1" t="s">
        <v>76</v>
      </c>
      <c r="E27" s="6" t="s">
        <v>35</v>
      </c>
      <c r="F27" s="6" t="s">
        <v>13</v>
      </c>
      <c r="G27" s="1" t="s">
        <v>51</v>
      </c>
      <c r="H27" s="1" t="s">
        <v>22</v>
      </c>
      <c r="I27" s="1">
        <v>26</v>
      </c>
      <c r="J27" s="1">
        <v>0</v>
      </c>
      <c r="K27" s="1">
        <v>4</v>
      </c>
      <c r="L27" s="1" t="s">
        <v>17</v>
      </c>
      <c r="M27" s="1" t="s">
        <v>303</v>
      </c>
      <c r="N27" s="1" t="s">
        <v>4</v>
      </c>
      <c r="O27" s="5">
        <v>46226</v>
      </c>
    </row>
    <row r="28" spans="1:15">
      <c r="A28" s="1">
        <v>25</v>
      </c>
      <c r="B28" s="1" t="s">
        <v>442</v>
      </c>
      <c r="C28" s="5">
        <v>46229</v>
      </c>
      <c r="D28" s="1" t="s">
        <v>76</v>
      </c>
      <c r="E28" s="6" t="s">
        <v>82</v>
      </c>
      <c r="F28" s="6" t="s">
        <v>89</v>
      </c>
      <c r="G28" s="1" t="s">
        <v>14</v>
      </c>
      <c r="H28" s="1" t="s">
        <v>66</v>
      </c>
      <c r="I28" s="1">
        <v>49</v>
      </c>
      <c r="J28" s="1">
        <v>5</v>
      </c>
      <c r="K28" s="1">
        <v>1</v>
      </c>
      <c r="L28" s="1" t="s">
        <v>10</v>
      </c>
      <c r="M28" s="1" t="s">
        <v>303</v>
      </c>
      <c r="N28" s="1" t="s">
        <v>49</v>
      </c>
      <c r="O28" s="5">
        <v>46270</v>
      </c>
    </row>
    <row r="29" spans="1:15">
      <c r="A29" s="1">
        <v>26</v>
      </c>
      <c r="B29" s="1" t="s">
        <v>443</v>
      </c>
      <c r="C29" s="5">
        <v>46235</v>
      </c>
      <c r="D29" s="1" t="s">
        <v>86</v>
      </c>
      <c r="E29" s="6" t="s">
        <v>6</v>
      </c>
      <c r="F29" s="6" t="s">
        <v>46</v>
      </c>
      <c r="G29" s="1" t="s">
        <v>35</v>
      </c>
      <c r="H29" s="1" t="s">
        <v>68</v>
      </c>
      <c r="I29" s="1">
        <v>33</v>
      </c>
      <c r="J29" s="1">
        <v>4</v>
      </c>
      <c r="K29" s="1">
        <v>3</v>
      </c>
      <c r="L29" s="1" t="s">
        <v>10</v>
      </c>
      <c r="M29" s="1" t="s">
        <v>226</v>
      </c>
      <c r="N29" s="1" t="s">
        <v>16</v>
      </c>
      <c r="O29" s="5">
        <v>46270</v>
      </c>
    </row>
    <row r="30" spans="1:15">
      <c r="A30" s="1">
        <v>27</v>
      </c>
      <c r="B30" s="1" t="s">
        <v>444</v>
      </c>
      <c r="C30" s="5">
        <v>46239</v>
      </c>
      <c r="D30" s="1" t="s">
        <v>86</v>
      </c>
      <c r="E30" s="6" t="s">
        <v>87</v>
      </c>
      <c r="F30" s="6" t="s">
        <v>50</v>
      </c>
      <c r="G30" s="1" t="s">
        <v>87</v>
      </c>
      <c r="H30" s="1" t="s">
        <v>70</v>
      </c>
      <c r="I30" s="1">
        <v>23</v>
      </c>
      <c r="J30" s="1">
        <v>0</v>
      </c>
      <c r="K30" s="1">
        <v>2</v>
      </c>
      <c r="L30" s="1" t="s">
        <v>96</v>
      </c>
      <c r="M30" s="1" t="s">
        <v>222</v>
      </c>
      <c r="N30" s="1" t="s">
        <v>49</v>
      </c>
      <c r="O30" s="5">
        <v>46272</v>
      </c>
    </row>
    <row r="31" spans="1:15">
      <c r="A31" s="1">
        <v>28</v>
      </c>
      <c r="B31" s="1" t="s">
        <v>445</v>
      </c>
      <c r="C31" s="5">
        <v>46252</v>
      </c>
      <c r="D31" s="1" t="s">
        <v>86</v>
      </c>
      <c r="E31" s="6" t="s">
        <v>87</v>
      </c>
      <c r="F31" s="6" t="s">
        <v>92</v>
      </c>
      <c r="G31" s="1" t="s">
        <v>35</v>
      </c>
      <c r="H31" s="1" t="s">
        <v>70</v>
      </c>
      <c r="I31" s="1">
        <v>15</v>
      </c>
      <c r="J31" s="1">
        <v>8</v>
      </c>
      <c r="K31" s="1">
        <v>1</v>
      </c>
      <c r="L31" s="1" t="s">
        <v>10</v>
      </c>
      <c r="M31" s="1" t="s">
        <v>222</v>
      </c>
      <c r="N31" s="1" t="s">
        <v>4</v>
      </c>
      <c r="O31" s="5">
        <v>46265</v>
      </c>
    </row>
    <row r="32" spans="1:15">
      <c r="A32" s="1">
        <v>29</v>
      </c>
      <c r="B32" s="1" t="s">
        <v>446</v>
      </c>
      <c r="C32" s="5">
        <v>46256</v>
      </c>
      <c r="D32" s="1" t="s">
        <v>86</v>
      </c>
      <c r="E32" s="6" t="s">
        <v>77</v>
      </c>
      <c r="F32" s="6" t="s">
        <v>27</v>
      </c>
      <c r="G32" s="1" t="s">
        <v>80</v>
      </c>
      <c r="H32" s="1" t="s">
        <v>78</v>
      </c>
      <c r="I32" s="1">
        <v>38</v>
      </c>
      <c r="J32" s="1">
        <v>7</v>
      </c>
      <c r="K32" s="1">
        <v>6</v>
      </c>
      <c r="L32" s="1" t="s">
        <v>10</v>
      </c>
      <c r="M32" s="1" t="s">
        <v>222</v>
      </c>
      <c r="N32" s="1" t="s">
        <v>16</v>
      </c>
      <c r="O32" s="5">
        <v>46283</v>
      </c>
    </row>
    <row r="33" spans="1:15">
      <c r="A33" s="1">
        <v>30</v>
      </c>
      <c r="B33" s="1" t="s">
        <v>447</v>
      </c>
      <c r="C33" s="5">
        <v>46258</v>
      </c>
      <c r="D33" s="1" t="s">
        <v>86</v>
      </c>
      <c r="E33" s="6" t="s">
        <v>95</v>
      </c>
      <c r="F33" s="6" t="s">
        <v>46</v>
      </c>
      <c r="G33" s="1" t="s">
        <v>77</v>
      </c>
      <c r="H33" s="1" t="s">
        <v>7</v>
      </c>
      <c r="I33" s="1">
        <v>50</v>
      </c>
      <c r="J33" s="1">
        <v>3</v>
      </c>
      <c r="K33" s="1">
        <v>5</v>
      </c>
      <c r="L33" s="1" t="s">
        <v>96</v>
      </c>
      <c r="M33" s="1" t="s">
        <v>331</v>
      </c>
      <c r="N33" s="1" t="s">
        <v>61</v>
      </c>
      <c r="O33" s="5">
        <v>46299</v>
      </c>
    </row>
    <row r="34" spans="1:15">
      <c r="A34" s="1">
        <v>31</v>
      </c>
      <c r="B34" s="1" t="s">
        <v>448</v>
      </c>
      <c r="C34" s="5">
        <v>46236</v>
      </c>
      <c r="D34" s="1" t="s">
        <v>86</v>
      </c>
      <c r="E34" s="6" t="s">
        <v>82</v>
      </c>
      <c r="F34" s="6" t="s">
        <v>13</v>
      </c>
      <c r="G34" s="1" t="s">
        <v>80</v>
      </c>
      <c r="H34" s="1" t="s">
        <v>22</v>
      </c>
      <c r="I34" s="1">
        <v>16</v>
      </c>
      <c r="J34" s="1">
        <v>8</v>
      </c>
      <c r="K34" s="1">
        <v>3</v>
      </c>
      <c r="L34" s="1" t="s">
        <v>24</v>
      </c>
      <c r="M34" s="1" t="s">
        <v>303</v>
      </c>
      <c r="N34" s="1" t="s">
        <v>57</v>
      </c>
      <c r="O34" s="5">
        <v>46255</v>
      </c>
    </row>
    <row r="35" spans="1:15">
      <c r="A35" s="1">
        <v>32</v>
      </c>
      <c r="B35" s="1" t="s">
        <v>449</v>
      </c>
      <c r="C35" s="5">
        <v>46247</v>
      </c>
      <c r="D35" s="1" t="s">
        <v>86</v>
      </c>
      <c r="E35" s="6" t="s">
        <v>77</v>
      </c>
      <c r="F35" s="6" t="s">
        <v>65</v>
      </c>
      <c r="G35" s="1" t="s">
        <v>31</v>
      </c>
      <c r="H35" s="1" t="s">
        <v>66</v>
      </c>
      <c r="I35" s="1">
        <v>34</v>
      </c>
      <c r="J35" s="1">
        <v>7</v>
      </c>
      <c r="K35" s="1">
        <v>7</v>
      </c>
      <c r="L35" s="1" t="s">
        <v>10</v>
      </c>
      <c r="M35" s="1" t="s">
        <v>222</v>
      </c>
      <c r="N35" s="1" t="s">
        <v>4</v>
      </c>
      <c r="O35" s="5">
        <v>46276</v>
      </c>
    </row>
    <row r="36" spans="1:15">
      <c r="A36" s="1">
        <v>33</v>
      </c>
      <c r="B36" s="1" t="s">
        <v>450</v>
      </c>
      <c r="C36" s="5">
        <v>46274</v>
      </c>
      <c r="D36" s="1" t="s">
        <v>102</v>
      </c>
      <c r="E36" s="6" t="s">
        <v>14</v>
      </c>
      <c r="F36" s="6" t="s">
        <v>58</v>
      </c>
      <c r="G36" s="1" t="s">
        <v>21</v>
      </c>
      <c r="H36" s="1" t="s">
        <v>66</v>
      </c>
      <c r="I36" s="1">
        <v>17</v>
      </c>
      <c r="J36" s="1">
        <v>4</v>
      </c>
      <c r="K36" s="1">
        <v>0</v>
      </c>
      <c r="L36" s="1" t="s">
        <v>17</v>
      </c>
      <c r="M36" s="1" t="s">
        <v>331</v>
      </c>
      <c r="N36" s="1" t="s">
        <v>61</v>
      </c>
      <c r="O36" s="5">
        <v>46283</v>
      </c>
    </row>
    <row r="37" spans="1:15">
      <c r="A37" s="1">
        <v>34</v>
      </c>
      <c r="B37" s="1" t="s">
        <v>451</v>
      </c>
      <c r="C37" s="5">
        <v>46266</v>
      </c>
      <c r="D37" s="1" t="s">
        <v>102</v>
      </c>
      <c r="E37" s="6" t="s">
        <v>21</v>
      </c>
      <c r="F37" s="6" t="s">
        <v>5</v>
      </c>
      <c r="G37" s="1" t="s">
        <v>82</v>
      </c>
      <c r="H37" s="1" t="s">
        <v>41</v>
      </c>
      <c r="I37" s="1">
        <v>17</v>
      </c>
      <c r="J37" s="1">
        <v>1</v>
      </c>
      <c r="K37" s="1">
        <v>1</v>
      </c>
      <c r="L37" s="1" t="s">
        <v>24</v>
      </c>
      <c r="M37" s="1" t="s">
        <v>331</v>
      </c>
      <c r="N37" s="1" t="s">
        <v>12</v>
      </c>
      <c r="O37" s="5">
        <v>46280</v>
      </c>
    </row>
    <row r="38" spans="1:15">
      <c r="A38" s="1">
        <v>35</v>
      </c>
      <c r="B38" s="1" t="s">
        <v>452</v>
      </c>
      <c r="C38" s="5">
        <v>46310</v>
      </c>
      <c r="D38" s="1" t="s">
        <v>106</v>
      </c>
      <c r="E38" s="6" t="s">
        <v>40</v>
      </c>
      <c r="F38" s="6" t="s">
        <v>89</v>
      </c>
      <c r="G38" s="1" t="s">
        <v>51</v>
      </c>
      <c r="H38" s="1" t="s">
        <v>15</v>
      </c>
      <c r="I38" s="1">
        <v>42</v>
      </c>
      <c r="J38" s="1">
        <v>6</v>
      </c>
      <c r="K38" s="1">
        <v>6</v>
      </c>
      <c r="L38" s="1" t="s">
        <v>24</v>
      </c>
      <c r="M38" s="1" t="s">
        <v>226</v>
      </c>
      <c r="N38" s="1" t="s">
        <v>16</v>
      </c>
      <c r="O38" s="5">
        <v>46352</v>
      </c>
    </row>
    <row r="39" spans="1:15">
      <c r="A39" s="1">
        <v>36</v>
      </c>
      <c r="B39" s="1" t="s">
        <v>453</v>
      </c>
      <c r="C39" s="5">
        <v>46302</v>
      </c>
      <c r="D39" s="1" t="s">
        <v>106</v>
      </c>
      <c r="E39" s="6" t="s">
        <v>14</v>
      </c>
      <c r="F39" s="6" t="s">
        <v>46</v>
      </c>
      <c r="G39" s="1" t="s">
        <v>35</v>
      </c>
      <c r="H39" s="1" t="s">
        <v>22</v>
      </c>
      <c r="I39" s="1">
        <v>44</v>
      </c>
      <c r="J39" s="1">
        <v>4</v>
      </c>
      <c r="K39" s="1">
        <v>6</v>
      </c>
      <c r="L39" s="1" t="s">
        <v>42</v>
      </c>
      <c r="M39" s="1" t="s">
        <v>222</v>
      </c>
      <c r="N39" s="1" t="s">
        <v>12</v>
      </c>
      <c r="O39" s="5">
        <v>46346</v>
      </c>
    </row>
    <row r="40" spans="1:15">
      <c r="A40" s="1">
        <v>37</v>
      </c>
      <c r="B40" s="1" t="s">
        <v>454</v>
      </c>
      <c r="C40" s="5">
        <v>46323</v>
      </c>
      <c r="D40" s="1" t="s">
        <v>106</v>
      </c>
      <c r="E40" s="6" t="s">
        <v>77</v>
      </c>
      <c r="F40" s="6" t="s">
        <v>50</v>
      </c>
      <c r="G40" s="1" t="s">
        <v>14</v>
      </c>
      <c r="H40" s="1" t="s">
        <v>22</v>
      </c>
      <c r="I40" s="1">
        <v>35</v>
      </c>
      <c r="J40" s="1">
        <v>3</v>
      </c>
      <c r="K40" s="1">
        <v>0</v>
      </c>
      <c r="L40" s="1" t="s">
        <v>24</v>
      </c>
      <c r="M40" s="1" t="s">
        <v>303</v>
      </c>
      <c r="N40" s="1" t="s">
        <v>12</v>
      </c>
      <c r="O40" s="5">
        <v>46337</v>
      </c>
    </row>
    <row r="41" spans="1:15">
      <c r="A41" s="1">
        <v>38</v>
      </c>
      <c r="B41" s="1" t="s">
        <v>455</v>
      </c>
      <c r="C41" s="5">
        <v>46305</v>
      </c>
      <c r="D41" s="1" t="s">
        <v>106</v>
      </c>
      <c r="E41" s="6" t="s">
        <v>87</v>
      </c>
      <c r="F41" s="6" t="s">
        <v>58</v>
      </c>
      <c r="G41" s="1" t="s">
        <v>80</v>
      </c>
      <c r="H41" s="1" t="s">
        <v>41</v>
      </c>
      <c r="I41" s="1">
        <v>24</v>
      </c>
      <c r="J41" s="1">
        <v>3</v>
      </c>
      <c r="K41" s="1">
        <v>1</v>
      </c>
      <c r="L41" s="1" t="s">
        <v>42</v>
      </c>
      <c r="M41" s="1" t="s">
        <v>222</v>
      </c>
      <c r="N41" s="1" t="s">
        <v>61</v>
      </c>
      <c r="O41" s="5">
        <v>46311</v>
      </c>
    </row>
    <row r="42" spans="1:15">
      <c r="A42" s="1">
        <v>39</v>
      </c>
      <c r="B42" s="1" t="s">
        <v>456</v>
      </c>
      <c r="C42" s="5">
        <v>46342</v>
      </c>
      <c r="D42" s="1" t="s">
        <v>111</v>
      </c>
      <c r="E42" s="6" t="s">
        <v>77</v>
      </c>
      <c r="F42" s="6" t="s">
        <v>89</v>
      </c>
      <c r="G42" s="1" t="s">
        <v>40</v>
      </c>
      <c r="H42" s="1" t="s">
        <v>36</v>
      </c>
      <c r="I42" s="1">
        <v>49</v>
      </c>
      <c r="J42" s="1">
        <v>1</v>
      </c>
      <c r="K42" s="1">
        <v>8</v>
      </c>
      <c r="L42" s="1" t="s">
        <v>17</v>
      </c>
      <c r="M42" s="1" t="s">
        <v>303</v>
      </c>
      <c r="N42" s="1" t="s">
        <v>91</v>
      </c>
      <c r="O42" s="5">
        <v>46386</v>
      </c>
    </row>
    <row r="43" spans="1:15">
      <c r="A43" s="1">
        <v>40</v>
      </c>
      <c r="B43" s="1" t="s">
        <v>457</v>
      </c>
      <c r="C43" s="5">
        <v>46337</v>
      </c>
      <c r="D43" s="1" t="s">
        <v>111</v>
      </c>
      <c r="E43" s="6" t="s">
        <v>14</v>
      </c>
      <c r="F43" s="6" t="s">
        <v>5</v>
      </c>
      <c r="G43" s="1" t="s">
        <v>21</v>
      </c>
      <c r="H43" s="1" t="s">
        <v>68</v>
      </c>
      <c r="I43" s="1">
        <v>29</v>
      </c>
      <c r="J43" s="1">
        <v>2</v>
      </c>
      <c r="K43" s="1">
        <v>8</v>
      </c>
      <c r="L43" s="1" t="s">
        <v>42</v>
      </c>
      <c r="M43" s="1" t="s">
        <v>222</v>
      </c>
      <c r="N43" s="1" t="s">
        <v>26</v>
      </c>
      <c r="O43" s="5">
        <v>46343</v>
      </c>
    </row>
    <row r="44" spans="1:15">
      <c r="A44" s="1">
        <v>41</v>
      </c>
      <c r="B44" s="1" t="s">
        <v>458</v>
      </c>
      <c r="C44" s="5">
        <v>46354</v>
      </c>
      <c r="D44" s="1" t="s">
        <v>111</v>
      </c>
      <c r="E44" s="6" t="s">
        <v>87</v>
      </c>
      <c r="F44" s="6" t="s">
        <v>39</v>
      </c>
      <c r="G44" s="1" t="s">
        <v>82</v>
      </c>
      <c r="H44" s="1" t="s">
        <v>66</v>
      </c>
      <c r="I44" s="1">
        <v>36</v>
      </c>
      <c r="J44" s="1">
        <v>8</v>
      </c>
      <c r="K44" s="1">
        <v>8</v>
      </c>
      <c r="L44" s="1" t="s">
        <v>42</v>
      </c>
      <c r="M44" s="1" t="s">
        <v>226</v>
      </c>
      <c r="N44" s="1" t="s">
        <v>54</v>
      </c>
      <c r="O44" s="5">
        <v>46365</v>
      </c>
    </row>
    <row r="45" spans="1:15">
      <c r="A45" s="1">
        <v>42</v>
      </c>
      <c r="B45" s="1" t="s">
        <v>459</v>
      </c>
      <c r="C45" s="5">
        <v>46345</v>
      </c>
      <c r="D45" s="1" t="s">
        <v>111</v>
      </c>
      <c r="E45" s="6" t="s">
        <v>14</v>
      </c>
      <c r="F45" s="6" t="s">
        <v>65</v>
      </c>
      <c r="G45" s="1" t="s">
        <v>77</v>
      </c>
      <c r="H45" s="1" t="s">
        <v>22</v>
      </c>
      <c r="I45" s="1">
        <v>21</v>
      </c>
      <c r="J45" s="1">
        <v>0</v>
      </c>
      <c r="K45" s="1">
        <v>7</v>
      </c>
      <c r="L45" s="1" t="s">
        <v>10</v>
      </c>
      <c r="M45" s="1" t="s">
        <v>222</v>
      </c>
      <c r="N45" s="1" t="s">
        <v>57</v>
      </c>
      <c r="O45" s="5">
        <v>46380</v>
      </c>
    </row>
    <row r="46" spans="1:15">
      <c r="A46" s="1">
        <v>43</v>
      </c>
      <c r="B46" s="1" t="s">
        <v>460</v>
      </c>
      <c r="C46" s="5">
        <v>46333</v>
      </c>
      <c r="D46" s="1" t="s">
        <v>111</v>
      </c>
      <c r="E46" s="6" t="s">
        <v>87</v>
      </c>
      <c r="F46" s="6" t="s">
        <v>50</v>
      </c>
      <c r="G46" s="1" t="s">
        <v>40</v>
      </c>
      <c r="H46" s="1" t="s">
        <v>22</v>
      </c>
      <c r="I46" s="1">
        <v>40</v>
      </c>
      <c r="J46" s="1">
        <v>1</v>
      </c>
      <c r="K46" s="1">
        <v>3</v>
      </c>
      <c r="L46" s="1" t="s">
        <v>42</v>
      </c>
      <c r="M46" s="1" t="s">
        <v>303</v>
      </c>
      <c r="N46" s="1" t="s">
        <v>61</v>
      </c>
      <c r="O46" s="5">
        <v>46362</v>
      </c>
    </row>
    <row r="47" spans="1:15">
      <c r="A47" s="1">
        <v>44</v>
      </c>
      <c r="B47" s="1" t="s">
        <v>461</v>
      </c>
      <c r="C47" s="5">
        <v>46338</v>
      </c>
      <c r="D47" s="1" t="s">
        <v>111</v>
      </c>
      <c r="E47" s="6" t="s">
        <v>21</v>
      </c>
      <c r="F47" s="6" t="s">
        <v>50</v>
      </c>
      <c r="G47" s="1" t="s">
        <v>21</v>
      </c>
      <c r="H47" s="1" t="s">
        <v>32</v>
      </c>
      <c r="I47" s="1">
        <v>46</v>
      </c>
      <c r="J47" s="1">
        <v>5</v>
      </c>
      <c r="K47" s="1">
        <v>1</v>
      </c>
      <c r="L47" s="1" t="s">
        <v>96</v>
      </c>
      <c r="M47" s="1" t="s">
        <v>226</v>
      </c>
      <c r="N47" s="1" t="s">
        <v>16</v>
      </c>
      <c r="O47" s="5">
        <v>46361</v>
      </c>
    </row>
    <row r="48" spans="1:15">
      <c r="A48" s="1">
        <v>45</v>
      </c>
      <c r="B48" s="1" t="s">
        <v>462</v>
      </c>
      <c r="C48" s="5">
        <v>46376</v>
      </c>
      <c r="D48" s="1" t="s">
        <v>122</v>
      </c>
      <c r="E48" s="6" t="s">
        <v>80</v>
      </c>
      <c r="F48" s="6" t="s">
        <v>27</v>
      </c>
      <c r="G48" s="1" t="s">
        <v>51</v>
      </c>
      <c r="H48" s="1" t="s">
        <v>7</v>
      </c>
      <c r="I48" s="1">
        <v>48</v>
      </c>
      <c r="J48" s="1">
        <v>7</v>
      </c>
      <c r="K48" s="1">
        <v>6</v>
      </c>
      <c r="L48" s="1" t="s">
        <v>10</v>
      </c>
      <c r="M48" s="1" t="s">
        <v>331</v>
      </c>
      <c r="N48" s="1" t="s">
        <v>54</v>
      </c>
      <c r="O48" s="5">
        <v>46402</v>
      </c>
    </row>
    <row r="49" spans="1:15">
      <c r="A49" s="1">
        <v>46</v>
      </c>
      <c r="B49" s="1" t="s">
        <v>463</v>
      </c>
      <c r="C49" s="5">
        <v>46365</v>
      </c>
      <c r="D49" s="1" t="s">
        <v>122</v>
      </c>
      <c r="E49" s="6" t="s">
        <v>21</v>
      </c>
      <c r="F49" s="6" t="s">
        <v>58</v>
      </c>
      <c r="G49" s="1" t="s">
        <v>95</v>
      </c>
      <c r="H49" s="1" t="s">
        <v>62</v>
      </c>
      <c r="I49" s="1">
        <v>31</v>
      </c>
      <c r="J49" s="1">
        <v>5</v>
      </c>
      <c r="K49" s="1">
        <v>2</v>
      </c>
      <c r="L49" s="1" t="s">
        <v>42</v>
      </c>
      <c r="M49" s="1" t="s">
        <v>222</v>
      </c>
      <c r="N49" s="1" t="s">
        <v>64</v>
      </c>
      <c r="O49" s="5">
        <v>46391</v>
      </c>
    </row>
    <row r="50" spans="1:15">
      <c r="A50" s="1">
        <v>47</v>
      </c>
      <c r="B50" s="1" t="s">
        <v>464</v>
      </c>
      <c r="C50" s="5">
        <v>46361</v>
      </c>
      <c r="D50" s="1" t="s">
        <v>122</v>
      </c>
      <c r="E50" s="6" t="s">
        <v>14</v>
      </c>
      <c r="F50" s="6" t="s">
        <v>65</v>
      </c>
      <c r="G50" s="1" t="s">
        <v>77</v>
      </c>
      <c r="H50" s="1" t="s">
        <v>104</v>
      </c>
      <c r="I50" s="1">
        <v>50</v>
      </c>
      <c r="J50" s="1">
        <v>1</v>
      </c>
      <c r="K50" s="1">
        <v>1</v>
      </c>
      <c r="L50" s="1" t="s">
        <v>17</v>
      </c>
      <c r="M50" s="1" t="s">
        <v>331</v>
      </c>
      <c r="N50" s="1" t="s">
        <v>38</v>
      </c>
      <c r="O50" s="5">
        <v>46390</v>
      </c>
    </row>
    <row r="51" spans="1:15">
      <c r="A51" s="1">
        <v>48</v>
      </c>
      <c r="B51" s="1" t="s">
        <v>465</v>
      </c>
      <c r="C51" s="5">
        <v>46360</v>
      </c>
      <c r="D51" s="1" t="s">
        <v>122</v>
      </c>
      <c r="E51" s="6" t="s">
        <v>6</v>
      </c>
      <c r="F51" s="6" t="s">
        <v>50</v>
      </c>
      <c r="G51" s="1" t="s">
        <v>80</v>
      </c>
      <c r="H51" s="1" t="s">
        <v>36</v>
      </c>
      <c r="I51" s="1">
        <v>37</v>
      </c>
      <c r="J51" s="1">
        <v>5</v>
      </c>
      <c r="K51" s="1">
        <v>8</v>
      </c>
      <c r="L51" s="1" t="s">
        <v>17</v>
      </c>
      <c r="M51" s="1" t="s">
        <v>226</v>
      </c>
      <c r="N51" s="1" t="s">
        <v>61</v>
      </c>
      <c r="O51" s="5">
        <v>46386</v>
      </c>
    </row>
  </sheetData>
  <mergeCells count="2">
    <mergeCell ref="A1:O1"/>
    <mergeCell ref="A2:O2"/>
  </mergeCells>
  <dataValidations count="3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M4:M100003">
      <formula1>L_Status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64748B"/>
    <pageSetUpPr fitToPage="1"/>
  </sheetPr>
  <dimension ref="A1:Q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4" width="9.7109375" style="1" customWidth="1"/>
    <col min="5" max="5" width="22.7109375" style="1" customWidth="1"/>
    <col min="6" max="6" width="12.7109375" style="1" customWidth="1"/>
    <col min="7" max="7" width="10.7109375" style="1" customWidth="1"/>
    <col min="8" max="8" width="11.7109375" style="1" customWidth="1"/>
    <col min="9" max="9" width="23.7109375" style="1" customWidth="1"/>
    <col min="10" max="10" width="18.7109375" style="1" customWidth="1"/>
    <col min="11" max="11" width="19.7109375" style="1" customWidth="1"/>
    <col min="12" max="12" width="16.7109375" style="1" customWidth="1"/>
    <col min="13" max="13" width="9.7109375" style="1" customWidth="1"/>
    <col min="14" max="14" width="19.7109375" style="1" customWidth="1"/>
    <col min="15" max="15" width="10.7109375" style="1" customWidth="1"/>
  </cols>
  <sheetData>
    <row r="1" spans="1:17" ht="22" customHeight="1">
      <c r="A1" s="3" t="s">
        <v>466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125</v>
      </c>
      <c r="C3" s="1" t="s">
        <v>126</v>
      </c>
      <c r="D3" s="1" t="s">
        <v>127</v>
      </c>
      <c r="E3" s="1" t="s">
        <v>410</v>
      </c>
      <c r="F3" s="1" t="s">
        <v>129</v>
      </c>
      <c r="G3" s="1" t="s">
        <v>130</v>
      </c>
      <c r="H3" s="1" t="s">
        <v>411</v>
      </c>
      <c r="I3" s="1" t="s">
        <v>412</v>
      </c>
      <c r="J3" s="1" t="s">
        <v>413</v>
      </c>
      <c r="K3" s="1" t="s">
        <v>414</v>
      </c>
      <c r="L3" s="1" t="s">
        <v>415</v>
      </c>
      <c r="M3" s="1" t="s">
        <v>288</v>
      </c>
      <c r="N3" s="1" t="s">
        <v>416</v>
      </c>
      <c r="O3" s="1" t="s">
        <v>360</v>
      </c>
    </row>
    <row r="4" spans="1:17">
      <c r="A4" s="1">
        <v>1</v>
      </c>
      <c r="B4" s="1" t="s">
        <v>467</v>
      </c>
      <c r="C4" s="5">
        <v>46037</v>
      </c>
      <c r="D4" s="1" t="s">
        <v>3</v>
      </c>
      <c r="E4" s="6" t="s">
        <v>82</v>
      </c>
      <c r="F4" s="6" t="s">
        <v>92</v>
      </c>
      <c r="G4" s="1" t="s">
        <v>31</v>
      </c>
      <c r="H4" s="1" t="s">
        <v>104</v>
      </c>
      <c r="I4" s="1">
        <v>34</v>
      </c>
      <c r="J4" s="1">
        <v>3</v>
      </c>
      <c r="K4" s="1">
        <v>6</v>
      </c>
      <c r="L4" s="1" t="s">
        <v>24</v>
      </c>
      <c r="M4" s="1" t="s">
        <v>222</v>
      </c>
      <c r="N4" s="1" t="s">
        <v>16</v>
      </c>
      <c r="O4" s="5">
        <v>46071</v>
      </c>
    </row>
    <row r="5" spans="1:17">
      <c r="A5" s="1">
        <v>2</v>
      </c>
      <c r="B5" s="1" t="s">
        <v>468</v>
      </c>
      <c r="C5" s="5">
        <v>46023</v>
      </c>
      <c r="D5" s="1" t="s">
        <v>3</v>
      </c>
      <c r="E5" s="6" t="s">
        <v>80</v>
      </c>
      <c r="F5" s="6" t="s">
        <v>5</v>
      </c>
      <c r="G5" s="1" t="s">
        <v>40</v>
      </c>
      <c r="H5" s="1" t="s">
        <v>41</v>
      </c>
      <c r="I5" s="1">
        <v>50</v>
      </c>
      <c r="J5" s="1">
        <v>6</v>
      </c>
      <c r="K5" s="1">
        <v>5</v>
      </c>
      <c r="L5" s="1" t="s">
        <v>24</v>
      </c>
      <c r="M5" s="1" t="s">
        <v>222</v>
      </c>
      <c r="N5" s="1" t="s">
        <v>64</v>
      </c>
      <c r="O5" s="5">
        <v>46053</v>
      </c>
    </row>
    <row r="6" spans="1:17">
      <c r="A6" s="1">
        <v>3</v>
      </c>
      <c r="B6" s="1" t="s">
        <v>469</v>
      </c>
      <c r="C6" s="5">
        <v>46031</v>
      </c>
      <c r="D6" s="1" t="s">
        <v>3</v>
      </c>
      <c r="E6" s="6" t="s">
        <v>35</v>
      </c>
      <c r="F6" s="6" t="s">
        <v>27</v>
      </c>
      <c r="G6" s="1" t="s">
        <v>21</v>
      </c>
      <c r="H6" s="1" t="s">
        <v>22</v>
      </c>
      <c r="I6" s="1">
        <v>22</v>
      </c>
      <c r="J6" s="1">
        <v>4</v>
      </c>
      <c r="K6" s="1">
        <v>8</v>
      </c>
      <c r="L6" s="1" t="s">
        <v>96</v>
      </c>
      <c r="M6" s="1" t="s">
        <v>331</v>
      </c>
      <c r="N6" s="1" t="s">
        <v>64</v>
      </c>
      <c r="O6" s="5">
        <v>46047</v>
      </c>
    </row>
    <row r="7" spans="1:17">
      <c r="A7" s="1">
        <v>4</v>
      </c>
      <c r="B7" s="1" t="s">
        <v>470</v>
      </c>
      <c r="C7" s="5">
        <v>46040</v>
      </c>
      <c r="D7" s="1" t="s">
        <v>3</v>
      </c>
      <c r="E7" s="6" t="s">
        <v>14</v>
      </c>
      <c r="F7" s="6" t="s">
        <v>92</v>
      </c>
      <c r="G7" s="1" t="s">
        <v>35</v>
      </c>
      <c r="H7" s="1" t="s">
        <v>41</v>
      </c>
      <c r="I7" s="1">
        <v>15</v>
      </c>
      <c r="J7" s="1">
        <v>7</v>
      </c>
      <c r="K7" s="1">
        <v>3</v>
      </c>
      <c r="L7" s="1" t="s">
        <v>24</v>
      </c>
      <c r="M7" s="1" t="s">
        <v>331</v>
      </c>
      <c r="N7" s="1" t="s">
        <v>61</v>
      </c>
      <c r="O7" s="5">
        <v>46054</v>
      </c>
    </row>
    <row r="8" spans="1:17">
      <c r="A8" s="1">
        <v>5</v>
      </c>
      <c r="B8" s="1" t="s">
        <v>471</v>
      </c>
      <c r="C8" s="5">
        <v>46042</v>
      </c>
      <c r="D8" s="1" t="s">
        <v>3</v>
      </c>
      <c r="E8" s="6" t="s">
        <v>80</v>
      </c>
      <c r="F8" s="6" t="s">
        <v>89</v>
      </c>
      <c r="G8" s="1" t="s">
        <v>21</v>
      </c>
      <c r="H8" s="1" t="s">
        <v>66</v>
      </c>
      <c r="I8" s="1">
        <v>28</v>
      </c>
      <c r="J8" s="1">
        <v>0</v>
      </c>
      <c r="K8" s="1">
        <v>4</v>
      </c>
      <c r="L8" s="1" t="s">
        <v>10</v>
      </c>
      <c r="M8" s="1" t="s">
        <v>303</v>
      </c>
      <c r="N8" s="1" t="s">
        <v>57</v>
      </c>
      <c r="O8" s="5">
        <v>46051</v>
      </c>
    </row>
    <row r="9" spans="1:17">
      <c r="A9" s="1">
        <v>6</v>
      </c>
      <c r="B9" s="1" t="s">
        <v>472</v>
      </c>
      <c r="C9" s="5">
        <v>46055</v>
      </c>
      <c r="D9" s="1" t="s">
        <v>19</v>
      </c>
      <c r="E9" s="6" t="s">
        <v>31</v>
      </c>
      <c r="F9" s="6" t="s">
        <v>58</v>
      </c>
      <c r="G9" s="1" t="s">
        <v>77</v>
      </c>
      <c r="H9" s="1" t="s">
        <v>15</v>
      </c>
      <c r="I9" s="1">
        <v>19</v>
      </c>
      <c r="J9" s="1">
        <v>7</v>
      </c>
      <c r="K9" s="1">
        <v>0</v>
      </c>
      <c r="L9" s="1" t="s">
        <v>42</v>
      </c>
      <c r="M9" s="1" t="s">
        <v>222</v>
      </c>
      <c r="N9" s="1" t="s">
        <v>26</v>
      </c>
      <c r="O9" s="5">
        <v>46082</v>
      </c>
    </row>
    <row r="10" spans="1:17">
      <c r="A10" s="1">
        <v>7</v>
      </c>
      <c r="B10" s="1" t="s">
        <v>473</v>
      </c>
      <c r="C10" s="5">
        <v>46073</v>
      </c>
      <c r="D10" s="1" t="s">
        <v>19</v>
      </c>
      <c r="E10" s="6" t="s">
        <v>77</v>
      </c>
      <c r="F10" s="6" t="s">
        <v>46</v>
      </c>
      <c r="G10" s="1" t="s">
        <v>77</v>
      </c>
      <c r="H10" s="1" t="s">
        <v>7</v>
      </c>
      <c r="I10" s="1">
        <v>15</v>
      </c>
      <c r="J10" s="1">
        <v>5</v>
      </c>
      <c r="K10" s="1">
        <v>2</v>
      </c>
      <c r="L10" s="1" t="s">
        <v>17</v>
      </c>
      <c r="M10" s="1" t="s">
        <v>226</v>
      </c>
      <c r="N10" s="1" t="s">
        <v>91</v>
      </c>
      <c r="O10" s="5">
        <v>46107</v>
      </c>
    </row>
    <row r="11" spans="1:17">
      <c r="A11" s="1">
        <v>8</v>
      </c>
      <c r="B11" s="1" t="s">
        <v>474</v>
      </c>
      <c r="C11" s="5">
        <v>46072</v>
      </c>
      <c r="D11" s="1" t="s">
        <v>19</v>
      </c>
      <c r="E11" s="6" t="s">
        <v>51</v>
      </c>
      <c r="F11" s="6" t="s">
        <v>5</v>
      </c>
      <c r="G11" s="1" t="s">
        <v>82</v>
      </c>
      <c r="H11" s="1" t="s">
        <v>68</v>
      </c>
      <c r="I11" s="1">
        <v>31</v>
      </c>
      <c r="J11" s="1">
        <v>8</v>
      </c>
      <c r="K11" s="1">
        <v>1</v>
      </c>
      <c r="L11" s="1" t="s">
        <v>42</v>
      </c>
      <c r="M11" s="1" t="s">
        <v>222</v>
      </c>
      <c r="N11" s="1" t="s">
        <v>20</v>
      </c>
      <c r="O11" s="5">
        <v>46097</v>
      </c>
    </row>
    <row r="12" spans="1:17">
      <c r="A12" s="1">
        <v>9</v>
      </c>
      <c r="B12" s="1" t="s">
        <v>475</v>
      </c>
      <c r="C12" s="5">
        <v>46072</v>
      </c>
      <c r="D12" s="1" t="s">
        <v>19</v>
      </c>
      <c r="E12" s="6" t="s">
        <v>21</v>
      </c>
      <c r="F12" s="6" t="s">
        <v>50</v>
      </c>
      <c r="G12" s="1" t="s">
        <v>40</v>
      </c>
      <c r="H12" s="1" t="s">
        <v>62</v>
      </c>
      <c r="I12" s="1">
        <v>27</v>
      </c>
      <c r="J12" s="1">
        <v>1</v>
      </c>
      <c r="K12" s="1">
        <v>4</v>
      </c>
      <c r="L12" s="1" t="s">
        <v>24</v>
      </c>
      <c r="M12" s="1" t="s">
        <v>226</v>
      </c>
      <c r="N12" s="1" t="s">
        <v>20</v>
      </c>
      <c r="O12" s="5">
        <v>46099</v>
      </c>
    </row>
    <row r="13" spans="1:17">
      <c r="A13" s="1">
        <v>10</v>
      </c>
      <c r="B13" s="1" t="s">
        <v>476</v>
      </c>
      <c r="C13" s="5">
        <v>46084</v>
      </c>
      <c r="D13" s="1" t="s">
        <v>44</v>
      </c>
      <c r="E13" s="6" t="s">
        <v>95</v>
      </c>
      <c r="F13" s="6" t="s">
        <v>50</v>
      </c>
      <c r="G13" s="1" t="s">
        <v>77</v>
      </c>
      <c r="H13" s="1" t="s">
        <v>36</v>
      </c>
      <c r="I13" s="1">
        <v>31</v>
      </c>
      <c r="J13" s="1">
        <v>6</v>
      </c>
      <c r="K13" s="1">
        <v>1</v>
      </c>
      <c r="L13" s="1" t="s">
        <v>42</v>
      </c>
      <c r="M13" s="1" t="s">
        <v>222</v>
      </c>
      <c r="N13" s="1" t="s">
        <v>4</v>
      </c>
      <c r="O13" s="5">
        <v>46128</v>
      </c>
    </row>
    <row r="14" spans="1:17">
      <c r="A14" s="1">
        <v>11</v>
      </c>
      <c r="B14" s="1" t="s">
        <v>477</v>
      </c>
      <c r="C14" s="5">
        <v>46103</v>
      </c>
      <c r="D14" s="1" t="s">
        <v>44</v>
      </c>
      <c r="E14" s="6" t="s">
        <v>80</v>
      </c>
      <c r="F14" s="6" t="s">
        <v>27</v>
      </c>
      <c r="G14" s="1" t="s">
        <v>40</v>
      </c>
      <c r="H14" s="1" t="s">
        <v>62</v>
      </c>
      <c r="I14" s="1">
        <v>46</v>
      </c>
      <c r="J14" s="1">
        <v>0</v>
      </c>
      <c r="K14" s="1">
        <v>1</v>
      </c>
      <c r="L14" s="1" t="s">
        <v>10</v>
      </c>
      <c r="M14" s="1" t="s">
        <v>222</v>
      </c>
      <c r="N14" s="1" t="s">
        <v>45</v>
      </c>
      <c r="O14" s="5">
        <v>46129</v>
      </c>
    </row>
    <row r="15" spans="1:17">
      <c r="A15" s="1">
        <v>12</v>
      </c>
      <c r="B15" s="1" t="s">
        <v>478</v>
      </c>
      <c r="C15" s="5">
        <v>46097</v>
      </c>
      <c r="D15" s="1" t="s">
        <v>44</v>
      </c>
      <c r="E15" s="6" t="s">
        <v>80</v>
      </c>
      <c r="F15" s="6" t="s">
        <v>39</v>
      </c>
      <c r="G15" s="1" t="s">
        <v>82</v>
      </c>
      <c r="H15" s="1" t="s">
        <v>22</v>
      </c>
      <c r="I15" s="1">
        <v>25</v>
      </c>
      <c r="J15" s="1">
        <v>8</v>
      </c>
      <c r="K15" s="1">
        <v>6</v>
      </c>
      <c r="L15" s="1" t="s">
        <v>24</v>
      </c>
      <c r="M15" s="1" t="s">
        <v>222</v>
      </c>
      <c r="N15" s="1" t="s">
        <v>91</v>
      </c>
      <c r="O15" s="5">
        <v>46117</v>
      </c>
    </row>
    <row r="16" spans="1:17">
      <c r="A16" s="1">
        <v>13</v>
      </c>
      <c r="B16" s="1" t="s">
        <v>479</v>
      </c>
      <c r="C16" s="5">
        <v>46117</v>
      </c>
      <c r="D16" s="1" t="s">
        <v>53</v>
      </c>
      <c r="E16" s="6" t="s">
        <v>35</v>
      </c>
      <c r="F16" s="6" t="s">
        <v>92</v>
      </c>
      <c r="G16" s="1" t="s">
        <v>87</v>
      </c>
      <c r="H16" s="1" t="s">
        <v>28</v>
      </c>
      <c r="I16" s="1">
        <v>44</v>
      </c>
      <c r="J16" s="1">
        <v>2</v>
      </c>
      <c r="K16" s="1">
        <v>5</v>
      </c>
      <c r="L16" s="1" t="s">
        <v>96</v>
      </c>
      <c r="M16" s="1" t="s">
        <v>222</v>
      </c>
      <c r="N16" s="1" t="s">
        <v>12</v>
      </c>
      <c r="O16" s="5">
        <v>46124</v>
      </c>
    </row>
    <row r="17" spans="1:15">
      <c r="A17" s="1">
        <v>14</v>
      </c>
      <c r="B17" s="1" t="s">
        <v>480</v>
      </c>
      <c r="C17" s="5">
        <v>46140</v>
      </c>
      <c r="D17" s="1" t="s">
        <v>53</v>
      </c>
      <c r="E17" s="6" t="s">
        <v>82</v>
      </c>
      <c r="F17" s="6" t="s">
        <v>50</v>
      </c>
      <c r="G17" s="1" t="s">
        <v>80</v>
      </c>
      <c r="H17" s="1" t="s">
        <v>22</v>
      </c>
      <c r="I17" s="1">
        <v>38</v>
      </c>
      <c r="J17" s="1">
        <v>4</v>
      </c>
      <c r="K17" s="1">
        <v>6</v>
      </c>
      <c r="L17" s="1" t="s">
        <v>42</v>
      </c>
      <c r="M17" s="1" t="s">
        <v>226</v>
      </c>
      <c r="N17" s="1" t="s">
        <v>20</v>
      </c>
      <c r="O17" s="5">
        <v>46166</v>
      </c>
    </row>
    <row r="18" spans="1:15">
      <c r="A18" s="1">
        <v>15</v>
      </c>
      <c r="B18" s="1" t="s">
        <v>481</v>
      </c>
      <c r="C18" s="5">
        <v>46133</v>
      </c>
      <c r="D18" s="1" t="s">
        <v>53</v>
      </c>
      <c r="E18" s="6" t="s">
        <v>14</v>
      </c>
      <c r="F18" s="6" t="s">
        <v>50</v>
      </c>
      <c r="G18" s="1" t="s">
        <v>21</v>
      </c>
      <c r="H18" s="1" t="s">
        <v>93</v>
      </c>
      <c r="I18" s="1">
        <v>40</v>
      </c>
      <c r="J18" s="1">
        <v>5</v>
      </c>
      <c r="K18" s="1">
        <v>3</v>
      </c>
      <c r="L18" s="1" t="s">
        <v>24</v>
      </c>
      <c r="M18" s="1" t="s">
        <v>222</v>
      </c>
      <c r="N18" s="1" t="s">
        <v>20</v>
      </c>
      <c r="O18" s="5">
        <v>46146</v>
      </c>
    </row>
    <row r="19" spans="1:15">
      <c r="A19" s="1">
        <v>16</v>
      </c>
      <c r="B19" s="1" t="s">
        <v>482</v>
      </c>
      <c r="C19" s="5">
        <v>46128</v>
      </c>
      <c r="D19" s="1" t="s">
        <v>53</v>
      </c>
      <c r="E19" s="6" t="s">
        <v>6</v>
      </c>
      <c r="F19" s="6" t="s">
        <v>50</v>
      </c>
      <c r="G19" s="1" t="s">
        <v>31</v>
      </c>
      <c r="H19" s="1" t="s">
        <v>22</v>
      </c>
      <c r="I19" s="1">
        <v>49</v>
      </c>
      <c r="J19" s="1">
        <v>3</v>
      </c>
      <c r="K19" s="1">
        <v>4</v>
      </c>
      <c r="L19" s="1" t="s">
        <v>42</v>
      </c>
      <c r="M19" s="1" t="s">
        <v>331</v>
      </c>
      <c r="N19" s="1" t="s">
        <v>12</v>
      </c>
      <c r="O19" s="5">
        <v>46156</v>
      </c>
    </row>
    <row r="20" spans="1:15">
      <c r="A20" s="1">
        <v>17</v>
      </c>
      <c r="B20" s="1" t="s">
        <v>483</v>
      </c>
      <c r="C20" s="5">
        <v>46130</v>
      </c>
      <c r="D20" s="1" t="s">
        <v>53</v>
      </c>
      <c r="E20" s="6" t="s">
        <v>95</v>
      </c>
      <c r="F20" s="6" t="s">
        <v>92</v>
      </c>
      <c r="G20" s="1" t="s">
        <v>14</v>
      </c>
      <c r="H20" s="1" t="s">
        <v>78</v>
      </c>
      <c r="I20" s="1">
        <v>30</v>
      </c>
      <c r="J20" s="1">
        <v>4</v>
      </c>
      <c r="K20" s="1">
        <v>7</v>
      </c>
      <c r="L20" s="1" t="s">
        <v>96</v>
      </c>
      <c r="M20" s="1" t="s">
        <v>226</v>
      </c>
      <c r="N20" s="1" t="s">
        <v>20</v>
      </c>
      <c r="O20" s="5">
        <v>46159</v>
      </c>
    </row>
    <row r="21" spans="1:15">
      <c r="A21" s="1">
        <v>18</v>
      </c>
      <c r="B21" s="1" t="s">
        <v>484</v>
      </c>
      <c r="C21" s="5">
        <v>46131</v>
      </c>
      <c r="D21" s="1" t="s">
        <v>53</v>
      </c>
      <c r="E21" s="6" t="s">
        <v>77</v>
      </c>
      <c r="F21" s="6" t="s">
        <v>92</v>
      </c>
      <c r="G21" s="1" t="s">
        <v>82</v>
      </c>
      <c r="H21" s="1" t="s">
        <v>70</v>
      </c>
      <c r="I21" s="1">
        <v>46</v>
      </c>
      <c r="J21" s="1">
        <v>0</v>
      </c>
      <c r="K21" s="1">
        <v>0</v>
      </c>
      <c r="L21" s="1" t="s">
        <v>17</v>
      </c>
      <c r="M21" s="1" t="s">
        <v>226</v>
      </c>
      <c r="N21" s="1" t="s">
        <v>57</v>
      </c>
      <c r="O21" s="5">
        <v>46167</v>
      </c>
    </row>
    <row r="22" spans="1:15">
      <c r="A22" s="1">
        <v>19</v>
      </c>
      <c r="B22" s="1" t="s">
        <v>485</v>
      </c>
      <c r="C22" s="5">
        <v>46166</v>
      </c>
      <c r="D22" s="1" t="s">
        <v>60</v>
      </c>
      <c r="E22" s="6" t="s">
        <v>6</v>
      </c>
      <c r="F22" s="6" t="s">
        <v>89</v>
      </c>
      <c r="G22" s="1" t="s">
        <v>77</v>
      </c>
      <c r="H22" s="1" t="s">
        <v>41</v>
      </c>
      <c r="I22" s="1">
        <v>40</v>
      </c>
      <c r="J22" s="1">
        <v>4</v>
      </c>
      <c r="K22" s="1">
        <v>1</v>
      </c>
      <c r="L22" s="1" t="s">
        <v>10</v>
      </c>
      <c r="M22" s="1" t="s">
        <v>222</v>
      </c>
      <c r="N22" s="1" t="s">
        <v>57</v>
      </c>
      <c r="O22" s="5">
        <v>46173</v>
      </c>
    </row>
    <row r="23" spans="1:15">
      <c r="A23" s="1">
        <v>20</v>
      </c>
      <c r="B23" s="1" t="s">
        <v>486</v>
      </c>
      <c r="C23" s="5">
        <v>46162</v>
      </c>
      <c r="D23" s="1" t="s">
        <v>60</v>
      </c>
      <c r="E23" s="6" t="s">
        <v>6</v>
      </c>
      <c r="F23" s="6" t="s">
        <v>92</v>
      </c>
      <c r="G23" s="1" t="s">
        <v>6</v>
      </c>
      <c r="H23" s="1" t="s">
        <v>36</v>
      </c>
      <c r="I23" s="1">
        <v>46</v>
      </c>
      <c r="J23" s="1">
        <v>8</v>
      </c>
      <c r="K23" s="1">
        <v>5</v>
      </c>
      <c r="L23" s="1" t="s">
        <v>17</v>
      </c>
      <c r="M23" s="1" t="s">
        <v>226</v>
      </c>
      <c r="N23" s="1" t="s">
        <v>30</v>
      </c>
      <c r="O23" s="5">
        <v>46175</v>
      </c>
    </row>
    <row r="24" spans="1:15">
      <c r="A24" s="1">
        <v>21</v>
      </c>
      <c r="B24" s="1" t="s">
        <v>487</v>
      </c>
      <c r="C24" s="5">
        <v>46144</v>
      </c>
      <c r="D24" s="1" t="s">
        <v>60</v>
      </c>
      <c r="E24" s="6" t="s">
        <v>51</v>
      </c>
      <c r="F24" s="6" t="s">
        <v>5</v>
      </c>
      <c r="G24" s="1" t="s">
        <v>80</v>
      </c>
      <c r="H24" s="1" t="s">
        <v>36</v>
      </c>
      <c r="I24" s="1">
        <v>33</v>
      </c>
      <c r="J24" s="1">
        <v>8</v>
      </c>
      <c r="K24" s="1">
        <v>6</v>
      </c>
      <c r="L24" s="1" t="s">
        <v>10</v>
      </c>
      <c r="M24" s="1" t="s">
        <v>226</v>
      </c>
      <c r="N24" s="1" t="s">
        <v>45</v>
      </c>
      <c r="O24" s="5">
        <v>46186</v>
      </c>
    </row>
    <row r="25" spans="1:15">
      <c r="A25" s="1">
        <v>22</v>
      </c>
      <c r="B25" s="1" t="s">
        <v>488</v>
      </c>
      <c r="C25" s="5">
        <v>46153</v>
      </c>
      <c r="D25" s="1" t="s">
        <v>60</v>
      </c>
      <c r="E25" s="6" t="s">
        <v>87</v>
      </c>
      <c r="F25" s="6" t="s">
        <v>89</v>
      </c>
      <c r="G25" s="1" t="s">
        <v>95</v>
      </c>
      <c r="H25" s="1" t="s">
        <v>41</v>
      </c>
      <c r="I25" s="1">
        <v>34</v>
      </c>
      <c r="J25" s="1">
        <v>4</v>
      </c>
      <c r="K25" s="1">
        <v>1</v>
      </c>
      <c r="L25" s="1" t="s">
        <v>42</v>
      </c>
      <c r="M25" s="1" t="s">
        <v>222</v>
      </c>
      <c r="N25" s="1" t="s">
        <v>45</v>
      </c>
      <c r="O25" s="5">
        <v>46188</v>
      </c>
    </row>
    <row r="26" spans="1:15">
      <c r="A26" s="1">
        <v>23</v>
      </c>
      <c r="B26" s="1" t="s">
        <v>489</v>
      </c>
      <c r="C26" s="5">
        <v>46167</v>
      </c>
      <c r="D26" s="1" t="s">
        <v>60</v>
      </c>
      <c r="E26" s="6" t="s">
        <v>31</v>
      </c>
      <c r="F26" s="6" t="s">
        <v>92</v>
      </c>
      <c r="G26" s="1" t="s">
        <v>51</v>
      </c>
      <c r="H26" s="1" t="s">
        <v>36</v>
      </c>
      <c r="I26" s="1">
        <v>30</v>
      </c>
      <c r="J26" s="1">
        <v>8</v>
      </c>
      <c r="K26" s="1">
        <v>0</v>
      </c>
      <c r="L26" s="1" t="s">
        <v>42</v>
      </c>
      <c r="M26" s="1" t="s">
        <v>222</v>
      </c>
      <c r="N26" s="1" t="s">
        <v>54</v>
      </c>
      <c r="O26" s="5">
        <v>46175</v>
      </c>
    </row>
    <row r="27" spans="1:15">
      <c r="A27" s="1">
        <v>24</v>
      </c>
      <c r="B27" s="1" t="s">
        <v>490</v>
      </c>
      <c r="C27" s="5">
        <v>46156</v>
      </c>
      <c r="D27" s="1" t="s">
        <v>60</v>
      </c>
      <c r="E27" s="6" t="s">
        <v>77</v>
      </c>
      <c r="F27" s="6" t="s">
        <v>5</v>
      </c>
      <c r="G27" s="1" t="s">
        <v>95</v>
      </c>
      <c r="H27" s="1" t="s">
        <v>32</v>
      </c>
      <c r="I27" s="1">
        <v>26</v>
      </c>
      <c r="J27" s="1">
        <v>2</v>
      </c>
      <c r="K27" s="1">
        <v>5</v>
      </c>
      <c r="L27" s="1" t="s">
        <v>96</v>
      </c>
      <c r="M27" s="1" t="s">
        <v>226</v>
      </c>
      <c r="N27" s="1" t="s">
        <v>20</v>
      </c>
      <c r="O27" s="5">
        <v>46166</v>
      </c>
    </row>
    <row r="28" spans="1:15">
      <c r="A28" s="1">
        <v>25</v>
      </c>
      <c r="B28" s="1" t="s">
        <v>491</v>
      </c>
      <c r="C28" s="5">
        <v>46182</v>
      </c>
      <c r="D28" s="1" t="s">
        <v>73</v>
      </c>
      <c r="E28" s="6" t="s">
        <v>14</v>
      </c>
      <c r="F28" s="6" t="s">
        <v>13</v>
      </c>
      <c r="G28" s="1" t="s">
        <v>31</v>
      </c>
      <c r="H28" s="1" t="s">
        <v>22</v>
      </c>
      <c r="I28" s="1">
        <v>47</v>
      </c>
      <c r="J28" s="1">
        <v>6</v>
      </c>
      <c r="K28" s="1">
        <v>4</v>
      </c>
      <c r="L28" s="1" t="s">
        <v>42</v>
      </c>
      <c r="M28" s="1" t="s">
        <v>222</v>
      </c>
      <c r="N28" s="1" t="s">
        <v>64</v>
      </c>
      <c r="O28" s="5">
        <v>46222</v>
      </c>
    </row>
    <row r="29" spans="1:15">
      <c r="A29" s="1">
        <v>26</v>
      </c>
      <c r="B29" s="1" t="s">
        <v>492</v>
      </c>
      <c r="C29" s="5">
        <v>46178</v>
      </c>
      <c r="D29" s="1" t="s">
        <v>73</v>
      </c>
      <c r="E29" s="6" t="s">
        <v>35</v>
      </c>
      <c r="F29" s="6" t="s">
        <v>50</v>
      </c>
      <c r="G29" s="1" t="s">
        <v>6</v>
      </c>
      <c r="H29" s="1" t="s">
        <v>70</v>
      </c>
      <c r="I29" s="1">
        <v>47</v>
      </c>
      <c r="J29" s="1">
        <v>8</v>
      </c>
      <c r="K29" s="1">
        <v>1</v>
      </c>
      <c r="L29" s="1" t="s">
        <v>42</v>
      </c>
      <c r="M29" s="1" t="s">
        <v>222</v>
      </c>
      <c r="N29" s="1" t="s">
        <v>16</v>
      </c>
      <c r="O29" s="5">
        <v>46200</v>
      </c>
    </row>
    <row r="30" spans="1:15">
      <c r="A30" s="1">
        <v>27</v>
      </c>
      <c r="B30" s="1" t="s">
        <v>493</v>
      </c>
      <c r="C30" s="5">
        <v>46198</v>
      </c>
      <c r="D30" s="1" t="s">
        <v>73</v>
      </c>
      <c r="E30" s="6" t="s">
        <v>80</v>
      </c>
      <c r="F30" s="6" t="s">
        <v>92</v>
      </c>
      <c r="G30" s="1" t="s">
        <v>35</v>
      </c>
      <c r="H30" s="1" t="s">
        <v>66</v>
      </c>
      <c r="I30" s="1">
        <v>30</v>
      </c>
      <c r="J30" s="1">
        <v>0</v>
      </c>
      <c r="K30" s="1">
        <v>2</v>
      </c>
      <c r="L30" s="1" t="s">
        <v>17</v>
      </c>
      <c r="M30" s="1" t="s">
        <v>222</v>
      </c>
      <c r="N30" s="1" t="s">
        <v>20</v>
      </c>
      <c r="O30" s="5">
        <v>46203</v>
      </c>
    </row>
    <row r="31" spans="1:15">
      <c r="A31" s="1">
        <v>28</v>
      </c>
      <c r="B31" s="1" t="s">
        <v>494</v>
      </c>
      <c r="C31" s="5">
        <v>46218</v>
      </c>
      <c r="D31" s="1" t="s">
        <v>76</v>
      </c>
      <c r="E31" s="6" t="s">
        <v>31</v>
      </c>
      <c r="F31" s="6" t="s">
        <v>50</v>
      </c>
      <c r="G31" s="1" t="s">
        <v>87</v>
      </c>
      <c r="H31" s="1" t="s">
        <v>41</v>
      </c>
      <c r="I31" s="1">
        <v>24</v>
      </c>
      <c r="J31" s="1">
        <v>6</v>
      </c>
      <c r="K31" s="1">
        <v>5</v>
      </c>
      <c r="L31" s="1" t="s">
        <v>10</v>
      </c>
      <c r="M31" s="1" t="s">
        <v>331</v>
      </c>
      <c r="N31" s="1" t="s">
        <v>91</v>
      </c>
      <c r="O31" s="5">
        <v>46237</v>
      </c>
    </row>
    <row r="32" spans="1:15">
      <c r="A32" s="1">
        <v>29</v>
      </c>
      <c r="B32" s="1" t="s">
        <v>495</v>
      </c>
      <c r="C32" s="5">
        <v>46205</v>
      </c>
      <c r="D32" s="1" t="s">
        <v>76</v>
      </c>
      <c r="E32" s="6" t="s">
        <v>80</v>
      </c>
      <c r="F32" s="6" t="s">
        <v>89</v>
      </c>
      <c r="G32" s="1" t="s">
        <v>14</v>
      </c>
      <c r="H32" s="1" t="s">
        <v>78</v>
      </c>
      <c r="I32" s="1">
        <v>17</v>
      </c>
      <c r="J32" s="1">
        <v>2</v>
      </c>
      <c r="K32" s="1">
        <v>3</v>
      </c>
      <c r="L32" s="1" t="s">
        <v>96</v>
      </c>
      <c r="M32" s="1" t="s">
        <v>303</v>
      </c>
      <c r="N32" s="1" t="s">
        <v>38</v>
      </c>
      <c r="O32" s="5">
        <v>46248</v>
      </c>
    </row>
    <row r="33" spans="1:15">
      <c r="A33" s="1">
        <v>30</v>
      </c>
      <c r="B33" s="1" t="s">
        <v>496</v>
      </c>
      <c r="C33" s="5">
        <v>46231</v>
      </c>
      <c r="D33" s="1" t="s">
        <v>76</v>
      </c>
      <c r="E33" s="6" t="s">
        <v>82</v>
      </c>
      <c r="F33" s="6" t="s">
        <v>92</v>
      </c>
      <c r="G33" s="1" t="s">
        <v>77</v>
      </c>
      <c r="H33" s="1" t="s">
        <v>28</v>
      </c>
      <c r="I33" s="1">
        <v>49</v>
      </c>
      <c r="J33" s="1">
        <v>5</v>
      </c>
      <c r="K33" s="1">
        <v>7</v>
      </c>
      <c r="L33" s="1" t="s">
        <v>10</v>
      </c>
      <c r="M33" s="1" t="s">
        <v>303</v>
      </c>
      <c r="N33" s="1" t="s">
        <v>57</v>
      </c>
      <c r="O33" s="5">
        <v>46246</v>
      </c>
    </row>
    <row r="34" spans="1:15">
      <c r="A34" s="1">
        <v>31</v>
      </c>
      <c r="B34" s="1" t="s">
        <v>497</v>
      </c>
      <c r="C34" s="5">
        <v>46207</v>
      </c>
      <c r="D34" s="1" t="s">
        <v>76</v>
      </c>
      <c r="E34" s="6" t="s">
        <v>21</v>
      </c>
      <c r="F34" s="6" t="s">
        <v>50</v>
      </c>
      <c r="G34" s="1" t="s">
        <v>95</v>
      </c>
      <c r="H34" s="1" t="s">
        <v>41</v>
      </c>
      <c r="I34" s="1">
        <v>48</v>
      </c>
      <c r="J34" s="1">
        <v>6</v>
      </c>
      <c r="K34" s="1">
        <v>6</v>
      </c>
      <c r="L34" s="1" t="s">
        <v>17</v>
      </c>
      <c r="M34" s="1" t="s">
        <v>331</v>
      </c>
      <c r="N34" s="1" t="s">
        <v>38</v>
      </c>
      <c r="O34" s="5">
        <v>46232</v>
      </c>
    </row>
    <row r="35" spans="1:15">
      <c r="A35" s="1">
        <v>32</v>
      </c>
      <c r="B35" s="1" t="s">
        <v>498</v>
      </c>
      <c r="C35" s="5">
        <v>46212</v>
      </c>
      <c r="D35" s="1" t="s">
        <v>76</v>
      </c>
      <c r="E35" s="6" t="s">
        <v>51</v>
      </c>
      <c r="F35" s="6" t="s">
        <v>50</v>
      </c>
      <c r="G35" s="1" t="s">
        <v>6</v>
      </c>
      <c r="H35" s="1" t="s">
        <v>68</v>
      </c>
      <c r="I35" s="1">
        <v>29</v>
      </c>
      <c r="J35" s="1">
        <v>1</v>
      </c>
      <c r="K35" s="1">
        <v>8</v>
      </c>
      <c r="L35" s="1" t="s">
        <v>17</v>
      </c>
      <c r="M35" s="1" t="s">
        <v>222</v>
      </c>
      <c r="N35" s="1" t="s">
        <v>38</v>
      </c>
      <c r="O35" s="5">
        <v>46223</v>
      </c>
    </row>
    <row r="36" spans="1:15">
      <c r="A36" s="1">
        <v>33</v>
      </c>
      <c r="B36" s="1" t="s">
        <v>499</v>
      </c>
      <c r="C36" s="5">
        <v>46222</v>
      </c>
      <c r="D36" s="1" t="s">
        <v>76</v>
      </c>
      <c r="E36" s="6" t="s">
        <v>82</v>
      </c>
      <c r="F36" s="6" t="s">
        <v>27</v>
      </c>
      <c r="G36" s="1" t="s">
        <v>87</v>
      </c>
      <c r="H36" s="1" t="s">
        <v>28</v>
      </c>
      <c r="I36" s="1">
        <v>32</v>
      </c>
      <c r="J36" s="1">
        <v>8</v>
      </c>
      <c r="K36" s="1">
        <v>1</v>
      </c>
      <c r="L36" s="1" t="s">
        <v>24</v>
      </c>
      <c r="M36" s="1" t="s">
        <v>226</v>
      </c>
      <c r="N36" s="1" t="s">
        <v>12</v>
      </c>
      <c r="O36" s="5">
        <v>46232</v>
      </c>
    </row>
    <row r="37" spans="1:15">
      <c r="A37" s="1">
        <v>34</v>
      </c>
      <c r="B37" s="1" t="s">
        <v>500</v>
      </c>
      <c r="C37" s="5">
        <v>46223</v>
      </c>
      <c r="D37" s="1" t="s">
        <v>76</v>
      </c>
      <c r="E37" s="6" t="s">
        <v>82</v>
      </c>
      <c r="F37" s="6" t="s">
        <v>13</v>
      </c>
      <c r="G37" s="1" t="s">
        <v>80</v>
      </c>
      <c r="H37" s="1" t="s">
        <v>68</v>
      </c>
      <c r="I37" s="1">
        <v>22</v>
      </c>
      <c r="J37" s="1">
        <v>0</v>
      </c>
      <c r="K37" s="1">
        <v>3</v>
      </c>
      <c r="L37" s="1" t="s">
        <v>42</v>
      </c>
      <c r="M37" s="1" t="s">
        <v>226</v>
      </c>
      <c r="N37" s="1" t="s">
        <v>45</v>
      </c>
      <c r="O37" s="5">
        <v>46265</v>
      </c>
    </row>
    <row r="38" spans="1:15">
      <c r="A38" s="1">
        <v>35</v>
      </c>
      <c r="B38" s="1" t="s">
        <v>501</v>
      </c>
      <c r="C38" s="5">
        <v>46245</v>
      </c>
      <c r="D38" s="1" t="s">
        <v>86</v>
      </c>
      <c r="E38" s="6" t="s">
        <v>95</v>
      </c>
      <c r="F38" s="6" t="s">
        <v>92</v>
      </c>
      <c r="G38" s="1" t="s">
        <v>95</v>
      </c>
      <c r="H38" s="1" t="s">
        <v>62</v>
      </c>
      <c r="I38" s="1">
        <v>16</v>
      </c>
      <c r="J38" s="1">
        <v>8</v>
      </c>
      <c r="K38" s="1">
        <v>5</v>
      </c>
      <c r="L38" s="1" t="s">
        <v>96</v>
      </c>
      <c r="M38" s="1" t="s">
        <v>226</v>
      </c>
      <c r="N38" s="1" t="s">
        <v>61</v>
      </c>
      <c r="O38" s="5">
        <v>46253</v>
      </c>
    </row>
    <row r="39" spans="1:15">
      <c r="A39" s="1">
        <v>36</v>
      </c>
      <c r="B39" s="1" t="s">
        <v>502</v>
      </c>
      <c r="C39" s="5">
        <v>46262</v>
      </c>
      <c r="D39" s="1" t="s">
        <v>86</v>
      </c>
      <c r="E39" s="6" t="s">
        <v>14</v>
      </c>
      <c r="F39" s="6" t="s">
        <v>13</v>
      </c>
      <c r="G39" s="1" t="s">
        <v>51</v>
      </c>
      <c r="H39" s="1" t="s">
        <v>15</v>
      </c>
      <c r="I39" s="1">
        <v>31</v>
      </c>
      <c r="J39" s="1">
        <v>8</v>
      </c>
      <c r="K39" s="1">
        <v>6</v>
      </c>
      <c r="L39" s="1" t="s">
        <v>17</v>
      </c>
      <c r="M39" s="1" t="s">
        <v>222</v>
      </c>
      <c r="N39" s="1" t="s">
        <v>30</v>
      </c>
      <c r="O39" s="5">
        <v>46292</v>
      </c>
    </row>
    <row r="40" spans="1:15">
      <c r="A40" s="1">
        <v>37</v>
      </c>
      <c r="B40" s="1" t="s">
        <v>503</v>
      </c>
      <c r="C40" s="5">
        <v>46238</v>
      </c>
      <c r="D40" s="1" t="s">
        <v>86</v>
      </c>
      <c r="E40" s="6" t="s">
        <v>35</v>
      </c>
      <c r="F40" s="6" t="s">
        <v>13</v>
      </c>
      <c r="G40" s="1" t="s">
        <v>40</v>
      </c>
      <c r="H40" s="1" t="s">
        <v>62</v>
      </c>
      <c r="I40" s="1">
        <v>31</v>
      </c>
      <c r="J40" s="1">
        <v>1</v>
      </c>
      <c r="K40" s="1">
        <v>6</v>
      </c>
      <c r="L40" s="1" t="s">
        <v>24</v>
      </c>
      <c r="M40" s="1" t="s">
        <v>303</v>
      </c>
      <c r="N40" s="1" t="s">
        <v>12</v>
      </c>
      <c r="O40" s="5">
        <v>46281</v>
      </c>
    </row>
    <row r="41" spans="1:15">
      <c r="A41" s="1">
        <v>38</v>
      </c>
      <c r="B41" s="1" t="s">
        <v>504</v>
      </c>
      <c r="C41" s="5">
        <v>46256</v>
      </c>
      <c r="D41" s="1" t="s">
        <v>86</v>
      </c>
      <c r="E41" s="6" t="s">
        <v>14</v>
      </c>
      <c r="F41" s="6" t="s">
        <v>46</v>
      </c>
      <c r="G41" s="1" t="s">
        <v>95</v>
      </c>
      <c r="H41" s="1" t="s">
        <v>78</v>
      </c>
      <c r="I41" s="1">
        <v>26</v>
      </c>
      <c r="J41" s="1">
        <v>7</v>
      </c>
      <c r="K41" s="1">
        <v>0</v>
      </c>
      <c r="L41" s="1" t="s">
        <v>10</v>
      </c>
      <c r="M41" s="1" t="s">
        <v>222</v>
      </c>
      <c r="N41" s="1" t="s">
        <v>54</v>
      </c>
      <c r="O41" s="5">
        <v>46278</v>
      </c>
    </row>
    <row r="42" spans="1:15">
      <c r="A42" s="1">
        <v>39</v>
      </c>
      <c r="B42" s="1" t="s">
        <v>505</v>
      </c>
      <c r="C42" s="5">
        <v>46242</v>
      </c>
      <c r="D42" s="1" t="s">
        <v>86</v>
      </c>
      <c r="E42" s="6" t="s">
        <v>95</v>
      </c>
      <c r="F42" s="6" t="s">
        <v>50</v>
      </c>
      <c r="G42" s="1" t="s">
        <v>77</v>
      </c>
      <c r="H42" s="1" t="s">
        <v>62</v>
      </c>
      <c r="I42" s="1">
        <v>31</v>
      </c>
      <c r="J42" s="1">
        <v>1</v>
      </c>
      <c r="K42" s="1">
        <v>5</v>
      </c>
      <c r="L42" s="1" t="s">
        <v>17</v>
      </c>
      <c r="M42" s="1" t="s">
        <v>222</v>
      </c>
      <c r="N42" s="1" t="s">
        <v>38</v>
      </c>
      <c r="O42" s="5">
        <v>46274</v>
      </c>
    </row>
    <row r="43" spans="1:15">
      <c r="A43" s="1">
        <v>40</v>
      </c>
      <c r="B43" s="1" t="s">
        <v>506</v>
      </c>
      <c r="C43" s="5">
        <v>46276</v>
      </c>
      <c r="D43" s="1" t="s">
        <v>102</v>
      </c>
      <c r="E43" s="6" t="s">
        <v>14</v>
      </c>
      <c r="F43" s="6" t="s">
        <v>89</v>
      </c>
      <c r="G43" s="1" t="s">
        <v>31</v>
      </c>
      <c r="H43" s="1" t="s">
        <v>93</v>
      </c>
      <c r="I43" s="1">
        <v>47</v>
      </c>
      <c r="J43" s="1">
        <v>3</v>
      </c>
      <c r="K43" s="1">
        <v>2</v>
      </c>
      <c r="L43" s="1" t="s">
        <v>42</v>
      </c>
      <c r="M43" s="1" t="s">
        <v>303</v>
      </c>
      <c r="N43" s="1" t="s">
        <v>61</v>
      </c>
      <c r="O43" s="5">
        <v>46294</v>
      </c>
    </row>
    <row r="44" spans="1:15">
      <c r="A44" s="1">
        <v>41</v>
      </c>
      <c r="B44" s="1" t="s">
        <v>507</v>
      </c>
      <c r="C44" s="5">
        <v>46280</v>
      </c>
      <c r="D44" s="1" t="s">
        <v>102</v>
      </c>
      <c r="E44" s="6" t="s">
        <v>31</v>
      </c>
      <c r="F44" s="6" t="s">
        <v>89</v>
      </c>
      <c r="G44" s="1" t="s">
        <v>14</v>
      </c>
      <c r="H44" s="1" t="s">
        <v>66</v>
      </c>
      <c r="I44" s="1">
        <v>49</v>
      </c>
      <c r="J44" s="1">
        <v>4</v>
      </c>
      <c r="K44" s="1">
        <v>6</v>
      </c>
      <c r="L44" s="1" t="s">
        <v>42</v>
      </c>
      <c r="M44" s="1" t="s">
        <v>222</v>
      </c>
      <c r="N44" s="1" t="s">
        <v>45</v>
      </c>
      <c r="O44" s="5">
        <v>46294</v>
      </c>
    </row>
    <row r="45" spans="1:15">
      <c r="A45" s="1">
        <v>42</v>
      </c>
      <c r="B45" s="1" t="s">
        <v>508</v>
      </c>
      <c r="C45" s="5">
        <v>46297</v>
      </c>
      <c r="D45" s="1" t="s">
        <v>106</v>
      </c>
      <c r="E45" s="6" t="s">
        <v>6</v>
      </c>
      <c r="F45" s="6" t="s">
        <v>27</v>
      </c>
      <c r="G45" s="1" t="s">
        <v>82</v>
      </c>
      <c r="H45" s="1" t="s">
        <v>7</v>
      </c>
      <c r="I45" s="1">
        <v>28</v>
      </c>
      <c r="J45" s="1">
        <v>4</v>
      </c>
      <c r="K45" s="1">
        <v>5</v>
      </c>
      <c r="L45" s="1" t="s">
        <v>17</v>
      </c>
      <c r="M45" s="1" t="s">
        <v>226</v>
      </c>
      <c r="N45" s="1" t="s">
        <v>12</v>
      </c>
      <c r="O45" s="5">
        <v>46311</v>
      </c>
    </row>
    <row r="46" spans="1:15">
      <c r="A46" s="1">
        <v>43</v>
      </c>
      <c r="B46" s="1" t="s">
        <v>509</v>
      </c>
      <c r="C46" s="5">
        <v>46310</v>
      </c>
      <c r="D46" s="1" t="s">
        <v>106</v>
      </c>
      <c r="E46" s="6" t="s">
        <v>87</v>
      </c>
      <c r="F46" s="6" t="s">
        <v>5</v>
      </c>
      <c r="G46" s="1" t="s">
        <v>51</v>
      </c>
      <c r="H46" s="1" t="s">
        <v>28</v>
      </c>
      <c r="I46" s="1">
        <v>43</v>
      </c>
      <c r="J46" s="1">
        <v>3</v>
      </c>
      <c r="K46" s="1">
        <v>4</v>
      </c>
      <c r="L46" s="1" t="s">
        <v>17</v>
      </c>
      <c r="M46" s="1" t="s">
        <v>331</v>
      </c>
      <c r="N46" s="1" t="s">
        <v>12</v>
      </c>
      <c r="O46" s="5">
        <v>46322</v>
      </c>
    </row>
    <row r="47" spans="1:15">
      <c r="A47" s="1">
        <v>44</v>
      </c>
      <c r="B47" s="1" t="s">
        <v>510</v>
      </c>
      <c r="C47" s="5">
        <v>46351</v>
      </c>
      <c r="D47" s="1" t="s">
        <v>111</v>
      </c>
      <c r="E47" s="6" t="s">
        <v>87</v>
      </c>
      <c r="F47" s="6" t="s">
        <v>65</v>
      </c>
      <c r="G47" s="1" t="s">
        <v>31</v>
      </c>
      <c r="H47" s="1" t="s">
        <v>41</v>
      </c>
      <c r="I47" s="1">
        <v>32</v>
      </c>
      <c r="J47" s="1">
        <v>5</v>
      </c>
      <c r="K47" s="1">
        <v>8</v>
      </c>
      <c r="L47" s="1" t="s">
        <v>24</v>
      </c>
      <c r="M47" s="1" t="s">
        <v>222</v>
      </c>
      <c r="N47" s="1" t="s">
        <v>91</v>
      </c>
      <c r="O47" s="5">
        <v>46374</v>
      </c>
    </row>
    <row r="48" spans="1:15">
      <c r="A48" s="1">
        <v>45</v>
      </c>
      <c r="B48" s="1" t="s">
        <v>511</v>
      </c>
      <c r="C48" s="5">
        <v>46352</v>
      </c>
      <c r="D48" s="1" t="s">
        <v>111</v>
      </c>
      <c r="E48" s="6" t="s">
        <v>80</v>
      </c>
      <c r="F48" s="6" t="s">
        <v>50</v>
      </c>
      <c r="G48" s="1" t="s">
        <v>95</v>
      </c>
      <c r="H48" s="1" t="s">
        <v>32</v>
      </c>
      <c r="I48" s="1">
        <v>45</v>
      </c>
      <c r="J48" s="1">
        <v>0</v>
      </c>
      <c r="K48" s="1">
        <v>5</v>
      </c>
      <c r="L48" s="1" t="s">
        <v>96</v>
      </c>
      <c r="M48" s="1" t="s">
        <v>303</v>
      </c>
      <c r="N48" s="1" t="s">
        <v>12</v>
      </c>
      <c r="O48" s="5">
        <v>46374</v>
      </c>
    </row>
    <row r="49" spans="1:15">
      <c r="A49" s="1">
        <v>46</v>
      </c>
      <c r="B49" s="1" t="s">
        <v>512</v>
      </c>
      <c r="C49" s="5">
        <v>46378</v>
      </c>
      <c r="D49" s="1" t="s">
        <v>122</v>
      </c>
      <c r="E49" s="6" t="s">
        <v>95</v>
      </c>
      <c r="F49" s="6" t="s">
        <v>46</v>
      </c>
      <c r="G49" s="1" t="s">
        <v>77</v>
      </c>
      <c r="H49" s="1" t="s">
        <v>104</v>
      </c>
      <c r="I49" s="1">
        <v>18</v>
      </c>
      <c r="J49" s="1">
        <v>5</v>
      </c>
      <c r="K49" s="1">
        <v>1</v>
      </c>
      <c r="L49" s="1" t="s">
        <v>96</v>
      </c>
      <c r="M49" s="1" t="s">
        <v>331</v>
      </c>
      <c r="N49" s="1" t="s">
        <v>64</v>
      </c>
      <c r="O49" s="5">
        <v>46390</v>
      </c>
    </row>
    <row r="50" spans="1:15">
      <c r="A50" s="1">
        <v>47</v>
      </c>
      <c r="B50" s="1" t="s">
        <v>513</v>
      </c>
      <c r="C50" s="5">
        <v>46375</v>
      </c>
      <c r="D50" s="1" t="s">
        <v>122</v>
      </c>
      <c r="E50" s="6" t="s">
        <v>21</v>
      </c>
      <c r="F50" s="6" t="s">
        <v>58</v>
      </c>
      <c r="G50" s="1" t="s">
        <v>14</v>
      </c>
      <c r="H50" s="1" t="s">
        <v>41</v>
      </c>
      <c r="I50" s="1">
        <v>39</v>
      </c>
      <c r="J50" s="1">
        <v>5</v>
      </c>
      <c r="K50" s="1">
        <v>4</v>
      </c>
      <c r="L50" s="1" t="s">
        <v>96</v>
      </c>
      <c r="M50" s="1" t="s">
        <v>222</v>
      </c>
      <c r="N50" s="1" t="s">
        <v>91</v>
      </c>
      <c r="O50" s="5">
        <v>46403</v>
      </c>
    </row>
    <row r="51" spans="1:15">
      <c r="A51" s="1">
        <v>48</v>
      </c>
      <c r="B51" s="1" t="s">
        <v>514</v>
      </c>
      <c r="C51" s="5">
        <v>46374</v>
      </c>
      <c r="D51" s="1" t="s">
        <v>122</v>
      </c>
      <c r="E51" s="6" t="s">
        <v>87</v>
      </c>
      <c r="F51" s="6" t="s">
        <v>27</v>
      </c>
      <c r="G51" s="1" t="s">
        <v>40</v>
      </c>
      <c r="H51" s="1" t="s">
        <v>36</v>
      </c>
      <c r="I51" s="1">
        <v>22</v>
      </c>
      <c r="J51" s="1">
        <v>7</v>
      </c>
      <c r="K51" s="1">
        <v>3</v>
      </c>
      <c r="L51" s="1" t="s">
        <v>17</v>
      </c>
      <c r="M51" s="1" t="s">
        <v>226</v>
      </c>
      <c r="N51" s="1" t="s">
        <v>57</v>
      </c>
      <c r="O51" s="5">
        <v>46411</v>
      </c>
    </row>
  </sheetData>
  <mergeCells count="2">
    <mergeCell ref="A1:O1"/>
    <mergeCell ref="A2:O2"/>
  </mergeCells>
  <dataValidations count="3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M4:M100003">
      <formula1>L_Status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64748B"/>
    <pageSetUpPr fitToPage="1"/>
  </sheetPr>
  <dimension ref="A1:R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2.7109375" style="1" customWidth="1"/>
    <col min="3" max="4" width="9.7109375" style="1" customWidth="1"/>
    <col min="5" max="5" width="11.7109375" style="1" customWidth="1"/>
    <col min="6" max="6" width="14.7109375" style="1" customWidth="1"/>
    <col min="7" max="8" width="12.7109375" style="1" customWidth="1"/>
    <col min="9" max="9" width="9.7109375" style="1" customWidth="1"/>
    <col min="10" max="10" width="10.7109375" style="1" customWidth="1"/>
    <col min="11" max="11" width="14.7109375" style="2" customWidth="1"/>
    <col min="12" max="12" width="16.7109375" style="1" customWidth="1"/>
    <col min="13" max="13" width="21.7109375" style="1" customWidth="1"/>
    <col min="14" max="14" width="16.7109375" style="1" customWidth="1"/>
    <col min="15" max="15" width="13.7109375" style="2" customWidth="1"/>
    <col min="16" max="16" width="16.7109375" style="1" customWidth="1"/>
  </cols>
  <sheetData>
    <row r="1" spans="1:18" ht="22" customHeight="1">
      <c r="A1" s="3" t="s">
        <v>515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4" t="s">
        <v>139</v>
      </c>
    </row>
    <row r="2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>
      <c r="A3" s="1" t="s">
        <v>124</v>
      </c>
      <c r="B3" s="1" t="s">
        <v>568</v>
      </c>
      <c r="C3" s="1" t="s">
        <v>126</v>
      </c>
      <c r="D3" s="1" t="s">
        <v>127</v>
      </c>
      <c r="E3" s="1" t="s">
        <v>569</v>
      </c>
      <c r="F3" s="1" t="s">
        <v>570</v>
      </c>
      <c r="G3" s="1" t="s">
        <v>129</v>
      </c>
      <c r="H3" s="1" t="s">
        <v>571</v>
      </c>
      <c r="I3" s="1" t="s">
        <v>572</v>
      </c>
      <c r="J3" s="1" t="s">
        <v>573</v>
      </c>
      <c r="K3" s="2" t="s">
        <v>134</v>
      </c>
      <c r="L3" s="1" t="s">
        <v>135</v>
      </c>
      <c r="M3" s="1" t="s">
        <v>574</v>
      </c>
      <c r="N3" s="1" t="s">
        <v>575</v>
      </c>
      <c r="O3" s="2" t="s">
        <v>576</v>
      </c>
      <c r="P3" s="1" t="s">
        <v>577</v>
      </c>
    </row>
    <row r="4" spans="1:18">
      <c r="A4" s="1">
        <v>1</v>
      </c>
      <c r="B4" s="1" t="s">
        <v>516</v>
      </c>
      <c r="C4" s="5">
        <v>46046</v>
      </c>
      <c r="D4" s="1" t="s">
        <v>3</v>
      </c>
      <c r="E4" s="6" t="s">
        <v>517</v>
      </c>
      <c r="F4" s="6" t="s">
        <v>64</v>
      </c>
      <c r="G4" s="1" t="s">
        <v>13</v>
      </c>
      <c r="H4" s="1" t="s">
        <v>22</v>
      </c>
      <c r="I4" s="1">
        <v>52</v>
      </c>
      <c r="J4" s="1">
        <v>19</v>
      </c>
      <c r="K4" s="2">
        <f>IFERROR(J4/I4*100,0)</f>
        <v>0</v>
      </c>
      <c r="L4" s="1">
        <v>109</v>
      </c>
      <c r="M4" s="1">
        <v>2</v>
      </c>
      <c r="N4" s="1">
        <v>2</v>
      </c>
      <c r="O4" s="2">
        <f>IFERROR(N4/M4*100,0)</f>
        <v>0</v>
      </c>
      <c r="P4" s="1" t="s">
        <v>9</v>
      </c>
    </row>
    <row r="5" spans="1:18">
      <c r="A5" s="1">
        <v>2</v>
      </c>
      <c r="B5" s="1" t="s">
        <v>518</v>
      </c>
      <c r="C5" s="5">
        <v>46032</v>
      </c>
      <c r="D5" s="1" t="s">
        <v>3</v>
      </c>
      <c r="E5" s="6" t="s">
        <v>519</v>
      </c>
      <c r="F5" s="6" t="s">
        <v>30</v>
      </c>
      <c r="G5" s="1" t="s">
        <v>13</v>
      </c>
      <c r="H5" s="1" t="s">
        <v>70</v>
      </c>
      <c r="I5" s="1">
        <v>40</v>
      </c>
      <c r="J5" s="1">
        <v>45</v>
      </c>
      <c r="K5" s="2">
        <f>IFERROR(J5/I5*100,0)</f>
        <v>0</v>
      </c>
      <c r="L5" s="1">
        <v>48</v>
      </c>
      <c r="M5" s="1">
        <v>0</v>
      </c>
      <c r="N5" s="1">
        <v>4</v>
      </c>
      <c r="O5" s="2">
        <f>IFERROR(N5/M5*100,0)</f>
        <v>0</v>
      </c>
      <c r="P5" s="1" t="s">
        <v>9</v>
      </c>
    </row>
    <row r="6" spans="1:18">
      <c r="A6" s="1">
        <v>3</v>
      </c>
      <c r="B6" s="1" t="s">
        <v>520</v>
      </c>
      <c r="C6" s="5">
        <v>46078</v>
      </c>
      <c r="D6" s="1" t="s">
        <v>19</v>
      </c>
      <c r="E6" s="6" t="s">
        <v>517</v>
      </c>
      <c r="F6" s="6" t="s">
        <v>64</v>
      </c>
      <c r="G6" s="1" t="s">
        <v>5</v>
      </c>
      <c r="H6" s="1" t="s">
        <v>68</v>
      </c>
      <c r="I6" s="1">
        <v>37</v>
      </c>
      <c r="J6" s="1">
        <v>11</v>
      </c>
      <c r="K6" s="2">
        <f>IFERROR(J6/I6*100,0)</f>
        <v>0</v>
      </c>
      <c r="L6" s="1">
        <v>36</v>
      </c>
      <c r="M6" s="1">
        <v>1</v>
      </c>
      <c r="N6" s="1">
        <v>3</v>
      </c>
      <c r="O6" s="2">
        <f>IFERROR(N6/M6*100,0)</f>
        <v>0</v>
      </c>
      <c r="P6" s="1" t="s">
        <v>9</v>
      </c>
    </row>
    <row r="7" spans="1:18">
      <c r="A7" s="1">
        <v>4</v>
      </c>
      <c r="B7" s="1" t="s">
        <v>521</v>
      </c>
      <c r="C7" s="5">
        <v>46056</v>
      </c>
      <c r="D7" s="1" t="s">
        <v>19</v>
      </c>
      <c r="E7" s="6" t="s">
        <v>522</v>
      </c>
      <c r="F7" s="6" t="s">
        <v>12</v>
      </c>
      <c r="G7" s="1" t="s">
        <v>92</v>
      </c>
      <c r="H7" s="1" t="s">
        <v>36</v>
      </c>
      <c r="I7" s="1">
        <v>49</v>
      </c>
      <c r="J7" s="1">
        <v>29</v>
      </c>
      <c r="K7" s="2">
        <f>IFERROR(J7/I7*100,0)</f>
        <v>0</v>
      </c>
      <c r="L7" s="1">
        <v>111</v>
      </c>
      <c r="M7" s="1">
        <v>5</v>
      </c>
      <c r="N7" s="1">
        <v>7</v>
      </c>
      <c r="O7" s="2">
        <f>IFERROR(N7/M7*100,0)</f>
        <v>0</v>
      </c>
      <c r="P7" s="1" t="s">
        <v>9</v>
      </c>
    </row>
    <row r="8" spans="1:18">
      <c r="A8" s="1">
        <v>5</v>
      </c>
      <c r="B8" s="1" t="s">
        <v>523</v>
      </c>
      <c r="C8" s="5">
        <v>46080</v>
      </c>
      <c r="D8" s="1" t="s">
        <v>19</v>
      </c>
      <c r="E8" s="6" t="s">
        <v>524</v>
      </c>
      <c r="F8" s="6" t="s">
        <v>26</v>
      </c>
      <c r="G8" s="1" t="s">
        <v>46</v>
      </c>
      <c r="H8" s="1" t="s">
        <v>41</v>
      </c>
      <c r="I8" s="1">
        <v>41</v>
      </c>
      <c r="J8" s="1">
        <v>51</v>
      </c>
      <c r="K8" s="2">
        <f>IFERROR(J8/I8*100,0)</f>
        <v>0</v>
      </c>
      <c r="L8" s="1">
        <v>99</v>
      </c>
      <c r="M8" s="1">
        <v>2</v>
      </c>
      <c r="N8" s="1">
        <v>0</v>
      </c>
      <c r="O8" s="2">
        <f>IFERROR(N8/M8*100,0)</f>
        <v>0</v>
      </c>
      <c r="P8" s="1" t="s">
        <v>23</v>
      </c>
    </row>
    <row r="9" spans="1:18">
      <c r="A9" s="1">
        <v>6</v>
      </c>
      <c r="B9" s="1" t="s">
        <v>525</v>
      </c>
      <c r="C9" s="5">
        <v>46054</v>
      </c>
      <c r="D9" s="1" t="s">
        <v>19</v>
      </c>
      <c r="E9" s="6" t="s">
        <v>524</v>
      </c>
      <c r="F9" s="6" t="s">
        <v>16</v>
      </c>
      <c r="G9" s="1" t="s">
        <v>92</v>
      </c>
      <c r="H9" s="1" t="s">
        <v>66</v>
      </c>
      <c r="I9" s="1">
        <v>41</v>
      </c>
      <c r="J9" s="1">
        <v>10</v>
      </c>
      <c r="K9" s="2">
        <f>IFERROR(J9/I9*100,0)</f>
        <v>0</v>
      </c>
      <c r="L9" s="1">
        <v>40</v>
      </c>
      <c r="M9" s="1">
        <v>0</v>
      </c>
      <c r="N9" s="1">
        <v>4</v>
      </c>
      <c r="O9" s="2">
        <f>IFERROR(N9/M9*100,0)</f>
        <v>0</v>
      </c>
      <c r="P9" s="1" t="s">
        <v>23</v>
      </c>
    </row>
    <row r="10" spans="1:18">
      <c r="A10" s="1">
        <v>7</v>
      </c>
      <c r="B10" s="1" t="s">
        <v>526</v>
      </c>
      <c r="C10" s="5">
        <v>46077</v>
      </c>
      <c r="D10" s="1" t="s">
        <v>19</v>
      </c>
      <c r="E10" s="6" t="s">
        <v>519</v>
      </c>
      <c r="F10" s="6" t="s">
        <v>16</v>
      </c>
      <c r="G10" s="1" t="s">
        <v>13</v>
      </c>
      <c r="H10" s="1" t="s">
        <v>93</v>
      </c>
      <c r="I10" s="1">
        <v>29</v>
      </c>
      <c r="J10" s="1">
        <v>15</v>
      </c>
      <c r="K10" s="2">
        <f>IFERROR(J10/I10*100,0)</f>
        <v>0</v>
      </c>
      <c r="L10" s="1">
        <v>55</v>
      </c>
      <c r="M10" s="1">
        <v>5</v>
      </c>
      <c r="N10" s="1">
        <v>3</v>
      </c>
      <c r="O10" s="2">
        <f>IFERROR(N10/M10*100,0)</f>
        <v>0</v>
      </c>
      <c r="P10" s="1" t="s">
        <v>23</v>
      </c>
    </row>
    <row r="11" spans="1:18">
      <c r="A11" s="1">
        <v>8</v>
      </c>
      <c r="B11" s="1" t="s">
        <v>527</v>
      </c>
      <c r="C11" s="5">
        <v>46071</v>
      </c>
      <c r="D11" s="1" t="s">
        <v>19</v>
      </c>
      <c r="E11" s="6" t="s">
        <v>519</v>
      </c>
      <c r="F11" s="6" t="s">
        <v>30</v>
      </c>
      <c r="G11" s="1" t="s">
        <v>65</v>
      </c>
      <c r="H11" s="1" t="s">
        <v>78</v>
      </c>
      <c r="I11" s="1">
        <v>51</v>
      </c>
      <c r="J11" s="1">
        <v>53</v>
      </c>
      <c r="K11" s="2">
        <f>IFERROR(J11/I11*100,0)</f>
        <v>0</v>
      </c>
      <c r="L11" s="1">
        <v>95</v>
      </c>
      <c r="M11" s="1">
        <v>8</v>
      </c>
      <c r="N11" s="1">
        <v>4</v>
      </c>
      <c r="O11" s="2">
        <f>IFERROR(N11/M11*100,0)</f>
        <v>0</v>
      </c>
      <c r="P11" s="1" t="s">
        <v>9</v>
      </c>
    </row>
    <row r="12" spans="1:18">
      <c r="A12" s="1">
        <v>9</v>
      </c>
      <c r="B12" s="1" t="s">
        <v>528</v>
      </c>
      <c r="C12" s="5">
        <v>46104</v>
      </c>
      <c r="D12" s="1" t="s">
        <v>44</v>
      </c>
      <c r="E12" s="6" t="s">
        <v>522</v>
      </c>
      <c r="F12" s="6" t="s">
        <v>16</v>
      </c>
      <c r="G12" s="1" t="s">
        <v>65</v>
      </c>
      <c r="H12" s="1" t="s">
        <v>41</v>
      </c>
      <c r="I12" s="1">
        <v>10</v>
      </c>
      <c r="J12" s="1">
        <v>30</v>
      </c>
      <c r="K12" s="2">
        <f>IFERROR(J12/I12*100,0)</f>
        <v>0</v>
      </c>
      <c r="L12" s="1">
        <v>48</v>
      </c>
      <c r="M12" s="1">
        <v>3</v>
      </c>
      <c r="N12" s="1">
        <v>4</v>
      </c>
      <c r="O12" s="2">
        <f>IFERROR(N12/M12*100,0)</f>
        <v>0</v>
      </c>
      <c r="P12" s="1" t="s">
        <v>23</v>
      </c>
    </row>
    <row r="13" spans="1:18">
      <c r="A13" s="1">
        <v>10</v>
      </c>
      <c r="B13" s="1" t="s">
        <v>529</v>
      </c>
      <c r="C13" s="5">
        <v>46092</v>
      </c>
      <c r="D13" s="1" t="s">
        <v>44</v>
      </c>
      <c r="E13" s="6" t="s">
        <v>517</v>
      </c>
      <c r="F13" s="6" t="s">
        <v>30</v>
      </c>
      <c r="G13" s="1" t="s">
        <v>89</v>
      </c>
      <c r="H13" s="1" t="s">
        <v>66</v>
      </c>
      <c r="I13" s="1">
        <v>10</v>
      </c>
      <c r="J13" s="1">
        <v>17</v>
      </c>
      <c r="K13" s="2">
        <f>IFERROR(J13/I13*100,0)</f>
        <v>0</v>
      </c>
      <c r="L13" s="1">
        <v>104</v>
      </c>
      <c r="M13" s="1">
        <v>4</v>
      </c>
      <c r="N13" s="1">
        <v>1</v>
      </c>
      <c r="O13" s="2">
        <f>IFERROR(N13/M13*100,0)</f>
        <v>0</v>
      </c>
      <c r="P13" s="1" t="s">
        <v>9</v>
      </c>
    </row>
    <row r="14" spans="1:18">
      <c r="A14" s="1">
        <v>11</v>
      </c>
      <c r="B14" s="1" t="s">
        <v>530</v>
      </c>
      <c r="C14" s="5">
        <v>46109</v>
      </c>
      <c r="D14" s="1" t="s">
        <v>44</v>
      </c>
      <c r="E14" s="6" t="s">
        <v>522</v>
      </c>
      <c r="F14" s="6" t="s">
        <v>61</v>
      </c>
      <c r="G14" s="1" t="s">
        <v>13</v>
      </c>
      <c r="H14" s="1" t="s">
        <v>62</v>
      </c>
      <c r="I14" s="1">
        <v>13</v>
      </c>
      <c r="J14" s="1">
        <v>39</v>
      </c>
      <c r="K14" s="2">
        <f>IFERROR(J14/I14*100,0)</f>
        <v>0</v>
      </c>
      <c r="L14" s="1">
        <v>116</v>
      </c>
      <c r="M14" s="1">
        <v>3</v>
      </c>
      <c r="N14" s="1">
        <v>0</v>
      </c>
      <c r="O14" s="2">
        <f>IFERROR(N14/M14*100,0)</f>
        <v>0</v>
      </c>
      <c r="P14" s="1" t="s">
        <v>23</v>
      </c>
    </row>
    <row r="15" spans="1:18">
      <c r="A15" s="1">
        <v>12</v>
      </c>
      <c r="B15" s="1" t="s">
        <v>531</v>
      </c>
      <c r="C15" s="5">
        <v>46108</v>
      </c>
      <c r="D15" s="1" t="s">
        <v>44</v>
      </c>
      <c r="E15" s="6" t="s">
        <v>524</v>
      </c>
      <c r="F15" s="6" t="s">
        <v>64</v>
      </c>
      <c r="G15" s="1" t="s">
        <v>89</v>
      </c>
      <c r="H15" s="1" t="s">
        <v>41</v>
      </c>
      <c r="I15" s="1">
        <v>13</v>
      </c>
      <c r="J15" s="1">
        <v>14</v>
      </c>
      <c r="K15" s="2">
        <f>IFERROR(J15/I15*100,0)</f>
        <v>0</v>
      </c>
      <c r="L15" s="1">
        <v>109</v>
      </c>
      <c r="M15" s="1">
        <v>7</v>
      </c>
      <c r="N15" s="1">
        <v>8</v>
      </c>
      <c r="O15" s="2">
        <f>IFERROR(N15/M15*100,0)</f>
        <v>0</v>
      </c>
      <c r="P15" s="1" t="s">
        <v>9</v>
      </c>
    </row>
    <row r="16" spans="1:18">
      <c r="A16" s="1">
        <v>13</v>
      </c>
      <c r="B16" s="1" t="s">
        <v>532</v>
      </c>
      <c r="C16" s="5">
        <v>46082</v>
      </c>
      <c r="D16" s="1" t="s">
        <v>44</v>
      </c>
      <c r="E16" s="6" t="s">
        <v>519</v>
      </c>
      <c r="F16" s="6" t="s">
        <v>64</v>
      </c>
      <c r="G16" s="1" t="s">
        <v>46</v>
      </c>
      <c r="H16" s="1" t="s">
        <v>68</v>
      </c>
      <c r="I16" s="1">
        <v>46</v>
      </c>
      <c r="J16" s="1">
        <v>26</v>
      </c>
      <c r="K16" s="2">
        <f>IFERROR(J16/I16*100,0)</f>
        <v>0</v>
      </c>
      <c r="L16" s="1">
        <v>30</v>
      </c>
      <c r="M16" s="1">
        <v>6</v>
      </c>
      <c r="N16" s="1">
        <v>5</v>
      </c>
      <c r="O16" s="2">
        <f>IFERROR(N16/M16*100,0)</f>
        <v>0</v>
      </c>
      <c r="P16" s="1" t="s">
        <v>23</v>
      </c>
    </row>
    <row r="17" spans="1:16">
      <c r="A17" s="1">
        <v>14</v>
      </c>
      <c r="B17" s="1" t="s">
        <v>533</v>
      </c>
      <c r="C17" s="5">
        <v>46109</v>
      </c>
      <c r="D17" s="1" t="s">
        <v>44</v>
      </c>
      <c r="E17" s="6" t="s">
        <v>522</v>
      </c>
      <c r="F17" s="6" t="s">
        <v>30</v>
      </c>
      <c r="G17" s="1" t="s">
        <v>92</v>
      </c>
      <c r="H17" s="1" t="s">
        <v>36</v>
      </c>
      <c r="I17" s="1">
        <v>40</v>
      </c>
      <c r="J17" s="1">
        <v>40</v>
      </c>
      <c r="K17" s="2">
        <f>IFERROR(J17/I17*100,0)</f>
        <v>0</v>
      </c>
      <c r="L17" s="1">
        <v>108</v>
      </c>
      <c r="M17" s="1">
        <v>1</v>
      </c>
      <c r="N17" s="1">
        <v>2</v>
      </c>
      <c r="O17" s="2">
        <f>IFERROR(N17/M17*100,0)</f>
        <v>0</v>
      </c>
      <c r="P17" s="1" t="s">
        <v>23</v>
      </c>
    </row>
    <row r="18" spans="1:16">
      <c r="A18" s="1">
        <v>15</v>
      </c>
      <c r="B18" s="1" t="s">
        <v>534</v>
      </c>
      <c r="C18" s="5">
        <v>46092</v>
      </c>
      <c r="D18" s="1" t="s">
        <v>44</v>
      </c>
      <c r="E18" s="6" t="s">
        <v>524</v>
      </c>
      <c r="F18" s="6" t="s">
        <v>20</v>
      </c>
      <c r="G18" s="1" t="s">
        <v>13</v>
      </c>
      <c r="H18" s="1" t="s">
        <v>22</v>
      </c>
      <c r="I18" s="1">
        <v>31</v>
      </c>
      <c r="J18" s="1">
        <v>17</v>
      </c>
      <c r="K18" s="2">
        <f>IFERROR(J18/I18*100,0)</f>
        <v>0</v>
      </c>
      <c r="L18" s="1">
        <v>56</v>
      </c>
      <c r="M18" s="1">
        <v>3</v>
      </c>
      <c r="N18" s="1">
        <v>4</v>
      </c>
      <c r="O18" s="2">
        <f>IFERROR(N18/M18*100,0)</f>
        <v>0</v>
      </c>
      <c r="P18" s="1" t="s">
        <v>9</v>
      </c>
    </row>
    <row r="19" spans="1:16">
      <c r="A19" s="1">
        <v>16</v>
      </c>
      <c r="B19" s="1" t="s">
        <v>535</v>
      </c>
      <c r="C19" s="5">
        <v>46139</v>
      </c>
      <c r="D19" s="1" t="s">
        <v>53</v>
      </c>
      <c r="E19" s="6" t="s">
        <v>524</v>
      </c>
      <c r="F19" s="6" t="s">
        <v>4</v>
      </c>
      <c r="G19" s="1" t="s">
        <v>89</v>
      </c>
      <c r="H19" s="1" t="s">
        <v>15</v>
      </c>
      <c r="I19" s="1">
        <v>57</v>
      </c>
      <c r="J19" s="1">
        <v>57</v>
      </c>
      <c r="K19" s="2">
        <f>IFERROR(J19/I19*100,0)</f>
        <v>0</v>
      </c>
      <c r="L19" s="1">
        <v>35</v>
      </c>
      <c r="M19" s="1">
        <v>8</v>
      </c>
      <c r="N19" s="1">
        <v>3</v>
      </c>
      <c r="O19" s="2">
        <f>IFERROR(N19/M19*100,0)</f>
        <v>0</v>
      </c>
      <c r="P19" s="1" t="s">
        <v>23</v>
      </c>
    </row>
    <row r="20" spans="1:16">
      <c r="A20" s="1">
        <v>17</v>
      </c>
      <c r="B20" s="1" t="s">
        <v>536</v>
      </c>
      <c r="C20" s="5">
        <v>46130</v>
      </c>
      <c r="D20" s="1" t="s">
        <v>53</v>
      </c>
      <c r="E20" s="6" t="s">
        <v>517</v>
      </c>
      <c r="F20" s="6" t="s">
        <v>20</v>
      </c>
      <c r="G20" s="1" t="s">
        <v>89</v>
      </c>
      <c r="H20" s="1" t="s">
        <v>68</v>
      </c>
      <c r="I20" s="1">
        <v>29</v>
      </c>
      <c r="J20" s="1">
        <v>16</v>
      </c>
      <c r="K20" s="2">
        <f>IFERROR(J20/I20*100,0)</f>
        <v>0</v>
      </c>
      <c r="L20" s="1">
        <v>70</v>
      </c>
      <c r="M20" s="1">
        <v>4</v>
      </c>
      <c r="N20" s="1">
        <v>4</v>
      </c>
      <c r="O20" s="2">
        <f>IFERROR(N20/M20*100,0)</f>
        <v>0</v>
      </c>
      <c r="P20" s="1" t="s">
        <v>9</v>
      </c>
    </row>
    <row r="21" spans="1:16">
      <c r="A21" s="1">
        <v>18</v>
      </c>
      <c r="B21" s="1" t="s">
        <v>537</v>
      </c>
      <c r="C21" s="5">
        <v>46124</v>
      </c>
      <c r="D21" s="1" t="s">
        <v>53</v>
      </c>
      <c r="E21" s="6" t="s">
        <v>517</v>
      </c>
      <c r="F21" s="6" t="s">
        <v>30</v>
      </c>
      <c r="G21" s="1" t="s">
        <v>89</v>
      </c>
      <c r="H21" s="1" t="s">
        <v>78</v>
      </c>
      <c r="I21" s="1">
        <v>58</v>
      </c>
      <c r="J21" s="1">
        <v>16</v>
      </c>
      <c r="K21" s="2">
        <f>IFERROR(J21/I21*100,0)</f>
        <v>0</v>
      </c>
      <c r="L21" s="1">
        <v>111</v>
      </c>
      <c r="M21" s="1">
        <v>7</v>
      </c>
      <c r="N21" s="1">
        <v>5</v>
      </c>
      <c r="O21" s="2">
        <f>IFERROR(N21/M21*100,0)</f>
        <v>0</v>
      </c>
      <c r="P21" s="1" t="s">
        <v>9</v>
      </c>
    </row>
    <row r="22" spans="1:16">
      <c r="A22" s="1">
        <v>19</v>
      </c>
      <c r="B22" s="1" t="s">
        <v>538</v>
      </c>
      <c r="C22" s="5">
        <v>46118</v>
      </c>
      <c r="D22" s="1" t="s">
        <v>53</v>
      </c>
      <c r="E22" s="6" t="s">
        <v>522</v>
      </c>
      <c r="F22" s="6" t="s">
        <v>57</v>
      </c>
      <c r="G22" s="1" t="s">
        <v>58</v>
      </c>
      <c r="H22" s="1" t="s">
        <v>36</v>
      </c>
      <c r="I22" s="1">
        <v>34</v>
      </c>
      <c r="J22" s="1">
        <v>31</v>
      </c>
      <c r="K22" s="2">
        <f>IFERROR(J22/I22*100,0)</f>
        <v>0</v>
      </c>
      <c r="L22" s="1">
        <v>95</v>
      </c>
      <c r="M22" s="1">
        <v>3</v>
      </c>
      <c r="N22" s="1">
        <v>7</v>
      </c>
      <c r="O22" s="2">
        <f>IFERROR(N22/M22*100,0)</f>
        <v>0</v>
      </c>
      <c r="P22" s="1" t="s">
        <v>9</v>
      </c>
    </row>
    <row r="23" spans="1:16">
      <c r="A23" s="1">
        <v>20</v>
      </c>
      <c r="B23" s="1" t="s">
        <v>539</v>
      </c>
      <c r="C23" s="5">
        <v>46121</v>
      </c>
      <c r="D23" s="1" t="s">
        <v>53</v>
      </c>
      <c r="E23" s="6" t="s">
        <v>517</v>
      </c>
      <c r="F23" s="6" t="s">
        <v>91</v>
      </c>
      <c r="G23" s="1" t="s">
        <v>65</v>
      </c>
      <c r="H23" s="1" t="s">
        <v>66</v>
      </c>
      <c r="I23" s="1">
        <v>57</v>
      </c>
      <c r="J23" s="1">
        <v>23</v>
      </c>
      <c r="K23" s="2">
        <f>IFERROR(J23/I23*100,0)</f>
        <v>0</v>
      </c>
      <c r="L23" s="1">
        <v>87</v>
      </c>
      <c r="M23" s="1">
        <v>3</v>
      </c>
      <c r="N23" s="1">
        <v>5</v>
      </c>
      <c r="O23" s="2">
        <f>IFERROR(N23/M23*100,0)</f>
        <v>0</v>
      </c>
      <c r="P23" s="1" t="s">
        <v>9</v>
      </c>
    </row>
    <row r="24" spans="1:16">
      <c r="A24" s="1">
        <v>21</v>
      </c>
      <c r="B24" s="1" t="s">
        <v>540</v>
      </c>
      <c r="C24" s="5">
        <v>46118</v>
      </c>
      <c r="D24" s="1" t="s">
        <v>53</v>
      </c>
      <c r="E24" s="6" t="s">
        <v>522</v>
      </c>
      <c r="F24" s="6" t="s">
        <v>38</v>
      </c>
      <c r="G24" s="1" t="s">
        <v>58</v>
      </c>
      <c r="H24" s="1" t="s">
        <v>104</v>
      </c>
      <c r="I24" s="1">
        <v>56</v>
      </c>
      <c r="J24" s="1">
        <v>11</v>
      </c>
      <c r="K24" s="2">
        <f>IFERROR(J24/I24*100,0)</f>
        <v>0</v>
      </c>
      <c r="L24" s="1">
        <v>46</v>
      </c>
      <c r="M24" s="1">
        <v>0</v>
      </c>
      <c r="N24" s="1">
        <v>4</v>
      </c>
      <c r="O24" s="2">
        <f>IFERROR(N24/M24*100,0)</f>
        <v>0</v>
      </c>
      <c r="P24" s="1" t="s">
        <v>23</v>
      </c>
    </row>
    <row r="25" spans="1:16">
      <c r="A25" s="1">
        <v>22</v>
      </c>
      <c r="B25" s="1" t="s">
        <v>541</v>
      </c>
      <c r="C25" s="5">
        <v>46140</v>
      </c>
      <c r="D25" s="1" t="s">
        <v>53</v>
      </c>
      <c r="E25" s="6" t="s">
        <v>524</v>
      </c>
      <c r="F25" s="6" t="s">
        <v>16</v>
      </c>
      <c r="G25" s="1" t="s">
        <v>89</v>
      </c>
      <c r="H25" s="1" t="s">
        <v>78</v>
      </c>
      <c r="I25" s="1">
        <v>20</v>
      </c>
      <c r="J25" s="1">
        <v>51</v>
      </c>
      <c r="K25" s="2">
        <f>IFERROR(J25/I25*100,0)</f>
        <v>0</v>
      </c>
      <c r="L25" s="1">
        <v>16</v>
      </c>
      <c r="M25" s="1">
        <v>2</v>
      </c>
      <c r="N25" s="1">
        <v>2</v>
      </c>
      <c r="O25" s="2">
        <f>IFERROR(N25/M25*100,0)</f>
        <v>0</v>
      </c>
      <c r="P25" s="1" t="s">
        <v>9</v>
      </c>
    </row>
    <row r="26" spans="1:16">
      <c r="A26" s="1">
        <v>23</v>
      </c>
      <c r="B26" s="1" t="s">
        <v>542</v>
      </c>
      <c r="C26" s="5">
        <v>46156</v>
      </c>
      <c r="D26" s="1" t="s">
        <v>60</v>
      </c>
      <c r="E26" s="6" t="s">
        <v>524</v>
      </c>
      <c r="F26" s="6" t="s">
        <v>12</v>
      </c>
      <c r="G26" s="1" t="s">
        <v>5</v>
      </c>
      <c r="H26" s="1" t="s">
        <v>62</v>
      </c>
      <c r="I26" s="1">
        <v>22</v>
      </c>
      <c r="J26" s="1">
        <v>21</v>
      </c>
      <c r="K26" s="2">
        <f>IFERROR(J26/I26*100,0)</f>
        <v>0</v>
      </c>
      <c r="L26" s="1">
        <v>47</v>
      </c>
      <c r="M26" s="1">
        <v>3</v>
      </c>
      <c r="N26" s="1">
        <v>6</v>
      </c>
      <c r="O26" s="2">
        <f>IFERROR(N26/M26*100,0)</f>
        <v>0</v>
      </c>
      <c r="P26" s="1" t="s">
        <v>9</v>
      </c>
    </row>
    <row r="27" spans="1:16">
      <c r="A27" s="1">
        <v>24</v>
      </c>
      <c r="B27" s="1" t="s">
        <v>543</v>
      </c>
      <c r="C27" s="5">
        <v>46161</v>
      </c>
      <c r="D27" s="1" t="s">
        <v>60</v>
      </c>
      <c r="E27" s="6" t="s">
        <v>522</v>
      </c>
      <c r="F27" s="6" t="s">
        <v>30</v>
      </c>
      <c r="G27" s="1" t="s">
        <v>92</v>
      </c>
      <c r="H27" s="1" t="s">
        <v>62</v>
      </c>
      <c r="I27" s="1">
        <v>43</v>
      </c>
      <c r="J27" s="1">
        <v>54</v>
      </c>
      <c r="K27" s="2">
        <f>IFERROR(J27/I27*100,0)</f>
        <v>0</v>
      </c>
      <c r="L27" s="1">
        <v>25</v>
      </c>
      <c r="M27" s="1">
        <v>8</v>
      </c>
      <c r="N27" s="1">
        <v>1</v>
      </c>
      <c r="O27" s="2">
        <f>IFERROR(N27/M27*100,0)</f>
        <v>0</v>
      </c>
      <c r="P27" s="1" t="s">
        <v>9</v>
      </c>
    </row>
    <row r="28" spans="1:16">
      <c r="A28" s="1">
        <v>25</v>
      </c>
      <c r="B28" s="1" t="s">
        <v>544</v>
      </c>
      <c r="C28" s="5">
        <v>46195</v>
      </c>
      <c r="D28" s="1" t="s">
        <v>73</v>
      </c>
      <c r="E28" s="6" t="s">
        <v>519</v>
      </c>
      <c r="F28" s="6" t="s">
        <v>61</v>
      </c>
      <c r="G28" s="1" t="s">
        <v>65</v>
      </c>
      <c r="H28" s="1" t="s">
        <v>7</v>
      </c>
      <c r="I28" s="1">
        <v>59</v>
      </c>
      <c r="J28" s="1">
        <v>44</v>
      </c>
      <c r="K28" s="2">
        <f>IFERROR(J28/I28*100,0)</f>
        <v>0</v>
      </c>
      <c r="L28" s="1">
        <v>54</v>
      </c>
      <c r="M28" s="1">
        <v>5</v>
      </c>
      <c r="N28" s="1">
        <v>4</v>
      </c>
      <c r="O28" s="2">
        <f>IFERROR(N28/M28*100,0)</f>
        <v>0</v>
      </c>
      <c r="P28" s="1" t="s">
        <v>9</v>
      </c>
    </row>
    <row r="29" spans="1:16">
      <c r="A29" s="1">
        <v>26</v>
      </c>
      <c r="B29" s="1" t="s">
        <v>545</v>
      </c>
      <c r="C29" s="5">
        <v>46174</v>
      </c>
      <c r="D29" s="1" t="s">
        <v>73</v>
      </c>
      <c r="E29" s="6" t="s">
        <v>519</v>
      </c>
      <c r="F29" s="6" t="s">
        <v>49</v>
      </c>
      <c r="G29" s="1" t="s">
        <v>27</v>
      </c>
      <c r="H29" s="1" t="s">
        <v>22</v>
      </c>
      <c r="I29" s="1">
        <v>10</v>
      </c>
      <c r="J29" s="1">
        <v>16</v>
      </c>
      <c r="K29" s="2">
        <f>IFERROR(J29/I29*100,0)</f>
        <v>0</v>
      </c>
      <c r="L29" s="1">
        <v>41</v>
      </c>
      <c r="M29" s="1">
        <v>1</v>
      </c>
      <c r="N29" s="1">
        <v>4</v>
      </c>
      <c r="O29" s="2">
        <f>IFERROR(N29/M29*100,0)</f>
        <v>0</v>
      </c>
      <c r="P29" s="1" t="s">
        <v>9</v>
      </c>
    </row>
    <row r="30" spans="1:16">
      <c r="A30" s="1">
        <v>27</v>
      </c>
      <c r="B30" s="1" t="s">
        <v>546</v>
      </c>
      <c r="C30" s="5">
        <v>46199</v>
      </c>
      <c r="D30" s="1" t="s">
        <v>73</v>
      </c>
      <c r="E30" s="6" t="s">
        <v>522</v>
      </c>
      <c r="F30" s="6" t="s">
        <v>26</v>
      </c>
      <c r="G30" s="1" t="s">
        <v>58</v>
      </c>
      <c r="H30" s="1" t="s">
        <v>15</v>
      </c>
      <c r="I30" s="1">
        <v>44</v>
      </c>
      <c r="J30" s="1">
        <v>49</v>
      </c>
      <c r="K30" s="2">
        <f>IFERROR(J30/I30*100,0)</f>
        <v>0</v>
      </c>
      <c r="L30" s="1">
        <v>45</v>
      </c>
      <c r="M30" s="1">
        <v>5</v>
      </c>
      <c r="N30" s="1">
        <v>4</v>
      </c>
      <c r="O30" s="2">
        <f>IFERROR(N30/M30*100,0)</f>
        <v>0</v>
      </c>
      <c r="P30" s="1" t="s">
        <v>9</v>
      </c>
    </row>
    <row r="31" spans="1:16">
      <c r="A31" s="1">
        <v>28</v>
      </c>
      <c r="B31" s="1" t="s">
        <v>547</v>
      </c>
      <c r="C31" s="5">
        <v>46186</v>
      </c>
      <c r="D31" s="1" t="s">
        <v>73</v>
      </c>
      <c r="E31" s="6" t="s">
        <v>524</v>
      </c>
      <c r="F31" s="6" t="s">
        <v>4</v>
      </c>
      <c r="G31" s="1" t="s">
        <v>65</v>
      </c>
      <c r="H31" s="1" t="s">
        <v>41</v>
      </c>
      <c r="I31" s="1">
        <v>26</v>
      </c>
      <c r="J31" s="1">
        <v>32</v>
      </c>
      <c r="K31" s="2">
        <f>IFERROR(J31/I31*100,0)</f>
        <v>0</v>
      </c>
      <c r="L31" s="1">
        <v>62</v>
      </c>
      <c r="M31" s="1">
        <v>6</v>
      </c>
      <c r="N31" s="1">
        <v>2</v>
      </c>
      <c r="O31" s="2">
        <f>IFERROR(N31/M31*100,0)</f>
        <v>0</v>
      </c>
      <c r="P31" s="1" t="s">
        <v>9</v>
      </c>
    </row>
    <row r="32" spans="1:16">
      <c r="A32" s="1">
        <v>29</v>
      </c>
      <c r="B32" s="1" t="s">
        <v>548</v>
      </c>
      <c r="C32" s="5">
        <v>46228</v>
      </c>
      <c r="D32" s="1" t="s">
        <v>76</v>
      </c>
      <c r="E32" s="6" t="s">
        <v>524</v>
      </c>
      <c r="F32" s="6" t="s">
        <v>4</v>
      </c>
      <c r="G32" s="1" t="s">
        <v>5</v>
      </c>
      <c r="H32" s="1" t="s">
        <v>93</v>
      </c>
      <c r="I32" s="1">
        <v>12</v>
      </c>
      <c r="J32" s="1">
        <v>58</v>
      </c>
      <c r="K32" s="2">
        <f>IFERROR(J32/I32*100,0)</f>
        <v>0</v>
      </c>
      <c r="L32" s="1">
        <v>39</v>
      </c>
      <c r="M32" s="1">
        <v>5</v>
      </c>
      <c r="N32" s="1">
        <v>0</v>
      </c>
      <c r="O32" s="2">
        <f>IFERROR(N32/M32*100,0)</f>
        <v>0</v>
      </c>
      <c r="P32" s="1" t="s">
        <v>23</v>
      </c>
    </row>
    <row r="33" spans="1:16">
      <c r="A33" s="1">
        <v>30</v>
      </c>
      <c r="B33" s="1" t="s">
        <v>549</v>
      </c>
      <c r="C33" s="5">
        <v>46244</v>
      </c>
      <c r="D33" s="1" t="s">
        <v>86</v>
      </c>
      <c r="E33" s="6" t="s">
        <v>522</v>
      </c>
      <c r="F33" s="6" t="s">
        <v>91</v>
      </c>
      <c r="G33" s="1" t="s">
        <v>13</v>
      </c>
      <c r="H33" s="1" t="s">
        <v>22</v>
      </c>
      <c r="I33" s="1">
        <v>15</v>
      </c>
      <c r="J33" s="1">
        <v>21</v>
      </c>
      <c r="K33" s="2">
        <f>IFERROR(J33/I33*100,0)</f>
        <v>0</v>
      </c>
      <c r="L33" s="1">
        <v>37</v>
      </c>
      <c r="M33" s="1">
        <v>8</v>
      </c>
      <c r="N33" s="1">
        <v>2</v>
      </c>
      <c r="O33" s="2">
        <f>IFERROR(N33/M33*100,0)</f>
        <v>0</v>
      </c>
      <c r="P33" s="1" t="s">
        <v>9</v>
      </c>
    </row>
    <row r="34" spans="1:16">
      <c r="A34" s="1">
        <v>31</v>
      </c>
      <c r="B34" s="1" t="s">
        <v>550</v>
      </c>
      <c r="C34" s="5">
        <v>46239</v>
      </c>
      <c r="D34" s="1" t="s">
        <v>86</v>
      </c>
      <c r="E34" s="6" t="s">
        <v>522</v>
      </c>
      <c r="F34" s="6" t="s">
        <v>57</v>
      </c>
      <c r="G34" s="1" t="s">
        <v>13</v>
      </c>
      <c r="H34" s="1" t="s">
        <v>28</v>
      </c>
      <c r="I34" s="1">
        <v>35</v>
      </c>
      <c r="J34" s="1">
        <v>53</v>
      </c>
      <c r="K34" s="2">
        <f>IFERROR(J34/I34*100,0)</f>
        <v>0</v>
      </c>
      <c r="L34" s="1">
        <v>70</v>
      </c>
      <c r="M34" s="1">
        <v>7</v>
      </c>
      <c r="N34" s="1">
        <v>7</v>
      </c>
      <c r="O34" s="2">
        <f>IFERROR(N34/M34*100,0)</f>
        <v>0</v>
      </c>
      <c r="P34" s="1" t="s">
        <v>23</v>
      </c>
    </row>
    <row r="35" spans="1:16">
      <c r="A35" s="1">
        <v>32</v>
      </c>
      <c r="B35" s="1" t="s">
        <v>551</v>
      </c>
      <c r="C35" s="5">
        <v>46241</v>
      </c>
      <c r="D35" s="1" t="s">
        <v>86</v>
      </c>
      <c r="E35" s="6" t="s">
        <v>519</v>
      </c>
      <c r="F35" s="6" t="s">
        <v>57</v>
      </c>
      <c r="G35" s="1" t="s">
        <v>89</v>
      </c>
      <c r="H35" s="1" t="s">
        <v>41</v>
      </c>
      <c r="I35" s="1">
        <v>49</v>
      </c>
      <c r="J35" s="1">
        <v>18</v>
      </c>
      <c r="K35" s="2">
        <f>IFERROR(J35/I35*100,0)</f>
        <v>0</v>
      </c>
      <c r="L35" s="1">
        <v>69</v>
      </c>
      <c r="M35" s="1">
        <v>0</v>
      </c>
      <c r="N35" s="1">
        <v>2</v>
      </c>
      <c r="O35" s="2">
        <f>IFERROR(N35/M35*100,0)</f>
        <v>0</v>
      </c>
      <c r="P35" s="1" t="s">
        <v>9</v>
      </c>
    </row>
    <row r="36" spans="1:16">
      <c r="A36" s="1">
        <v>33</v>
      </c>
      <c r="B36" s="1" t="s">
        <v>552</v>
      </c>
      <c r="C36" s="5">
        <v>46268</v>
      </c>
      <c r="D36" s="1" t="s">
        <v>102</v>
      </c>
      <c r="E36" s="6" t="s">
        <v>522</v>
      </c>
      <c r="F36" s="6" t="s">
        <v>54</v>
      </c>
      <c r="G36" s="1" t="s">
        <v>50</v>
      </c>
      <c r="H36" s="1" t="s">
        <v>104</v>
      </c>
      <c r="I36" s="1">
        <v>24</v>
      </c>
      <c r="J36" s="1">
        <v>10</v>
      </c>
      <c r="K36" s="2">
        <f>IFERROR(J36/I36*100,0)</f>
        <v>0</v>
      </c>
      <c r="L36" s="1">
        <v>117</v>
      </c>
      <c r="M36" s="1">
        <v>8</v>
      </c>
      <c r="N36" s="1">
        <v>6</v>
      </c>
      <c r="O36" s="2">
        <f>IFERROR(N36/M36*100,0)</f>
        <v>0</v>
      </c>
      <c r="P36" s="1" t="s">
        <v>23</v>
      </c>
    </row>
    <row r="37" spans="1:16">
      <c r="A37" s="1">
        <v>34</v>
      </c>
      <c r="B37" s="1" t="s">
        <v>553</v>
      </c>
      <c r="C37" s="5">
        <v>46283</v>
      </c>
      <c r="D37" s="1" t="s">
        <v>102</v>
      </c>
      <c r="E37" s="6" t="s">
        <v>522</v>
      </c>
      <c r="F37" s="6" t="s">
        <v>45</v>
      </c>
      <c r="G37" s="1" t="s">
        <v>13</v>
      </c>
      <c r="H37" s="1" t="s">
        <v>7</v>
      </c>
      <c r="I37" s="1">
        <v>43</v>
      </c>
      <c r="J37" s="1">
        <v>44</v>
      </c>
      <c r="K37" s="2">
        <f>IFERROR(J37/I37*100,0)</f>
        <v>0</v>
      </c>
      <c r="L37" s="1">
        <v>32</v>
      </c>
      <c r="M37" s="1">
        <v>8</v>
      </c>
      <c r="N37" s="1">
        <v>3</v>
      </c>
      <c r="O37" s="2">
        <f>IFERROR(N37/M37*100,0)</f>
        <v>0</v>
      </c>
      <c r="P37" s="1" t="s">
        <v>9</v>
      </c>
    </row>
    <row r="38" spans="1:16">
      <c r="A38" s="1">
        <v>35</v>
      </c>
      <c r="B38" s="1" t="s">
        <v>554</v>
      </c>
      <c r="C38" s="5">
        <v>46279</v>
      </c>
      <c r="D38" s="1" t="s">
        <v>102</v>
      </c>
      <c r="E38" s="6" t="s">
        <v>519</v>
      </c>
      <c r="F38" s="6" t="s">
        <v>57</v>
      </c>
      <c r="G38" s="1" t="s">
        <v>65</v>
      </c>
      <c r="H38" s="1" t="s">
        <v>68</v>
      </c>
      <c r="I38" s="1">
        <v>20</v>
      </c>
      <c r="J38" s="1">
        <v>56</v>
      </c>
      <c r="K38" s="2">
        <f>IFERROR(J38/I38*100,0)</f>
        <v>0</v>
      </c>
      <c r="L38" s="1">
        <v>85</v>
      </c>
      <c r="M38" s="1">
        <v>4</v>
      </c>
      <c r="N38" s="1">
        <v>2</v>
      </c>
      <c r="O38" s="2">
        <f>IFERROR(N38/M38*100,0)</f>
        <v>0</v>
      </c>
      <c r="P38" s="1" t="s">
        <v>23</v>
      </c>
    </row>
    <row r="39" spans="1:16">
      <c r="A39" s="1">
        <v>36</v>
      </c>
      <c r="B39" s="1" t="s">
        <v>555</v>
      </c>
      <c r="C39" s="5">
        <v>46277</v>
      </c>
      <c r="D39" s="1" t="s">
        <v>102</v>
      </c>
      <c r="E39" s="6" t="s">
        <v>522</v>
      </c>
      <c r="F39" s="6" t="s">
        <v>49</v>
      </c>
      <c r="G39" s="1" t="s">
        <v>27</v>
      </c>
      <c r="H39" s="1" t="s">
        <v>70</v>
      </c>
      <c r="I39" s="1">
        <v>10</v>
      </c>
      <c r="J39" s="1">
        <v>58</v>
      </c>
      <c r="K39" s="2">
        <f>IFERROR(J39/I39*100,0)</f>
        <v>0</v>
      </c>
      <c r="L39" s="1">
        <v>39</v>
      </c>
      <c r="M39" s="1">
        <v>7</v>
      </c>
      <c r="N39" s="1">
        <v>7</v>
      </c>
      <c r="O39" s="2">
        <f>IFERROR(N39/M39*100,0)</f>
        <v>0</v>
      </c>
      <c r="P39" s="1" t="s">
        <v>23</v>
      </c>
    </row>
    <row r="40" spans="1:16">
      <c r="A40" s="1">
        <v>37</v>
      </c>
      <c r="B40" s="1" t="s">
        <v>556</v>
      </c>
      <c r="C40" s="5">
        <v>46304</v>
      </c>
      <c r="D40" s="1" t="s">
        <v>106</v>
      </c>
      <c r="E40" s="6" t="s">
        <v>524</v>
      </c>
      <c r="F40" s="6" t="s">
        <v>38</v>
      </c>
      <c r="G40" s="1" t="s">
        <v>89</v>
      </c>
      <c r="H40" s="1" t="s">
        <v>70</v>
      </c>
      <c r="I40" s="1">
        <v>59</v>
      </c>
      <c r="J40" s="1">
        <v>28</v>
      </c>
      <c r="K40" s="2">
        <f>IFERROR(J40/I40*100,0)</f>
        <v>0</v>
      </c>
      <c r="L40" s="1">
        <v>50</v>
      </c>
      <c r="M40" s="1">
        <v>5</v>
      </c>
      <c r="N40" s="1">
        <v>6</v>
      </c>
      <c r="O40" s="2">
        <f>IFERROR(N40/M40*100,0)</f>
        <v>0</v>
      </c>
      <c r="P40" s="1" t="s">
        <v>23</v>
      </c>
    </row>
    <row r="41" spans="1:16">
      <c r="A41" s="1">
        <v>38</v>
      </c>
      <c r="B41" s="1" t="s">
        <v>557</v>
      </c>
      <c r="C41" s="5">
        <v>46305</v>
      </c>
      <c r="D41" s="1" t="s">
        <v>106</v>
      </c>
      <c r="E41" s="6" t="s">
        <v>517</v>
      </c>
      <c r="F41" s="6" t="s">
        <v>16</v>
      </c>
      <c r="G41" s="1" t="s">
        <v>50</v>
      </c>
      <c r="H41" s="1" t="s">
        <v>41</v>
      </c>
      <c r="I41" s="1">
        <v>27</v>
      </c>
      <c r="J41" s="1">
        <v>18</v>
      </c>
      <c r="K41" s="2">
        <f>IFERROR(J41/I41*100,0)</f>
        <v>0</v>
      </c>
      <c r="L41" s="1">
        <v>68</v>
      </c>
      <c r="M41" s="1">
        <v>8</v>
      </c>
      <c r="N41" s="1">
        <v>1</v>
      </c>
      <c r="O41" s="2">
        <f>IFERROR(N41/M41*100,0)</f>
        <v>0</v>
      </c>
      <c r="P41" s="1" t="s">
        <v>23</v>
      </c>
    </row>
    <row r="42" spans="1:16">
      <c r="A42" s="1">
        <v>39</v>
      </c>
      <c r="B42" s="1" t="s">
        <v>558</v>
      </c>
      <c r="C42" s="5">
        <v>46323</v>
      </c>
      <c r="D42" s="1" t="s">
        <v>106</v>
      </c>
      <c r="E42" s="6" t="s">
        <v>524</v>
      </c>
      <c r="F42" s="6" t="s">
        <v>61</v>
      </c>
      <c r="G42" s="1" t="s">
        <v>46</v>
      </c>
      <c r="H42" s="1" t="s">
        <v>32</v>
      </c>
      <c r="I42" s="1">
        <v>19</v>
      </c>
      <c r="J42" s="1">
        <v>57</v>
      </c>
      <c r="K42" s="2">
        <f>IFERROR(J42/I42*100,0)</f>
        <v>0</v>
      </c>
      <c r="L42" s="1">
        <v>74</v>
      </c>
      <c r="M42" s="1">
        <v>1</v>
      </c>
      <c r="N42" s="1">
        <v>0</v>
      </c>
      <c r="O42" s="2">
        <f>IFERROR(N42/M42*100,0)</f>
        <v>0</v>
      </c>
      <c r="P42" s="1" t="s">
        <v>9</v>
      </c>
    </row>
    <row r="43" spans="1:16">
      <c r="A43" s="1">
        <v>40</v>
      </c>
      <c r="B43" s="1" t="s">
        <v>559</v>
      </c>
      <c r="C43" s="5">
        <v>46331</v>
      </c>
      <c r="D43" s="1" t="s">
        <v>111</v>
      </c>
      <c r="E43" s="6" t="s">
        <v>524</v>
      </c>
      <c r="F43" s="6" t="s">
        <v>4</v>
      </c>
      <c r="G43" s="1" t="s">
        <v>50</v>
      </c>
      <c r="H43" s="1" t="s">
        <v>32</v>
      </c>
      <c r="I43" s="1">
        <v>60</v>
      </c>
      <c r="J43" s="1">
        <v>56</v>
      </c>
      <c r="K43" s="2">
        <f>IFERROR(J43/I43*100,0)</f>
        <v>0</v>
      </c>
      <c r="L43" s="1">
        <v>66</v>
      </c>
      <c r="M43" s="1">
        <v>8</v>
      </c>
      <c r="N43" s="1">
        <v>7</v>
      </c>
      <c r="O43" s="2">
        <f>IFERROR(N43/M43*100,0)</f>
        <v>0</v>
      </c>
      <c r="P43" s="1" t="s">
        <v>23</v>
      </c>
    </row>
    <row r="44" spans="1:16">
      <c r="A44" s="1">
        <v>41</v>
      </c>
      <c r="B44" s="1" t="s">
        <v>560</v>
      </c>
      <c r="C44" s="5">
        <v>46344</v>
      </c>
      <c r="D44" s="1" t="s">
        <v>111</v>
      </c>
      <c r="E44" s="6" t="s">
        <v>524</v>
      </c>
      <c r="F44" s="6" t="s">
        <v>30</v>
      </c>
      <c r="G44" s="1" t="s">
        <v>50</v>
      </c>
      <c r="H44" s="1" t="s">
        <v>41</v>
      </c>
      <c r="I44" s="1">
        <v>29</v>
      </c>
      <c r="J44" s="1">
        <v>28</v>
      </c>
      <c r="K44" s="2">
        <f>IFERROR(J44/I44*100,0)</f>
        <v>0</v>
      </c>
      <c r="L44" s="1">
        <v>69</v>
      </c>
      <c r="M44" s="1">
        <v>4</v>
      </c>
      <c r="N44" s="1">
        <v>4</v>
      </c>
      <c r="O44" s="2">
        <f>IFERROR(N44/M44*100,0)</f>
        <v>0</v>
      </c>
      <c r="P44" s="1" t="s">
        <v>9</v>
      </c>
    </row>
    <row r="45" spans="1:16">
      <c r="A45" s="1">
        <v>42</v>
      </c>
      <c r="B45" s="1" t="s">
        <v>561</v>
      </c>
      <c r="C45" s="5">
        <v>46350</v>
      </c>
      <c r="D45" s="1" t="s">
        <v>111</v>
      </c>
      <c r="E45" s="6" t="s">
        <v>519</v>
      </c>
      <c r="F45" s="6" t="s">
        <v>30</v>
      </c>
      <c r="G45" s="1" t="s">
        <v>65</v>
      </c>
      <c r="H45" s="1" t="s">
        <v>66</v>
      </c>
      <c r="I45" s="1">
        <v>19</v>
      </c>
      <c r="J45" s="1">
        <v>17</v>
      </c>
      <c r="K45" s="2">
        <f>IFERROR(J45/I45*100,0)</f>
        <v>0</v>
      </c>
      <c r="L45" s="1">
        <v>19</v>
      </c>
      <c r="M45" s="1">
        <v>2</v>
      </c>
      <c r="N45" s="1">
        <v>2</v>
      </c>
      <c r="O45" s="2">
        <f>IFERROR(N45/M45*100,0)</f>
        <v>0</v>
      </c>
      <c r="P45" s="1" t="s">
        <v>23</v>
      </c>
    </row>
    <row r="46" spans="1:16">
      <c r="A46" s="1">
        <v>43</v>
      </c>
      <c r="B46" s="1" t="s">
        <v>562</v>
      </c>
      <c r="C46" s="5">
        <v>46330</v>
      </c>
      <c r="D46" s="1" t="s">
        <v>111</v>
      </c>
      <c r="E46" s="6" t="s">
        <v>517</v>
      </c>
      <c r="F46" s="6" t="s">
        <v>30</v>
      </c>
      <c r="G46" s="1" t="s">
        <v>46</v>
      </c>
      <c r="H46" s="1" t="s">
        <v>41</v>
      </c>
      <c r="I46" s="1">
        <v>44</v>
      </c>
      <c r="J46" s="1">
        <v>28</v>
      </c>
      <c r="K46" s="2">
        <f>IFERROR(J46/I46*100,0)</f>
        <v>0</v>
      </c>
      <c r="L46" s="1">
        <v>101</v>
      </c>
      <c r="M46" s="1">
        <v>6</v>
      </c>
      <c r="N46" s="1">
        <v>8</v>
      </c>
      <c r="O46" s="2">
        <f>IFERROR(N46/M46*100,0)</f>
        <v>0</v>
      </c>
      <c r="P46" s="1" t="s">
        <v>9</v>
      </c>
    </row>
    <row r="47" spans="1:16">
      <c r="A47" s="1">
        <v>44</v>
      </c>
      <c r="B47" s="1" t="s">
        <v>563</v>
      </c>
      <c r="C47" s="5">
        <v>46363</v>
      </c>
      <c r="D47" s="1" t="s">
        <v>122</v>
      </c>
      <c r="E47" s="6" t="s">
        <v>517</v>
      </c>
      <c r="F47" s="6" t="s">
        <v>54</v>
      </c>
      <c r="G47" s="1" t="s">
        <v>39</v>
      </c>
      <c r="H47" s="1" t="s">
        <v>78</v>
      </c>
      <c r="I47" s="1">
        <v>33</v>
      </c>
      <c r="J47" s="1">
        <v>50</v>
      </c>
      <c r="K47" s="2">
        <f>IFERROR(J47/I47*100,0)</f>
        <v>0</v>
      </c>
      <c r="L47" s="1">
        <v>46</v>
      </c>
      <c r="M47" s="1">
        <v>6</v>
      </c>
      <c r="N47" s="1">
        <v>4</v>
      </c>
      <c r="O47" s="2">
        <f>IFERROR(N47/M47*100,0)</f>
        <v>0</v>
      </c>
      <c r="P47" s="1" t="s">
        <v>23</v>
      </c>
    </row>
    <row r="48" spans="1:16">
      <c r="A48" s="1">
        <v>45</v>
      </c>
      <c r="B48" s="1" t="s">
        <v>564</v>
      </c>
      <c r="C48" s="5">
        <v>46366</v>
      </c>
      <c r="D48" s="1" t="s">
        <v>122</v>
      </c>
      <c r="E48" s="6" t="s">
        <v>517</v>
      </c>
      <c r="F48" s="6" t="s">
        <v>54</v>
      </c>
      <c r="G48" s="1" t="s">
        <v>13</v>
      </c>
      <c r="H48" s="1" t="s">
        <v>68</v>
      </c>
      <c r="I48" s="1">
        <v>35</v>
      </c>
      <c r="J48" s="1">
        <v>56</v>
      </c>
      <c r="K48" s="2">
        <f>IFERROR(J48/I48*100,0)</f>
        <v>0</v>
      </c>
      <c r="L48" s="1">
        <v>107</v>
      </c>
      <c r="M48" s="1">
        <v>1</v>
      </c>
      <c r="N48" s="1">
        <v>3</v>
      </c>
      <c r="O48" s="2">
        <f>IFERROR(N48/M48*100,0)</f>
        <v>0</v>
      </c>
      <c r="P48" s="1" t="s">
        <v>23</v>
      </c>
    </row>
    <row r="49" spans="1:16">
      <c r="A49" s="1">
        <v>46</v>
      </c>
      <c r="B49" s="1" t="s">
        <v>565</v>
      </c>
      <c r="C49" s="5">
        <v>46363</v>
      </c>
      <c r="D49" s="1" t="s">
        <v>122</v>
      </c>
      <c r="E49" s="6" t="s">
        <v>522</v>
      </c>
      <c r="F49" s="6" t="s">
        <v>61</v>
      </c>
      <c r="G49" s="1" t="s">
        <v>5</v>
      </c>
      <c r="H49" s="1" t="s">
        <v>66</v>
      </c>
      <c r="I49" s="1">
        <v>37</v>
      </c>
      <c r="J49" s="1">
        <v>29</v>
      </c>
      <c r="K49" s="2">
        <f>IFERROR(J49/I49*100,0)</f>
        <v>0</v>
      </c>
      <c r="L49" s="1">
        <v>19</v>
      </c>
      <c r="M49" s="1">
        <v>8</v>
      </c>
      <c r="N49" s="1">
        <v>8</v>
      </c>
      <c r="O49" s="2">
        <f>IFERROR(N49/M49*100,0)</f>
        <v>0</v>
      </c>
      <c r="P49" s="1" t="s">
        <v>23</v>
      </c>
    </row>
    <row r="50" spans="1:16">
      <c r="A50" s="1">
        <v>47</v>
      </c>
      <c r="B50" s="1" t="s">
        <v>566</v>
      </c>
      <c r="C50" s="5">
        <v>46369</v>
      </c>
      <c r="D50" s="1" t="s">
        <v>122</v>
      </c>
      <c r="E50" s="6" t="s">
        <v>519</v>
      </c>
      <c r="F50" s="6" t="s">
        <v>64</v>
      </c>
      <c r="G50" s="1" t="s">
        <v>89</v>
      </c>
      <c r="H50" s="1" t="s">
        <v>28</v>
      </c>
      <c r="I50" s="1">
        <v>17</v>
      </c>
      <c r="J50" s="1">
        <v>15</v>
      </c>
      <c r="K50" s="2">
        <f>IFERROR(J50/I50*100,0)</f>
        <v>0</v>
      </c>
      <c r="L50" s="1">
        <v>74</v>
      </c>
      <c r="M50" s="1">
        <v>2</v>
      </c>
      <c r="N50" s="1">
        <v>4</v>
      </c>
      <c r="O50" s="2">
        <f>IFERROR(N50/M50*100,0)</f>
        <v>0</v>
      </c>
      <c r="P50" s="1" t="s">
        <v>9</v>
      </c>
    </row>
    <row r="51" spans="1:16">
      <c r="A51" s="1">
        <v>48</v>
      </c>
      <c r="B51" s="1" t="s">
        <v>567</v>
      </c>
      <c r="C51" s="5">
        <v>46358</v>
      </c>
      <c r="D51" s="1" t="s">
        <v>122</v>
      </c>
      <c r="E51" s="6" t="s">
        <v>524</v>
      </c>
      <c r="F51" s="6" t="s">
        <v>61</v>
      </c>
      <c r="G51" s="1" t="s">
        <v>27</v>
      </c>
      <c r="H51" s="1" t="s">
        <v>93</v>
      </c>
      <c r="I51" s="1">
        <v>40</v>
      </c>
      <c r="J51" s="1">
        <v>45</v>
      </c>
      <c r="K51" s="2">
        <f>IFERROR(J51/I51*100,0)</f>
        <v>0</v>
      </c>
      <c r="L51" s="1">
        <v>25</v>
      </c>
      <c r="M51" s="1">
        <v>5</v>
      </c>
      <c r="N51" s="1">
        <v>4</v>
      </c>
      <c r="O51" s="2">
        <f>IFERROR(N51/M51*100,0)</f>
        <v>0</v>
      </c>
      <c r="P51" s="1" t="s">
        <v>23</v>
      </c>
    </row>
    <row r="52" spans="1:16">
      <c r="K52" s="2">
        <f>IFERROR(J52/I52*100,0)</f>
        <v>0</v>
      </c>
      <c r="O52" s="2">
        <f>IFERROR(N52/M52*100,0)</f>
        <v>0</v>
      </c>
    </row>
    <row r="53" spans="1:16">
      <c r="K53" s="2">
        <f>IFERROR(J53/I53*100,0)</f>
        <v>0</v>
      </c>
      <c r="O53" s="2">
        <f>IFERROR(N53/M53*100,0)</f>
        <v>0</v>
      </c>
    </row>
    <row r="54" spans="1:16">
      <c r="K54" s="2">
        <f>IFERROR(J54/I54*100,0)</f>
        <v>0</v>
      </c>
      <c r="O54" s="2">
        <f>IFERROR(N54/M54*100,0)</f>
        <v>0</v>
      </c>
    </row>
    <row r="55" spans="1:16">
      <c r="K55" s="2">
        <f>IFERROR(J55/I55*100,0)</f>
        <v>0</v>
      </c>
      <c r="O55" s="2">
        <f>IFERROR(N55/M55*100,0)</f>
        <v>0</v>
      </c>
    </row>
    <row r="56" spans="1:16">
      <c r="K56" s="2">
        <f>IFERROR(J56/I56*100,0)</f>
        <v>0</v>
      </c>
      <c r="O56" s="2">
        <f>IFERROR(N56/M56*100,0)</f>
        <v>0</v>
      </c>
    </row>
    <row r="57" spans="1:16">
      <c r="K57" s="2">
        <f>IFERROR(J57/I57*100,0)</f>
        <v>0</v>
      </c>
      <c r="O57" s="2">
        <f>IFERROR(N57/M57*100,0)</f>
        <v>0</v>
      </c>
    </row>
    <row r="58" spans="1:16">
      <c r="K58" s="2">
        <f>IFERROR(J58/I58*100,0)</f>
        <v>0</v>
      </c>
      <c r="O58" s="2">
        <f>IFERROR(N58/M58*100,0)</f>
        <v>0</v>
      </c>
    </row>
    <row r="59" spans="1:16">
      <c r="K59" s="2">
        <f>IFERROR(J59/I59*100,0)</f>
        <v>0</v>
      </c>
      <c r="O59" s="2">
        <f>IFERROR(N59/M59*100,0)</f>
        <v>0</v>
      </c>
    </row>
    <row r="60" spans="1:16">
      <c r="K60" s="2">
        <f>IFERROR(J60/I60*100,0)</f>
        <v>0</v>
      </c>
      <c r="O60" s="2">
        <f>IFERROR(N60/M60*100,0)</f>
        <v>0</v>
      </c>
    </row>
    <row r="61" spans="1:16">
      <c r="K61" s="2">
        <f>IFERROR(J61/I61*100,0)</f>
        <v>0</v>
      </c>
      <c r="O61" s="2">
        <f>IFERROR(N61/M61*100,0)</f>
        <v>0</v>
      </c>
    </row>
    <row r="62" spans="1:16">
      <c r="K62" s="2">
        <f>IFERROR(J62/I62*100,0)</f>
        <v>0</v>
      </c>
      <c r="O62" s="2">
        <f>IFERROR(N62/M62*100,0)</f>
        <v>0</v>
      </c>
    </row>
    <row r="63" spans="1:16">
      <c r="K63" s="2">
        <f>IFERROR(J63/I63*100,0)</f>
        <v>0</v>
      </c>
      <c r="O63" s="2">
        <f>IFERROR(N63/M63*100,0)</f>
        <v>0</v>
      </c>
    </row>
    <row r="64" spans="1:16">
      <c r="K64" s="2">
        <f>IFERROR(J64/I64*100,0)</f>
        <v>0</v>
      </c>
      <c r="O64" s="2">
        <f>IFERROR(N64/M64*100,0)</f>
        <v>0</v>
      </c>
    </row>
    <row r="65" spans="11:15">
      <c r="K65" s="2">
        <f>IFERROR(J65/I65*100,0)</f>
        <v>0</v>
      </c>
      <c r="O65" s="2">
        <f>IFERROR(N65/M65*100,0)</f>
        <v>0</v>
      </c>
    </row>
    <row r="66" spans="11:15">
      <c r="K66" s="2">
        <f>IFERROR(J66/I66*100,0)</f>
        <v>0</v>
      </c>
      <c r="O66" s="2">
        <f>IFERROR(N66/M66*100,0)</f>
        <v>0</v>
      </c>
    </row>
    <row r="67" spans="11:15">
      <c r="K67" s="2">
        <f>IFERROR(J67/I67*100,0)</f>
        <v>0</v>
      </c>
      <c r="O67" s="2">
        <f>IFERROR(N67/M67*100,0)</f>
        <v>0</v>
      </c>
    </row>
    <row r="68" spans="11:15">
      <c r="K68" s="2">
        <f>IFERROR(J68/I68*100,0)</f>
        <v>0</v>
      </c>
      <c r="O68" s="2">
        <f>IFERROR(N68/M68*100,0)</f>
        <v>0</v>
      </c>
    </row>
    <row r="69" spans="11:15">
      <c r="K69" s="2">
        <f>IFERROR(J69/I69*100,0)</f>
        <v>0</v>
      </c>
      <c r="O69" s="2">
        <f>IFERROR(N69/M69*100,0)</f>
        <v>0</v>
      </c>
    </row>
    <row r="70" spans="11:15">
      <c r="K70" s="2">
        <f>IFERROR(J70/I70*100,0)</f>
        <v>0</v>
      </c>
      <c r="O70" s="2">
        <f>IFERROR(N70/M70*100,0)</f>
        <v>0</v>
      </c>
    </row>
    <row r="71" spans="11:15">
      <c r="K71" s="2">
        <f>IFERROR(J71/I71*100,0)</f>
        <v>0</v>
      </c>
      <c r="O71" s="2">
        <f>IFERROR(N71/M71*100,0)</f>
        <v>0</v>
      </c>
    </row>
    <row r="72" spans="11:15">
      <c r="K72" s="2">
        <f>IFERROR(J72/I72*100,0)</f>
        <v>0</v>
      </c>
      <c r="O72" s="2">
        <f>IFERROR(N72/M72*100,0)</f>
        <v>0</v>
      </c>
    </row>
    <row r="73" spans="11:15">
      <c r="K73" s="2">
        <f>IFERROR(J73/I73*100,0)</f>
        <v>0</v>
      </c>
      <c r="O73" s="2">
        <f>IFERROR(N73/M73*100,0)</f>
        <v>0</v>
      </c>
    </row>
    <row r="74" spans="11:15">
      <c r="K74" s="2">
        <f>IFERROR(J74/I74*100,0)</f>
        <v>0</v>
      </c>
      <c r="O74" s="2">
        <f>IFERROR(N74/M74*100,0)</f>
        <v>0</v>
      </c>
    </row>
    <row r="75" spans="11:15">
      <c r="K75" s="2">
        <f>IFERROR(J75/I75*100,0)</f>
        <v>0</v>
      </c>
      <c r="O75" s="2">
        <f>IFERROR(N75/M75*100,0)</f>
        <v>0</v>
      </c>
    </row>
    <row r="76" spans="11:15">
      <c r="K76" s="2">
        <f>IFERROR(J76/I76*100,0)</f>
        <v>0</v>
      </c>
      <c r="O76" s="2">
        <f>IFERROR(N76/M76*100,0)</f>
        <v>0</v>
      </c>
    </row>
    <row r="77" spans="11:15">
      <c r="K77" s="2">
        <f>IFERROR(J77/I77*100,0)</f>
        <v>0</v>
      </c>
      <c r="O77" s="2">
        <f>IFERROR(N77/M77*100,0)</f>
        <v>0</v>
      </c>
    </row>
    <row r="78" spans="11:15">
      <c r="K78" s="2">
        <f>IFERROR(J78/I78*100,0)</f>
        <v>0</v>
      </c>
      <c r="O78" s="2">
        <f>IFERROR(N78/M78*100,0)</f>
        <v>0</v>
      </c>
    </row>
    <row r="79" spans="11:15">
      <c r="K79" s="2">
        <f>IFERROR(J79/I79*100,0)</f>
        <v>0</v>
      </c>
      <c r="O79" s="2">
        <f>IFERROR(N79/M79*100,0)</f>
        <v>0</v>
      </c>
    </row>
    <row r="80" spans="11:15">
      <c r="K80" s="2">
        <f>IFERROR(J80/I80*100,0)</f>
        <v>0</v>
      </c>
      <c r="O80" s="2">
        <f>IFERROR(N80/M80*100,0)</f>
        <v>0</v>
      </c>
    </row>
    <row r="81" spans="11:15">
      <c r="K81" s="2">
        <f>IFERROR(J81/I81*100,0)</f>
        <v>0</v>
      </c>
      <c r="O81" s="2">
        <f>IFERROR(N81/M81*100,0)</f>
        <v>0</v>
      </c>
    </row>
    <row r="82" spans="11:15">
      <c r="K82" s="2">
        <f>IFERROR(J82/I82*100,0)</f>
        <v>0</v>
      </c>
      <c r="O82" s="2">
        <f>IFERROR(N82/M82*100,0)</f>
        <v>0</v>
      </c>
    </row>
    <row r="83" spans="11:15">
      <c r="K83" s="2">
        <f>IFERROR(J83/I83*100,0)</f>
        <v>0</v>
      </c>
      <c r="O83" s="2">
        <f>IFERROR(N83/M83*100,0)</f>
        <v>0</v>
      </c>
    </row>
    <row r="84" spans="11:15">
      <c r="K84" s="2">
        <f>IFERROR(J84/I84*100,0)</f>
        <v>0</v>
      </c>
      <c r="O84" s="2">
        <f>IFERROR(N84/M84*100,0)</f>
        <v>0</v>
      </c>
    </row>
    <row r="85" spans="11:15">
      <c r="K85" s="2">
        <f>IFERROR(J85/I85*100,0)</f>
        <v>0</v>
      </c>
      <c r="O85" s="2">
        <f>IFERROR(N85/M85*100,0)</f>
        <v>0</v>
      </c>
    </row>
    <row r="86" spans="11:15">
      <c r="K86" s="2">
        <f>IFERROR(J86/I86*100,0)</f>
        <v>0</v>
      </c>
      <c r="O86" s="2">
        <f>IFERROR(N86/M86*100,0)</f>
        <v>0</v>
      </c>
    </row>
    <row r="87" spans="11:15">
      <c r="K87" s="2">
        <f>IFERROR(J87/I87*100,0)</f>
        <v>0</v>
      </c>
      <c r="O87" s="2">
        <f>IFERROR(N87/M87*100,0)</f>
        <v>0</v>
      </c>
    </row>
    <row r="88" spans="11:15">
      <c r="K88" s="2">
        <f>IFERROR(J88/I88*100,0)</f>
        <v>0</v>
      </c>
      <c r="O88" s="2">
        <f>IFERROR(N88/M88*100,0)</f>
        <v>0</v>
      </c>
    </row>
    <row r="89" spans="11:15">
      <c r="K89" s="2">
        <f>IFERROR(J89/I89*100,0)</f>
        <v>0</v>
      </c>
      <c r="O89" s="2">
        <f>IFERROR(N89/M89*100,0)</f>
        <v>0</v>
      </c>
    </row>
    <row r="90" spans="11:15">
      <c r="K90" s="2">
        <f>IFERROR(J90/I90*100,0)</f>
        <v>0</v>
      </c>
      <c r="O90" s="2">
        <f>IFERROR(N90/M90*100,0)</f>
        <v>0</v>
      </c>
    </row>
    <row r="91" spans="11:15">
      <c r="K91" s="2">
        <f>IFERROR(J91/I91*100,0)</f>
        <v>0</v>
      </c>
      <c r="O91" s="2">
        <f>IFERROR(N91/M91*100,0)</f>
        <v>0</v>
      </c>
    </row>
    <row r="92" spans="11:15">
      <c r="K92" s="2">
        <f>IFERROR(J92/I92*100,0)</f>
        <v>0</v>
      </c>
      <c r="O92" s="2">
        <f>IFERROR(N92/M92*100,0)</f>
        <v>0</v>
      </c>
    </row>
    <row r="93" spans="11:15">
      <c r="K93" s="2">
        <f>IFERROR(J93/I93*100,0)</f>
        <v>0</v>
      </c>
      <c r="O93" s="2">
        <f>IFERROR(N93/M93*100,0)</f>
        <v>0</v>
      </c>
    </row>
    <row r="94" spans="11:15">
      <c r="K94" s="2">
        <f>IFERROR(J94/I94*100,0)</f>
        <v>0</v>
      </c>
      <c r="O94" s="2">
        <f>IFERROR(N94/M94*100,0)</f>
        <v>0</v>
      </c>
    </row>
    <row r="95" spans="11:15">
      <c r="K95" s="2">
        <f>IFERROR(J95/I95*100,0)</f>
        <v>0</v>
      </c>
      <c r="O95" s="2">
        <f>IFERROR(N95/M95*100,0)</f>
        <v>0</v>
      </c>
    </row>
    <row r="96" spans="11:15">
      <c r="K96" s="2">
        <f>IFERROR(J96/I96*100,0)</f>
        <v>0</v>
      </c>
      <c r="O96" s="2">
        <f>IFERROR(N96/M96*100,0)</f>
        <v>0</v>
      </c>
    </row>
    <row r="97" spans="11:15">
      <c r="K97" s="2">
        <f>IFERROR(J97/I97*100,0)</f>
        <v>0</v>
      </c>
      <c r="O97" s="2">
        <f>IFERROR(N97/M97*100,0)</f>
        <v>0</v>
      </c>
    </row>
    <row r="98" spans="11:15">
      <c r="K98" s="2">
        <f>IFERROR(J98/I98*100,0)</f>
        <v>0</v>
      </c>
      <c r="O98" s="2">
        <f>IFERROR(N98/M98*100,0)</f>
        <v>0</v>
      </c>
    </row>
    <row r="99" spans="11:15">
      <c r="K99" s="2">
        <f>IFERROR(J99/I99*100,0)</f>
        <v>0</v>
      </c>
      <c r="O99" s="2">
        <f>IFERROR(N99/M99*100,0)</f>
        <v>0</v>
      </c>
    </row>
    <row r="100" spans="11:15">
      <c r="K100" s="2">
        <f>IFERROR(J100/I100*100,0)</f>
        <v>0</v>
      </c>
      <c r="O100" s="2">
        <f>IFERROR(N100/M100*100,0)</f>
        <v>0</v>
      </c>
    </row>
    <row r="101" spans="11:15">
      <c r="K101" s="2">
        <f>IFERROR(J101/I101*100,0)</f>
        <v>0</v>
      </c>
      <c r="O101" s="2">
        <f>IFERROR(N101/M101*100,0)</f>
        <v>0</v>
      </c>
    </row>
    <row r="102" spans="11:15">
      <c r="K102" s="2">
        <f>IFERROR(J102/I102*100,0)</f>
        <v>0</v>
      </c>
      <c r="O102" s="2">
        <f>IFERROR(N102/M102*100,0)</f>
        <v>0</v>
      </c>
    </row>
    <row r="103" spans="11:15">
      <c r="K103" s="2">
        <f>IFERROR(J103/I103*100,0)</f>
        <v>0</v>
      </c>
      <c r="O103" s="2">
        <f>IFERROR(N103/M103*100,0)</f>
        <v>0</v>
      </c>
    </row>
    <row r="104" spans="11:15">
      <c r="K104" s="2">
        <f>IFERROR(J104/I104*100,0)</f>
        <v>0</v>
      </c>
      <c r="O104" s="2">
        <f>IFERROR(N104/M104*100,0)</f>
        <v>0</v>
      </c>
    </row>
    <row r="105" spans="11:15">
      <c r="K105" s="2">
        <f>IFERROR(J105/I105*100,0)</f>
        <v>0</v>
      </c>
      <c r="O105" s="2">
        <f>IFERROR(N105/M105*100,0)</f>
        <v>0</v>
      </c>
    </row>
    <row r="106" spans="11:15">
      <c r="K106" s="2">
        <f>IFERROR(J106/I106*100,0)</f>
        <v>0</v>
      </c>
      <c r="O106" s="2">
        <f>IFERROR(N106/M106*100,0)</f>
        <v>0</v>
      </c>
    </row>
    <row r="107" spans="11:15">
      <c r="K107" s="2">
        <f>IFERROR(J107/I107*100,0)</f>
        <v>0</v>
      </c>
      <c r="O107" s="2">
        <f>IFERROR(N107/M107*100,0)</f>
        <v>0</v>
      </c>
    </row>
    <row r="108" spans="11:15">
      <c r="K108" s="2">
        <f>IFERROR(J108/I108*100,0)</f>
        <v>0</v>
      </c>
      <c r="O108" s="2">
        <f>IFERROR(N108/M108*100,0)</f>
        <v>0</v>
      </c>
    </row>
    <row r="109" spans="11:15">
      <c r="K109" s="2">
        <f>IFERROR(J109/I109*100,0)</f>
        <v>0</v>
      </c>
      <c r="O109" s="2">
        <f>IFERROR(N109/M109*100,0)</f>
        <v>0</v>
      </c>
    </row>
    <row r="110" spans="11:15">
      <c r="K110" s="2">
        <f>IFERROR(J110/I110*100,0)</f>
        <v>0</v>
      </c>
      <c r="O110" s="2">
        <f>IFERROR(N110/M110*100,0)</f>
        <v>0</v>
      </c>
    </row>
    <row r="111" spans="11:15">
      <c r="K111" s="2">
        <f>IFERROR(J111/I111*100,0)</f>
        <v>0</v>
      </c>
      <c r="O111" s="2">
        <f>IFERROR(N111/M111*100,0)</f>
        <v>0</v>
      </c>
    </row>
    <row r="112" spans="11:15">
      <c r="K112" s="2">
        <f>IFERROR(J112/I112*100,0)</f>
        <v>0</v>
      </c>
      <c r="O112" s="2">
        <f>IFERROR(N112/M112*100,0)</f>
        <v>0</v>
      </c>
    </row>
    <row r="113" spans="11:15">
      <c r="K113" s="2">
        <f>IFERROR(J113/I113*100,0)</f>
        <v>0</v>
      </c>
      <c r="O113" s="2">
        <f>IFERROR(N113/M113*100,0)</f>
        <v>0</v>
      </c>
    </row>
    <row r="114" spans="11:15">
      <c r="K114" s="2">
        <f>IFERROR(J114/I114*100,0)</f>
        <v>0</v>
      </c>
      <c r="O114" s="2">
        <f>IFERROR(N114/M114*100,0)</f>
        <v>0</v>
      </c>
    </row>
    <row r="115" spans="11:15">
      <c r="K115" s="2">
        <f>IFERROR(J115/I115*100,0)</f>
        <v>0</v>
      </c>
      <c r="O115" s="2">
        <f>IFERROR(N115/M115*100,0)</f>
        <v>0</v>
      </c>
    </row>
    <row r="116" spans="11:15">
      <c r="K116" s="2">
        <f>IFERROR(J116/I116*100,0)</f>
        <v>0</v>
      </c>
      <c r="O116" s="2">
        <f>IFERROR(N116/M116*100,0)</f>
        <v>0</v>
      </c>
    </row>
    <row r="117" spans="11:15">
      <c r="K117" s="2">
        <f>IFERROR(J117/I117*100,0)</f>
        <v>0</v>
      </c>
      <c r="O117" s="2">
        <f>IFERROR(N117/M117*100,0)</f>
        <v>0</v>
      </c>
    </row>
    <row r="118" spans="11:15">
      <c r="K118" s="2">
        <f>IFERROR(J118/I118*100,0)</f>
        <v>0</v>
      </c>
      <c r="O118" s="2">
        <f>IFERROR(N118/M118*100,0)</f>
        <v>0</v>
      </c>
    </row>
    <row r="119" spans="11:15">
      <c r="K119" s="2">
        <f>IFERROR(J119/I119*100,0)</f>
        <v>0</v>
      </c>
      <c r="O119" s="2">
        <f>IFERROR(N119/M119*100,0)</f>
        <v>0</v>
      </c>
    </row>
    <row r="120" spans="11:15">
      <c r="K120" s="2">
        <f>IFERROR(J120/I120*100,0)</f>
        <v>0</v>
      </c>
      <c r="O120" s="2">
        <f>IFERROR(N120/M120*100,0)</f>
        <v>0</v>
      </c>
    </row>
    <row r="121" spans="11:15">
      <c r="K121" s="2">
        <f>IFERROR(J121/I121*100,0)</f>
        <v>0</v>
      </c>
      <c r="O121" s="2">
        <f>IFERROR(N121/M121*100,0)</f>
        <v>0</v>
      </c>
    </row>
    <row r="122" spans="11:15">
      <c r="K122" s="2">
        <f>IFERROR(J122/I122*100,0)</f>
        <v>0</v>
      </c>
      <c r="O122" s="2">
        <f>IFERROR(N122/M122*100,0)</f>
        <v>0</v>
      </c>
    </row>
    <row r="123" spans="11:15">
      <c r="K123" s="2">
        <f>IFERROR(J123/I123*100,0)</f>
        <v>0</v>
      </c>
      <c r="O123" s="2">
        <f>IFERROR(N123/M123*100,0)</f>
        <v>0</v>
      </c>
    </row>
    <row r="124" spans="11:15">
      <c r="K124" s="2">
        <f>IFERROR(J124/I124*100,0)</f>
        <v>0</v>
      </c>
      <c r="O124" s="2">
        <f>IFERROR(N124/M124*100,0)</f>
        <v>0</v>
      </c>
    </row>
    <row r="125" spans="11:15">
      <c r="K125" s="2">
        <f>IFERROR(J125/I125*100,0)</f>
        <v>0</v>
      </c>
      <c r="O125" s="2">
        <f>IFERROR(N125/M125*100,0)</f>
        <v>0</v>
      </c>
    </row>
    <row r="126" spans="11:15">
      <c r="K126" s="2">
        <f>IFERROR(J126/I126*100,0)</f>
        <v>0</v>
      </c>
      <c r="O126" s="2">
        <f>IFERROR(N126/M126*100,0)</f>
        <v>0</v>
      </c>
    </row>
    <row r="127" spans="11:15">
      <c r="K127" s="2">
        <f>IFERROR(J127/I127*100,0)</f>
        <v>0</v>
      </c>
      <c r="O127" s="2">
        <f>IFERROR(N127/M127*100,0)</f>
        <v>0</v>
      </c>
    </row>
    <row r="128" spans="11:15">
      <c r="K128" s="2">
        <f>IFERROR(J128/I128*100,0)</f>
        <v>0</v>
      </c>
      <c r="O128" s="2">
        <f>IFERROR(N128/M128*100,0)</f>
        <v>0</v>
      </c>
    </row>
    <row r="129" spans="11:15">
      <c r="K129" s="2">
        <f>IFERROR(J129/I129*100,0)</f>
        <v>0</v>
      </c>
      <c r="O129" s="2">
        <f>IFERROR(N129/M129*100,0)</f>
        <v>0</v>
      </c>
    </row>
    <row r="130" spans="11:15">
      <c r="K130" s="2">
        <f>IFERROR(J130/I130*100,0)</f>
        <v>0</v>
      </c>
      <c r="O130" s="2">
        <f>IFERROR(N130/M130*100,0)</f>
        <v>0</v>
      </c>
    </row>
    <row r="131" spans="11:15">
      <c r="K131" s="2">
        <f>IFERROR(J131/I131*100,0)</f>
        <v>0</v>
      </c>
      <c r="O131" s="2">
        <f>IFERROR(N131/M131*100,0)</f>
        <v>0</v>
      </c>
    </row>
    <row r="132" spans="11:15">
      <c r="K132" s="2">
        <f>IFERROR(J132/I132*100,0)</f>
        <v>0</v>
      </c>
      <c r="O132" s="2">
        <f>IFERROR(N132/M132*100,0)</f>
        <v>0</v>
      </c>
    </row>
    <row r="133" spans="11:15">
      <c r="K133" s="2">
        <f>IFERROR(J133/I133*100,0)</f>
        <v>0</v>
      </c>
      <c r="O133" s="2">
        <f>IFERROR(N133/M133*100,0)</f>
        <v>0</v>
      </c>
    </row>
    <row r="134" spans="11:15">
      <c r="K134" s="2">
        <f>IFERROR(J134/I134*100,0)</f>
        <v>0</v>
      </c>
      <c r="O134" s="2">
        <f>IFERROR(N134/M134*100,0)</f>
        <v>0</v>
      </c>
    </row>
    <row r="135" spans="11:15">
      <c r="K135" s="2">
        <f>IFERROR(J135/I135*100,0)</f>
        <v>0</v>
      </c>
      <c r="O135" s="2">
        <f>IFERROR(N135/M135*100,0)</f>
        <v>0</v>
      </c>
    </row>
    <row r="136" spans="11:15">
      <c r="K136" s="2">
        <f>IFERROR(J136/I136*100,0)</f>
        <v>0</v>
      </c>
      <c r="O136" s="2">
        <f>IFERROR(N136/M136*100,0)</f>
        <v>0</v>
      </c>
    </row>
    <row r="137" spans="11:15">
      <c r="K137" s="2">
        <f>IFERROR(J137/I137*100,0)</f>
        <v>0</v>
      </c>
      <c r="O137" s="2">
        <f>IFERROR(N137/M137*100,0)</f>
        <v>0</v>
      </c>
    </row>
    <row r="138" spans="11:15">
      <c r="K138" s="2">
        <f>IFERROR(J138/I138*100,0)</f>
        <v>0</v>
      </c>
      <c r="O138" s="2">
        <f>IFERROR(N138/M138*100,0)</f>
        <v>0</v>
      </c>
    </row>
    <row r="139" spans="11:15">
      <c r="K139" s="2">
        <f>IFERROR(J139/I139*100,0)</f>
        <v>0</v>
      </c>
      <c r="O139" s="2">
        <f>IFERROR(N139/M139*100,0)</f>
        <v>0</v>
      </c>
    </row>
    <row r="140" spans="11:15">
      <c r="K140" s="2">
        <f>IFERROR(J140/I140*100,0)</f>
        <v>0</v>
      </c>
      <c r="O140" s="2">
        <f>IFERROR(N140/M140*100,0)</f>
        <v>0</v>
      </c>
    </row>
    <row r="141" spans="11:15">
      <c r="K141" s="2">
        <f>IFERROR(J141/I141*100,0)</f>
        <v>0</v>
      </c>
      <c r="O141" s="2">
        <f>IFERROR(N141/M141*100,0)</f>
        <v>0</v>
      </c>
    </row>
    <row r="142" spans="11:15">
      <c r="K142" s="2">
        <f>IFERROR(J142/I142*100,0)</f>
        <v>0</v>
      </c>
      <c r="O142" s="2">
        <f>IFERROR(N142/M142*100,0)</f>
        <v>0</v>
      </c>
    </row>
    <row r="143" spans="11:15">
      <c r="K143" s="2">
        <f>IFERROR(J143/I143*100,0)</f>
        <v>0</v>
      </c>
      <c r="O143" s="2">
        <f>IFERROR(N143/M143*100,0)</f>
        <v>0</v>
      </c>
    </row>
    <row r="144" spans="11:15">
      <c r="K144" s="2">
        <f>IFERROR(J144/I144*100,0)</f>
        <v>0</v>
      </c>
      <c r="O144" s="2">
        <f>IFERROR(N144/M144*100,0)</f>
        <v>0</v>
      </c>
    </row>
    <row r="145" spans="11:15">
      <c r="K145" s="2">
        <f>IFERROR(J145/I145*100,0)</f>
        <v>0</v>
      </c>
      <c r="O145" s="2">
        <f>IFERROR(N145/M145*100,0)</f>
        <v>0</v>
      </c>
    </row>
    <row r="146" spans="11:15">
      <c r="K146" s="2">
        <f>IFERROR(J146/I146*100,0)</f>
        <v>0</v>
      </c>
      <c r="O146" s="2">
        <f>IFERROR(N146/M146*100,0)</f>
        <v>0</v>
      </c>
    </row>
    <row r="147" spans="11:15">
      <c r="K147" s="2">
        <f>IFERROR(J147/I147*100,0)</f>
        <v>0</v>
      </c>
      <c r="O147" s="2">
        <f>IFERROR(N147/M147*100,0)</f>
        <v>0</v>
      </c>
    </row>
    <row r="148" spans="11:15">
      <c r="K148" s="2">
        <f>IFERROR(J148/I148*100,0)</f>
        <v>0</v>
      </c>
      <c r="O148" s="2">
        <f>IFERROR(N148/M148*100,0)</f>
        <v>0</v>
      </c>
    </row>
    <row r="149" spans="11:15">
      <c r="K149" s="2">
        <f>IFERROR(J149/I149*100,0)</f>
        <v>0</v>
      </c>
      <c r="O149" s="2">
        <f>IFERROR(N149/M149*100,0)</f>
        <v>0</v>
      </c>
    </row>
    <row r="150" spans="11:15">
      <c r="K150" s="2">
        <f>IFERROR(J150/I150*100,0)</f>
        <v>0</v>
      </c>
      <c r="O150" s="2">
        <f>IFERROR(N150/M150*100,0)</f>
        <v>0</v>
      </c>
    </row>
    <row r="151" spans="11:15">
      <c r="K151" s="2">
        <f>IFERROR(J151/I151*100,0)</f>
        <v>0</v>
      </c>
      <c r="O151" s="2">
        <f>IFERROR(N151/M151*100,0)</f>
        <v>0</v>
      </c>
    </row>
    <row r="152" spans="11:15">
      <c r="K152" s="2">
        <f>IFERROR(J152/I152*100,0)</f>
        <v>0</v>
      </c>
      <c r="O152" s="2">
        <f>IFERROR(N152/M152*100,0)</f>
        <v>0</v>
      </c>
    </row>
    <row r="153" spans="11:15">
      <c r="K153" s="2">
        <f>IFERROR(J153/I153*100,0)</f>
        <v>0</v>
      </c>
      <c r="O153" s="2">
        <f>IFERROR(N153/M153*100,0)</f>
        <v>0</v>
      </c>
    </row>
    <row r="154" spans="11:15">
      <c r="K154" s="2">
        <f>IFERROR(J154/I154*100,0)</f>
        <v>0</v>
      </c>
      <c r="O154" s="2">
        <f>IFERROR(N154/M154*100,0)</f>
        <v>0</v>
      </c>
    </row>
    <row r="155" spans="11:15">
      <c r="K155" s="2">
        <f>IFERROR(J155/I155*100,0)</f>
        <v>0</v>
      </c>
      <c r="O155" s="2">
        <f>IFERROR(N155/M155*100,0)</f>
        <v>0</v>
      </c>
    </row>
    <row r="156" spans="11:15">
      <c r="K156" s="2">
        <f>IFERROR(J156/I156*100,0)</f>
        <v>0</v>
      </c>
      <c r="O156" s="2">
        <f>IFERROR(N156/M156*100,0)</f>
        <v>0</v>
      </c>
    </row>
    <row r="157" spans="11:15">
      <c r="K157" s="2">
        <f>IFERROR(J157/I157*100,0)</f>
        <v>0</v>
      </c>
      <c r="O157" s="2">
        <f>IFERROR(N157/M157*100,0)</f>
        <v>0</v>
      </c>
    </row>
    <row r="158" spans="11:15">
      <c r="K158" s="2">
        <f>IFERROR(J158/I158*100,0)</f>
        <v>0</v>
      </c>
      <c r="O158" s="2">
        <f>IFERROR(N158/M158*100,0)</f>
        <v>0</v>
      </c>
    </row>
    <row r="159" spans="11:15">
      <c r="K159" s="2">
        <f>IFERROR(J159/I159*100,0)</f>
        <v>0</v>
      </c>
      <c r="O159" s="2">
        <f>IFERROR(N159/M159*100,0)</f>
        <v>0</v>
      </c>
    </row>
    <row r="160" spans="11:15">
      <c r="K160" s="2">
        <f>IFERROR(J160/I160*100,0)</f>
        <v>0</v>
      </c>
      <c r="O160" s="2">
        <f>IFERROR(N160/M160*100,0)</f>
        <v>0</v>
      </c>
    </row>
    <row r="161" spans="11:15">
      <c r="K161" s="2">
        <f>IFERROR(J161/I161*100,0)</f>
        <v>0</v>
      </c>
      <c r="O161" s="2">
        <f>IFERROR(N161/M161*100,0)</f>
        <v>0</v>
      </c>
    </row>
    <row r="162" spans="11:15">
      <c r="K162" s="2">
        <f>IFERROR(J162/I162*100,0)</f>
        <v>0</v>
      </c>
      <c r="O162" s="2">
        <f>IFERROR(N162/M162*100,0)</f>
        <v>0</v>
      </c>
    </row>
    <row r="163" spans="11:15">
      <c r="K163" s="2">
        <f>IFERROR(J163/I163*100,0)</f>
        <v>0</v>
      </c>
      <c r="O163" s="2">
        <f>IFERROR(N163/M163*100,0)</f>
        <v>0</v>
      </c>
    </row>
    <row r="164" spans="11:15">
      <c r="K164" s="2">
        <f>IFERROR(J164/I164*100,0)</f>
        <v>0</v>
      </c>
      <c r="O164" s="2">
        <f>IFERROR(N164/M164*100,0)</f>
        <v>0</v>
      </c>
    </row>
    <row r="165" spans="11:15">
      <c r="K165" s="2">
        <f>IFERROR(J165/I165*100,0)</f>
        <v>0</v>
      </c>
      <c r="O165" s="2">
        <f>IFERROR(N165/M165*100,0)</f>
        <v>0</v>
      </c>
    </row>
    <row r="166" spans="11:15">
      <c r="K166" s="2">
        <f>IFERROR(J166/I166*100,0)</f>
        <v>0</v>
      </c>
      <c r="O166" s="2">
        <f>IFERROR(N166/M166*100,0)</f>
        <v>0</v>
      </c>
    </row>
    <row r="167" spans="11:15">
      <c r="K167" s="2">
        <f>IFERROR(J167/I167*100,0)</f>
        <v>0</v>
      </c>
      <c r="O167" s="2">
        <f>IFERROR(N167/M167*100,0)</f>
        <v>0</v>
      </c>
    </row>
    <row r="168" spans="11:15">
      <c r="K168" s="2">
        <f>IFERROR(J168/I168*100,0)</f>
        <v>0</v>
      </c>
      <c r="O168" s="2">
        <f>IFERROR(N168/M168*100,0)</f>
        <v>0</v>
      </c>
    </row>
    <row r="169" spans="11:15">
      <c r="K169" s="2">
        <f>IFERROR(J169/I169*100,0)</f>
        <v>0</v>
      </c>
      <c r="O169" s="2">
        <f>IFERROR(N169/M169*100,0)</f>
        <v>0</v>
      </c>
    </row>
    <row r="170" spans="11:15">
      <c r="K170" s="2">
        <f>IFERROR(J170/I170*100,0)</f>
        <v>0</v>
      </c>
      <c r="O170" s="2">
        <f>IFERROR(N170/M170*100,0)</f>
        <v>0</v>
      </c>
    </row>
    <row r="171" spans="11:15">
      <c r="K171" s="2">
        <f>IFERROR(J171/I171*100,0)</f>
        <v>0</v>
      </c>
      <c r="O171" s="2">
        <f>IFERROR(N171/M171*100,0)</f>
        <v>0</v>
      </c>
    </row>
    <row r="172" spans="11:15">
      <c r="K172" s="2">
        <f>IFERROR(J172/I172*100,0)</f>
        <v>0</v>
      </c>
      <c r="O172" s="2">
        <f>IFERROR(N172/M172*100,0)</f>
        <v>0</v>
      </c>
    </row>
    <row r="173" spans="11:15">
      <c r="K173" s="2">
        <f>IFERROR(J173/I173*100,0)</f>
        <v>0</v>
      </c>
      <c r="O173" s="2">
        <f>IFERROR(N173/M173*100,0)</f>
        <v>0</v>
      </c>
    </row>
    <row r="174" spans="11:15">
      <c r="K174" s="2">
        <f>IFERROR(J174/I174*100,0)</f>
        <v>0</v>
      </c>
      <c r="O174" s="2">
        <f>IFERROR(N174/M174*100,0)</f>
        <v>0</v>
      </c>
    </row>
    <row r="175" spans="11:15">
      <c r="K175" s="2">
        <f>IFERROR(J175/I175*100,0)</f>
        <v>0</v>
      </c>
      <c r="O175" s="2">
        <f>IFERROR(N175/M175*100,0)</f>
        <v>0</v>
      </c>
    </row>
    <row r="176" spans="11:15">
      <c r="K176" s="2">
        <f>IFERROR(J176/I176*100,0)</f>
        <v>0</v>
      </c>
      <c r="O176" s="2">
        <f>IFERROR(N176/M176*100,0)</f>
        <v>0</v>
      </c>
    </row>
    <row r="177" spans="11:15">
      <c r="K177" s="2">
        <f>IFERROR(J177/I177*100,0)</f>
        <v>0</v>
      </c>
      <c r="O177" s="2">
        <f>IFERROR(N177/M177*100,0)</f>
        <v>0</v>
      </c>
    </row>
    <row r="178" spans="11:15">
      <c r="K178" s="2">
        <f>IFERROR(J178/I178*100,0)</f>
        <v>0</v>
      </c>
      <c r="O178" s="2">
        <f>IFERROR(N178/M178*100,0)</f>
        <v>0</v>
      </c>
    </row>
    <row r="179" spans="11:15">
      <c r="K179" s="2">
        <f>IFERROR(J179/I179*100,0)</f>
        <v>0</v>
      </c>
      <c r="O179" s="2">
        <f>IFERROR(N179/M179*100,0)</f>
        <v>0</v>
      </c>
    </row>
    <row r="180" spans="11:15">
      <c r="K180" s="2">
        <f>IFERROR(J180/I180*100,0)</f>
        <v>0</v>
      </c>
      <c r="O180" s="2">
        <f>IFERROR(N180/M180*100,0)</f>
        <v>0</v>
      </c>
    </row>
    <row r="181" spans="11:15">
      <c r="K181" s="2">
        <f>IFERROR(J181/I181*100,0)</f>
        <v>0</v>
      </c>
      <c r="O181" s="2">
        <f>IFERROR(N181/M181*100,0)</f>
        <v>0</v>
      </c>
    </row>
    <row r="182" spans="11:15">
      <c r="K182" s="2">
        <f>IFERROR(J182/I182*100,0)</f>
        <v>0</v>
      </c>
      <c r="O182" s="2">
        <f>IFERROR(N182/M182*100,0)</f>
        <v>0</v>
      </c>
    </row>
    <row r="183" spans="11:15">
      <c r="K183" s="2">
        <f>IFERROR(J183/I183*100,0)</f>
        <v>0</v>
      </c>
      <c r="O183" s="2">
        <f>IFERROR(N183/M183*100,0)</f>
        <v>0</v>
      </c>
    </row>
    <row r="184" spans="11:15">
      <c r="K184" s="2">
        <f>IFERROR(J184/I184*100,0)</f>
        <v>0</v>
      </c>
      <c r="O184" s="2">
        <f>IFERROR(N184/M184*100,0)</f>
        <v>0</v>
      </c>
    </row>
    <row r="185" spans="11:15">
      <c r="K185" s="2">
        <f>IFERROR(J185/I185*100,0)</f>
        <v>0</v>
      </c>
      <c r="O185" s="2">
        <f>IFERROR(N185/M185*100,0)</f>
        <v>0</v>
      </c>
    </row>
    <row r="186" spans="11:15">
      <c r="K186" s="2">
        <f>IFERROR(J186/I186*100,0)</f>
        <v>0</v>
      </c>
      <c r="O186" s="2">
        <f>IFERROR(N186/M186*100,0)</f>
        <v>0</v>
      </c>
    </row>
    <row r="187" spans="11:15">
      <c r="K187" s="2">
        <f>IFERROR(J187/I187*100,0)</f>
        <v>0</v>
      </c>
      <c r="O187" s="2">
        <f>IFERROR(N187/M187*100,0)</f>
        <v>0</v>
      </c>
    </row>
    <row r="188" spans="11:15">
      <c r="K188" s="2">
        <f>IFERROR(J188/I188*100,0)</f>
        <v>0</v>
      </c>
      <c r="O188" s="2">
        <f>IFERROR(N188/M188*100,0)</f>
        <v>0</v>
      </c>
    </row>
    <row r="189" spans="11:15">
      <c r="K189" s="2">
        <f>IFERROR(J189/I189*100,0)</f>
        <v>0</v>
      </c>
      <c r="O189" s="2">
        <f>IFERROR(N189/M189*100,0)</f>
        <v>0</v>
      </c>
    </row>
    <row r="190" spans="11:15">
      <c r="K190" s="2">
        <f>IFERROR(J190/I190*100,0)</f>
        <v>0</v>
      </c>
      <c r="O190" s="2">
        <f>IFERROR(N190/M190*100,0)</f>
        <v>0</v>
      </c>
    </row>
    <row r="191" spans="11:15">
      <c r="K191" s="2">
        <f>IFERROR(J191/I191*100,0)</f>
        <v>0</v>
      </c>
      <c r="O191" s="2">
        <f>IFERROR(N191/M191*100,0)</f>
        <v>0</v>
      </c>
    </row>
    <row r="192" spans="11:15">
      <c r="K192" s="2">
        <f>IFERROR(J192/I192*100,0)</f>
        <v>0</v>
      </c>
      <c r="O192" s="2">
        <f>IFERROR(N192/M192*100,0)</f>
        <v>0</v>
      </c>
    </row>
    <row r="193" spans="11:15">
      <c r="K193" s="2">
        <f>IFERROR(J193/I193*100,0)</f>
        <v>0</v>
      </c>
      <c r="O193" s="2">
        <f>IFERROR(N193/M193*100,0)</f>
        <v>0</v>
      </c>
    </row>
    <row r="194" spans="11:15">
      <c r="K194" s="2">
        <f>IFERROR(J194/I194*100,0)</f>
        <v>0</v>
      </c>
      <c r="O194" s="2">
        <f>IFERROR(N194/M194*100,0)</f>
        <v>0</v>
      </c>
    </row>
    <row r="195" spans="11:15">
      <c r="K195" s="2">
        <f>IFERROR(J195/I195*100,0)</f>
        <v>0</v>
      </c>
      <c r="O195" s="2">
        <f>IFERROR(N195/M195*100,0)</f>
        <v>0</v>
      </c>
    </row>
    <row r="196" spans="11:15">
      <c r="K196" s="2">
        <f>IFERROR(J196/I196*100,0)</f>
        <v>0</v>
      </c>
      <c r="O196" s="2">
        <f>IFERROR(N196/M196*100,0)</f>
        <v>0</v>
      </c>
    </row>
    <row r="197" spans="11:15">
      <c r="K197" s="2">
        <f>IFERROR(J197/I197*100,0)</f>
        <v>0</v>
      </c>
      <c r="O197" s="2">
        <f>IFERROR(N197/M197*100,0)</f>
        <v>0</v>
      </c>
    </row>
    <row r="198" spans="11:15">
      <c r="K198" s="2">
        <f>IFERROR(J198/I198*100,0)</f>
        <v>0</v>
      </c>
      <c r="O198" s="2">
        <f>IFERROR(N198/M198*100,0)</f>
        <v>0</v>
      </c>
    </row>
    <row r="199" spans="11:15">
      <c r="K199" s="2">
        <f>IFERROR(J199/I199*100,0)</f>
        <v>0</v>
      </c>
      <c r="O199" s="2">
        <f>IFERROR(N199/M199*100,0)</f>
        <v>0</v>
      </c>
    </row>
    <row r="200" spans="11:15">
      <c r="K200" s="2">
        <f>IFERROR(J200/I200*100,0)</f>
        <v>0</v>
      </c>
      <c r="O200" s="2">
        <f>IFERROR(N200/M200*100,0)</f>
        <v>0</v>
      </c>
    </row>
    <row r="201" spans="11:15">
      <c r="K201" s="2">
        <f>IFERROR(J201/I201*100,0)</f>
        <v>0</v>
      </c>
      <c r="O201" s="2">
        <f>IFERROR(N201/M201*100,0)</f>
        <v>0</v>
      </c>
    </row>
    <row r="202" spans="11:15">
      <c r="K202" s="2">
        <f>IFERROR(J202/I202*100,0)</f>
        <v>0</v>
      </c>
      <c r="O202" s="2">
        <f>IFERROR(N202/M202*100,0)</f>
        <v>0</v>
      </c>
    </row>
    <row r="203" spans="11:15">
      <c r="K203" s="2">
        <f>IFERROR(J203/I203*100,0)</f>
        <v>0</v>
      </c>
      <c r="O203" s="2">
        <f>IFERROR(N203/M203*100,0)</f>
        <v>0</v>
      </c>
    </row>
    <row r="204" spans="11:15">
      <c r="K204" s="2">
        <f>IFERROR(J204/I204*100,0)</f>
        <v>0</v>
      </c>
      <c r="O204" s="2">
        <f>IFERROR(N204/M204*100,0)</f>
        <v>0</v>
      </c>
    </row>
    <row r="205" spans="11:15">
      <c r="K205" s="2">
        <f>IFERROR(J205/I205*100,0)</f>
        <v>0</v>
      </c>
      <c r="O205" s="2">
        <f>IFERROR(N205/M205*100,0)</f>
        <v>0</v>
      </c>
    </row>
    <row r="206" spans="11:15">
      <c r="K206" s="2">
        <f>IFERROR(J206/I206*100,0)</f>
        <v>0</v>
      </c>
      <c r="O206" s="2">
        <f>IFERROR(N206/M206*100,0)</f>
        <v>0</v>
      </c>
    </row>
    <row r="207" spans="11:15">
      <c r="K207" s="2">
        <f>IFERROR(J207/I207*100,0)</f>
        <v>0</v>
      </c>
      <c r="O207" s="2">
        <f>IFERROR(N207/M207*100,0)</f>
        <v>0</v>
      </c>
    </row>
    <row r="208" spans="11:15">
      <c r="K208" s="2">
        <f>IFERROR(J208/I208*100,0)</f>
        <v>0</v>
      </c>
      <c r="O208" s="2">
        <f>IFERROR(N208/M208*100,0)</f>
        <v>0</v>
      </c>
    </row>
    <row r="209" spans="11:15">
      <c r="K209" s="2">
        <f>IFERROR(J209/I209*100,0)</f>
        <v>0</v>
      </c>
      <c r="O209" s="2">
        <f>IFERROR(N209/M209*100,0)</f>
        <v>0</v>
      </c>
    </row>
    <row r="210" spans="11:15">
      <c r="K210" s="2">
        <f>IFERROR(J210/I210*100,0)</f>
        <v>0</v>
      </c>
      <c r="O210" s="2">
        <f>IFERROR(N210/M210*100,0)</f>
        <v>0</v>
      </c>
    </row>
    <row r="211" spans="11:15">
      <c r="K211" s="2">
        <f>IFERROR(J211/I211*100,0)</f>
        <v>0</v>
      </c>
      <c r="O211" s="2">
        <f>IFERROR(N211/M211*100,0)</f>
        <v>0</v>
      </c>
    </row>
    <row r="212" spans="11:15">
      <c r="K212" s="2">
        <f>IFERROR(J212/I212*100,0)</f>
        <v>0</v>
      </c>
      <c r="O212" s="2">
        <f>IFERROR(N212/M212*100,0)</f>
        <v>0</v>
      </c>
    </row>
    <row r="213" spans="11:15">
      <c r="K213" s="2">
        <f>IFERROR(J213/I213*100,0)</f>
        <v>0</v>
      </c>
      <c r="O213" s="2">
        <f>IFERROR(N213/M213*100,0)</f>
        <v>0</v>
      </c>
    </row>
    <row r="214" spans="11:15">
      <c r="K214" s="2">
        <f>IFERROR(J214/I214*100,0)</f>
        <v>0</v>
      </c>
      <c r="O214" s="2">
        <f>IFERROR(N214/M214*100,0)</f>
        <v>0</v>
      </c>
    </row>
    <row r="215" spans="11:15">
      <c r="K215" s="2">
        <f>IFERROR(J215/I215*100,0)</f>
        <v>0</v>
      </c>
      <c r="O215" s="2">
        <f>IFERROR(N215/M215*100,0)</f>
        <v>0</v>
      </c>
    </row>
    <row r="216" spans="11:15">
      <c r="K216" s="2">
        <f>IFERROR(J216/I216*100,0)</f>
        <v>0</v>
      </c>
      <c r="O216" s="2">
        <f>IFERROR(N216/M216*100,0)</f>
        <v>0</v>
      </c>
    </row>
    <row r="217" spans="11:15">
      <c r="K217" s="2">
        <f>IFERROR(J217/I217*100,0)</f>
        <v>0</v>
      </c>
      <c r="O217" s="2">
        <f>IFERROR(N217/M217*100,0)</f>
        <v>0</v>
      </c>
    </row>
    <row r="218" spans="11:15">
      <c r="K218" s="2">
        <f>IFERROR(J218/I218*100,0)</f>
        <v>0</v>
      </c>
      <c r="O218" s="2">
        <f>IFERROR(N218/M218*100,0)</f>
        <v>0</v>
      </c>
    </row>
    <row r="219" spans="11:15">
      <c r="K219" s="2">
        <f>IFERROR(J219/I219*100,0)</f>
        <v>0</v>
      </c>
      <c r="O219" s="2">
        <f>IFERROR(N219/M219*100,0)</f>
        <v>0</v>
      </c>
    </row>
    <row r="220" spans="11:15">
      <c r="K220" s="2">
        <f>IFERROR(J220/I220*100,0)</f>
        <v>0</v>
      </c>
      <c r="O220" s="2">
        <f>IFERROR(N220/M220*100,0)</f>
        <v>0</v>
      </c>
    </row>
    <row r="221" spans="11:15">
      <c r="K221" s="2">
        <f>IFERROR(J221/I221*100,0)</f>
        <v>0</v>
      </c>
      <c r="O221" s="2">
        <f>IFERROR(N221/M221*100,0)</f>
        <v>0</v>
      </c>
    </row>
    <row r="222" spans="11:15">
      <c r="K222" s="2">
        <f>IFERROR(J222/I222*100,0)</f>
        <v>0</v>
      </c>
      <c r="O222" s="2">
        <f>IFERROR(N222/M222*100,0)</f>
        <v>0</v>
      </c>
    </row>
    <row r="223" spans="11:15">
      <c r="K223" s="2">
        <f>IFERROR(J223/I223*100,0)</f>
        <v>0</v>
      </c>
      <c r="O223" s="2">
        <f>IFERROR(N223/M223*100,0)</f>
        <v>0</v>
      </c>
    </row>
    <row r="224" spans="11:15">
      <c r="K224" s="2">
        <f>IFERROR(J224/I224*100,0)</f>
        <v>0</v>
      </c>
      <c r="O224" s="2">
        <f>IFERROR(N224/M224*100,0)</f>
        <v>0</v>
      </c>
    </row>
    <row r="225" spans="11:15">
      <c r="K225" s="2">
        <f>IFERROR(J225/I225*100,0)</f>
        <v>0</v>
      </c>
      <c r="O225" s="2">
        <f>IFERROR(N225/M225*100,0)</f>
        <v>0</v>
      </c>
    </row>
    <row r="226" spans="11:15">
      <c r="K226" s="2">
        <f>IFERROR(J226/I226*100,0)</f>
        <v>0</v>
      </c>
      <c r="O226" s="2">
        <f>IFERROR(N226/M226*100,0)</f>
        <v>0</v>
      </c>
    </row>
    <row r="227" spans="11:15">
      <c r="K227" s="2">
        <f>IFERROR(J227/I227*100,0)</f>
        <v>0</v>
      </c>
      <c r="O227" s="2">
        <f>IFERROR(N227/M227*100,0)</f>
        <v>0</v>
      </c>
    </row>
    <row r="228" spans="11:15">
      <c r="K228" s="2">
        <f>IFERROR(J228/I228*100,0)</f>
        <v>0</v>
      </c>
      <c r="O228" s="2">
        <f>IFERROR(N228/M228*100,0)</f>
        <v>0</v>
      </c>
    </row>
    <row r="229" spans="11:15">
      <c r="K229" s="2">
        <f>IFERROR(J229/I229*100,0)</f>
        <v>0</v>
      </c>
      <c r="O229" s="2">
        <f>IFERROR(N229/M229*100,0)</f>
        <v>0</v>
      </c>
    </row>
    <row r="230" spans="11:15">
      <c r="K230" s="2">
        <f>IFERROR(J230/I230*100,0)</f>
        <v>0</v>
      </c>
      <c r="O230" s="2">
        <f>IFERROR(N230/M230*100,0)</f>
        <v>0</v>
      </c>
    </row>
    <row r="231" spans="11:15">
      <c r="K231" s="2">
        <f>IFERROR(J231/I231*100,0)</f>
        <v>0</v>
      </c>
      <c r="O231" s="2">
        <f>IFERROR(N231/M231*100,0)</f>
        <v>0</v>
      </c>
    </row>
    <row r="232" spans="11:15">
      <c r="K232" s="2">
        <f>IFERROR(J232/I232*100,0)</f>
        <v>0</v>
      </c>
      <c r="O232" s="2">
        <f>IFERROR(N232/M232*100,0)</f>
        <v>0</v>
      </c>
    </row>
    <row r="233" spans="11:15">
      <c r="K233" s="2">
        <f>IFERROR(J233/I233*100,0)</f>
        <v>0</v>
      </c>
      <c r="O233" s="2">
        <f>IFERROR(N233/M233*100,0)</f>
        <v>0</v>
      </c>
    </row>
    <row r="234" spans="11:15">
      <c r="K234" s="2">
        <f>IFERROR(J234/I234*100,0)</f>
        <v>0</v>
      </c>
      <c r="O234" s="2">
        <f>IFERROR(N234/M234*100,0)</f>
        <v>0</v>
      </c>
    </row>
    <row r="235" spans="11:15">
      <c r="K235" s="2">
        <f>IFERROR(J235/I235*100,0)</f>
        <v>0</v>
      </c>
      <c r="O235" s="2">
        <f>IFERROR(N235/M235*100,0)</f>
        <v>0</v>
      </c>
    </row>
    <row r="236" spans="11:15">
      <c r="K236" s="2">
        <f>IFERROR(J236/I236*100,0)</f>
        <v>0</v>
      </c>
      <c r="O236" s="2">
        <f>IFERROR(N236/M236*100,0)</f>
        <v>0</v>
      </c>
    </row>
    <row r="237" spans="11:15">
      <c r="K237" s="2">
        <f>IFERROR(J237/I237*100,0)</f>
        <v>0</v>
      </c>
      <c r="O237" s="2">
        <f>IFERROR(N237/M237*100,0)</f>
        <v>0</v>
      </c>
    </row>
    <row r="238" spans="11:15">
      <c r="K238" s="2">
        <f>IFERROR(J238/I238*100,0)</f>
        <v>0</v>
      </c>
      <c r="O238" s="2">
        <f>IFERROR(N238/M238*100,0)</f>
        <v>0</v>
      </c>
    </row>
    <row r="239" spans="11:15">
      <c r="K239" s="2">
        <f>IFERROR(J239/I239*100,0)</f>
        <v>0</v>
      </c>
      <c r="O239" s="2">
        <f>IFERROR(N239/M239*100,0)</f>
        <v>0</v>
      </c>
    </row>
    <row r="240" spans="11:15">
      <c r="K240" s="2">
        <f>IFERROR(J240/I240*100,0)</f>
        <v>0</v>
      </c>
      <c r="O240" s="2">
        <f>IFERROR(N240/M240*100,0)</f>
        <v>0</v>
      </c>
    </row>
    <row r="241" spans="11:15">
      <c r="K241" s="2">
        <f>IFERROR(J241/I241*100,0)</f>
        <v>0</v>
      </c>
      <c r="O241" s="2">
        <f>IFERROR(N241/M241*100,0)</f>
        <v>0</v>
      </c>
    </row>
    <row r="242" spans="11:15">
      <c r="K242" s="2">
        <f>IFERROR(J242/I242*100,0)</f>
        <v>0</v>
      </c>
      <c r="O242" s="2">
        <f>IFERROR(N242/M242*100,0)</f>
        <v>0</v>
      </c>
    </row>
    <row r="243" spans="11:15">
      <c r="K243" s="2">
        <f>IFERROR(J243/I243*100,0)</f>
        <v>0</v>
      </c>
      <c r="O243" s="2">
        <f>IFERROR(N243/M243*100,0)</f>
        <v>0</v>
      </c>
    </row>
    <row r="244" spans="11:15">
      <c r="K244" s="2">
        <f>IFERROR(J244/I244*100,0)</f>
        <v>0</v>
      </c>
      <c r="O244" s="2">
        <f>IFERROR(N244/M244*100,0)</f>
        <v>0</v>
      </c>
    </row>
    <row r="245" spans="11:15">
      <c r="K245" s="2">
        <f>IFERROR(J245/I245*100,0)</f>
        <v>0</v>
      </c>
      <c r="O245" s="2">
        <f>IFERROR(N245/M245*100,0)</f>
        <v>0</v>
      </c>
    </row>
    <row r="246" spans="11:15">
      <c r="K246" s="2">
        <f>IFERROR(J246/I246*100,0)</f>
        <v>0</v>
      </c>
      <c r="O246" s="2">
        <f>IFERROR(N246/M246*100,0)</f>
        <v>0</v>
      </c>
    </row>
    <row r="247" spans="11:15">
      <c r="K247" s="2">
        <f>IFERROR(J247/I247*100,0)</f>
        <v>0</v>
      </c>
      <c r="O247" s="2">
        <f>IFERROR(N247/M247*100,0)</f>
        <v>0</v>
      </c>
    </row>
    <row r="248" spans="11:15">
      <c r="K248" s="2">
        <f>IFERROR(J248/I248*100,0)</f>
        <v>0</v>
      </c>
      <c r="O248" s="2">
        <f>IFERROR(N248/M248*100,0)</f>
        <v>0</v>
      </c>
    </row>
    <row r="249" spans="11:15">
      <c r="K249" s="2">
        <f>IFERROR(J249/I249*100,0)</f>
        <v>0</v>
      </c>
      <c r="O249" s="2">
        <f>IFERROR(N249/M249*100,0)</f>
        <v>0</v>
      </c>
    </row>
    <row r="250" spans="11:15">
      <c r="K250" s="2">
        <f>IFERROR(J250/I250*100,0)</f>
        <v>0</v>
      </c>
      <c r="O250" s="2">
        <f>IFERROR(N250/M250*100,0)</f>
        <v>0</v>
      </c>
    </row>
    <row r="251" spans="11:15">
      <c r="K251" s="2">
        <f>IFERROR(J251/I251*100,0)</f>
        <v>0</v>
      </c>
      <c r="O251" s="2">
        <f>IFERROR(N251/M251*100,0)</f>
        <v>0</v>
      </c>
    </row>
    <row r="252" spans="11:15">
      <c r="K252" s="2">
        <f>IFERROR(J252/I252*100,0)</f>
        <v>0</v>
      </c>
      <c r="O252" s="2">
        <f>IFERROR(N252/M252*100,0)</f>
        <v>0</v>
      </c>
    </row>
    <row r="253" spans="11:15">
      <c r="K253" s="2">
        <f>IFERROR(J253/I253*100,0)</f>
        <v>0</v>
      </c>
      <c r="O253" s="2">
        <f>IFERROR(N253/M253*100,0)</f>
        <v>0</v>
      </c>
    </row>
    <row r="254" spans="11:15">
      <c r="K254" s="2">
        <f>IFERROR(J254/I254*100,0)</f>
        <v>0</v>
      </c>
      <c r="O254" s="2">
        <f>IFERROR(N254/M254*100,0)</f>
        <v>0</v>
      </c>
    </row>
    <row r="255" spans="11:15">
      <c r="K255" s="2">
        <f>IFERROR(J255/I255*100,0)</f>
        <v>0</v>
      </c>
      <c r="O255" s="2">
        <f>IFERROR(N255/M255*100,0)</f>
        <v>0</v>
      </c>
    </row>
    <row r="256" spans="11:15">
      <c r="K256" s="2">
        <f>IFERROR(J256/I256*100,0)</f>
        <v>0</v>
      </c>
      <c r="O256" s="2">
        <f>IFERROR(N256/M256*100,0)</f>
        <v>0</v>
      </c>
    </row>
    <row r="257" spans="11:15">
      <c r="K257" s="2">
        <f>IFERROR(J257/I257*100,0)</f>
        <v>0</v>
      </c>
      <c r="O257" s="2">
        <f>IFERROR(N257/M257*100,0)</f>
        <v>0</v>
      </c>
    </row>
    <row r="258" spans="11:15">
      <c r="K258" s="2">
        <f>IFERROR(J258/I258*100,0)</f>
        <v>0</v>
      </c>
      <c r="O258" s="2">
        <f>IFERROR(N258/M258*100,0)</f>
        <v>0</v>
      </c>
    </row>
    <row r="259" spans="11:15">
      <c r="K259" s="2">
        <f>IFERROR(J259/I259*100,0)</f>
        <v>0</v>
      </c>
      <c r="O259" s="2">
        <f>IFERROR(N259/M259*100,0)</f>
        <v>0</v>
      </c>
    </row>
    <row r="260" spans="11:15">
      <c r="K260" s="2">
        <f>IFERROR(J260/I260*100,0)</f>
        <v>0</v>
      </c>
      <c r="O260" s="2">
        <f>IFERROR(N260/M260*100,0)</f>
        <v>0</v>
      </c>
    </row>
    <row r="261" spans="11:15">
      <c r="K261" s="2">
        <f>IFERROR(J261/I261*100,0)</f>
        <v>0</v>
      </c>
      <c r="O261" s="2">
        <f>IFERROR(N261/M261*100,0)</f>
        <v>0</v>
      </c>
    </row>
    <row r="262" spans="11:15">
      <c r="K262" s="2">
        <f>IFERROR(J262/I262*100,0)</f>
        <v>0</v>
      </c>
      <c r="O262" s="2">
        <f>IFERROR(N262/M262*100,0)</f>
        <v>0</v>
      </c>
    </row>
    <row r="263" spans="11:15">
      <c r="K263" s="2">
        <f>IFERROR(J263/I263*100,0)</f>
        <v>0</v>
      </c>
      <c r="O263" s="2">
        <f>IFERROR(N263/M263*100,0)</f>
        <v>0</v>
      </c>
    </row>
    <row r="264" spans="11:15">
      <c r="K264" s="2">
        <f>IFERROR(J264/I264*100,0)</f>
        <v>0</v>
      </c>
      <c r="O264" s="2">
        <f>IFERROR(N264/M264*100,0)</f>
        <v>0</v>
      </c>
    </row>
    <row r="265" spans="11:15">
      <c r="K265" s="2">
        <f>IFERROR(J265/I265*100,0)</f>
        <v>0</v>
      </c>
      <c r="O265" s="2">
        <f>IFERROR(N265/M265*100,0)</f>
        <v>0</v>
      </c>
    </row>
    <row r="266" spans="11:15">
      <c r="K266" s="2">
        <f>IFERROR(J266/I266*100,0)</f>
        <v>0</v>
      </c>
      <c r="O266" s="2">
        <f>IFERROR(N266/M266*100,0)</f>
        <v>0</v>
      </c>
    </row>
    <row r="267" spans="11:15">
      <c r="K267" s="2">
        <f>IFERROR(J267/I267*100,0)</f>
        <v>0</v>
      </c>
      <c r="O267" s="2">
        <f>IFERROR(N267/M267*100,0)</f>
        <v>0</v>
      </c>
    </row>
    <row r="268" spans="11:15">
      <c r="K268" s="2">
        <f>IFERROR(J268/I268*100,0)</f>
        <v>0</v>
      </c>
      <c r="O268" s="2">
        <f>IFERROR(N268/M268*100,0)</f>
        <v>0</v>
      </c>
    </row>
    <row r="269" spans="11:15">
      <c r="K269" s="2">
        <f>IFERROR(J269/I269*100,0)</f>
        <v>0</v>
      </c>
      <c r="O269" s="2">
        <f>IFERROR(N269/M269*100,0)</f>
        <v>0</v>
      </c>
    </row>
    <row r="270" spans="11:15">
      <c r="K270" s="2">
        <f>IFERROR(J270/I270*100,0)</f>
        <v>0</v>
      </c>
      <c r="O270" s="2">
        <f>IFERROR(N270/M270*100,0)</f>
        <v>0</v>
      </c>
    </row>
    <row r="271" spans="11:15">
      <c r="K271" s="2">
        <f>IFERROR(J271/I271*100,0)</f>
        <v>0</v>
      </c>
      <c r="O271" s="2">
        <f>IFERROR(N271/M271*100,0)</f>
        <v>0</v>
      </c>
    </row>
    <row r="272" spans="11:15">
      <c r="K272" s="2">
        <f>IFERROR(J272/I272*100,0)</f>
        <v>0</v>
      </c>
      <c r="O272" s="2">
        <f>IFERROR(N272/M272*100,0)</f>
        <v>0</v>
      </c>
    </row>
    <row r="273" spans="11:15">
      <c r="K273" s="2">
        <f>IFERROR(J273/I273*100,0)</f>
        <v>0</v>
      </c>
      <c r="O273" s="2">
        <f>IFERROR(N273/M273*100,0)</f>
        <v>0</v>
      </c>
    </row>
    <row r="274" spans="11:15">
      <c r="K274" s="2">
        <f>IFERROR(J274/I274*100,0)</f>
        <v>0</v>
      </c>
      <c r="O274" s="2">
        <f>IFERROR(N274/M274*100,0)</f>
        <v>0</v>
      </c>
    </row>
    <row r="275" spans="11:15">
      <c r="K275" s="2">
        <f>IFERROR(J275/I275*100,0)</f>
        <v>0</v>
      </c>
      <c r="O275" s="2">
        <f>IFERROR(N275/M275*100,0)</f>
        <v>0</v>
      </c>
    </row>
    <row r="276" spans="11:15">
      <c r="K276" s="2">
        <f>IFERROR(J276/I276*100,0)</f>
        <v>0</v>
      </c>
      <c r="O276" s="2">
        <f>IFERROR(N276/M276*100,0)</f>
        <v>0</v>
      </c>
    </row>
    <row r="277" spans="11:15">
      <c r="K277" s="2">
        <f>IFERROR(J277/I277*100,0)</f>
        <v>0</v>
      </c>
      <c r="O277" s="2">
        <f>IFERROR(N277/M277*100,0)</f>
        <v>0</v>
      </c>
    </row>
    <row r="278" spans="11:15">
      <c r="K278" s="2">
        <f>IFERROR(J278/I278*100,0)</f>
        <v>0</v>
      </c>
      <c r="O278" s="2">
        <f>IFERROR(N278/M278*100,0)</f>
        <v>0</v>
      </c>
    </row>
    <row r="279" spans="11:15">
      <c r="K279" s="2">
        <f>IFERROR(J279/I279*100,0)</f>
        <v>0</v>
      </c>
      <c r="O279" s="2">
        <f>IFERROR(N279/M279*100,0)</f>
        <v>0</v>
      </c>
    </row>
    <row r="280" spans="11:15">
      <c r="K280" s="2">
        <f>IFERROR(J280/I280*100,0)</f>
        <v>0</v>
      </c>
      <c r="O280" s="2">
        <f>IFERROR(N280/M280*100,0)</f>
        <v>0</v>
      </c>
    </row>
    <row r="281" spans="11:15">
      <c r="K281" s="2">
        <f>IFERROR(J281/I281*100,0)</f>
        <v>0</v>
      </c>
      <c r="O281" s="2">
        <f>IFERROR(N281/M281*100,0)</f>
        <v>0</v>
      </c>
    </row>
    <row r="282" spans="11:15">
      <c r="K282" s="2">
        <f>IFERROR(J282/I282*100,0)</f>
        <v>0</v>
      </c>
      <c r="O282" s="2">
        <f>IFERROR(N282/M282*100,0)</f>
        <v>0</v>
      </c>
    </row>
    <row r="283" spans="11:15">
      <c r="K283" s="2">
        <f>IFERROR(J283/I283*100,0)</f>
        <v>0</v>
      </c>
      <c r="O283" s="2">
        <f>IFERROR(N283/M283*100,0)</f>
        <v>0</v>
      </c>
    </row>
    <row r="284" spans="11:15">
      <c r="K284" s="2">
        <f>IFERROR(J284/I284*100,0)</f>
        <v>0</v>
      </c>
      <c r="O284" s="2">
        <f>IFERROR(N284/M284*100,0)</f>
        <v>0</v>
      </c>
    </row>
    <row r="285" spans="11:15">
      <c r="K285" s="2">
        <f>IFERROR(J285/I285*100,0)</f>
        <v>0</v>
      </c>
      <c r="O285" s="2">
        <f>IFERROR(N285/M285*100,0)</f>
        <v>0</v>
      </c>
    </row>
    <row r="286" spans="11:15">
      <c r="K286" s="2">
        <f>IFERROR(J286/I286*100,0)</f>
        <v>0</v>
      </c>
      <c r="O286" s="2">
        <f>IFERROR(N286/M286*100,0)</f>
        <v>0</v>
      </c>
    </row>
    <row r="287" spans="11:15">
      <c r="K287" s="2">
        <f>IFERROR(J287/I287*100,0)</f>
        <v>0</v>
      </c>
      <c r="O287" s="2">
        <f>IFERROR(N287/M287*100,0)</f>
        <v>0</v>
      </c>
    </row>
    <row r="288" spans="11:15">
      <c r="K288" s="2">
        <f>IFERROR(J288/I288*100,0)</f>
        <v>0</v>
      </c>
      <c r="O288" s="2">
        <f>IFERROR(N288/M288*100,0)</f>
        <v>0</v>
      </c>
    </row>
    <row r="289" spans="11:15">
      <c r="K289" s="2">
        <f>IFERROR(J289/I289*100,0)</f>
        <v>0</v>
      </c>
      <c r="O289" s="2">
        <f>IFERROR(N289/M289*100,0)</f>
        <v>0</v>
      </c>
    </row>
    <row r="290" spans="11:15">
      <c r="K290" s="2">
        <f>IFERROR(J290/I290*100,0)</f>
        <v>0</v>
      </c>
      <c r="O290" s="2">
        <f>IFERROR(N290/M290*100,0)</f>
        <v>0</v>
      </c>
    </row>
    <row r="291" spans="11:15">
      <c r="K291" s="2">
        <f>IFERROR(J291/I291*100,0)</f>
        <v>0</v>
      </c>
      <c r="O291" s="2">
        <f>IFERROR(N291/M291*100,0)</f>
        <v>0</v>
      </c>
    </row>
    <row r="292" spans="11:15">
      <c r="K292" s="2">
        <f>IFERROR(J292/I292*100,0)</f>
        <v>0</v>
      </c>
      <c r="O292" s="2">
        <f>IFERROR(N292/M292*100,0)</f>
        <v>0</v>
      </c>
    </row>
    <row r="293" spans="11:15">
      <c r="K293" s="2">
        <f>IFERROR(J293/I293*100,0)</f>
        <v>0</v>
      </c>
      <c r="O293" s="2">
        <f>IFERROR(N293/M293*100,0)</f>
        <v>0</v>
      </c>
    </row>
    <row r="294" spans="11:15">
      <c r="K294" s="2">
        <f>IFERROR(J294/I294*100,0)</f>
        <v>0</v>
      </c>
      <c r="O294" s="2">
        <f>IFERROR(N294/M294*100,0)</f>
        <v>0</v>
      </c>
    </row>
    <row r="295" spans="11:15">
      <c r="K295" s="2">
        <f>IFERROR(J295/I295*100,0)</f>
        <v>0</v>
      </c>
      <c r="O295" s="2">
        <f>IFERROR(N295/M295*100,0)</f>
        <v>0</v>
      </c>
    </row>
    <row r="296" spans="11:15">
      <c r="K296" s="2">
        <f>IFERROR(J296/I296*100,0)</f>
        <v>0</v>
      </c>
      <c r="O296" s="2">
        <f>IFERROR(N296/M296*100,0)</f>
        <v>0</v>
      </c>
    </row>
    <row r="297" spans="11:15">
      <c r="K297" s="2">
        <f>IFERROR(J297/I297*100,0)</f>
        <v>0</v>
      </c>
      <c r="O297" s="2">
        <f>IFERROR(N297/M297*100,0)</f>
        <v>0</v>
      </c>
    </row>
    <row r="298" spans="11:15">
      <c r="K298" s="2">
        <f>IFERROR(J298/I298*100,0)</f>
        <v>0</v>
      </c>
      <c r="O298" s="2">
        <f>IFERROR(N298/M298*100,0)</f>
        <v>0</v>
      </c>
    </row>
    <row r="299" spans="11:15">
      <c r="K299" s="2">
        <f>IFERROR(J299/I299*100,0)</f>
        <v>0</v>
      </c>
      <c r="O299" s="2">
        <f>IFERROR(N299/M299*100,0)</f>
        <v>0</v>
      </c>
    </row>
    <row r="300" spans="11:15">
      <c r="K300" s="2">
        <f>IFERROR(J300/I300*100,0)</f>
        <v>0</v>
      </c>
      <c r="O300" s="2">
        <f>IFERROR(N300/M300*100,0)</f>
        <v>0</v>
      </c>
    </row>
    <row r="301" spans="11:15">
      <c r="K301" s="2">
        <f>IFERROR(J301/I301*100,0)</f>
        <v>0</v>
      </c>
      <c r="O301" s="2">
        <f>IFERROR(N301/M301*100,0)</f>
        <v>0</v>
      </c>
    </row>
    <row r="302" spans="11:15">
      <c r="K302" s="2">
        <f>IFERROR(J302/I302*100,0)</f>
        <v>0</v>
      </c>
      <c r="O302" s="2">
        <f>IFERROR(N302/M302*100,0)</f>
        <v>0</v>
      </c>
    </row>
    <row r="303" spans="11:15">
      <c r="K303" s="2">
        <f>IFERROR(J303/I303*100,0)</f>
        <v>0</v>
      </c>
      <c r="O303" s="2">
        <f>IFERROR(N303/M303*100,0)</f>
        <v>0</v>
      </c>
    </row>
    <row r="304" spans="11:15">
      <c r="K304" s="2">
        <f>IFERROR(J304/I304*100,0)</f>
        <v>0</v>
      </c>
      <c r="O304" s="2">
        <f>IFERROR(N304/M304*100,0)</f>
        <v>0</v>
      </c>
    </row>
    <row r="305" spans="11:15">
      <c r="K305" s="2">
        <f>IFERROR(J305/I305*100,0)</f>
        <v>0</v>
      </c>
      <c r="O305" s="2">
        <f>IFERROR(N305/M305*100,0)</f>
        <v>0</v>
      </c>
    </row>
    <row r="306" spans="11:15">
      <c r="K306" s="2">
        <f>IFERROR(J306/I306*100,0)</f>
        <v>0</v>
      </c>
      <c r="O306" s="2">
        <f>IFERROR(N306/M306*100,0)</f>
        <v>0</v>
      </c>
    </row>
    <row r="307" spans="11:15">
      <c r="K307" s="2">
        <f>IFERROR(J307/I307*100,0)</f>
        <v>0</v>
      </c>
      <c r="O307" s="2">
        <f>IFERROR(N307/M307*100,0)</f>
        <v>0</v>
      </c>
    </row>
    <row r="308" spans="11:15">
      <c r="K308" s="2">
        <f>IFERROR(J308/I308*100,0)</f>
        <v>0</v>
      </c>
      <c r="O308" s="2">
        <f>IFERROR(N308/M308*100,0)</f>
        <v>0</v>
      </c>
    </row>
    <row r="309" spans="11:15">
      <c r="K309" s="2">
        <f>IFERROR(J309/I309*100,0)</f>
        <v>0</v>
      </c>
      <c r="O309" s="2">
        <f>IFERROR(N309/M309*100,0)</f>
        <v>0</v>
      </c>
    </row>
    <row r="310" spans="11:15">
      <c r="K310" s="2">
        <f>IFERROR(J310/I310*100,0)</f>
        <v>0</v>
      </c>
      <c r="O310" s="2">
        <f>IFERROR(N310/M310*100,0)</f>
        <v>0</v>
      </c>
    </row>
    <row r="311" spans="11:15">
      <c r="K311" s="2">
        <f>IFERROR(J311/I311*100,0)</f>
        <v>0</v>
      </c>
      <c r="O311" s="2">
        <f>IFERROR(N311/M311*100,0)</f>
        <v>0</v>
      </c>
    </row>
    <row r="312" spans="11:15">
      <c r="K312" s="2">
        <f>IFERROR(J312/I312*100,0)</f>
        <v>0</v>
      </c>
      <c r="O312" s="2">
        <f>IFERROR(N312/M312*100,0)</f>
        <v>0</v>
      </c>
    </row>
    <row r="313" spans="11:15">
      <c r="K313" s="2">
        <f>IFERROR(J313/I313*100,0)</f>
        <v>0</v>
      </c>
      <c r="O313" s="2">
        <f>IFERROR(N313/M313*100,0)</f>
        <v>0</v>
      </c>
    </row>
    <row r="314" spans="11:15">
      <c r="K314" s="2">
        <f>IFERROR(J314/I314*100,0)</f>
        <v>0</v>
      </c>
      <c r="O314" s="2">
        <f>IFERROR(N314/M314*100,0)</f>
        <v>0</v>
      </c>
    </row>
    <row r="315" spans="11:15">
      <c r="K315" s="2">
        <f>IFERROR(J315/I315*100,0)</f>
        <v>0</v>
      </c>
      <c r="O315" s="2">
        <f>IFERROR(N315/M315*100,0)</f>
        <v>0</v>
      </c>
    </row>
    <row r="316" spans="11:15">
      <c r="K316" s="2">
        <f>IFERROR(J316/I316*100,0)</f>
        <v>0</v>
      </c>
      <c r="O316" s="2">
        <f>IFERROR(N316/M316*100,0)</f>
        <v>0</v>
      </c>
    </row>
    <row r="317" spans="11:15">
      <c r="K317" s="2">
        <f>IFERROR(J317/I317*100,0)</f>
        <v>0</v>
      </c>
      <c r="O317" s="2">
        <f>IFERROR(N317/M317*100,0)</f>
        <v>0</v>
      </c>
    </row>
    <row r="318" spans="11:15">
      <c r="K318" s="2">
        <f>IFERROR(J318/I318*100,0)</f>
        <v>0</v>
      </c>
      <c r="O318" s="2">
        <f>IFERROR(N318/M318*100,0)</f>
        <v>0</v>
      </c>
    </row>
    <row r="319" spans="11:15">
      <c r="K319" s="2">
        <f>IFERROR(J319/I319*100,0)</f>
        <v>0</v>
      </c>
      <c r="O319" s="2">
        <f>IFERROR(N319/M319*100,0)</f>
        <v>0</v>
      </c>
    </row>
    <row r="320" spans="11:15">
      <c r="K320" s="2">
        <f>IFERROR(J320/I320*100,0)</f>
        <v>0</v>
      </c>
      <c r="O320" s="2">
        <f>IFERROR(N320/M320*100,0)</f>
        <v>0</v>
      </c>
    </row>
    <row r="321" spans="11:15">
      <c r="K321" s="2">
        <f>IFERROR(J321/I321*100,0)</f>
        <v>0</v>
      </c>
      <c r="O321" s="2">
        <f>IFERROR(N321/M321*100,0)</f>
        <v>0</v>
      </c>
    </row>
    <row r="322" spans="11:15">
      <c r="K322" s="2">
        <f>IFERROR(J322/I322*100,0)</f>
        <v>0</v>
      </c>
      <c r="O322" s="2">
        <f>IFERROR(N322/M322*100,0)</f>
        <v>0</v>
      </c>
    </row>
    <row r="323" spans="11:15">
      <c r="K323" s="2">
        <f>IFERROR(J323/I323*100,0)</f>
        <v>0</v>
      </c>
      <c r="O323" s="2">
        <f>IFERROR(N323/M323*100,0)</f>
        <v>0</v>
      </c>
    </row>
    <row r="324" spans="11:15">
      <c r="K324" s="2">
        <f>IFERROR(J324/I324*100,0)</f>
        <v>0</v>
      </c>
      <c r="O324" s="2">
        <f>IFERROR(N324/M324*100,0)</f>
        <v>0</v>
      </c>
    </row>
    <row r="325" spans="11:15">
      <c r="K325" s="2">
        <f>IFERROR(J325/I325*100,0)</f>
        <v>0</v>
      </c>
      <c r="O325" s="2">
        <f>IFERROR(N325/M325*100,0)</f>
        <v>0</v>
      </c>
    </row>
    <row r="326" spans="11:15">
      <c r="K326" s="2">
        <f>IFERROR(J326/I326*100,0)</f>
        <v>0</v>
      </c>
      <c r="O326" s="2">
        <f>IFERROR(N326/M326*100,0)</f>
        <v>0</v>
      </c>
    </row>
    <row r="327" spans="11:15">
      <c r="K327" s="2">
        <f>IFERROR(J327/I327*100,0)</f>
        <v>0</v>
      </c>
      <c r="O327" s="2">
        <f>IFERROR(N327/M327*100,0)</f>
        <v>0</v>
      </c>
    </row>
    <row r="328" spans="11:15">
      <c r="K328" s="2">
        <f>IFERROR(J328/I328*100,0)</f>
        <v>0</v>
      </c>
      <c r="O328" s="2">
        <f>IFERROR(N328/M328*100,0)</f>
        <v>0</v>
      </c>
    </row>
    <row r="329" spans="11:15">
      <c r="K329" s="2">
        <f>IFERROR(J329/I329*100,0)</f>
        <v>0</v>
      </c>
      <c r="O329" s="2">
        <f>IFERROR(N329/M329*100,0)</f>
        <v>0</v>
      </c>
    </row>
    <row r="330" spans="11:15">
      <c r="K330" s="2">
        <f>IFERROR(J330/I330*100,0)</f>
        <v>0</v>
      </c>
      <c r="O330" s="2">
        <f>IFERROR(N330/M330*100,0)</f>
        <v>0</v>
      </c>
    </row>
    <row r="331" spans="11:15">
      <c r="K331" s="2">
        <f>IFERROR(J331/I331*100,0)</f>
        <v>0</v>
      </c>
      <c r="O331" s="2">
        <f>IFERROR(N331/M331*100,0)</f>
        <v>0</v>
      </c>
    </row>
    <row r="332" spans="11:15">
      <c r="K332" s="2">
        <f>IFERROR(J332/I332*100,0)</f>
        <v>0</v>
      </c>
      <c r="O332" s="2">
        <f>IFERROR(N332/M332*100,0)</f>
        <v>0</v>
      </c>
    </row>
    <row r="333" spans="11:15">
      <c r="K333" s="2">
        <f>IFERROR(J333/I333*100,0)</f>
        <v>0</v>
      </c>
      <c r="O333" s="2">
        <f>IFERROR(N333/M333*100,0)</f>
        <v>0</v>
      </c>
    </row>
    <row r="334" spans="11:15">
      <c r="K334" s="2">
        <f>IFERROR(J334/I334*100,0)</f>
        <v>0</v>
      </c>
      <c r="O334" s="2">
        <f>IFERROR(N334/M334*100,0)</f>
        <v>0</v>
      </c>
    </row>
    <row r="335" spans="11:15">
      <c r="K335" s="2">
        <f>IFERROR(J335/I335*100,0)</f>
        <v>0</v>
      </c>
      <c r="O335" s="2">
        <f>IFERROR(N335/M335*100,0)</f>
        <v>0</v>
      </c>
    </row>
    <row r="336" spans="11:15">
      <c r="K336" s="2">
        <f>IFERROR(J336/I336*100,0)</f>
        <v>0</v>
      </c>
      <c r="O336" s="2">
        <f>IFERROR(N336/M336*100,0)</f>
        <v>0</v>
      </c>
    </row>
    <row r="337" spans="11:15">
      <c r="K337" s="2">
        <f>IFERROR(J337/I337*100,0)</f>
        <v>0</v>
      </c>
      <c r="O337" s="2">
        <f>IFERROR(N337/M337*100,0)</f>
        <v>0</v>
      </c>
    </row>
    <row r="338" spans="11:15">
      <c r="K338" s="2">
        <f>IFERROR(J338/I338*100,0)</f>
        <v>0</v>
      </c>
      <c r="O338" s="2">
        <f>IFERROR(N338/M338*100,0)</f>
        <v>0</v>
      </c>
    </row>
    <row r="339" spans="11:15">
      <c r="K339" s="2">
        <f>IFERROR(J339/I339*100,0)</f>
        <v>0</v>
      </c>
      <c r="O339" s="2">
        <f>IFERROR(N339/M339*100,0)</f>
        <v>0</v>
      </c>
    </row>
    <row r="340" spans="11:15">
      <c r="K340" s="2">
        <f>IFERROR(J340/I340*100,0)</f>
        <v>0</v>
      </c>
      <c r="O340" s="2">
        <f>IFERROR(N340/M340*100,0)</f>
        <v>0</v>
      </c>
    </row>
    <row r="341" spans="11:15">
      <c r="K341" s="2">
        <f>IFERROR(J341/I341*100,0)</f>
        <v>0</v>
      </c>
      <c r="O341" s="2">
        <f>IFERROR(N341/M341*100,0)</f>
        <v>0</v>
      </c>
    </row>
    <row r="342" spans="11:15">
      <c r="K342" s="2">
        <f>IFERROR(J342/I342*100,0)</f>
        <v>0</v>
      </c>
      <c r="O342" s="2">
        <f>IFERROR(N342/M342*100,0)</f>
        <v>0</v>
      </c>
    </row>
    <row r="343" spans="11:15">
      <c r="K343" s="2">
        <f>IFERROR(J343/I343*100,0)</f>
        <v>0</v>
      </c>
      <c r="O343" s="2">
        <f>IFERROR(N343/M343*100,0)</f>
        <v>0</v>
      </c>
    </row>
    <row r="344" spans="11:15">
      <c r="K344" s="2">
        <f>IFERROR(J344/I344*100,0)</f>
        <v>0</v>
      </c>
      <c r="O344" s="2">
        <f>IFERROR(N344/M344*100,0)</f>
        <v>0</v>
      </c>
    </row>
    <row r="345" spans="11:15">
      <c r="K345" s="2">
        <f>IFERROR(J345/I345*100,0)</f>
        <v>0</v>
      </c>
      <c r="O345" s="2">
        <f>IFERROR(N345/M345*100,0)</f>
        <v>0</v>
      </c>
    </row>
    <row r="346" spans="11:15">
      <c r="K346" s="2">
        <f>IFERROR(J346/I346*100,0)</f>
        <v>0</v>
      </c>
      <c r="O346" s="2">
        <f>IFERROR(N346/M346*100,0)</f>
        <v>0</v>
      </c>
    </row>
    <row r="347" spans="11:15">
      <c r="K347" s="2">
        <f>IFERROR(J347/I347*100,0)</f>
        <v>0</v>
      </c>
      <c r="O347" s="2">
        <f>IFERROR(N347/M347*100,0)</f>
        <v>0</v>
      </c>
    </row>
    <row r="348" spans="11:15">
      <c r="K348" s="2">
        <f>IFERROR(J348/I348*100,0)</f>
        <v>0</v>
      </c>
      <c r="O348" s="2">
        <f>IFERROR(N348/M348*100,0)</f>
        <v>0</v>
      </c>
    </row>
    <row r="349" spans="11:15">
      <c r="K349" s="2">
        <f>IFERROR(J349/I349*100,0)</f>
        <v>0</v>
      </c>
      <c r="O349" s="2">
        <f>IFERROR(N349/M349*100,0)</f>
        <v>0</v>
      </c>
    </row>
    <row r="350" spans="11:15">
      <c r="K350" s="2">
        <f>IFERROR(J350/I350*100,0)</f>
        <v>0</v>
      </c>
      <c r="O350" s="2">
        <f>IFERROR(N350/M350*100,0)</f>
        <v>0</v>
      </c>
    </row>
    <row r="351" spans="11:15">
      <c r="K351" s="2">
        <f>IFERROR(J351/I351*100,0)</f>
        <v>0</v>
      </c>
      <c r="O351" s="2">
        <f>IFERROR(N351/M351*100,0)</f>
        <v>0</v>
      </c>
    </row>
    <row r="352" spans="11:15">
      <c r="K352" s="2">
        <f>IFERROR(J352/I352*100,0)</f>
        <v>0</v>
      </c>
      <c r="O352" s="2">
        <f>IFERROR(N352/M352*100,0)</f>
        <v>0</v>
      </c>
    </row>
    <row r="353" spans="11:15">
      <c r="K353" s="2">
        <f>IFERROR(J353/I353*100,0)</f>
        <v>0</v>
      </c>
      <c r="O353" s="2">
        <f>IFERROR(N353/M353*100,0)</f>
        <v>0</v>
      </c>
    </row>
    <row r="354" spans="11:15">
      <c r="K354" s="2">
        <f>IFERROR(J354/I354*100,0)</f>
        <v>0</v>
      </c>
      <c r="O354" s="2">
        <f>IFERROR(N354/M354*100,0)</f>
        <v>0</v>
      </c>
    </row>
    <row r="355" spans="11:15">
      <c r="K355" s="2">
        <f>IFERROR(J355/I355*100,0)</f>
        <v>0</v>
      </c>
      <c r="O355" s="2">
        <f>IFERROR(N355/M355*100,0)</f>
        <v>0</v>
      </c>
    </row>
    <row r="356" spans="11:15">
      <c r="K356" s="2">
        <f>IFERROR(J356/I356*100,0)</f>
        <v>0</v>
      </c>
      <c r="O356" s="2">
        <f>IFERROR(N356/M356*100,0)</f>
        <v>0</v>
      </c>
    </row>
    <row r="357" spans="11:15">
      <c r="K357" s="2">
        <f>IFERROR(J357/I357*100,0)</f>
        <v>0</v>
      </c>
      <c r="O357" s="2">
        <f>IFERROR(N357/M357*100,0)</f>
        <v>0</v>
      </c>
    </row>
    <row r="358" spans="11:15">
      <c r="K358" s="2">
        <f>IFERROR(J358/I358*100,0)</f>
        <v>0</v>
      </c>
      <c r="O358" s="2">
        <f>IFERROR(N358/M358*100,0)</f>
        <v>0</v>
      </c>
    </row>
    <row r="359" spans="11:15">
      <c r="K359" s="2">
        <f>IFERROR(J359/I359*100,0)</f>
        <v>0</v>
      </c>
      <c r="O359" s="2">
        <f>IFERROR(N359/M359*100,0)</f>
        <v>0</v>
      </c>
    </row>
    <row r="360" spans="11:15">
      <c r="K360" s="2">
        <f>IFERROR(J360/I360*100,0)</f>
        <v>0</v>
      </c>
      <c r="O360" s="2">
        <f>IFERROR(N360/M360*100,0)</f>
        <v>0</v>
      </c>
    </row>
    <row r="361" spans="11:15">
      <c r="K361" s="2">
        <f>IFERROR(J361/I361*100,0)</f>
        <v>0</v>
      </c>
      <c r="O361" s="2">
        <f>IFERROR(N361/M361*100,0)</f>
        <v>0</v>
      </c>
    </row>
    <row r="362" spans="11:15">
      <c r="K362" s="2">
        <f>IFERROR(J362/I362*100,0)</f>
        <v>0</v>
      </c>
      <c r="O362" s="2">
        <f>IFERROR(N362/M362*100,0)</f>
        <v>0</v>
      </c>
    </row>
    <row r="363" spans="11:15">
      <c r="K363" s="2">
        <f>IFERROR(J363/I363*100,0)</f>
        <v>0</v>
      </c>
      <c r="O363" s="2">
        <f>IFERROR(N363/M363*100,0)</f>
        <v>0</v>
      </c>
    </row>
    <row r="364" spans="11:15">
      <c r="K364" s="2">
        <f>IFERROR(J364/I364*100,0)</f>
        <v>0</v>
      </c>
      <c r="O364" s="2">
        <f>IFERROR(N364/M364*100,0)</f>
        <v>0</v>
      </c>
    </row>
    <row r="365" spans="11:15">
      <c r="K365" s="2">
        <f>IFERROR(J365/I365*100,0)</f>
        <v>0</v>
      </c>
      <c r="O365" s="2">
        <f>IFERROR(N365/M365*100,0)</f>
        <v>0</v>
      </c>
    </row>
    <row r="366" spans="11:15">
      <c r="K366" s="2">
        <f>IFERROR(J366/I366*100,0)</f>
        <v>0</v>
      </c>
      <c r="O366" s="2">
        <f>IFERROR(N366/M366*100,0)</f>
        <v>0</v>
      </c>
    </row>
    <row r="367" spans="11:15">
      <c r="K367" s="2">
        <f>IFERROR(J367/I367*100,0)</f>
        <v>0</v>
      </c>
      <c r="O367" s="2">
        <f>IFERROR(N367/M367*100,0)</f>
        <v>0</v>
      </c>
    </row>
    <row r="368" spans="11:15">
      <c r="K368" s="2">
        <f>IFERROR(J368/I368*100,0)</f>
        <v>0</v>
      </c>
      <c r="O368" s="2">
        <f>IFERROR(N368/M368*100,0)</f>
        <v>0</v>
      </c>
    </row>
    <row r="369" spans="11:15">
      <c r="K369" s="2">
        <f>IFERROR(J369/I369*100,0)</f>
        <v>0</v>
      </c>
      <c r="O369" s="2">
        <f>IFERROR(N369/M369*100,0)</f>
        <v>0</v>
      </c>
    </row>
    <row r="370" spans="11:15">
      <c r="K370" s="2">
        <f>IFERROR(J370/I370*100,0)</f>
        <v>0</v>
      </c>
      <c r="O370" s="2">
        <f>IFERROR(N370/M370*100,0)</f>
        <v>0</v>
      </c>
    </row>
    <row r="371" spans="11:15">
      <c r="K371" s="2">
        <f>IFERROR(J371/I371*100,0)</f>
        <v>0</v>
      </c>
      <c r="O371" s="2">
        <f>IFERROR(N371/M371*100,0)</f>
        <v>0</v>
      </c>
    </row>
    <row r="372" spans="11:15">
      <c r="K372" s="2">
        <f>IFERROR(J372/I372*100,0)</f>
        <v>0</v>
      </c>
      <c r="O372" s="2">
        <f>IFERROR(N372/M372*100,0)</f>
        <v>0</v>
      </c>
    </row>
    <row r="373" spans="11:15">
      <c r="K373" s="2">
        <f>IFERROR(J373/I373*100,0)</f>
        <v>0</v>
      </c>
      <c r="O373" s="2">
        <f>IFERROR(N373/M373*100,0)</f>
        <v>0</v>
      </c>
    </row>
    <row r="374" spans="11:15">
      <c r="K374" s="2">
        <f>IFERROR(J374/I374*100,0)</f>
        <v>0</v>
      </c>
      <c r="O374" s="2">
        <f>IFERROR(N374/M374*100,0)</f>
        <v>0</v>
      </c>
    </row>
    <row r="375" spans="11:15">
      <c r="K375" s="2">
        <f>IFERROR(J375/I375*100,0)</f>
        <v>0</v>
      </c>
      <c r="O375" s="2">
        <f>IFERROR(N375/M375*100,0)</f>
        <v>0</v>
      </c>
    </row>
    <row r="376" spans="11:15">
      <c r="K376" s="2">
        <f>IFERROR(J376/I376*100,0)</f>
        <v>0</v>
      </c>
      <c r="O376" s="2">
        <f>IFERROR(N376/M376*100,0)</f>
        <v>0</v>
      </c>
    </row>
    <row r="377" spans="11:15">
      <c r="K377" s="2">
        <f>IFERROR(J377/I377*100,0)</f>
        <v>0</v>
      </c>
      <c r="O377" s="2">
        <f>IFERROR(N377/M377*100,0)</f>
        <v>0</v>
      </c>
    </row>
    <row r="378" spans="11:15">
      <c r="K378" s="2">
        <f>IFERROR(J378/I378*100,0)</f>
        <v>0</v>
      </c>
      <c r="O378" s="2">
        <f>IFERROR(N378/M378*100,0)</f>
        <v>0</v>
      </c>
    </row>
    <row r="379" spans="11:15">
      <c r="K379" s="2">
        <f>IFERROR(J379/I379*100,0)</f>
        <v>0</v>
      </c>
      <c r="O379" s="2">
        <f>IFERROR(N379/M379*100,0)</f>
        <v>0</v>
      </c>
    </row>
    <row r="380" spans="11:15">
      <c r="K380" s="2">
        <f>IFERROR(J380/I380*100,0)</f>
        <v>0</v>
      </c>
      <c r="O380" s="2">
        <f>IFERROR(N380/M380*100,0)</f>
        <v>0</v>
      </c>
    </row>
    <row r="381" spans="11:15">
      <c r="K381" s="2">
        <f>IFERROR(J381/I381*100,0)</f>
        <v>0</v>
      </c>
      <c r="O381" s="2">
        <f>IFERROR(N381/M381*100,0)</f>
        <v>0</v>
      </c>
    </row>
    <row r="382" spans="11:15">
      <c r="K382" s="2">
        <f>IFERROR(J382/I382*100,0)</f>
        <v>0</v>
      </c>
      <c r="O382" s="2">
        <f>IFERROR(N382/M382*100,0)</f>
        <v>0</v>
      </c>
    </row>
    <row r="383" spans="11:15">
      <c r="K383" s="2">
        <f>IFERROR(J383/I383*100,0)</f>
        <v>0</v>
      </c>
      <c r="O383" s="2">
        <f>IFERROR(N383/M383*100,0)</f>
        <v>0</v>
      </c>
    </row>
    <row r="384" spans="11:15">
      <c r="K384" s="2">
        <f>IFERROR(J384/I384*100,0)</f>
        <v>0</v>
      </c>
      <c r="O384" s="2">
        <f>IFERROR(N384/M384*100,0)</f>
        <v>0</v>
      </c>
    </row>
    <row r="385" spans="11:15">
      <c r="K385" s="2">
        <f>IFERROR(J385/I385*100,0)</f>
        <v>0</v>
      </c>
      <c r="O385" s="2">
        <f>IFERROR(N385/M385*100,0)</f>
        <v>0</v>
      </c>
    </row>
    <row r="386" spans="11:15">
      <c r="K386" s="2">
        <f>IFERROR(J386/I386*100,0)</f>
        <v>0</v>
      </c>
      <c r="O386" s="2">
        <f>IFERROR(N386/M386*100,0)</f>
        <v>0</v>
      </c>
    </row>
    <row r="387" spans="11:15">
      <c r="K387" s="2">
        <f>IFERROR(J387/I387*100,0)</f>
        <v>0</v>
      </c>
      <c r="O387" s="2">
        <f>IFERROR(N387/M387*100,0)</f>
        <v>0</v>
      </c>
    </row>
    <row r="388" spans="11:15">
      <c r="K388" s="2">
        <f>IFERROR(J388/I388*100,0)</f>
        <v>0</v>
      </c>
      <c r="O388" s="2">
        <f>IFERROR(N388/M388*100,0)</f>
        <v>0</v>
      </c>
    </row>
    <row r="389" spans="11:15">
      <c r="K389" s="2">
        <f>IFERROR(J389/I389*100,0)</f>
        <v>0</v>
      </c>
      <c r="O389" s="2">
        <f>IFERROR(N389/M389*100,0)</f>
        <v>0</v>
      </c>
    </row>
    <row r="390" spans="11:15">
      <c r="K390" s="2">
        <f>IFERROR(J390/I390*100,0)</f>
        <v>0</v>
      </c>
      <c r="O390" s="2">
        <f>IFERROR(N390/M390*100,0)</f>
        <v>0</v>
      </c>
    </row>
    <row r="391" spans="11:15">
      <c r="K391" s="2">
        <f>IFERROR(J391/I391*100,0)</f>
        <v>0</v>
      </c>
      <c r="O391" s="2">
        <f>IFERROR(N391/M391*100,0)</f>
        <v>0</v>
      </c>
    </row>
    <row r="392" spans="11:15">
      <c r="K392" s="2">
        <f>IFERROR(J392/I392*100,0)</f>
        <v>0</v>
      </c>
      <c r="O392" s="2">
        <f>IFERROR(N392/M392*100,0)</f>
        <v>0</v>
      </c>
    </row>
    <row r="393" spans="11:15">
      <c r="K393" s="2">
        <f>IFERROR(J393/I393*100,0)</f>
        <v>0</v>
      </c>
      <c r="O393" s="2">
        <f>IFERROR(N393/M393*100,0)</f>
        <v>0</v>
      </c>
    </row>
    <row r="394" spans="11:15">
      <c r="K394" s="2">
        <f>IFERROR(J394/I394*100,0)</f>
        <v>0</v>
      </c>
      <c r="O394" s="2">
        <f>IFERROR(N394/M394*100,0)</f>
        <v>0</v>
      </c>
    </row>
    <row r="395" spans="11:15">
      <c r="K395" s="2">
        <f>IFERROR(J395/I395*100,0)</f>
        <v>0</v>
      </c>
      <c r="O395" s="2">
        <f>IFERROR(N395/M395*100,0)</f>
        <v>0</v>
      </c>
    </row>
    <row r="396" spans="11:15">
      <c r="K396" s="2">
        <f>IFERROR(J396/I396*100,0)</f>
        <v>0</v>
      </c>
      <c r="O396" s="2">
        <f>IFERROR(N396/M396*100,0)</f>
        <v>0</v>
      </c>
    </row>
    <row r="397" spans="11:15">
      <c r="K397" s="2">
        <f>IFERROR(J397/I397*100,0)</f>
        <v>0</v>
      </c>
      <c r="O397" s="2">
        <f>IFERROR(N397/M397*100,0)</f>
        <v>0</v>
      </c>
    </row>
    <row r="398" spans="11:15">
      <c r="K398" s="2">
        <f>IFERROR(J398/I398*100,0)</f>
        <v>0</v>
      </c>
      <c r="O398" s="2">
        <f>IFERROR(N398/M398*100,0)</f>
        <v>0</v>
      </c>
    </row>
    <row r="399" spans="11:15">
      <c r="K399" s="2">
        <f>IFERROR(J399/I399*100,0)</f>
        <v>0</v>
      </c>
      <c r="O399" s="2">
        <f>IFERROR(N399/M399*100,0)</f>
        <v>0</v>
      </c>
    </row>
    <row r="400" spans="11:15">
      <c r="K400" s="2">
        <f>IFERROR(J400/I400*100,0)</f>
        <v>0</v>
      </c>
      <c r="O400" s="2">
        <f>IFERROR(N400/M400*100,0)</f>
        <v>0</v>
      </c>
    </row>
    <row r="401" spans="11:15">
      <c r="K401" s="2">
        <f>IFERROR(J401/I401*100,0)</f>
        <v>0</v>
      </c>
      <c r="O401" s="2">
        <f>IFERROR(N401/M401*100,0)</f>
        <v>0</v>
      </c>
    </row>
    <row r="402" spans="11:15">
      <c r="K402" s="2">
        <f>IFERROR(J402/I402*100,0)</f>
        <v>0</v>
      </c>
      <c r="O402" s="2">
        <f>IFERROR(N402/M402*100,0)</f>
        <v>0</v>
      </c>
    </row>
    <row r="403" spans="11:15">
      <c r="K403" s="2">
        <f>IFERROR(J403/I403*100,0)</f>
        <v>0</v>
      </c>
      <c r="O403" s="2">
        <f>IFERROR(N403/M403*100,0)</f>
        <v>0</v>
      </c>
    </row>
    <row r="404" spans="11:15">
      <c r="K404" s="2">
        <f>IFERROR(J404/I404*100,0)</f>
        <v>0</v>
      </c>
      <c r="O404" s="2">
        <f>IFERROR(N404/M404*100,0)</f>
        <v>0</v>
      </c>
    </row>
    <row r="405" spans="11:15">
      <c r="K405" s="2">
        <f>IFERROR(J405/I405*100,0)</f>
        <v>0</v>
      </c>
      <c r="O405" s="2">
        <f>IFERROR(N405/M405*100,0)</f>
        <v>0</v>
      </c>
    </row>
    <row r="406" spans="11:15">
      <c r="K406" s="2">
        <f>IFERROR(J406/I406*100,0)</f>
        <v>0</v>
      </c>
      <c r="O406" s="2">
        <f>IFERROR(N406/M406*100,0)</f>
        <v>0</v>
      </c>
    </row>
    <row r="407" spans="11:15">
      <c r="K407" s="2">
        <f>IFERROR(J407/I407*100,0)</f>
        <v>0</v>
      </c>
      <c r="O407" s="2">
        <f>IFERROR(N407/M407*100,0)</f>
        <v>0</v>
      </c>
    </row>
    <row r="408" spans="11:15">
      <c r="K408" s="2">
        <f>IFERROR(J408/I408*100,0)</f>
        <v>0</v>
      </c>
      <c r="O408" s="2">
        <f>IFERROR(N408/M408*100,0)</f>
        <v>0</v>
      </c>
    </row>
    <row r="409" spans="11:15">
      <c r="K409" s="2">
        <f>IFERROR(J409/I409*100,0)</f>
        <v>0</v>
      </c>
      <c r="O409" s="2">
        <f>IFERROR(N409/M409*100,0)</f>
        <v>0</v>
      </c>
    </row>
    <row r="410" spans="11:15">
      <c r="K410" s="2">
        <f>IFERROR(J410/I410*100,0)</f>
        <v>0</v>
      </c>
      <c r="O410" s="2">
        <f>IFERROR(N410/M410*100,0)</f>
        <v>0</v>
      </c>
    </row>
    <row r="411" spans="11:15">
      <c r="K411" s="2">
        <f>IFERROR(J411/I411*100,0)</f>
        <v>0</v>
      </c>
      <c r="O411" s="2">
        <f>IFERROR(N411/M411*100,0)</f>
        <v>0</v>
      </c>
    </row>
    <row r="412" spans="11:15">
      <c r="K412" s="2">
        <f>IFERROR(J412/I412*100,0)</f>
        <v>0</v>
      </c>
      <c r="O412" s="2">
        <f>IFERROR(N412/M412*100,0)</f>
        <v>0</v>
      </c>
    </row>
    <row r="413" spans="11:15">
      <c r="K413" s="2">
        <f>IFERROR(J413/I413*100,0)</f>
        <v>0</v>
      </c>
      <c r="O413" s="2">
        <f>IFERROR(N413/M413*100,0)</f>
        <v>0</v>
      </c>
    </row>
    <row r="414" spans="11:15">
      <c r="K414" s="2">
        <f>IFERROR(J414/I414*100,0)</f>
        <v>0</v>
      </c>
      <c r="O414" s="2">
        <f>IFERROR(N414/M414*100,0)</f>
        <v>0</v>
      </c>
    </row>
    <row r="415" spans="11:15">
      <c r="K415" s="2">
        <f>IFERROR(J415/I415*100,0)</f>
        <v>0</v>
      </c>
      <c r="O415" s="2">
        <f>IFERROR(N415/M415*100,0)</f>
        <v>0</v>
      </c>
    </row>
    <row r="416" spans="11:15">
      <c r="K416" s="2">
        <f>IFERROR(J416/I416*100,0)</f>
        <v>0</v>
      </c>
      <c r="O416" s="2">
        <f>IFERROR(N416/M416*100,0)</f>
        <v>0</v>
      </c>
    </row>
    <row r="417" spans="11:15">
      <c r="K417" s="2">
        <f>IFERROR(J417/I417*100,0)</f>
        <v>0</v>
      </c>
      <c r="O417" s="2">
        <f>IFERROR(N417/M417*100,0)</f>
        <v>0</v>
      </c>
    </row>
    <row r="418" spans="11:15">
      <c r="K418" s="2">
        <f>IFERROR(J418/I418*100,0)</f>
        <v>0</v>
      </c>
      <c r="O418" s="2">
        <f>IFERROR(N418/M418*100,0)</f>
        <v>0</v>
      </c>
    </row>
    <row r="419" spans="11:15">
      <c r="K419" s="2">
        <f>IFERROR(J419/I419*100,0)</f>
        <v>0</v>
      </c>
      <c r="O419" s="2">
        <f>IFERROR(N419/M419*100,0)</f>
        <v>0</v>
      </c>
    </row>
    <row r="420" spans="11:15">
      <c r="K420" s="2">
        <f>IFERROR(J420/I420*100,0)</f>
        <v>0</v>
      </c>
      <c r="O420" s="2">
        <f>IFERROR(N420/M420*100,0)</f>
        <v>0</v>
      </c>
    </row>
    <row r="421" spans="11:15">
      <c r="K421" s="2">
        <f>IFERROR(J421/I421*100,0)</f>
        <v>0</v>
      </c>
      <c r="O421" s="2">
        <f>IFERROR(N421/M421*100,0)</f>
        <v>0</v>
      </c>
    </row>
    <row r="422" spans="11:15">
      <c r="K422" s="2">
        <f>IFERROR(J422/I422*100,0)</f>
        <v>0</v>
      </c>
      <c r="O422" s="2">
        <f>IFERROR(N422/M422*100,0)</f>
        <v>0</v>
      </c>
    </row>
    <row r="423" spans="11:15">
      <c r="K423" s="2">
        <f>IFERROR(J423/I423*100,0)</f>
        <v>0</v>
      </c>
      <c r="O423" s="2">
        <f>IFERROR(N423/M423*100,0)</f>
        <v>0</v>
      </c>
    </row>
    <row r="424" spans="11:15">
      <c r="K424" s="2">
        <f>IFERROR(J424/I424*100,0)</f>
        <v>0</v>
      </c>
      <c r="O424" s="2">
        <f>IFERROR(N424/M424*100,0)</f>
        <v>0</v>
      </c>
    </row>
    <row r="425" spans="11:15">
      <c r="K425" s="2">
        <f>IFERROR(J425/I425*100,0)</f>
        <v>0</v>
      </c>
      <c r="O425" s="2">
        <f>IFERROR(N425/M425*100,0)</f>
        <v>0</v>
      </c>
    </row>
    <row r="426" spans="11:15">
      <c r="K426" s="2">
        <f>IFERROR(J426/I426*100,0)</f>
        <v>0</v>
      </c>
      <c r="O426" s="2">
        <f>IFERROR(N426/M426*100,0)</f>
        <v>0</v>
      </c>
    </row>
    <row r="427" spans="11:15">
      <c r="K427" s="2">
        <f>IFERROR(J427/I427*100,0)</f>
        <v>0</v>
      </c>
      <c r="O427" s="2">
        <f>IFERROR(N427/M427*100,0)</f>
        <v>0</v>
      </c>
    </row>
    <row r="428" spans="11:15">
      <c r="K428" s="2">
        <f>IFERROR(J428/I428*100,0)</f>
        <v>0</v>
      </c>
      <c r="O428" s="2">
        <f>IFERROR(N428/M428*100,0)</f>
        <v>0</v>
      </c>
    </row>
    <row r="429" spans="11:15">
      <c r="K429" s="2">
        <f>IFERROR(J429/I429*100,0)</f>
        <v>0</v>
      </c>
      <c r="O429" s="2">
        <f>IFERROR(N429/M429*100,0)</f>
        <v>0</v>
      </c>
    </row>
    <row r="430" spans="11:15">
      <c r="K430" s="2">
        <f>IFERROR(J430/I430*100,0)</f>
        <v>0</v>
      </c>
      <c r="O430" s="2">
        <f>IFERROR(N430/M430*100,0)</f>
        <v>0</v>
      </c>
    </row>
    <row r="431" spans="11:15">
      <c r="K431" s="2">
        <f>IFERROR(J431/I431*100,0)</f>
        <v>0</v>
      </c>
      <c r="O431" s="2">
        <f>IFERROR(N431/M431*100,0)</f>
        <v>0</v>
      </c>
    </row>
    <row r="432" spans="11:15">
      <c r="K432" s="2">
        <f>IFERROR(J432/I432*100,0)</f>
        <v>0</v>
      </c>
      <c r="O432" s="2">
        <f>IFERROR(N432/M432*100,0)</f>
        <v>0</v>
      </c>
    </row>
    <row r="433" spans="11:15">
      <c r="K433" s="2">
        <f>IFERROR(J433/I433*100,0)</f>
        <v>0</v>
      </c>
      <c r="O433" s="2">
        <f>IFERROR(N433/M433*100,0)</f>
        <v>0</v>
      </c>
    </row>
    <row r="434" spans="11:15">
      <c r="K434" s="2">
        <f>IFERROR(J434/I434*100,0)</f>
        <v>0</v>
      </c>
      <c r="O434" s="2">
        <f>IFERROR(N434/M434*100,0)</f>
        <v>0</v>
      </c>
    </row>
    <row r="435" spans="11:15">
      <c r="K435" s="2">
        <f>IFERROR(J435/I435*100,0)</f>
        <v>0</v>
      </c>
      <c r="O435" s="2">
        <f>IFERROR(N435/M435*100,0)</f>
        <v>0</v>
      </c>
    </row>
    <row r="436" spans="11:15">
      <c r="K436" s="2">
        <f>IFERROR(J436/I436*100,0)</f>
        <v>0</v>
      </c>
      <c r="O436" s="2">
        <f>IFERROR(N436/M436*100,0)</f>
        <v>0</v>
      </c>
    </row>
    <row r="437" spans="11:15">
      <c r="K437" s="2">
        <f>IFERROR(J437/I437*100,0)</f>
        <v>0</v>
      </c>
      <c r="O437" s="2">
        <f>IFERROR(N437/M437*100,0)</f>
        <v>0</v>
      </c>
    </row>
    <row r="438" spans="11:15">
      <c r="K438" s="2">
        <f>IFERROR(J438/I438*100,0)</f>
        <v>0</v>
      </c>
      <c r="O438" s="2">
        <f>IFERROR(N438/M438*100,0)</f>
        <v>0</v>
      </c>
    </row>
    <row r="439" spans="11:15">
      <c r="K439" s="2">
        <f>IFERROR(J439/I439*100,0)</f>
        <v>0</v>
      </c>
      <c r="O439" s="2">
        <f>IFERROR(N439/M439*100,0)</f>
        <v>0</v>
      </c>
    </row>
    <row r="440" spans="11:15">
      <c r="K440" s="2">
        <f>IFERROR(J440/I440*100,0)</f>
        <v>0</v>
      </c>
      <c r="O440" s="2">
        <f>IFERROR(N440/M440*100,0)</f>
        <v>0</v>
      </c>
    </row>
    <row r="441" spans="11:15">
      <c r="K441" s="2">
        <f>IFERROR(J441/I441*100,0)</f>
        <v>0</v>
      </c>
      <c r="O441" s="2">
        <f>IFERROR(N441/M441*100,0)</f>
        <v>0</v>
      </c>
    </row>
    <row r="442" spans="11:15">
      <c r="K442" s="2">
        <f>IFERROR(J442/I442*100,0)</f>
        <v>0</v>
      </c>
      <c r="O442" s="2">
        <f>IFERROR(N442/M442*100,0)</f>
        <v>0</v>
      </c>
    </row>
    <row r="443" spans="11:15">
      <c r="K443" s="2">
        <f>IFERROR(J443/I443*100,0)</f>
        <v>0</v>
      </c>
      <c r="O443" s="2">
        <f>IFERROR(N443/M443*100,0)</f>
        <v>0</v>
      </c>
    </row>
    <row r="444" spans="11:15">
      <c r="K444" s="2">
        <f>IFERROR(J444/I444*100,0)</f>
        <v>0</v>
      </c>
      <c r="O444" s="2">
        <f>IFERROR(N444/M444*100,0)</f>
        <v>0</v>
      </c>
    </row>
    <row r="445" spans="11:15">
      <c r="K445" s="2">
        <f>IFERROR(J445/I445*100,0)</f>
        <v>0</v>
      </c>
      <c r="O445" s="2">
        <f>IFERROR(N445/M445*100,0)</f>
        <v>0</v>
      </c>
    </row>
    <row r="446" spans="11:15">
      <c r="K446" s="2">
        <f>IFERROR(J446/I446*100,0)</f>
        <v>0</v>
      </c>
      <c r="O446" s="2">
        <f>IFERROR(N446/M446*100,0)</f>
        <v>0</v>
      </c>
    </row>
    <row r="447" spans="11:15">
      <c r="K447" s="2">
        <f>IFERROR(J447/I447*100,0)</f>
        <v>0</v>
      </c>
      <c r="O447" s="2">
        <f>IFERROR(N447/M447*100,0)</f>
        <v>0</v>
      </c>
    </row>
    <row r="448" spans="11:15">
      <c r="K448" s="2">
        <f>IFERROR(J448/I448*100,0)</f>
        <v>0</v>
      </c>
      <c r="O448" s="2">
        <f>IFERROR(N448/M448*100,0)</f>
        <v>0</v>
      </c>
    </row>
    <row r="449" spans="11:15">
      <c r="K449" s="2">
        <f>IFERROR(J449/I449*100,0)</f>
        <v>0</v>
      </c>
      <c r="O449" s="2">
        <f>IFERROR(N449/M449*100,0)</f>
        <v>0</v>
      </c>
    </row>
    <row r="450" spans="11:15">
      <c r="K450" s="2">
        <f>IFERROR(J450/I450*100,0)</f>
        <v>0</v>
      </c>
      <c r="O450" s="2">
        <f>IFERROR(N450/M450*100,0)</f>
        <v>0</v>
      </c>
    </row>
    <row r="451" spans="11:15">
      <c r="K451" s="2">
        <f>IFERROR(J451/I451*100,0)</f>
        <v>0</v>
      </c>
      <c r="O451" s="2">
        <f>IFERROR(N451/M451*100,0)</f>
        <v>0</v>
      </c>
    </row>
    <row r="452" spans="11:15">
      <c r="K452" s="2">
        <f>IFERROR(J452/I452*100,0)</f>
        <v>0</v>
      </c>
      <c r="O452" s="2">
        <f>IFERROR(N452/M452*100,0)</f>
        <v>0</v>
      </c>
    </row>
    <row r="453" spans="11:15">
      <c r="K453" s="2">
        <f>IFERROR(J453/I453*100,0)</f>
        <v>0</v>
      </c>
      <c r="O453" s="2">
        <f>IFERROR(N453/M453*100,0)</f>
        <v>0</v>
      </c>
    </row>
    <row r="454" spans="11:15">
      <c r="K454" s="2">
        <f>IFERROR(J454/I454*100,0)</f>
        <v>0</v>
      </c>
      <c r="O454" s="2">
        <f>IFERROR(N454/M454*100,0)</f>
        <v>0</v>
      </c>
    </row>
    <row r="455" spans="11:15">
      <c r="K455" s="2">
        <f>IFERROR(J455/I455*100,0)</f>
        <v>0</v>
      </c>
      <c r="O455" s="2">
        <f>IFERROR(N455/M455*100,0)</f>
        <v>0</v>
      </c>
    </row>
    <row r="456" spans="11:15">
      <c r="K456" s="2">
        <f>IFERROR(J456/I456*100,0)</f>
        <v>0</v>
      </c>
      <c r="O456" s="2">
        <f>IFERROR(N456/M456*100,0)</f>
        <v>0</v>
      </c>
    </row>
    <row r="457" spans="11:15">
      <c r="K457" s="2">
        <f>IFERROR(J457/I457*100,0)</f>
        <v>0</v>
      </c>
      <c r="O457" s="2">
        <f>IFERROR(N457/M457*100,0)</f>
        <v>0</v>
      </c>
    </row>
    <row r="458" spans="11:15">
      <c r="K458" s="2">
        <f>IFERROR(J458/I458*100,0)</f>
        <v>0</v>
      </c>
      <c r="O458" s="2">
        <f>IFERROR(N458/M458*100,0)</f>
        <v>0</v>
      </c>
    </row>
    <row r="459" spans="11:15">
      <c r="K459" s="2">
        <f>IFERROR(J459/I459*100,0)</f>
        <v>0</v>
      </c>
      <c r="O459" s="2">
        <f>IFERROR(N459/M459*100,0)</f>
        <v>0</v>
      </c>
    </row>
    <row r="460" spans="11:15">
      <c r="K460" s="2">
        <f>IFERROR(J460/I460*100,0)</f>
        <v>0</v>
      </c>
      <c r="O460" s="2">
        <f>IFERROR(N460/M460*100,0)</f>
        <v>0</v>
      </c>
    </row>
    <row r="461" spans="11:15">
      <c r="K461" s="2">
        <f>IFERROR(J461/I461*100,0)</f>
        <v>0</v>
      </c>
      <c r="O461" s="2">
        <f>IFERROR(N461/M461*100,0)</f>
        <v>0</v>
      </c>
    </row>
    <row r="462" spans="11:15">
      <c r="K462" s="2">
        <f>IFERROR(J462/I462*100,0)</f>
        <v>0</v>
      </c>
      <c r="O462" s="2">
        <f>IFERROR(N462/M462*100,0)</f>
        <v>0</v>
      </c>
    </row>
    <row r="463" spans="11:15">
      <c r="K463" s="2">
        <f>IFERROR(J463/I463*100,0)</f>
        <v>0</v>
      </c>
      <c r="O463" s="2">
        <f>IFERROR(N463/M463*100,0)</f>
        <v>0</v>
      </c>
    </row>
    <row r="464" spans="11:15">
      <c r="K464" s="2">
        <f>IFERROR(J464/I464*100,0)</f>
        <v>0</v>
      </c>
      <c r="O464" s="2">
        <f>IFERROR(N464/M464*100,0)</f>
        <v>0</v>
      </c>
    </row>
    <row r="465" spans="11:15">
      <c r="K465" s="2">
        <f>IFERROR(J465/I465*100,0)</f>
        <v>0</v>
      </c>
      <c r="O465" s="2">
        <f>IFERROR(N465/M465*100,0)</f>
        <v>0</v>
      </c>
    </row>
    <row r="466" spans="11:15">
      <c r="K466" s="2">
        <f>IFERROR(J466/I466*100,0)</f>
        <v>0</v>
      </c>
      <c r="O466" s="2">
        <f>IFERROR(N466/M466*100,0)</f>
        <v>0</v>
      </c>
    </row>
    <row r="467" spans="11:15">
      <c r="K467" s="2">
        <f>IFERROR(J467/I467*100,0)</f>
        <v>0</v>
      </c>
      <c r="O467" s="2">
        <f>IFERROR(N467/M467*100,0)</f>
        <v>0</v>
      </c>
    </row>
    <row r="468" spans="11:15">
      <c r="K468" s="2">
        <f>IFERROR(J468/I468*100,0)</f>
        <v>0</v>
      </c>
      <c r="O468" s="2">
        <f>IFERROR(N468/M468*100,0)</f>
        <v>0</v>
      </c>
    </row>
    <row r="469" spans="11:15">
      <c r="K469" s="2">
        <f>IFERROR(J469/I469*100,0)</f>
        <v>0</v>
      </c>
      <c r="O469" s="2">
        <f>IFERROR(N469/M469*100,0)</f>
        <v>0</v>
      </c>
    </row>
    <row r="470" spans="11:15">
      <c r="K470" s="2">
        <f>IFERROR(J470/I470*100,0)</f>
        <v>0</v>
      </c>
      <c r="O470" s="2">
        <f>IFERROR(N470/M470*100,0)</f>
        <v>0</v>
      </c>
    </row>
    <row r="471" spans="11:15">
      <c r="K471" s="2">
        <f>IFERROR(J471/I471*100,0)</f>
        <v>0</v>
      </c>
      <c r="O471" s="2">
        <f>IFERROR(N471/M471*100,0)</f>
        <v>0</v>
      </c>
    </row>
    <row r="472" spans="11:15">
      <c r="K472" s="2">
        <f>IFERROR(J472/I472*100,0)</f>
        <v>0</v>
      </c>
      <c r="O472" s="2">
        <f>IFERROR(N472/M472*100,0)</f>
        <v>0</v>
      </c>
    </row>
    <row r="473" spans="11:15">
      <c r="K473" s="2">
        <f>IFERROR(J473/I473*100,0)</f>
        <v>0</v>
      </c>
      <c r="O473" s="2">
        <f>IFERROR(N473/M473*100,0)</f>
        <v>0</v>
      </c>
    </row>
    <row r="474" spans="11:15">
      <c r="K474" s="2">
        <f>IFERROR(J474/I474*100,0)</f>
        <v>0</v>
      </c>
      <c r="O474" s="2">
        <f>IFERROR(N474/M474*100,0)</f>
        <v>0</v>
      </c>
    </row>
    <row r="475" spans="11:15">
      <c r="K475" s="2">
        <f>IFERROR(J475/I475*100,0)</f>
        <v>0</v>
      </c>
      <c r="O475" s="2">
        <f>IFERROR(N475/M475*100,0)</f>
        <v>0</v>
      </c>
    </row>
    <row r="476" spans="11:15">
      <c r="K476" s="2">
        <f>IFERROR(J476/I476*100,0)</f>
        <v>0</v>
      </c>
      <c r="O476" s="2">
        <f>IFERROR(N476/M476*100,0)</f>
        <v>0</v>
      </c>
    </row>
    <row r="477" spans="11:15">
      <c r="K477" s="2">
        <f>IFERROR(J477/I477*100,0)</f>
        <v>0</v>
      </c>
      <c r="O477" s="2">
        <f>IFERROR(N477/M477*100,0)</f>
        <v>0</v>
      </c>
    </row>
    <row r="478" spans="11:15">
      <c r="K478" s="2">
        <f>IFERROR(J478/I478*100,0)</f>
        <v>0</v>
      </c>
      <c r="O478" s="2">
        <f>IFERROR(N478/M478*100,0)</f>
        <v>0</v>
      </c>
    </row>
    <row r="479" spans="11:15">
      <c r="K479" s="2">
        <f>IFERROR(J479/I479*100,0)</f>
        <v>0</v>
      </c>
      <c r="O479" s="2">
        <f>IFERROR(N479/M479*100,0)</f>
        <v>0</v>
      </c>
    </row>
    <row r="480" spans="11:15">
      <c r="K480" s="2">
        <f>IFERROR(J480/I480*100,0)</f>
        <v>0</v>
      </c>
      <c r="O480" s="2">
        <f>IFERROR(N480/M480*100,0)</f>
        <v>0</v>
      </c>
    </row>
    <row r="481" spans="11:15">
      <c r="K481" s="2">
        <f>IFERROR(J481/I481*100,0)</f>
        <v>0</v>
      </c>
      <c r="O481" s="2">
        <f>IFERROR(N481/M481*100,0)</f>
        <v>0</v>
      </c>
    </row>
    <row r="482" spans="11:15">
      <c r="K482" s="2">
        <f>IFERROR(J482/I482*100,0)</f>
        <v>0</v>
      </c>
      <c r="O482" s="2">
        <f>IFERROR(N482/M482*100,0)</f>
        <v>0</v>
      </c>
    </row>
    <row r="483" spans="11:15">
      <c r="K483" s="2">
        <f>IFERROR(J483/I483*100,0)</f>
        <v>0</v>
      </c>
      <c r="O483" s="2">
        <f>IFERROR(N483/M483*100,0)</f>
        <v>0</v>
      </c>
    </row>
    <row r="484" spans="11:15">
      <c r="K484" s="2">
        <f>IFERROR(J484/I484*100,0)</f>
        <v>0</v>
      </c>
      <c r="O484" s="2">
        <f>IFERROR(N484/M484*100,0)</f>
        <v>0</v>
      </c>
    </row>
    <row r="485" spans="11:15">
      <c r="K485" s="2">
        <f>IFERROR(J485/I485*100,0)</f>
        <v>0</v>
      </c>
      <c r="O485" s="2">
        <f>IFERROR(N485/M485*100,0)</f>
        <v>0</v>
      </c>
    </row>
    <row r="486" spans="11:15">
      <c r="K486" s="2">
        <f>IFERROR(J486/I486*100,0)</f>
        <v>0</v>
      </c>
      <c r="O486" s="2">
        <f>IFERROR(N486/M486*100,0)</f>
        <v>0</v>
      </c>
    </row>
    <row r="487" spans="11:15">
      <c r="K487" s="2">
        <f>IFERROR(J487/I487*100,0)</f>
        <v>0</v>
      </c>
      <c r="O487" s="2">
        <f>IFERROR(N487/M487*100,0)</f>
        <v>0</v>
      </c>
    </row>
    <row r="488" spans="11:15">
      <c r="K488" s="2">
        <f>IFERROR(J488/I488*100,0)</f>
        <v>0</v>
      </c>
      <c r="O488" s="2">
        <f>IFERROR(N488/M488*100,0)</f>
        <v>0</v>
      </c>
    </row>
    <row r="489" spans="11:15">
      <c r="K489" s="2">
        <f>IFERROR(J489/I489*100,0)</f>
        <v>0</v>
      </c>
      <c r="O489" s="2">
        <f>IFERROR(N489/M489*100,0)</f>
        <v>0</v>
      </c>
    </row>
    <row r="490" spans="11:15">
      <c r="K490" s="2">
        <f>IFERROR(J490/I490*100,0)</f>
        <v>0</v>
      </c>
      <c r="O490" s="2">
        <f>IFERROR(N490/M490*100,0)</f>
        <v>0</v>
      </c>
    </row>
    <row r="491" spans="11:15">
      <c r="K491" s="2">
        <f>IFERROR(J491/I491*100,0)</f>
        <v>0</v>
      </c>
      <c r="O491" s="2">
        <f>IFERROR(N491/M491*100,0)</f>
        <v>0</v>
      </c>
    </row>
    <row r="492" spans="11:15">
      <c r="K492" s="2">
        <f>IFERROR(J492/I492*100,0)</f>
        <v>0</v>
      </c>
      <c r="O492" s="2">
        <f>IFERROR(N492/M492*100,0)</f>
        <v>0</v>
      </c>
    </row>
    <row r="493" spans="11:15">
      <c r="K493" s="2">
        <f>IFERROR(J493/I493*100,0)</f>
        <v>0</v>
      </c>
      <c r="O493" s="2">
        <f>IFERROR(N493/M493*100,0)</f>
        <v>0</v>
      </c>
    </row>
    <row r="494" spans="11:15">
      <c r="K494" s="2">
        <f>IFERROR(J494/I494*100,0)</f>
        <v>0</v>
      </c>
      <c r="O494" s="2">
        <f>IFERROR(N494/M494*100,0)</f>
        <v>0</v>
      </c>
    </row>
    <row r="495" spans="11:15">
      <c r="K495" s="2">
        <f>IFERROR(J495/I495*100,0)</f>
        <v>0</v>
      </c>
      <c r="O495" s="2">
        <f>IFERROR(N495/M495*100,0)</f>
        <v>0</v>
      </c>
    </row>
    <row r="496" spans="11:15">
      <c r="K496" s="2">
        <f>IFERROR(J496/I496*100,0)</f>
        <v>0</v>
      </c>
      <c r="O496" s="2">
        <f>IFERROR(N496/M496*100,0)</f>
        <v>0</v>
      </c>
    </row>
    <row r="497" spans="11:15">
      <c r="K497" s="2">
        <f>IFERROR(J497/I497*100,0)</f>
        <v>0</v>
      </c>
      <c r="O497" s="2">
        <f>IFERROR(N497/M497*100,0)</f>
        <v>0</v>
      </c>
    </row>
    <row r="498" spans="11:15">
      <c r="K498" s="2">
        <f>IFERROR(J498/I498*100,0)</f>
        <v>0</v>
      </c>
      <c r="O498" s="2">
        <f>IFERROR(N498/M498*100,0)</f>
        <v>0</v>
      </c>
    </row>
    <row r="499" spans="11:15">
      <c r="K499" s="2">
        <f>IFERROR(J499/I499*100,0)</f>
        <v>0</v>
      </c>
      <c r="O499" s="2">
        <f>IFERROR(N499/M499*100,0)</f>
        <v>0</v>
      </c>
    </row>
    <row r="500" spans="11:15">
      <c r="K500" s="2">
        <f>IFERROR(J500/I500*100,0)</f>
        <v>0</v>
      </c>
      <c r="O500" s="2">
        <f>IFERROR(N500/M500*100,0)</f>
        <v>0</v>
      </c>
    </row>
    <row r="501" spans="11:15">
      <c r="K501" s="2">
        <f>IFERROR(J501/I501*100,0)</f>
        <v>0</v>
      </c>
      <c r="O501" s="2">
        <f>IFERROR(N501/M501*100,0)</f>
        <v>0</v>
      </c>
    </row>
    <row r="502" spans="11:15">
      <c r="K502" s="2">
        <f>IFERROR(J502/I502*100,0)</f>
        <v>0</v>
      </c>
      <c r="O502" s="2">
        <f>IFERROR(N502/M502*100,0)</f>
        <v>0</v>
      </c>
    </row>
    <row r="503" spans="11:15">
      <c r="K503" s="2">
        <f>IFERROR(J503/I503*100,0)</f>
        <v>0</v>
      </c>
      <c r="O503" s="2">
        <f>IFERROR(N503/M503*100,0)</f>
        <v>0</v>
      </c>
    </row>
    <row r="504" spans="11:15">
      <c r="K504" s="2">
        <f>IFERROR(J504/I504*100,0)</f>
        <v>0</v>
      </c>
      <c r="O504" s="2">
        <f>IFERROR(N504/M504*100,0)</f>
        <v>0</v>
      </c>
    </row>
    <row r="505" spans="11:15">
      <c r="K505" s="2">
        <f>IFERROR(J505/I505*100,0)</f>
        <v>0</v>
      </c>
      <c r="O505" s="2">
        <f>IFERROR(N505/M505*100,0)</f>
        <v>0</v>
      </c>
    </row>
    <row r="506" spans="11:15">
      <c r="K506" s="2">
        <f>IFERROR(J506/I506*100,0)</f>
        <v>0</v>
      </c>
      <c r="O506" s="2">
        <f>IFERROR(N506/M506*100,0)</f>
        <v>0</v>
      </c>
    </row>
    <row r="507" spans="11:15">
      <c r="K507" s="2">
        <f>IFERROR(J507/I507*100,0)</f>
        <v>0</v>
      </c>
      <c r="O507" s="2">
        <f>IFERROR(N507/M507*100,0)</f>
        <v>0</v>
      </c>
    </row>
    <row r="508" spans="11:15">
      <c r="K508" s="2">
        <f>IFERROR(J508/I508*100,0)</f>
        <v>0</v>
      </c>
      <c r="O508" s="2">
        <f>IFERROR(N508/M508*100,0)</f>
        <v>0</v>
      </c>
    </row>
    <row r="509" spans="11:15">
      <c r="K509" s="2">
        <f>IFERROR(J509/I509*100,0)</f>
        <v>0</v>
      </c>
      <c r="O509" s="2">
        <f>IFERROR(N509/M509*100,0)</f>
        <v>0</v>
      </c>
    </row>
    <row r="510" spans="11:15">
      <c r="K510" s="2">
        <f>IFERROR(J510/I510*100,0)</f>
        <v>0</v>
      </c>
      <c r="O510" s="2">
        <f>IFERROR(N510/M510*100,0)</f>
        <v>0</v>
      </c>
    </row>
    <row r="511" spans="11:15">
      <c r="K511" s="2">
        <f>IFERROR(J511/I511*100,0)</f>
        <v>0</v>
      </c>
      <c r="O511" s="2">
        <f>IFERROR(N511/M511*100,0)</f>
        <v>0</v>
      </c>
    </row>
    <row r="512" spans="11:15">
      <c r="K512" s="2">
        <f>IFERROR(J512/I512*100,0)</f>
        <v>0</v>
      </c>
      <c r="O512" s="2">
        <f>IFERROR(N512/M512*100,0)</f>
        <v>0</v>
      </c>
    </row>
    <row r="513" spans="11:15">
      <c r="K513" s="2">
        <f>IFERROR(J513/I513*100,0)</f>
        <v>0</v>
      </c>
      <c r="O513" s="2">
        <f>IFERROR(N513/M513*100,0)</f>
        <v>0</v>
      </c>
    </row>
    <row r="514" spans="11:15">
      <c r="K514" s="2">
        <f>IFERROR(J514/I514*100,0)</f>
        <v>0</v>
      </c>
      <c r="O514" s="2">
        <f>IFERROR(N514/M514*100,0)</f>
        <v>0</v>
      </c>
    </row>
    <row r="515" spans="11:15">
      <c r="K515" s="2">
        <f>IFERROR(J515/I515*100,0)</f>
        <v>0</v>
      </c>
      <c r="O515" s="2">
        <f>IFERROR(N515/M515*100,0)</f>
        <v>0</v>
      </c>
    </row>
    <row r="516" spans="11:15">
      <c r="K516" s="2">
        <f>IFERROR(J516/I516*100,0)</f>
        <v>0</v>
      </c>
      <c r="O516" s="2">
        <f>IFERROR(N516/M516*100,0)</f>
        <v>0</v>
      </c>
    </row>
    <row r="517" spans="11:15">
      <c r="K517" s="2">
        <f>IFERROR(J517/I517*100,0)</f>
        <v>0</v>
      </c>
      <c r="O517" s="2">
        <f>IFERROR(N517/M517*100,0)</f>
        <v>0</v>
      </c>
    </row>
    <row r="518" spans="11:15">
      <c r="K518" s="2">
        <f>IFERROR(J518/I518*100,0)</f>
        <v>0</v>
      </c>
      <c r="O518" s="2">
        <f>IFERROR(N518/M518*100,0)</f>
        <v>0</v>
      </c>
    </row>
    <row r="519" spans="11:15">
      <c r="K519" s="2">
        <f>IFERROR(J519/I519*100,0)</f>
        <v>0</v>
      </c>
      <c r="O519" s="2">
        <f>IFERROR(N519/M519*100,0)</f>
        <v>0</v>
      </c>
    </row>
    <row r="520" spans="11:15">
      <c r="K520" s="2">
        <f>IFERROR(J520/I520*100,0)</f>
        <v>0</v>
      </c>
      <c r="O520" s="2">
        <f>IFERROR(N520/M520*100,0)</f>
        <v>0</v>
      </c>
    </row>
    <row r="521" spans="11:15">
      <c r="K521" s="2">
        <f>IFERROR(J521/I521*100,0)</f>
        <v>0</v>
      </c>
      <c r="O521" s="2">
        <f>IFERROR(N521/M521*100,0)</f>
        <v>0</v>
      </c>
    </row>
    <row r="522" spans="11:15">
      <c r="K522" s="2">
        <f>IFERROR(J522/I522*100,0)</f>
        <v>0</v>
      </c>
      <c r="O522" s="2">
        <f>IFERROR(N522/M522*100,0)</f>
        <v>0</v>
      </c>
    </row>
    <row r="523" spans="11:15">
      <c r="K523" s="2">
        <f>IFERROR(J523/I523*100,0)</f>
        <v>0</v>
      </c>
      <c r="O523" s="2">
        <f>IFERROR(N523/M523*100,0)</f>
        <v>0</v>
      </c>
    </row>
    <row r="524" spans="11:15">
      <c r="K524" s="2">
        <f>IFERROR(J524/I524*100,0)</f>
        <v>0</v>
      </c>
      <c r="O524" s="2">
        <f>IFERROR(N524/M524*100,0)</f>
        <v>0</v>
      </c>
    </row>
    <row r="525" spans="11:15">
      <c r="K525" s="2">
        <f>IFERROR(J525/I525*100,0)</f>
        <v>0</v>
      </c>
      <c r="O525" s="2">
        <f>IFERROR(N525/M525*100,0)</f>
        <v>0</v>
      </c>
    </row>
    <row r="526" spans="11:15">
      <c r="K526" s="2">
        <f>IFERROR(J526/I526*100,0)</f>
        <v>0</v>
      </c>
      <c r="O526" s="2">
        <f>IFERROR(N526/M526*100,0)</f>
        <v>0</v>
      </c>
    </row>
    <row r="527" spans="11:15">
      <c r="K527" s="2">
        <f>IFERROR(J527/I527*100,0)</f>
        <v>0</v>
      </c>
      <c r="O527" s="2">
        <f>IFERROR(N527/M527*100,0)</f>
        <v>0</v>
      </c>
    </row>
    <row r="528" spans="11:15">
      <c r="K528" s="2">
        <f>IFERROR(J528/I528*100,0)</f>
        <v>0</v>
      </c>
      <c r="O528" s="2">
        <f>IFERROR(N528/M528*100,0)</f>
        <v>0</v>
      </c>
    </row>
    <row r="529" spans="11:15">
      <c r="K529" s="2">
        <f>IFERROR(J529/I529*100,0)</f>
        <v>0</v>
      </c>
      <c r="O529" s="2">
        <f>IFERROR(N529/M529*100,0)</f>
        <v>0</v>
      </c>
    </row>
    <row r="530" spans="11:15">
      <c r="K530" s="2">
        <f>IFERROR(J530/I530*100,0)</f>
        <v>0</v>
      </c>
      <c r="O530" s="2">
        <f>IFERROR(N530/M530*100,0)</f>
        <v>0</v>
      </c>
    </row>
    <row r="531" spans="11:15">
      <c r="K531" s="2">
        <f>IFERROR(J531/I531*100,0)</f>
        <v>0</v>
      </c>
      <c r="O531" s="2">
        <f>IFERROR(N531/M531*100,0)</f>
        <v>0</v>
      </c>
    </row>
    <row r="532" spans="11:15">
      <c r="K532" s="2">
        <f>IFERROR(J532/I532*100,0)</f>
        <v>0</v>
      </c>
      <c r="O532" s="2">
        <f>IFERROR(N532/M532*100,0)</f>
        <v>0</v>
      </c>
    </row>
    <row r="533" spans="11:15">
      <c r="K533" s="2">
        <f>IFERROR(J533/I533*100,0)</f>
        <v>0</v>
      </c>
      <c r="O533" s="2">
        <f>IFERROR(N533/M533*100,0)</f>
        <v>0</v>
      </c>
    </row>
    <row r="534" spans="11:15">
      <c r="K534" s="2">
        <f>IFERROR(J534/I534*100,0)</f>
        <v>0</v>
      </c>
      <c r="O534" s="2">
        <f>IFERROR(N534/M534*100,0)</f>
        <v>0</v>
      </c>
    </row>
    <row r="535" spans="11:15">
      <c r="K535" s="2">
        <f>IFERROR(J535/I535*100,0)</f>
        <v>0</v>
      </c>
      <c r="O535" s="2">
        <f>IFERROR(N535/M535*100,0)</f>
        <v>0</v>
      </c>
    </row>
    <row r="536" spans="11:15">
      <c r="K536" s="2">
        <f>IFERROR(J536/I536*100,0)</f>
        <v>0</v>
      </c>
      <c r="O536" s="2">
        <f>IFERROR(N536/M536*100,0)</f>
        <v>0</v>
      </c>
    </row>
    <row r="537" spans="11:15">
      <c r="K537" s="2">
        <f>IFERROR(J537/I537*100,0)</f>
        <v>0</v>
      </c>
      <c r="O537" s="2">
        <f>IFERROR(N537/M537*100,0)</f>
        <v>0</v>
      </c>
    </row>
    <row r="538" spans="11:15">
      <c r="K538" s="2">
        <f>IFERROR(J538/I538*100,0)</f>
        <v>0</v>
      </c>
      <c r="O538" s="2">
        <f>IFERROR(N538/M538*100,0)</f>
        <v>0</v>
      </c>
    </row>
    <row r="539" spans="11:15">
      <c r="K539" s="2">
        <f>IFERROR(J539/I539*100,0)</f>
        <v>0</v>
      </c>
      <c r="O539" s="2">
        <f>IFERROR(N539/M539*100,0)</f>
        <v>0</v>
      </c>
    </row>
    <row r="540" spans="11:15">
      <c r="K540" s="2">
        <f>IFERROR(J540/I540*100,0)</f>
        <v>0</v>
      </c>
      <c r="O540" s="2">
        <f>IFERROR(N540/M540*100,0)</f>
        <v>0</v>
      </c>
    </row>
    <row r="541" spans="11:15">
      <c r="K541" s="2">
        <f>IFERROR(J541/I541*100,0)</f>
        <v>0</v>
      </c>
      <c r="O541" s="2">
        <f>IFERROR(N541/M541*100,0)</f>
        <v>0</v>
      </c>
    </row>
    <row r="542" spans="11:15">
      <c r="K542" s="2">
        <f>IFERROR(J542/I542*100,0)</f>
        <v>0</v>
      </c>
      <c r="O542" s="2">
        <f>IFERROR(N542/M542*100,0)</f>
        <v>0</v>
      </c>
    </row>
    <row r="543" spans="11:15">
      <c r="K543" s="2">
        <f>IFERROR(J543/I543*100,0)</f>
        <v>0</v>
      </c>
      <c r="O543" s="2">
        <f>IFERROR(N543/M543*100,0)</f>
        <v>0</v>
      </c>
    </row>
    <row r="544" spans="11:15">
      <c r="K544" s="2">
        <f>IFERROR(J544/I544*100,0)</f>
        <v>0</v>
      </c>
      <c r="O544" s="2">
        <f>IFERROR(N544/M544*100,0)</f>
        <v>0</v>
      </c>
    </row>
    <row r="545" spans="11:15">
      <c r="K545" s="2">
        <f>IFERROR(J545/I545*100,0)</f>
        <v>0</v>
      </c>
      <c r="O545" s="2">
        <f>IFERROR(N545/M545*100,0)</f>
        <v>0</v>
      </c>
    </row>
    <row r="546" spans="11:15">
      <c r="K546" s="2">
        <f>IFERROR(J546/I546*100,0)</f>
        <v>0</v>
      </c>
      <c r="O546" s="2">
        <f>IFERROR(N546/M546*100,0)</f>
        <v>0</v>
      </c>
    </row>
    <row r="547" spans="11:15">
      <c r="K547" s="2">
        <f>IFERROR(J547/I547*100,0)</f>
        <v>0</v>
      </c>
      <c r="O547" s="2">
        <f>IFERROR(N547/M547*100,0)</f>
        <v>0</v>
      </c>
    </row>
    <row r="548" spans="11:15">
      <c r="K548" s="2">
        <f>IFERROR(J548/I548*100,0)</f>
        <v>0</v>
      </c>
      <c r="O548" s="2">
        <f>IFERROR(N548/M548*100,0)</f>
        <v>0</v>
      </c>
    </row>
    <row r="549" spans="11:15">
      <c r="K549" s="2">
        <f>IFERROR(J549/I549*100,0)</f>
        <v>0</v>
      </c>
      <c r="O549" s="2">
        <f>IFERROR(N549/M549*100,0)</f>
        <v>0</v>
      </c>
    </row>
    <row r="550" spans="11:15">
      <c r="K550" s="2">
        <f>IFERROR(J550/I550*100,0)</f>
        <v>0</v>
      </c>
      <c r="O550" s="2">
        <f>IFERROR(N550/M550*100,0)</f>
        <v>0</v>
      </c>
    </row>
    <row r="551" spans="11:15">
      <c r="K551" s="2">
        <f>IFERROR(J551/I551*100,0)</f>
        <v>0</v>
      </c>
      <c r="O551" s="2">
        <f>IFERROR(N551/M551*100,0)</f>
        <v>0</v>
      </c>
    </row>
    <row r="552" spans="11:15">
      <c r="K552" s="2">
        <f>IFERROR(J552/I552*100,0)</f>
        <v>0</v>
      </c>
      <c r="O552" s="2">
        <f>IFERROR(N552/M552*100,0)</f>
        <v>0</v>
      </c>
    </row>
    <row r="553" spans="11:15">
      <c r="K553" s="2">
        <f>IFERROR(J553/I553*100,0)</f>
        <v>0</v>
      </c>
      <c r="O553" s="2">
        <f>IFERROR(N553/M553*100,0)</f>
        <v>0</v>
      </c>
    </row>
    <row r="554" spans="11:15">
      <c r="K554" s="2">
        <f>IFERROR(J554/I554*100,0)</f>
        <v>0</v>
      </c>
      <c r="O554" s="2">
        <f>IFERROR(N554/M554*100,0)</f>
        <v>0</v>
      </c>
    </row>
    <row r="555" spans="11:15">
      <c r="K555" s="2">
        <f>IFERROR(J555/I555*100,0)</f>
        <v>0</v>
      </c>
      <c r="O555" s="2">
        <f>IFERROR(N555/M555*100,0)</f>
        <v>0</v>
      </c>
    </row>
    <row r="556" spans="11:15">
      <c r="K556" s="2">
        <f>IFERROR(J556/I556*100,0)</f>
        <v>0</v>
      </c>
      <c r="O556" s="2">
        <f>IFERROR(N556/M556*100,0)</f>
        <v>0</v>
      </c>
    </row>
    <row r="557" spans="11:15">
      <c r="K557" s="2">
        <f>IFERROR(J557/I557*100,0)</f>
        <v>0</v>
      </c>
      <c r="O557" s="2">
        <f>IFERROR(N557/M557*100,0)</f>
        <v>0</v>
      </c>
    </row>
    <row r="558" spans="11:15">
      <c r="K558" s="2">
        <f>IFERROR(J558/I558*100,0)</f>
        <v>0</v>
      </c>
      <c r="O558" s="2">
        <f>IFERROR(N558/M558*100,0)</f>
        <v>0</v>
      </c>
    </row>
    <row r="559" spans="11:15">
      <c r="K559" s="2">
        <f>IFERROR(J559/I559*100,0)</f>
        <v>0</v>
      </c>
      <c r="O559" s="2">
        <f>IFERROR(N559/M559*100,0)</f>
        <v>0</v>
      </c>
    </row>
    <row r="560" spans="11:15">
      <c r="K560" s="2">
        <f>IFERROR(J560/I560*100,0)</f>
        <v>0</v>
      </c>
      <c r="O560" s="2">
        <f>IFERROR(N560/M560*100,0)</f>
        <v>0</v>
      </c>
    </row>
    <row r="561" spans="11:15">
      <c r="K561" s="2">
        <f>IFERROR(J561/I561*100,0)</f>
        <v>0</v>
      </c>
      <c r="O561" s="2">
        <f>IFERROR(N561/M561*100,0)</f>
        <v>0</v>
      </c>
    </row>
    <row r="562" spans="11:15">
      <c r="K562" s="2">
        <f>IFERROR(J562/I562*100,0)</f>
        <v>0</v>
      </c>
      <c r="O562" s="2">
        <f>IFERROR(N562/M562*100,0)</f>
        <v>0</v>
      </c>
    </row>
    <row r="563" spans="11:15">
      <c r="K563" s="2">
        <f>IFERROR(J563/I563*100,0)</f>
        <v>0</v>
      </c>
      <c r="O563" s="2">
        <f>IFERROR(N563/M563*100,0)</f>
        <v>0</v>
      </c>
    </row>
    <row r="564" spans="11:15">
      <c r="K564" s="2">
        <f>IFERROR(J564/I564*100,0)</f>
        <v>0</v>
      </c>
      <c r="O564" s="2">
        <f>IFERROR(N564/M564*100,0)</f>
        <v>0</v>
      </c>
    </row>
    <row r="565" spans="11:15">
      <c r="K565" s="2">
        <f>IFERROR(J565/I565*100,0)</f>
        <v>0</v>
      </c>
      <c r="O565" s="2">
        <f>IFERROR(N565/M565*100,0)</f>
        <v>0</v>
      </c>
    </row>
    <row r="566" spans="11:15">
      <c r="K566" s="2">
        <f>IFERROR(J566/I566*100,0)</f>
        <v>0</v>
      </c>
      <c r="O566" s="2">
        <f>IFERROR(N566/M566*100,0)</f>
        <v>0</v>
      </c>
    </row>
    <row r="567" spans="11:15">
      <c r="K567" s="2">
        <f>IFERROR(J567/I567*100,0)</f>
        <v>0</v>
      </c>
      <c r="O567" s="2">
        <f>IFERROR(N567/M567*100,0)</f>
        <v>0</v>
      </c>
    </row>
    <row r="568" spans="11:15">
      <c r="K568" s="2">
        <f>IFERROR(J568/I568*100,0)</f>
        <v>0</v>
      </c>
      <c r="O568" s="2">
        <f>IFERROR(N568/M568*100,0)</f>
        <v>0</v>
      </c>
    </row>
    <row r="569" spans="11:15">
      <c r="K569" s="2">
        <f>IFERROR(J569/I569*100,0)</f>
        <v>0</v>
      </c>
      <c r="O569" s="2">
        <f>IFERROR(N569/M569*100,0)</f>
        <v>0</v>
      </c>
    </row>
    <row r="570" spans="11:15">
      <c r="K570" s="2">
        <f>IFERROR(J570/I570*100,0)</f>
        <v>0</v>
      </c>
      <c r="O570" s="2">
        <f>IFERROR(N570/M570*100,0)</f>
        <v>0</v>
      </c>
    </row>
    <row r="571" spans="11:15">
      <c r="K571" s="2">
        <f>IFERROR(J571/I571*100,0)</f>
        <v>0</v>
      </c>
      <c r="O571" s="2">
        <f>IFERROR(N571/M571*100,0)</f>
        <v>0</v>
      </c>
    </row>
    <row r="572" spans="11:15">
      <c r="K572" s="2">
        <f>IFERROR(J572/I572*100,0)</f>
        <v>0</v>
      </c>
      <c r="O572" s="2">
        <f>IFERROR(N572/M572*100,0)</f>
        <v>0</v>
      </c>
    </row>
    <row r="573" spans="11:15">
      <c r="K573" s="2">
        <f>IFERROR(J573/I573*100,0)</f>
        <v>0</v>
      </c>
      <c r="O573" s="2">
        <f>IFERROR(N573/M573*100,0)</f>
        <v>0</v>
      </c>
    </row>
    <row r="574" spans="11:15">
      <c r="K574" s="2">
        <f>IFERROR(J574/I574*100,0)</f>
        <v>0</v>
      </c>
      <c r="O574" s="2">
        <f>IFERROR(N574/M574*100,0)</f>
        <v>0</v>
      </c>
    </row>
    <row r="575" spans="11:15">
      <c r="K575" s="2">
        <f>IFERROR(J575/I575*100,0)</f>
        <v>0</v>
      </c>
      <c r="O575" s="2">
        <f>IFERROR(N575/M575*100,0)</f>
        <v>0</v>
      </c>
    </row>
    <row r="576" spans="11:15">
      <c r="K576" s="2">
        <f>IFERROR(J576/I576*100,0)</f>
        <v>0</v>
      </c>
      <c r="O576" s="2">
        <f>IFERROR(N576/M576*100,0)</f>
        <v>0</v>
      </c>
    </row>
    <row r="577" spans="11:15">
      <c r="K577" s="2">
        <f>IFERROR(J577/I577*100,0)</f>
        <v>0</v>
      </c>
      <c r="O577" s="2">
        <f>IFERROR(N577/M577*100,0)</f>
        <v>0</v>
      </c>
    </row>
    <row r="578" spans="11:15">
      <c r="K578" s="2">
        <f>IFERROR(J578/I578*100,0)</f>
        <v>0</v>
      </c>
      <c r="O578" s="2">
        <f>IFERROR(N578/M578*100,0)</f>
        <v>0</v>
      </c>
    </row>
    <row r="579" spans="11:15">
      <c r="K579" s="2">
        <f>IFERROR(J579/I579*100,0)</f>
        <v>0</v>
      </c>
      <c r="O579" s="2">
        <f>IFERROR(N579/M579*100,0)</f>
        <v>0</v>
      </c>
    </row>
    <row r="580" spans="11:15">
      <c r="K580" s="2">
        <f>IFERROR(J580/I580*100,0)</f>
        <v>0</v>
      </c>
      <c r="O580" s="2">
        <f>IFERROR(N580/M580*100,0)</f>
        <v>0</v>
      </c>
    </row>
    <row r="581" spans="11:15">
      <c r="K581" s="2">
        <f>IFERROR(J581/I581*100,0)</f>
        <v>0</v>
      </c>
      <c r="O581" s="2">
        <f>IFERROR(N581/M581*100,0)</f>
        <v>0</v>
      </c>
    </row>
    <row r="582" spans="11:15">
      <c r="K582" s="2">
        <f>IFERROR(J582/I582*100,0)</f>
        <v>0</v>
      </c>
      <c r="O582" s="2">
        <f>IFERROR(N582/M582*100,0)</f>
        <v>0</v>
      </c>
    </row>
    <row r="583" spans="11:15">
      <c r="K583" s="2">
        <f>IFERROR(J583/I583*100,0)</f>
        <v>0</v>
      </c>
      <c r="O583" s="2">
        <f>IFERROR(N583/M583*100,0)</f>
        <v>0</v>
      </c>
    </row>
    <row r="584" spans="11:15">
      <c r="K584" s="2">
        <f>IFERROR(J584/I584*100,0)</f>
        <v>0</v>
      </c>
      <c r="O584" s="2">
        <f>IFERROR(N584/M584*100,0)</f>
        <v>0</v>
      </c>
    </row>
    <row r="585" spans="11:15">
      <c r="K585" s="2">
        <f>IFERROR(J585/I585*100,0)</f>
        <v>0</v>
      </c>
      <c r="O585" s="2">
        <f>IFERROR(N585/M585*100,0)</f>
        <v>0</v>
      </c>
    </row>
    <row r="586" spans="11:15">
      <c r="K586" s="2">
        <f>IFERROR(J586/I586*100,0)</f>
        <v>0</v>
      </c>
      <c r="O586" s="2">
        <f>IFERROR(N586/M586*100,0)</f>
        <v>0</v>
      </c>
    </row>
    <row r="587" spans="11:15">
      <c r="K587" s="2">
        <f>IFERROR(J587/I587*100,0)</f>
        <v>0</v>
      </c>
      <c r="O587" s="2">
        <f>IFERROR(N587/M587*100,0)</f>
        <v>0</v>
      </c>
    </row>
    <row r="588" spans="11:15">
      <c r="K588" s="2">
        <f>IFERROR(J588/I588*100,0)</f>
        <v>0</v>
      </c>
      <c r="O588" s="2">
        <f>IFERROR(N588/M588*100,0)</f>
        <v>0</v>
      </c>
    </row>
    <row r="589" spans="11:15">
      <c r="K589" s="2">
        <f>IFERROR(J589/I589*100,0)</f>
        <v>0</v>
      </c>
      <c r="O589" s="2">
        <f>IFERROR(N589/M589*100,0)</f>
        <v>0</v>
      </c>
    </row>
    <row r="590" spans="11:15">
      <c r="K590" s="2">
        <f>IFERROR(J590/I590*100,0)</f>
        <v>0</v>
      </c>
      <c r="O590" s="2">
        <f>IFERROR(N590/M590*100,0)</f>
        <v>0</v>
      </c>
    </row>
    <row r="591" spans="11:15">
      <c r="K591" s="2">
        <f>IFERROR(J591/I591*100,0)</f>
        <v>0</v>
      </c>
      <c r="O591" s="2">
        <f>IFERROR(N591/M591*100,0)</f>
        <v>0</v>
      </c>
    </row>
    <row r="592" spans="11:15">
      <c r="K592" s="2">
        <f>IFERROR(J592/I592*100,0)</f>
        <v>0</v>
      </c>
      <c r="O592" s="2">
        <f>IFERROR(N592/M592*100,0)</f>
        <v>0</v>
      </c>
    </row>
    <row r="593" spans="11:15">
      <c r="K593" s="2">
        <f>IFERROR(J593/I593*100,0)</f>
        <v>0</v>
      </c>
      <c r="O593" s="2">
        <f>IFERROR(N593/M593*100,0)</f>
        <v>0</v>
      </c>
    </row>
    <row r="594" spans="11:15">
      <c r="K594" s="2">
        <f>IFERROR(J594/I594*100,0)</f>
        <v>0</v>
      </c>
      <c r="O594" s="2">
        <f>IFERROR(N594/M594*100,0)</f>
        <v>0</v>
      </c>
    </row>
    <row r="595" spans="11:15">
      <c r="K595" s="2">
        <f>IFERROR(J595/I595*100,0)</f>
        <v>0</v>
      </c>
      <c r="O595" s="2">
        <f>IFERROR(N595/M595*100,0)</f>
        <v>0</v>
      </c>
    </row>
    <row r="596" spans="11:15">
      <c r="K596" s="2">
        <f>IFERROR(J596/I596*100,0)</f>
        <v>0</v>
      </c>
      <c r="O596" s="2">
        <f>IFERROR(N596/M596*100,0)</f>
        <v>0</v>
      </c>
    </row>
    <row r="597" spans="11:15">
      <c r="K597" s="2">
        <f>IFERROR(J597/I597*100,0)</f>
        <v>0</v>
      </c>
      <c r="O597" s="2">
        <f>IFERROR(N597/M597*100,0)</f>
        <v>0</v>
      </c>
    </row>
    <row r="598" spans="11:15">
      <c r="K598" s="2">
        <f>IFERROR(J598/I598*100,0)</f>
        <v>0</v>
      </c>
      <c r="O598" s="2">
        <f>IFERROR(N598/M598*100,0)</f>
        <v>0</v>
      </c>
    </row>
    <row r="599" spans="11:15">
      <c r="K599" s="2">
        <f>IFERROR(J599/I599*100,0)</f>
        <v>0</v>
      </c>
      <c r="O599" s="2">
        <f>IFERROR(N599/M599*100,0)</f>
        <v>0</v>
      </c>
    </row>
    <row r="600" spans="11:15">
      <c r="K600" s="2">
        <f>IFERROR(J600/I600*100,0)</f>
        <v>0</v>
      </c>
      <c r="O600" s="2">
        <f>IFERROR(N600/M600*100,0)</f>
        <v>0</v>
      </c>
    </row>
    <row r="601" spans="11:15">
      <c r="K601" s="2">
        <f>IFERROR(J601/I601*100,0)</f>
        <v>0</v>
      </c>
      <c r="O601" s="2">
        <f>IFERROR(N601/M601*100,0)</f>
        <v>0</v>
      </c>
    </row>
    <row r="602" spans="11:15">
      <c r="K602" s="2">
        <f>IFERROR(J602/I602*100,0)</f>
        <v>0</v>
      </c>
      <c r="O602" s="2">
        <f>IFERROR(N602/M602*100,0)</f>
        <v>0</v>
      </c>
    </row>
    <row r="603" spans="11:15">
      <c r="K603" s="2">
        <f>IFERROR(J603/I603*100,0)</f>
        <v>0</v>
      </c>
      <c r="O603" s="2">
        <f>IFERROR(N603/M603*100,0)</f>
        <v>0</v>
      </c>
    </row>
    <row r="604" spans="11:15">
      <c r="K604" s="2">
        <f>IFERROR(J604/I604*100,0)</f>
        <v>0</v>
      </c>
      <c r="O604" s="2">
        <f>IFERROR(N604/M604*100,0)</f>
        <v>0</v>
      </c>
    </row>
    <row r="605" spans="11:15">
      <c r="K605" s="2">
        <f>IFERROR(J605/I605*100,0)</f>
        <v>0</v>
      </c>
      <c r="O605" s="2">
        <f>IFERROR(N605/M605*100,0)</f>
        <v>0</v>
      </c>
    </row>
    <row r="606" spans="11:15">
      <c r="K606" s="2">
        <f>IFERROR(J606/I606*100,0)</f>
        <v>0</v>
      </c>
      <c r="O606" s="2">
        <f>IFERROR(N606/M606*100,0)</f>
        <v>0</v>
      </c>
    </row>
    <row r="607" spans="11:15">
      <c r="K607" s="2">
        <f>IFERROR(J607/I607*100,0)</f>
        <v>0</v>
      </c>
      <c r="O607" s="2">
        <f>IFERROR(N607/M607*100,0)</f>
        <v>0</v>
      </c>
    </row>
    <row r="608" spans="11:15">
      <c r="K608" s="2">
        <f>IFERROR(J608/I608*100,0)</f>
        <v>0</v>
      </c>
      <c r="O608" s="2">
        <f>IFERROR(N608/M608*100,0)</f>
        <v>0</v>
      </c>
    </row>
    <row r="609" spans="11:15">
      <c r="K609" s="2">
        <f>IFERROR(J609/I609*100,0)</f>
        <v>0</v>
      </c>
      <c r="O609" s="2">
        <f>IFERROR(N609/M609*100,0)</f>
        <v>0</v>
      </c>
    </row>
    <row r="610" spans="11:15">
      <c r="K610" s="2">
        <f>IFERROR(J610/I610*100,0)</f>
        <v>0</v>
      </c>
      <c r="O610" s="2">
        <f>IFERROR(N610/M610*100,0)</f>
        <v>0</v>
      </c>
    </row>
    <row r="611" spans="11:15">
      <c r="K611" s="2">
        <f>IFERROR(J611/I611*100,0)</f>
        <v>0</v>
      </c>
      <c r="O611" s="2">
        <f>IFERROR(N611/M611*100,0)</f>
        <v>0</v>
      </c>
    </row>
    <row r="612" spans="11:15">
      <c r="K612" s="2">
        <f>IFERROR(J612/I612*100,0)</f>
        <v>0</v>
      </c>
      <c r="O612" s="2">
        <f>IFERROR(N612/M612*100,0)</f>
        <v>0</v>
      </c>
    </row>
    <row r="613" spans="11:15">
      <c r="K613" s="2">
        <f>IFERROR(J613/I613*100,0)</f>
        <v>0</v>
      </c>
      <c r="O613" s="2">
        <f>IFERROR(N613/M613*100,0)</f>
        <v>0</v>
      </c>
    </row>
    <row r="614" spans="11:15">
      <c r="K614" s="2">
        <f>IFERROR(J614/I614*100,0)</f>
        <v>0</v>
      </c>
      <c r="O614" s="2">
        <f>IFERROR(N614/M614*100,0)</f>
        <v>0</v>
      </c>
    </row>
    <row r="615" spans="11:15">
      <c r="K615" s="2">
        <f>IFERROR(J615/I615*100,0)</f>
        <v>0</v>
      </c>
      <c r="O615" s="2">
        <f>IFERROR(N615/M615*100,0)</f>
        <v>0</v>
      </c>
    </row>
    <row r="616" spans="11:15">
      <c r="K616" s="2">
        <f>IFERROR(J616/I616*100,0)</f>
        <v>0</v>
      </c>
      <c r="O616" s="2">
        <f>IFERROR(N616/M616*100,0)</f>
        <v>0</v>
      </c>
    </row>
    <row r="617" spans="11:15">
      <c r="K617" s="2">
        <f>IFERROR(J617/I617*100,0)</f>
        <v>0</v>
      </c>
      <c r="O617" s="2">
        <f>IFERROR(N617/M617*100,0)</f>
        <v>0</v>
      </c>
    </row>
    <row r="618" spans="11:15">
      <c r="K618" s="2">
        <f>IFERROR(J618/I618*100,0)</f>
        <v>0</v>
      </c>
      <c r="O618" s="2">
        <f>IFERROR(N618/M618*100,0)</f>
        <v>0</v>
      </c>
    </row>
    <row r="619" spans="11:15">
      <c r="K619" s="2">
        <f>IFERROR(J619/I619*100,0)</f>
        <v>0</v>
      </c>
      <c r="O619" s="2">
        <f>IFERROR(N619/M619*100,0)</f>
        <v>0</v>
      </c>
    </row>
    <row r="620" spans="11:15">
      <c r="K620" s="2">
        <f>IFERROR(J620/I620*100,0)</f>
        <v>0</v>
      </c>
      <c r="O620" s="2">
        <f>IFERROR(N620/M620*100,0)</f>
        <v>0</v>
      </c>
    </row>
    <row r="621" spans="11:15">
      <c r="K621" s="2">
        <f>IFERROR(J621/I621*100,0)</f>
        <v>0</v>
      </c>
      <c r="O621" s="2">
        <f>IFERROR(N621/M621*100,0)</f>
        <v>0</v>
      </c>
    </row>
    <row r="622" spans="11:15">
      <c r="K622" s="2">
        <f>IFERROR(J622/I622*100,0)</f>
        <v>0</v>
      </c>
      <c r="O622" s="2">
        <f>IFERROR(N622/M622*100,0)</f>
        <v>0</v>
      </c>
    </row>
    <row r="623" spans="11:15">
      <c r="K623" s="2">
        <f>IFERROR(J623/I623*100,0)</f>
        <v>0</v>
      </c>
      <c r="O623" s="2">
        <f>IFERROR(N623/M623*100,0)</f>
        <v>0</v>
      </c>
    </row>
    <row r="624" spans="11:15">
      <c r="K624" s="2">
        <f>IFERROR(J624/I624*100,0)</f>
        <v>0</v>
      </c>
      <c r="O624" s="2">
        <f>IFERROR(N624/M624*100,0)</f>
        <v>0</v>
      </c>
    </row>
    <row r="625" spans="11:15">
      <c r="K625" s="2">
        <f>IFERROR(J625/I625*100,0)</f>
        <v>0</v>
      </c>
      <c r="O625" s="2">
        <f>IFERROR(N625/M625*100,0)</f>
        <v>0</v>
      </c>
    </row>
    <row r="626" spans="11:15">
      <c r="K626" s="2">
        <f>IFERROR(J626/I626*100,0)</f>
        <v>0</v>
      </c>
      <c r="O626" s="2">
        <f>IFERROR(N626/M626*100,0)</f>
        <v>0</v>
      </c>
    </row>
    <row r="627" spans="11:15">
      <c r="K627" s="2">
        <f>IFERROR(J627/I627*100,0)</f>
        <v>0</v>
      </c>
      <c r="O627" s="2">
        <f>IFERROR(N627/M627*100,0)</f>
        <v>0</v>
      </c>
    </row>
    <row r="628" spans="11:15">
      <c r="K628" s="2">
        <f>IFERROR(J628/I628*100,0)</f>
        <v>0</v>
      </c>
      <c r="O628" s="2">
        <f>IFERROR(N628/M628*100,0)</f>
        <v>0</v>
      </c>
    </row>
    <row r="629" spans="11:15">
      <c r="K629" s="2">
        <f>IFERROR(J629/I629*100,0)</f>
        <v>0</v>
      </c>
      <c r="O629" s="2">
        <f>IFERROR(N629/M629*100,0)</f>
        <v>0</v>
      </c>
    </row>
    <row r="630" spans="11:15">
      <c r="K630" s="2">
        <f>IFERROR(J630/I630*100,0)</f>
        <v>0</v>
      </c>
      <c r="O630" s="2">
        <f>IFERROR(N630/M630*100,0)</f>
        <v>0</v>
      </c>
    </row>
    <row r="631" spans="11:15">
      <c r="K631" s="2">
        <f>IFERROR(J631/I631*100,0)</f>
        <v>0</v>
      </c>
      <c r="O631" s="2">
        <f>IFERROR(N631/M631*100,0)</f>
        <v>0</v>
      </c>
    </row>
    <row r="632" spans="11:15">
      <c r="K632" s="2">
        <f>IFERROR(J632/I632*100,0)</f>
        <v>0</v>
      </c>
      <c r="O632" s="2">
        <f>IFERROR(N632/M632*100,0)</f>
        <v>0</v>
      </c>
    </row>
    <row r="633" spans="11:15">
      <c r="K633" s="2">
        <f>IFERROR(J633/I633*100,0)</f>
        <v>0</v>
      </c>
      <c r="O633" s="2">
        <f>IFERROR(N633/M633*100,0)</f>
        <v>0</v>
      </c>
    </row>
    <row r="634" spans="11:15">
      <c r="K634" s="2">
        <f>IFERROR(J634/I634*100,0)</f>
        <v>0</v>
      </c>
      <c r="O634" s="2">
        <f>IFERROR(N634/M634*100,0)</f>
        <v>0</v>
      </c>
    </row>
    <row r="635" spans="11:15">
      <c r="K635" s="2">
        <f>IFERROR(J635/I635*100,0)</f>
        <v>0</v>
      </c>
      <c r="O635" s="2">
        <f>IFERROR(N635/M635*100,0)</f>
        <v>0</v>
      </c>
    </row>
    <row r="636" spans="11:15">
      <c r="K636" s="2">
        <f>IFERROR(J636/I636*100,0)</f>
        <v>0</v>
      </c>
      <c r="O636" s="2">
        <f>IFERROR(N636/M636*100,0)</f>
        <v>0</v>
      </c>
    </row>
    <row r="637" spans="11:15">
      <c r="K637" s="2">
        <f>IFERROR(J637/I637*100,0)</f>
        <v>0</v>
      </c>
      <c r="O637" s="2">
        <f>IFERROR(N637/M637*100,0)</f>
        <v>0</v>
      </c>
    </row>
    <row r="638" spans="11:15">
      <c r="K638" s="2">
        <f>IFERROR(J638/I638*100,0)</f>
        <v>0</v>
      </c>
      <c r="O638" s="2">
        <f>IFERROR(N638/M638*100,0)</f>
        <v>0</v>
      </c>
    </row>
    <row r="639" spans="11:15">
      <c r="K639" s="2">
        <f>IFERROR(J639/I639*100,0)</f>
        <v>0</v>
      </c>
      <c r="O639" s="2">
        <f>IFERROR(N639/M639*100,0)</f>
        <v>0</v>
      </c>
    </row>
    <row r="640" spans="11:15">
      <c r="K640" s="2">
        <f>IFERROR(J640/I640*100,0)</f>
        <v>0</v>
      </c>
      <c r="O640" s="2">
        <f>IFERROR(N640/M640*100,0)</f>
        <v>0</v>
      </c>
    </row>
    <row r="641" spans="11:15">
      <c r="K641" s="2">
        <f>IFERROR(J641/I641*100,0)</f>
        <v>0</v>
      </c>
      <c r="O641" s="2">
        <f>IFERROR(N641/M641*100,0)</f>
        <v>0</v>
      </c>
    </row>
    <row r="642" spans="11:15">
      <c r="K642" s="2">
        <f>IFERROR(J642/I642*100,0)</f>
        <v>0</v>
      </c>
      <c r="O642" s="2">
        <f>IFERROR(N642/M642*100,0)</f>
        <v>0</v>
      </c>
    </row>
    <row r="643" spans="11:15">
      <c r="K643" s="2">
        <f>IFERROR(J643/I643*100,0)</f>
        <v>0</v>
      </c>
      <c r="O643" s="2">
        <f>IFERROR(N643/M643*100,0)</f>
        <v>0</v>
      </c>
    </row>
    <row r="644" spans="11:15">
      <c r="K644" s="2">
        <f>IFERROR(J644/I644*100,0)</f>
        <v>0</v>
      </c>
      <c r="O644" s="2">
        <f>IFERROR(N644/M644*100,0)</f>
        <v>0</v>
      </c>
    </row>
    <row r="645" spans="11:15">
      <c r="K645" s="2">
        <f>IFERROR(J645/I645*100,0)</f>
        <v>0</v>
      </c>
      <c r="O645" s="2">
        <f>IFERROR(N645/M645*100,0)</f>
        <v>0</v>
      </c>
    </row>
    <row r="646" spans="11:15">
      <c r="K646" s="2">
        <f>IFERROR(J646/I646*100,0)</f>
        <v>0</v>
      </c>
      <c r="O646" s="2">
        <f>IFERROR(N646/M646*100,0)</f>
        <v>0</v>
      </c>
    </row>
    <row r="647" spans="11:15">
      <c r="K647" s="2">
        <f>IFERROR(J647/I647*100,0)</f>
        <v>0</v>
      </c>
      <c r="O647" s="2">
        <f>IFERROR(N647/M647*100,0)</f>
        <v>0</v>
      </c>
    </row>
    <row r="648" spans="11:15">
      <c r="K648" s="2">
        <f>IFERROR(J648/I648*100,0)</f>
        <v>0</v>
      </c>
      <c r="O648" s="2">
        <f>IFERROR(N648/M648*100,0)</f>
        <v>0</v>
      </c>
    </row>
    <row r="649" spans="11:15">
      <c r="K649" s="2">
        <f>IFERROR(J649/I649*100,0)</f>
        <v>0</v>
      </c>
      <c r="O649" s="2">
        <f>IFERROR(N649/M649*100,0)</f>
        <v>0</v>
      </c>
    </row>
    <row r="650" spans="11:15">
      <c r="K650" s="2">
        <f>IFERROR(J650/I650*100,0)</f>
        <v>0</v>
      </c>
      <c r="O650" s="2">
        <f>IFERROR(N650/M650*100,0)</f>
        <v>0</v>
      </c>
    </row>
    <row r="651" spans="11:15">
      <c r="K651" s="2">
        <f>IFERROR(J651/I651*100,0)</f>
        <v>0</v>
      </c>
      <c r="O651" s="2">
        <f>IFERROR(N651/M651*100,0)</f>
        <v>0</v>
      </c>
    </row>
    <row r="652" spans="11:15">
      <c r="K652" s="2">
        <f>IFERROR(J652/I652*100,0)</f>
        <v>0</v>
      </c>
      <c r="O652" s="2">
        <f>IFERROR(N652/M652*100,0)</f>
        <v>0</v>
      </c>
    </row>
    <row r="653" spans="11:15">
      <c r="K653" s="2">
        <f>IFERROR(J653/I653*100,0)</f>
        <v>0</v>
      </c>
      <c r="O653" s="2">
        <f>IFERROR(N653/M653*100,0)</f>
        <v>0</v>
      </c>
    </row>
    <row r="654" spans="11:15">
      <c r="K654" s="2">
        <f>IFERROR(J654/I654*100,0)</f>
        <v>0</v>
      </c>
      <c r="O654" s="2">
        <f>IFERROR(N654/M654*100,0)</f>
        <v>0</v>
      </c>
    </row>
    <row r="655" spans="11:15">
      <c r="K655" s="2">
        <f>IFERROR(J655/I655*100,0)</f>
        <v>0</v>
      </c>
      <c r="O655" s="2">
        <f>IFERROR(N655/M655*100,0)</f>
        <v>0</v>
      </c>
    </row>
    <row r="656" spans="11:15">
      <c r="K656" s="2">
        <f>IFERROR(J656/I656*100,0)</f>
        <v>0</v>
      </c>
      <c r="O656" s="2">
        <f>IFERROR(N656/M656*100,0)</f>
        <v>0</v>
      </c>
    </row>
    <row r="657" spans="11:15">
      <c r="K657" s="2">
        <f>IFERROR(J657/I657*100,0)</f>
        <v>0</v>
      </c>
      <c r="O657" s="2">
        <f>IFERROR(N657/M657*100,0)</f>
        <v>0</v>
      </c>
    </row>
    <row r="658" spans="11:15">
      <c r="K658" s="2">
        <f>IFERROR(J658/I658*100,0)</f>
        <v>0</v>
      </c>
      <c r="O658" s="2">
        <f>IFERROR(N658/M658*100,0)</f>
        <v>0</v>
      </c>
    </row>
    <row r="659" spans="11:15">
      <c r="K659" s="2">
        <f>IFERROR(J659/I659*100,0)</f>
        <v>0</v>
      </c>
      <c r="O659" s="2">
        <f>IFERROR(N659/M659*100,0)</f>
        <v>0</v>
      </c>
    </row>
    <row r="660" spans="11:15">
      <c r="K660" s="2">
        <f>IFERROR(J660/I660*100,0)</f>
        <v>0</v>
      </c>
      <c r="O660" s="2">
        <f>IFERROR(N660/M660*100,0)</f>
        <v>0</v>
      </c>
    </row>
    <row r="661" spans="11:15">
      <c r="K661" s="2">
        <f>IFERROR(J661/I661*100,0)</f>
        <v>0</v>
      </c>
      <c r="O661" s="2">
        <f>IFERROR(N661/M661*100,0)</f>
        <v>0</v>
      </c>
    </row>
    <row r="662" spans="11:15">
      <c r="K662" s="2">
        <f>IFERROR(J662/I662*100,0)</f>
        <v>0</v>
      </c>
      <c r="O662" s="2">
        <f>IFERROR(N662/M662*100,0)</f>
        <v>0</v>
      </c>
    </row>
    <row r="663" spans="11:15">
      <c r="K663" s="2">
        <f>IFERROR(J663/I663*100,0)</f>
        <v>0</v>
      </c>
      <c r="O663" s="2">
        <f>IFERROR(N663/M663*100,0)</f>
        <v>0</v>
      </c>
    </row>
    <row r="664" spans="11:15">
      <c r="K664" s="2">
        <f>IFERROR(J664/I664*100,0)</f>
        <v>0</v>
      </c>
      <c r="O664" s="2">
        <f>IFERROR(N664/M664*100,0)</f>
        <v>0</v>
      </c>
    </row>
    <row r="665" spans="11:15">
      <c r="K665" s="2">
        <f>IFERROR(J665/I665*100,0)</f>
        <v>0</v>
      </c>
      <c r="O665" s="2">
        <f>IFERROR(N665/M665*100,0)</f>
        <v>0</v>
      </c>
    </row>
    <row r="666" spans="11:15">
      <c r="K666" s="2">
        <f>IFERROR(J666/I666*100,0)</f>
        <v>0</v>
      </c>
      <c r="O666" s="2">
        <f>IFERROR(N666/M666*100,0)</f>
        <v>0</v>
      </c>
    </row>
    <row r="667" spans="11:15">
      <c r="K667" s="2">
        <f>IFERROR(J667/I667*100,0)</f>
        <v>0</v>
      </c>
      <c r="O667" s="2">
        <f>IFERROR(N667/M667*100,0)</f>
        <v>0</v>
      </c>
    </row>
    <row r="668" spans="11:15">
      <c r="K668" s="2">
        <f>IFERROR(J668/I668*100,0)</f>
        <v>0</v>
      </c>
      <c r="O668" s="2">
        <f>IFERROR(N668/M668*100,0)</f>
        <v>0</v>
      </c>
    </row>
    <row r="669" spans="11:15">
      <c r="K669" s="2">
        <f>IFERROR(J669/I669*100,0)</f>
        <v>0</v>
      </c>
      <c r="O669" s="2">
        <f>IFERROR(N669/M669*100,0)</f>
        <v>0</v>
      </c>
    </row>
    <row r="670" spans="11:15">
      <c r="K670" s="2">
        <f>IFERROR(J670/I670*100,0)</f>
        <v>0</v>
      </c>
      <c r="O670" s="2">
        <f>IFERROR(N670/M670*100,0)</f>
        <v>0</v>
      </c>
    </row>
    <row r="671" spans="11:15">
      <c r="K671" s="2">
        <f>IFERROR(J671/I671*100,0)</f>
        <v>0</v>
      </c>
      <c r="O671" s="2">
        <f>IFERROR(N671/M671*100,0)</f>
        <v>0</v>
      </c>
    </row>
    <row r="672" spans="11:15">
      <c r="K672" s="2">
        <f>IFERROR(J672/I672*100,0)</f>
        <v>0</v>
      </c>
      <c r="O672" s="2">
        <f>IFERROR(N672/M672*100,0)</f>
        <v>0</v>
      </c>
    </row>
    <row r="673" spans="11:15">
      <c r="K673" s="2">
        <f>IFERROR(J673/I673*100,0)</f>
        <v>0</v>
      </c>
      <c r="O673" s="2">
        <f>IFERROR(N673/M673*100,0)</f>
        <v>0</v>
      </c>
    </row>
    <row r="674" spans="11:15">
      <c r="K674" s="2">
        <f>IFERROR(J674/I674*100,0)</f>
        <v>0</v>
      </c>
      <c r="O674" s="2">
        <f>IFERROR(N674/M674*100,0)</f>
        <v>0</v>
      </c>
    </row>
    <row r="675" spans="11:15">
      <c r="K675" s="2">
        <f>IFERROR(J675/I675*100,0)</f>
        <v>0</v>
      </c>
      <c r="O675" s="2">
        <f>IFERROR(N675/M675*100,0)</f>
        <v>0</v>
      </c>
    </row>
    <row r="676" spans="11:15">
      <c r="K676" s="2">
        <f>IFERROR(J676/I676*100,0)</f>
        <v>0</v>
      </c>
      <c r="O676" s="2">
        <f>IFERROR(N676/M676*100,0)</f>
        <v>0</v>
      </c>
    </row>
    <row r="677" spans="11:15">
      <c r="K677" s="2">
        <f>IFERROR(J677/I677*100,0)</f>
        <v>0</v>
      </c>
      <c r="O677" s="2">
        <f>IFERROR(N677/M677*100,0)</f>
        <v>0</v>
      </c>
    </row>
    <row r="678" spans="11:15">
      <c r="K678" s="2">
        <f>IFERROR(J678/I678*100,0)</f>
        <v>0</v>
      </c>
      <c r="O678" s="2">
        <f>IFERROR(N678/M678*100,0)</f>
        <v>0</v>
      </c>
    </row>
    <row r="679" spans="11:15">
      <c r="K679" s="2">
        <f>IFERROR(J679/I679*100,0)</f>
        <v>0</v>
      </c>
      <c r="O679" s="2">
        <f>IFERROR(N679/M679*100,0)</f>
        <v>0</v>
      </c>
    </row>
    <row r="680" spans="11:15">
      <c r="K680" s="2">
        <f>IFERROR(J680/I680*100,0)</f>
        <v>0</v>
      </c>
      <c r="O680" s="2">
        <f>IFERROR(N680/M680*100,0)</f>
        <v>0</v>
      </c>
    </row>
    <row r="681" spans="11:15">
      <c r="K681" s="2">
        <f>IFERROR(J681/I681*100,0)</f>
        <v>0</v>
      </c>
      <c r="O681" s="2">
        <f>IFERROR(N681/M681*100,0)</f>
        <v>0</v>
      </c>
    </row>
    <row r="682" spans="11:15">
      <c r="K682" s="2">
        <f>IFERROR(J682/I682*100,0)</f>
        <v>0</v>
      </c>
      <c r="O682" s="2">
        <f>IFERROR(N682/M682*100,0)</f>
        <v>0</v>
      </c>
    </row>
    <row r="683" spans="11:15">
      <c r="K683" s="2">
        <f>IFERROR(J683/I683*100,0)</f>
        <v>0</v>
      </c>
      <c r="O683" s="2">
        <f>IFERROR(N683/M683*100,0)</f>
        <v>0</v>
      </c>
    </row>
    <row r="684" spans="11:15">
      <c r="K684" s="2">
        <f>IFERROR(J684/I684*100,0)</f>
        <v>0</v>
      </c>
      <c r="O684" s="2">
        <f>IFERROR(N684/M684*100,0)</f>
        <v>0</v>
      </c>
    </row>
    <row r="685" spans="11:15">
      <c r="K685" s="2">
        <f>IFERROR(J685/I685*100,0)</f>
        <v>0</v>
      </c>
      <c r="O685" s="2">
        <f>IFERROR(N685/M685*100,0)</f>
        <v>0</v>
      </c>
    </row>
    <row r="686" spans="11:15">
      <c r="K686" s="2">
        <f>IFERROR(J686/I686*100,0)</f>
        <v>0</v>
      </c>
      <c r="O686" s="2">
        <f>IFERROR(N686/M686*100,0)</f>
        <v>0</v>
      </c>
    </row>
    <row r="687" spans="11:15">
      <c r="K687" s="2">
        <f>IFERROR(J687/I687*100,0)</f>
        <v>0</v>
      </c>
      <c r="O687" s="2">
        <f>IFERROR(N687/M687*100,0)</f>
        <v>0</v>
      </c>
    </row>
    <row r="688" spans="11:15">
      <c r="K688" s="2">
        <f>IFERROR(J688/I688*100,0)</f>
        <v>0</v>
      </c>
      <c r="O688" s="2">
        <f>IFERROR(N688/M688*100,0)</f>
        <v>0</v>
      </c>
    </row>
    <row r="689" spans="11:15">
      <c r="K689" s="2">
        <f>IFERROR(J689/I689*100,0)</f>
        <v>0</v>
      </c>
      <c r="O689" s="2">
        <f>IFERROR(N689/M689*100,0)</f>
        <v>0</v>
      </c>
    </row>
    <row r="690" spans="11:15">
      <c r="K690" s="2">
        <f>IFERROR(J690/I690*100,0)</f>
        <v>0</v>
      </c>
      <c r="O690" s="2">
        <f>IFERROR(N690/M690*100,0)</f>
        <v>0</v>
      </c>
    </row>
    <row r="691" spans="11:15">
      <c r="K691" s="2">
        <f>IFERROR(J691/I691*100,0)</f>
        <v>0</v>
      </c>
      <c r="O691" s="2">
        <f>IFERROR(N691/M691*100,0)</f>
        <v>0</v>
      </c>
    </row>
    <row r="692" spans="11:15">
      <c r="K692" s="2">
        <f>IFERROR(J692/I692*100,0)</f>
        <v>0</v>
      </c>
      <c r="O692" s="2">
        <f>IFERROR(N692/M692*100,0)</f>
        <v>0</v>
      </c>
    </row>
    <row r="693" spans="11:15">
      <c r="K693" s="2">
        <f>IFERROR(J693/I693*100,0)</f>
        <v>0</v>
      </c>
      <c r="O693" s="2">
        <f>IFERROR(N693/M693*100,0)</f>
        <v>0</v>
      </c>
    </row>
    <row r="694" spans="11:15">
      <c r="K694" s="2">
        <f>IFERROR(J694/I694*100,0)</f>
        <v>0</v>
      </c>
      <c r="O694" s="2">
        <f>IFERROR(N694/M694*100,0)</f>
        <v>0</v>
      </c>
    </row>
    <row r="695" spans="11:15">
      <c r="K695" s="2">
        <f>IFERROR(J695/I695*100,0)</f>
        <v>0</v>
      </c>
      <c r="O695" s="2">
        <f>IFERROR(N695/M695*100,0)</f>
        <v>0</v>
      </c>
    </row>
    <row r="696" spans="11:15">
      <c r="K696" s="2">
        <f>IFERROR(J696/I696*100,0)</f>
        <v>0</v>
      </c>
      <c r="O696" s="2">
        <f>IFERROR(N696/M696*100,0)</f>
        <v>0</v>
      </c>
    </row>
    <row r="697" spans="11:15">
      <c r="K697" s="2">
        <f>IFERROR(J697/I697*100,0)</f>
        <v>0</v>
      </c>
      <c r="O697" s="2">
        <f>IFERROR(N697/M697*100,0)</f>
        <v>0</v>
      </c>
    </row>
    <row r="698" spans="11:15">
      <c r="K698" s="2">
        <f>IFERROR(J698/I698*100,0)</f>
        <v>0</v>
      </c>
      <c r="O698" s="2">
        <f>IFERROR(N698/M698*100,0)</f>
        <v>0</v>
      </c>
    </row>
    <row r="699" spans="11:15">
      <c r="K699" s="2">
        <f>IFERROR(J699/I699*100,0)</f>
        <v>0</v>
      </c>
      <c r="O699" s="2">
        <f>IFERROR(N699/M699*100,0)</f>
        <v>0</v>
      </c>
    </row>
    <row r="700" spans="11:15">
      <c r="K700" s="2">
        <f>IFERROR(J700/I700*100,0)</f>
        <v>0</v>
      </c>
      <c r="O700" s="2">
        <f>IFERROR(N700/M700*100,0)</f>
        <v>0</v>
      </c>
    </row>
    <row r="701" spans="11:15">
      <c r="K701" s="2">
        <f>IFERROR(J701/I701*100,0)</f>
        <v>0</v>
      </c>
      <c r="O701" s="2">
        <f>IFERROR(N701/M701*100,0)</f>
        <v>0</v>
      </c>
    </row>
    <row r="702" spans="11:15">
      <c r="K702" s="2">
        <f>IFERROR(J702/I702*100,0)</f>
        <v>0</v>
      </c>
      <c r="O702" s="2">
        <f>IFERROR(N702/M702*100,0)</f>
        <v>0</v>
      </c>
    </row>
    <row r="703" spans="11:15">
      <c r="K703" s="2">
        <f>IFERROR(J703/I703*100,0)</f>
        <v>0</v>
      </c>
      <c r="O703" s="2">
        <f>IFERROR(N703/M703*100,0)</f>
        <v>0</v>
      </c>
    </row>
    <row r="704" spans="11:15">
      <c r="K704" s="2">
        <f>IFERROR(J704/I704*100,0)</f>
        <v>0</v>
      </c>
      <c r="O704" s="2">
        <f>IFERROR(N704/M704*100,0)</f>
        <v>0</v>
      </c>
    </row>
    <row r="705" spans="11:15">
      <c r="K705" s="2">
        <f>IFERROR(J705/I705*100,0)</f>
        <v>0</v>
      </c>
      <c r="O705" s="2">
        <f>IFERROR(N705/M705*100,0)</f>
        <v>0</v>
      </c>
    </row>
    <row r="706" spans="11:15">
      <c r="K706" s="2">
        <f>IFERROR(J706/I706*100,0)</f>
        <v>0</v>
      </c>
      <c r="O706" s="2">
        <f>IFERROR(N706/M706*100,0)</f>
        <v>0</v>
      </c>
    </row>
    <row r="707" spans="11:15">
      <c r="K707" s="2">
        <f>IFERROR(J707/I707*100,0)</f>
        <v>0</v>
      </c>
      <c r="O707" s="2">
        <f>IFERROR(N707/M707*100,0)</f>
        <v>0</v>
      </c>
    </row>
    <row r="708" spans="11:15">
      <c r="K708" s="2">
        <f>IFERROR(J708/I708*100,0)</f>
        <v>0</v>
      </c>
      <c r="O708" s="2">
        <f>IFERROR(N708/M708*100,0)</f>
        <v>0</v>
      </c>
    </row>
    <row r="709" spans="11:15">
      <c r="K709" s="2">
        <f>IFERROR(J709/I709*100,0)</f>
        <v>0</v>
      </c>
      <c r="O709" s="2">
        <f>IFERROR(N709/M709*100,0)</f>
        <v>0</v>
      </c>
    </row>
    <row r="710" spans="11:15">
      <c r="K710" s="2">
        <f>IFERROR(J710/I710*100,0)</f>
        <v>0</v>
      </c>
      <c r="O710" s="2">
        <f>IFERROR(N710/M710*100,0)</f>
        <v>0</v>
      </c>
    </row>
    <row r="711" spans="11:15">
      <c r="K711" s="2">
        <f>IFERROR(J711/I711*100,0)</f>
        <v>0</v>
      </c>
      <c r="O711" s="2">
        <f>IFERROR(N711/M711*100,0)</f>
        <v>0</v>
      </c>
    </row>
    <row r="712" spans="11:15">
      <c r="K712" s="2">
        <f>IFERROR(J712/I712*100,0)</f>
        <v>0</v>
      </c>
      <c r="O712" s="2">
        <f>IFERROR(N712/M712*100,0)</f>
        <v>0</v>
      </c>
    </row>
    <row r="713" spans="11:15">
      <c r="K713" s="2">
        <f>IFERROR(J713/I713*100,0)</f>
        <v>0</v>
      </c>
      <c r="O713" s="2">
        <f>IFERROR(N713/M713*100,0)</f>
        <v>0</v>
      </c>
    </row>
    <row r="714" spans="11:15">
      <c r="K714" s="2">
        <f>IFERROR(J714/I714*100,0)</f>
        <v>0</v>
      </c>
      <c r="O714" s="2">
        <f>IFERROR(N714/M714*100,0)</f>
        <v>0</v>
      </c>
    </row>
    <row r="715" spans="11:15">
      <c r="K715" s="2">
        <f>IFERROR(J715/I715*100,0)</f>
        <v>0</v>
      </c>
      <c r="O715" s="2">
        <f>IFERROR(N715/M715*100,0)</f>
        <v>0</v>
      </c>
    </row>
    <row r="716" spans="11:15">
      <c r="K716" s="2">
        <f>IFERROR(J716/I716*100,0)</f>
        <v>0</v>
      </c>
      <c r="O716" s="2">
        <f>IFERROR(N716/M716*100,0)</f>
        <v>0</v>
      </c>
    </row>
    <row r="717" spans="11:15">
      <c r="K717" s="2">
        <f>IFERROR(J717/I717*100,0)</f>
        <v>0</v>
      </c>
      <c r="O717" s="2">
        <f>IFERROR(N717/M717*100,0)</f>
        <v>0</v>
      </c>
    </row>
    <row r="718" spans="11:15">
      <c r="K718" s="2">
        <f>IFERROR(J718/I718*100,0)</f>
        <v>0</v>
      </c>
      <c r="O718" s="2">
        <f>IFERROR(N718/M718*100,0)</f>
        <v>0</v>
      </c>
    </row>
    <row r="719" spans="11:15">
      <c r="K719" s="2">
        <f>IFERROR(J719/I719*100,0)</f>
        <v>0</v>
      </c>
      <c r="O719" s="2">
        <f>IFERROR(N719/M719*100,0)</f>
        <v>0</v>
      </c>
    </row>
    <row r="720" spans="11:15">
      <c r="K720" s="2">
        <f>IFERROR(J720/I720*100,0)</f>
        <v>0</v>
      </c>
      <c r="O720" s="2">
        <f>IFERROR(N720/M720*100,0)</f>
        <v>0</v>
      </c>
    </row>
    <row r="721" spans="11:15">
      <c r="K721" s="2">
        <f>IFERROR(J721/I721*100,0)</f>
        <v>0</v>
      </c>
      <c r="O721" s="2">
        <f>IFERROR(N721/M721*100,0)</f>
        <v>0</v>
      </c>
    </row>
    <row r="722" spans="11:15">
      <c r="K722" s="2">
        <f>IFERROR(J722/I722*100,0)</f>
        <v>0</v>
      </c>
      <c r="O722" s="2">
        <f>IFERROR(N722/M722*100,0)</f>
        <v>0</v>
      </c>
    </row>
    <row r="723" spans="11:15">
      <c r="K723" s="2">
        <f>IFERROR(J723/I723*100,0)</f>
        <v>0</v>
      </c>
      <c r="O723" s="2">
        <f>IFERROR(N723/M723*100,0)</f>
        <v>0</v>
      </c>
    </row>
    <row r="724" spans="11:15">
      <c r="K724" s="2">
        <f>IFERROR(J724/I724*100,0)</f>
        <v>0</v>
      </c>
      <c r="O724" s="2">
        <f>IFERROR(N724/M724*100,0)</f>
        <v>0</v>
      </c>
    </row>
    <row r="725" spans="11:15">
      <c r="K725" s="2">
        <f>IFERROR(J725/I725*100,0)</f>
        <v>0</v>
      </c>
      <c r="O725" s="2">
        <f>IFERROR(N725/M725*100,0)</f>
        <v>0</v>
      </c>
    </row>
    <row r="726" spans="11:15">
      <c r="K726" s="2">
        <f>IFERROR(J726/I726*100,0)</f>
        <v>0</v>
      </c>
      <c r="O726" s="2">
        <f>IFERROR(N726/M726*100,0)</f>
        <v>0</v>
      </c>
    </row>
    <row r="727" spans="11:15">
      <c r="K727" s="2">
        <f>IFERROR(J727/I727*100,0)</f>
        <v>0</v>
      </c>
      <c r="O727" s="2">
        <f>IFERROR(N727/M727*100,0)</f>
        <v>0</v>
      </c>
    </row>
    <row r="728" spans="11:15">
      <c r="K728" s="2">
        <f>IFERROR(J728/I728*100,0)</f>
        <v>0</v>
      </c>
      <c r="O728" s="2">
        <f>IFERROR(N728/M728*100,0)</f>
        <v>0</v>
      </c>
    </row>
    <row r="729" spans="11:15">
      <c r="K729" s="2">
        <f>IFERROR(J729/I729*100,0)</f>
        <v>0</v>
      </c>
      <c r="O729" s="2">
        <f>IFERROR(N729/M729*100,0)</f>
        <v>0</v>
      </c>
    </row>
    <row r="730" spans="11:15">
      <c r="K730" s="2">
        <f>IFERROR(J730/I730*100,0)</f>
        <v>0</v>
      </c>
      <c r="O730" s="2">
        <f>IFERROR(N730/M730*100,0)</f>
        <v>0</v>
      </c>
    </row>
    <row r="731" spans="11:15">
      <c r="K731" s="2">
        <f>IFERROR(J731/I731*100,0)</f>
        <v>0</v>
      </c>
      <c r="O731" s="2">
        <f>IFERROR(N731/M731*100,0)</f>
        <v>0</v>
      </c>
    </row>
    <row r="732" spans="11:15">
      <c r="K732" s="2">
        <f>IFERROR(J732/I732*100,0)</f>
        <v>0</v>
      </c>
      <c r="O732" s="2">
        <f>IFERROR(N732/M732*100,0)</f>
        <v>0</v>
      </c>
    </row>
    <row r="733" spans="11:15">
      <c r="K733" s="2">
        <f>IFERROR(J733/I733*100,0)</f>
        <v>0</v>
      </c>
      <c r="O733" s="2">
        <f>IFERROR(N733/M733*100,0)</f>
        <v>0</v>
      </c>
    </row>
    <row r="734" spans="11:15">
      <c r="K734" s="2">
        <f>IFERROR(J734/I734*100,0)</f>
        <v>0</v>
      </c>
      <c r="O734" s="2">
        <f>IFERROR(N734/M734*100,0)</f>
        <v>0</v>
      </c>
    </row>
    <row r="735" spans="11:15">
      <c r="K735" s="2">
        <f>IFERROR(J735/I735*100,0)</f>
        <v>0</v>
      </c>
      <c r="O735" s="2">
        <f>IFERROR(N735/M735*100,0)</f>
        <v>0</v>
      </c>
    </row>
    <row r="736" spans="11:15">
      <c r="K736" s="2">
        <f>IFERROR(J736/I736*100,0)</f>
        <v>0</v>
      </c>
      <c r="O736" s="2">
        <f>IFERROR(N736/M736*100,0)</f>
        <v>0</v>
      </c>
    </row>
    <row r="737" spans="11:15">
      <c r="K737" s="2">
        <f>IFERROR(J737/I737*100,0)</f>
        <v>0</v>
      </c>
      <c r="O737" s="2">
        <f>IFERROR(N737/M737*100,0)</f>
        <v>0</v>
      </c>
    </row>
    <row r="738" spans="11:15">
      <c r="K738" s="2">
        <f>IFERROR(J738/I738*100,0)</f>
        <v>0</v>
      </c>
      <c r="O738" s="2">
        <f>IFERROR(N738/M738*100,0)</f>
        <v>0</v>
      </c>
    </row>
    <row r="739" spans="11:15">
      <c r="K739" s="2">
        <f>IFERROR(J739/I739*100,0)</f>
        <v>0</v>
      </c>
      <c r="O739" s="2">
        <f>IFERROR(N739/M739*100,0)</f>
        <v>0</v>
      </c>
    </row>
    <row r="740" spans="11:15">
      <c r="K740" s="2">
        <f>IFERROR(J740/I740*100,0)</f>
        <v>0</v>
      </c>
      <c r="O740" s="2">
        <f>IFERROR(N740/M740*100,0)</f>
        <v>0</v>
      </c>
    </row>
    <row r="741" spans="11:15">
      <c r="K741" s="2">
        <f>IFERROR(J741/I741*100,0)</f>
        <v>0</v>
      </c>
      <c r="O741" s="2">
        <f>IFERROR(N741/M741*100,0)</f>
        <v>0</v>
      </c>
    </row>
    <row r="742" spans="11:15">
      <c r="K742" s="2">
        <f>IFERROR(J742/I742*100,0)</f>
        <v>0</v>
      </c>
      <c r="O742" s="2">
        <f>IFERROR(N742/M742*100,0)</f>
        <v>0</v>
      </c>
    </row>
    <row r="743" spans="11:15">
      <c r="K743" s="2">
        <f>IFERROR(J743/I743*100,0)</f>
        <v>0</v>
      </c>
      <c r="O743" s="2">
        <f>IFERROR(N743/M743*100,0)</f>
        <v>0</v>
      </c>
    </row>
    <row r="744" spans="11:15">
      <c r="K744" s="2">
        <f>IFERROR(J744/I744*100,0)</f>
        <v>0</v>
      </c>
      <c r="O744" s="2">
        <f>IFERROR(N744/M744*100,0)</f>
        <v>0</v>
      </c>
    </row>
    <row r="745" spans="11:15">
      <c r="K745" s="2">
        <f>IFERROR(J745/I745*100,0)</f>
        <v>0</v>
      </c>
      <c r="O745" s="2">
        <f>IFERROR(N745/M745*100,0)</f>
        <v>0</v>
      </c>
    </row>
    <row r="746" spans="11:15">
      <c r="K746" s="2">
        <f>IFERROR(J746/I746*100,0)</f>
        <v>0</v>
      </c>
      <c r="O746" s="2">
        <f>IFERROR(N746/M746*100,0)</f>
        <v>0</v>
      </c>
    </row>
    <row r="747" spans="11:15">
      <c r="K747" s="2">
        <f>IFERROR(J747/I747*100,0)</f>
        <v>0</v>
      </c>
      <c r="O747" s="2">
        <f>IFERROR(N747/M747*100,0)</f>
        <v>0</v>
      </c>
    </row>
    <row r="748" spans="11:15">
      <c r="K748" s="2">
        <f>IFERROR(J748/I748*100,0)</f>
        <v>0</v>
      </c>
      <c r="O748" s="2">
        <f>IFERROR(N748/M748*100,0)</f>
        <v>0</v>
      </c>
    </row>
    <row r="749" spans="11:15">
      <c r="K749" s="2">
        <f>IFERROR(J749/I749*100,0)</f>
        <v>0</v>
      </c>
      <c r="O749" s="2">
        <f>IFERROR(N749/M749*100,0)</f>
        <v>0</v>
      </c>
    </row>
    <row r="750" spans="11:15">
      <c r="K750" s="2">
        <f>IFERROR(J750/I750*100,0)</f>
        <v>0</v>
      </c>
      <c r="O750" s="2">
        <f>IFERROR(N750/M750*100,0)</f>
        <v>0</v>
      </c>
    </row>
    <row r="751" spans="11:15">
      <c r="K751" s="2">
        <f>IFERROR(J751/I751*100,0)</f>
        <v>0</v>
      </c>
      <c r="O751" s="2">
        <f>IFERROR(N751/M751*100,0)</f>
        <v>0</v>
      </c>
    </row>
    <row r="752" spans="11:15">
      <c r="K752" s="2">
        <f>IFERROR(J752/I752*100,0)</f>
        <v>0</v>
      </c>
      <c r="O752" s="2">
        <f>IFERROR(N752/M752*100,0)</f>
        <v>0</v>
      </c>
    </row>
    <row r="753" spans="11:15">
      <c r="K753" s="2">
        <f>IFERROR(J753/I753*100,0)</f>
        <v>0</v>
      </c>
      <c r="O753" s="2">
        <f>IFERROR(N753/M753*100,0)</f>
        <v>0</v>
      </c>
    </row>
    <row r="754" spans="11:15">
      <c r="K754" s="2">
        <f>IFERROR(J754/I754*100,0)</f>
        <v>0</v>
      </c>
      <c r="O754" s="2">
        <f>IFERROR(N754/M754*100,0)</f>
        <v>0</v>
      </c>
    </row>
    <row r="755" spans="11:15">
      <c r="K755" s="2">
        <f>IFERROR(J755/I755*100,0)</f>
        <v>0</v>
      </c>
      <c r="O755" s="2">
        <f>IFERROR(N755/M755*100,0)</f>
        <v>0</v>
      </c>
    </row>
    <row r="756" spans="11:15">
      <c r="K756" s="2">
        <f>IFERROR(J756/I756*100,0)</f>
        <v>0</v>
      </c>
      <c r="O756" s="2">
        <f>IFERROR(N756/M756*100,0)</f>
        <v>0</v>
      </c>
    </row>
    <row r="757" spans="11:15">
      <c r="K757" s="2">
        <f>IFERROR(J757/I757*100,0)</f>
        <v>0</v>
      </c>
      <c r="O757" s="2">
        <f>IFERROR(N757/M757*100,0)</f>
        <v>0</v>
      </c>
    </row>
    <row r="758" spans="11:15">
      <c r="K758" s="2">
        <f>IFERROR(J758/I758*100,0)</f>
        <v>0</v>
      </c>
      <c r="O758" s="2">
        <f>IFERROR(N758/M758*100,0)</f>
        <v>0</v>
      </c>
    </row>
    <row r="759" spans="11:15">
      <c r="K759" s="2">
        <f>IFERROR(J759/I759*100,0)</f>
        <v>0</v>
      </c>
      <c r="O759" s="2">
        <f>IFERROR(N759/M759*100,0)</f>
        <v>0</v>
      </c>
    </row>
    <row r="760" spans="11:15">
      <c r="K760" s="2">
        <f>IFERROR(J760/I760*100,0)</f>
        <v>0</v>
      </c>
      <c r="O760" s="2">
        <f>IFERROR(N760/M760*100,0)</f>
        <v>0</v>
      </c>
    </row>
    <row r="761" spans="11:15">
      <c r="K761" s="2">
        <f>IFERROR(J761/I761*100,0)</f>
        <v>0</v>
      </c>
      <c r="O761" s="2">
        <f>IFERROR(N761/M761*100,0)</f>
        <v>0</v>
      </c>
    </row>
    <row r="762" spans="11:15">
      <c r="K762" s="2">
        <f>IFERROR(J762/I762*100,0)</f>
        <v>0</v>
      </c>
      <c r="O762" s="2">
        <f>IFERROR(N762/M762*100,0)</f>
        <v>0</v>
      </c>
    </row>
    <row r="763" spans="11:15">
      <c r="K763" s="2">
        <f>IFERROR(J763/I763*100,0)</f>
        <v>0</v>
      </c>
      <c r="O763" s="2">
        <f>IFERROR(N763/M763*100,0)</f>
        <v>0</v>
      </c>
    </row>
    <row r="764" spans="11:15">
      <c r="K764" s="2">
        <f>IFERROR(J764/I764*100,0)</f>
        <v>0</v>
      </c>
      <c r="O764" s="2">
        <f>IFERROR(N764/M764*100,0)</f>
        <v>0</v>
      </c>
    </row>
    <row r="765" spans="11:15">
      <c r="K765" s="2">
        <f>IFERROR(J765/I765*100,0)</f>
        <v>0</v>
      </c>
      <c r="O765" s="2">
        <f>IFERROR(N765/M765*100,0)</f>
        <v>0</v>
      </c>
    </row>
    <row r="766" spans="11:15">
      <c r="K766" s="2">
        <f>IFERROR(J766/I766*100,0)</f>
        <v>0</v>
      </c>
      <c r="O766" s="2">
        <f>IFERROR(N766/M766*100,0)</f>
        <v>0</v>
      </c>
    </row>
    <row r="767" spans="11:15">
      <c r="K767" s="2">
        <f>IFERROR(J767/I767*100,0)</f>
        <v>0</v>
      </c>
      <c r="O767" s="2">
        <f>IFERROR(N767/M767*100,0)</f>
        <v>0</v>
      </c>
    </row>
    <row r="768" spans="11:15">
      <c r="K768" s="2">
        <f>IFERROR(J768/I768*100,0)</f>
        <v>0</v>
      </c>
      <c r="O768" s="2">
        <f>IFERROR(N768/M768*100,0)</f>
        <v>0</v>
      </c>
    </row>
    <row r="769" spans="11:15">
      <c r="K769" s="2">
        <f>IFERROR(J769/I769*100,0)</f>
        <v>0</v>
      </c>
      <c r="O769" s="2">
        <f>IFERROR(N769/M769*100,0)</f>
        <v>0</v>
      </c>
    </row>
    <row r="770" spans="11:15">
      <c r="K770" s="2">
        <f>IFERROR(J770/I770*100,0)</f>
        <v>0</v>
      </c>
      <c r="O770" s="2">
        <f>IFERROR(N770/M770*100,0)</f>
        <v>0</v>
      </c>
    </row>
    <row r="771" spans="11:15">
      <c r="K771" s="2">
        <f>IFERROR(J771/I771*100,0)</f>
        <v>0</v>
      </c>
      <c r="O771" s="2">
        <f>IFERROR(N771/M771*100,0)</f>
        <v>0</v>
      </c>
    </row>
    <row r="772" spans="11:15">
      <c r="K772" s="2">
        <f>IFERROR(J772/I772*100,0)</f>
        <v>0</v>
      </c>
      <c r="O772" s="2">
        <f>IFERROR(N772/M772*100,0)</f>
        <v>0</v>
      </c>
    </row>
    <row r="773" spans="11:15">
      <c r="K773" s="2">
        <f>IFERROR(J773/I773*100,0)</f>
        <v>0</v>
      </c>
      <c r="O773" s="2">
        <f>IFERROR(N773/M773*100,0)</f>
        <v>0</v>
      </c>
    </row>
    <row r="774" spans="11:15">
      <c r="K774" s="2">
        <f>IFERROR(J774/I774*100,0)</f>
        <v>0</v>
      </c>
      <c r="O774" s="2">
        <f>IFERROR(N774/M774*100,0)</f>
        <v>0</v>
      </c>
    </row>
    <row r="775" spans="11:15">
      <c r="K775" s="2">
        <f>IFERROR(J775/I775*100,0)</f>
        <v>0</v>
      </c>
      <c r="O775" s="2">
        <f>IFERROR(N775/M775*100,0)</f>
        <v>0</v>
      </c>
    </row>
    <row r="776" spans="11:15">
      <c r="K776" s="2">
        <f>IFERROR(J776/I776*100,0)</f>
        <v>0</v>
      </c>
      <c r="O776" s="2">
        <f>IFERROR(N776/M776*100,0)</f>
        <v>0</v>
      </c>
    </row>
    <row r="777" spans="11:15">
      <c r="K777" s="2">
        <f>IFERROR(J777/I777*100,0)</f>
        <v>0</v>
      </c>
      <c r="O777" s="2">
        <f>IFERROR(N777/M777*100,0)</f>
        <v>0</v>
      </c>
    </row>
    <row r="778" spans="11:15">
      <c r="K778" s="2">
        <f>IFERROR(J778/I778*100,0)</f>
        <v>0</v>
      </c>
      <c r="O778" s="2">
        <f>IFERROR(N778/M778*100,0)</f>
        <v>0</v>
      </c>
    </row>
    <row r="779" spans="11:15">
      <c r="K779" s="2">
        <f>IFERROR(J779/I779*100,0)</f>
        <v>0</v>
      </c>
      <c r="O779" s="2">
        <f>IFERROR(N779/M779*100,0)</f>
        <v>0</v>
      </c>
    </row>
    <row r="780" spans="11:15">
      <c r="K780" s="2">
        <f>IFERROR(J780/I780*100,0)</f>
        <v>0</v>
      </c>
      <c r="O780" s="2">
        <f>IFERROR(N780/M780*100,0)</f>
        <v>0</v>
      </c>
    </row>
    <row r="781" spans="11:15">
      <c r="K781" s="2">
        <f>IFERROR(J781/I781*100,0)</f>
        <v>0</v>
      </c>
      <c r="O781" s="2">
        <f>IFERROR(N781/M781*100,0)</f>
        <v>0</v>
      </c>
    </row>
    <row r="782" spans="11:15">
      <c r="K782" s="2">
        <f>IFERROR(J782/I782*100,0)</f>
        <v>0</v>
      </c>
      <c r="O782" s="2">
        <f>IFERROR(N782/M782*100,0)</f>
        <v>0</v>
      </c>
    </row>
    <row r="783" spans="11:15">
      <c r="K783" s="2">
        <f>IFERROR(J783/I783*100,0)</f>
        <v>0</v>
      </c>
      <c r="O783" s="2">
        <f>IFERROR(N783/M783*100,0)</f>
        <v>0</v>
      </c>
    </row>
    <row r="784" spans="11:15">
      <c r="K784" s="2">
        <f>IFERROR(J784/I784*100,0)</f>
        <v>0</v>
      </c>
      <c r="O784" s="2">
        <f>IFERROR(N784/M784*100,0)</f>
        <v>0</v>
      </c>
    </row>
    <row r="785" spans="11:15">
      <c r="K785" s="2">
        <f>IFERROR(J785/I785*100,0)</f>
        <v>0</v>
      </c>
      <c r="O785" s="2">
        <f>IFERROR(N785/M785*100,0)</f>
        <v>0</v>
      </c>
    </row>
    <row r="786" spans="11:15">
      <c r="K786" s="2">
        <f>IFERROR(J786/I786*100,0)</f>
        <v>0</v>
      </c>
      <c r="O786" s="2">
        <f>IFERROR(N786/M786*100,0)</f>
        <v>0</v>
      </c>
    </row>
    <row r="787" spans="11:15">
      <c r="K787" s="2">
        <f>IFERROR(J787/I787*100,0)</f>
        <v>0</v>
      </c>
      <c r="O787" s="2">
        <f>IFERROR(N787/M787*100,0)</f>
        <v>0</v>
      </c>
    </row>
    <row r="788" spans="11:15">
      <c r="K788" s="2">
        <f>IFERROR(J788/I788*100,0)</f>
        <v>0</v>
      </c>
      <c r="O788" s="2">
        <f>IFERROR(N788/M788*100,0)</f>
        <v>0</v>
      </c>
    </row>
    <row r="789" spans="11:15">
      <c r="K789" s="2">
        <f>IFERROR(J789/I789*100,0)</f>
        <v>0</v>
      </c>
      <c r="O789" s="2">
        <f>IFERROR(N789/M789*100,0)</f>
        <v>0</v>
      </c>
    </row>
    <row r="790" spans="11:15">
      <c r="K790" s="2">
        <f>IFERROR(J790/I790*100,0)</f>
        <v>0</v>
      </c>
      <c r="O790" s="2">
        <f>IFERROR(N790/M790*100,0)</f>
        <v>0</v>
      </c>
    </row>
    <row r="791" spans="11:15">
      <c r="K791" s="2">
        <f>IFERROR(J791/I791*100,0)</f>
        <v>0</v>
      </c>
      <c r="O791" s="2">
        <f>IFERROR(N791/M791*100,0)</f>
        <v>0</v>
      </c>
    </row>
    <row r="792" spans="11:15">
      <c r="K792" s="2">
        <f>IFERROR(J792/I792*100,0)</f>
        <v>0</v>
      </c>
      <c r="O792" s="2">
        <f>IFERROR(N792/M792*100,0)</f>
        <v>0</v>
      </c>
    </row>
    <row r="793" spans="11:15">
      <c r="K793" s="2">
        <f>IFERROR(J793/I793*100,0)</f>
        <v>0</v>
      </c>
      <c r="O793" s="2">
        <f>IFERROR(N793/M793*100,0)</f>
        <v>0</v>
      </c>
    </row>
    <row r="794" spans="11:15">
      <c r="K794" s="2">
        <f>IFERROR(J794/I794*100,0)</f>
        <v>0</v>
      </c>
      <c r="O794" s="2">
        <f>IFERROR(N794/M794*100,0)</f>
        <v>0</v>
      </c>
    </row>
    <row r="795" spans="11:15">
      <c r="K795" s="2">
        <f>IFERROR(J795/I795*100,0)</f>
        <v>0</v>
      </c>
      <c r="O795" s="2">
        <f>IFERROR(N795/M795*100,0)</f>
        <v>0</v>
      </c>
    </row>
    <row r="796" spans="11:15">
      <c r="K796" s="2">
        <f>IFERROR(J796/I796*100,0)</f>
        <v>0</v>
      </c>
      <c r="O796" s="2">
        <f>IFERROR(N796/M796*100,0)</f>
        <v>0</v>
      </c>
    </row>
    <row r="797" spans="11:15">
      <c r="K797" s="2">
        <f>IFERROR(J797/I797*100,0)</f>
        <v>0</v>
      </c>
      <c r="O797" s="2">
        <f>IFERROR(N797/M797*100,0)</f>
        <v>0</v>
      </c>
    </row>
    <row r="798" spans="11:15">
      <c r="K798" s="2">
        <f>IFERROR(J798/I798*100,0)</f>
        <v>0</v>
      </c>
      <c r="O798" s="2">
        <f>IFERROR(N798/M798*100,0)</f>
        <v>0</v>
      </c>
    </row>
    <row r="799" spans="11:15">
      <c r="K799" s="2">
        <f>IFERROR(J799/I799*100,0)</f>
        <v>0</v>
      </c>
      <c r="O799" s="2">
        <f>IFERROR(N799/M799*100,0)</f>
        <v>0</v>
      </c>
    </row>
    <row r="800" spans="11:15">
      <c r="K800" s="2">
        <f>IFERROR(J800/I800*100,0)</f>
        <v>0</v>
      </c>
      <c r="O800" s="2">
        <f>IFERROR(N800/M800*100,0)</f>
        <v>0</v>
      </c>
    </row>
    <row r="801" spans="11:15">
      <c r="K801" s="2">
        <f>IFERROR(J801/I801*100,0)</f>
        <v>0</v>
      </c>
      <c r="O801" s="2">
        <f>IFERROR(N801/M801*100,0)</f>
        <v>0</v>
      </c>
    </row>
    <row r="802" spans="11:15">
      <c r="K802" s="2">
        <f>IFERROR(J802/I802*100,0)</f>
        <v>0</v>
      </c>
      <c r="O802" s="2">
        <f>IFERROR(N802/M802*100,0)</f>
        <v>0</v>
      </c>
    </row>
    <row r="803" spans="11:15">
      <c r="K803" s="2">
        <f>IFERROR(J803/I803*100,0)</f>
        <v>0</v>
      </c>
      <c r="O803" s="2">
        <f>IFERROR(N803/M803*100,0)</f>
        <v>0</v>
      </c>
    </row>
    <row r="804" spans="11:15">
      <c r="K804" s="2">
        <f>IFERROR(J804/I804*100,0)</f>
        <v>0</v>
      </c>
      <c r="O804" s="2">
        <f>IFERROR(N804/M804*100,0)</f>
        <v>0</v>
      </c>
    </row>
    <row r="805" spans="11:15">
      <c r="K805" s="2">
        <f>IFERROR(J805/I805*100,0)</f>
        <v>0</v>
      </c>
      <c r="O805" s="2">
        <f>IFERROR(N805/M805*100,0)</f>
        <v>0</v>
      </c>
    </row>
    <row r="806" spans="11:15">
      <c r="K806" s="2">
        <f>IFERROR(J806/I806*100,0)</f>
        <v>0</v>
      </c>
      <c r="O806" s="2">
        <f>IFERROR(N806/M806*100,0)</f>
        <v>0</v>
      </c>
    </row>
    <row r="807" spans="11:15">
      <c r="K807" s="2">
        <f>IFERROR(J807/I807*100,0)</f>
        <v>0</v>
      </c>
      <c r="O807" s="2">
        <f>IFERROR(N807/M807*100,0)</f>
        <v>0</v>
      </c>
    </row>
    <row r="808" spans="11:15">
      <c r="K808" s="2">
        <f>IFERROR(J808/I808*100,0)</f>
        <v>0</v>
      </c>
      <c r="O808" s="2">
        <f>IFERROR(N808/M808*100,0)</f>
        <v>0</v>
      </c>
    </row>
    <row r="809" spans="11:15">
      <c r="K809" s="2">
        <f>IFERROR(J809/I809*100,0)</f>
        <v>0</v>
      </c>
      <c r="O809" s="2">
        <f>IFERROR(N809/M809*100,0)</f>
        <v>0</v>
      </c>
    </row>
    <row r="810" spans="11:15">
      <c r="K810" s="2">
        <f>IFERROR(J810/I810*100,0)</f>
        <v>0</v>
      </c>
      <c r="O810" s="2">
        <f>IFERROR(N810/M810*100,0)</f>
        <v>0</v>
      </c>
    </row>
    <row r="811" spans="11:15">
      <c r="K811" s="2">
        <f>IFERROR(J811/I811*100,0)</f>
        <v>0</v>
      </c>
      <c r="O811" s="2">
        <f>IFERROR(N811/M811*100,0)</f>
        <v>0</v>
      </c>
    </row>
    <row r="812" spans="11:15">
      <c r="K812" s="2">
        <f>IFERROR(J812/I812*100,0)</f>
        <v>0</v>
      </c>
      <c r="O812" s="2">
        <f>IFERROR(N812/M812*100,0)</f>
        <v>0</v>
      </c>
    </row>
    <row r="813" spans="11:15">
      <c r="K813" s="2">
        <f>IFERROR(J813/I813*100,0)</f>
        <v>0</v>
      </c>
      <c r="O813" s="2">
        <f>IFERROR(N813/M813*100,0)</f>
        <v>0</v>
      </c>
    </row>
    <row r="814" spans="11:15">
      <c r="K814" s="2">
        <f>IFERROR(J814/I814*100,0)</f>
        <v>0</v>
      </c>
      <c r="O814" s="2">
        <f>IFERROR(N814/M814*100,0)</f>
        <v>0</v>
      </c>
    </row>
    <row r="815" spans="11:15">
      <c r="K815" s="2">
        <f>IFERROR(J815/I815*100,0)</f>
        <v>0</v>
      </c>
      <c r="O815" s="2">
        <f>IFERROR(N815/M815*100,0)</f>
        <v>0</v>
      </c>
    </row>
    <row r="816" spans="11:15">
      <c r="K816" s="2">
        <f>IFERROR(J816/I816*100,0)</f>
        <v>0</v>
      </c>
      <c r="O816" s="2">
        <f>IFERROR(N816/M816*100,0)</f>
        <v>0</v>
      </c>
    </row>
    <row r="817" spans="11:15">
      <c r="K817" s="2">
        <f>IFERROR(J817/I817*100,0)</f>
        <v>0</v>
      </c>
      <c r="O817" s="2">
        <f>IFERROR(N817/M817*100,0)</f>
        <v>0</v>
      </c>
    </row>
    <row r="818" spans="11:15">
      <c r="K818" s="2">
        <f>IFERROR(J818/I818*100,0)</f>
        <v>0</v>
      </c>
      <c r="O818" s="2">
        <f>IFERROR(N818/M818*100,0)</f>
        <v>0</v>
      </c>
    </row>
    <row r="819" spans="11:15">
      <c r="K819" s="2">
        <f>IFERROR(J819/I819*100,0)</f>
        <v>0</v>
      </c>
      <c r="O819" s="2">
        <f>IFERROR(N819/M819*100,0)</f>
        <v>0</v>
      </c>
    </row>
    <row r="820" spans="11:15">
      <c r="K820" s="2">
        <f>IFERROR(J820/I820*100,0)</f>
        <v>0</v>
      </c>
      <c r="O820" s="2">
        <f>IFERROR(N820/M820*100,0)</f>
        <v>0</v>
      </c>
    </row>
    <row r="821" spans="11:15">
      <c r="K821" s="2">
        <f>IFERROR(J821/I821*100,0)</f>
        <v>0</v>
      </c>
      <c r="O821" s="2">
        <f>IFERROR(N821/M821*100,0)</f>
        <v>0</v>
      </c>
    </row>
    <row r="822" spans="11:15">
      <c r="K822" s="2">
        <f>IFERROR(J822/I822*100,0)</f>
        <v>0</v>
      </c>
      <c r="O822" s="2">
        <f>IFERROR(N822/M822*100,0)</f>
        <v>0</v>
      </c>
    </row>
    <row r="823" spans="11:15">
      <c r="K823" s="2">
        <f>IFERROR(J823/I823*100,0)</f>
        <v>0</v>
      </c>
      <c r="O823" s="2">
        <f>IFERROR(N823/M823*100,0)</f>
        <v>0</v>
      </c>
    </row>
    <row r="824" spans="11:15">
      <c r="K824" s="2">
        <f>IFERROR(J824/I824*100,0)</f>
        <v>0</v>
      </c>
      <c r="O824" s="2">
        <f>IFERROR(N824/M824*100,0)</f>
        <v>0</v>
      </c>
    </row>
    <row r="825" spans="11:15">
      <c r="K825" s="2">
        <f>IFERROR(J825/I825*100,0)</f>
        <v>0</v>
      </c>
      <c r="O825" s="2">
        <f>IFERROR(N825/M825*100,0)</f>
        <v>0</v>
      </c>
    </row>
    <row r="826" spans="11:15">
      <c r="K826" s="2">
        <f>IFERROR(J826/I826*100,0)</f>
        <v>0</v>
      </c>
      <c r="O826" s="2">
        <f>IFERROR(N826/M826*100,0)</f>
        <v>0</v>
      </c>
    </row>
    <row r="827" spans="11:15">
      <c r="K827" s="2">
        <f>IFERROR(J827/I827*100,0)</f>
        <v>0</v>
      </c>
      <c r="O827" s="2">
        <f>IFERROR(N827/M827*100,0)</f>
        <v>0</v>
      </c>
    </row>
    <row r="828" spans="11:15">
      <c r="K828" s="2">
        <f>IFERROR(J828/I828*100,0)</f>
        <v>0</v>
      </c>
      <c r="O828" s="2">
        <f>IFERROR(N828/M828*100,0)</f>
        <v>0</v>
      </c>
    </row>
    <row r="829" spans="11:15">
      <c r="K829" s="2">
        <f>IFERROR(J829/I829*100,0)</f>
        <v>0</v>
      </c>
      <c r="O829" s="2">
        <f>IFERROR(N829/M829*100,0)</f>
        <v>0</v>
      </c>
    </row>
    <row r="830" spans="11:15">
      <c r="K830" s="2">
        <f>IFERROR(J830/I830*100,0)</f>
        <v>0</v>
      </c>
      <c r="O830" s="2">
        <f>IFERROR(N830/M830*100,0)</f>
        <v>0</v>
      </c>
    </row>
    <row r="831" spans="11:15">
      <c r="K831" s="2">
        <f>IFERROR(J831/I831*100,0)</f>
        <v>0</v>
      </c>
      <c r="O831" s="2">
        <f>IFERROR(N831/M831*100,0)</f>
        <v>0</v>
      </c>
    </row>
    <row r="832" spans="11:15">
      <c r="K832" s="2">
        <f>IFERROR(J832/I832*100,0)</f>
        <v>0</v>
      </c>
      <c r="O832" s="2">
        <f>IFERROR(N832/M832*100,0)</f>
        <v>0</v>
      </c>
    </row>
    <row r="833" spans="11:15">
      <c r="K833" s="2">
        <f>IFERROR(J833/I833*100,0)</f>
        <v>0</v>
      </c>
      <c r="O833" s="2">
        <f>IFERROR(N833/M833*100,0)</f>
        <v>0</v>
      </c>
    </row>
    <row r="834" spans="11:15">
      <c r="K834" s="2">
        <f>IFERROR(J834/I834*100,0)</f>
        <v>0</v>
      </c>
      <c r="O834" s="2">
        <f>IFERROR(N834/M834*100,0)</f>
        <v>0</v>
      </c>
    </row>
    <row r="835" spans="11:15">
      <c r="K835" s="2">
        <f>IFERROR(J835/I835*100,0)</f>
        <v>0</v>
      </c>
      <c r="O835" s="2">
        <f>IFERROR(N835/M835*100,0)</f>
        <v>0</v>
      </c>
    </row>
    <row r="836" spans="11:15">
      <c r="K836" s="2">
        <f>IFERROR(J836/I836*100,0)</f>
        <v>0</v>
      </c>
      <c r="O836" s="2">
        <f>IFERROR(N836/M836*100,0)</f>
        <v>0</v>
      </c>
    </row>
    <row r="837" spans="11:15">
      <c r="K837" s="2">
        <f>IFERROR(J837/I837*100,0)</f>
        <v>0</v>
      </c>
      <c r="O837" s="2">
        <f>IFERROR(N837/M837*100,0)</f>
        <v>0</v>
      </c>
    </row>
    <row r="838" spans="11:15">
      <c r="K838" s="2">
        <f>IFERROR(J838/I838*100,0)</f>
        <v>0</v>
      </c>
      <c r="O838" s="2">
        <f>IFERROR(N838/M838*100,0)</f>
        <v>0</v>
      </c>
    </row>
    <row r="839" spans="11:15">
      <c r="K839" s="2">
        <f>IFERROR(J839/I839*100,0)</f>
        <v>0</v>
      </c>
      <c r="O839" s="2">
        <f>IFERROR(N839/M839*100,0)</f>
        <v>0</v>
      </c>
    </row>
    <row r="840" spans="11:15">
      <c r="K840" s="2">
        <f>IFERROR(J840/I840*100,0)</f>
        <v>0</v>
      </c>
      <c r="O840" s="2">
        <f>IFERROR(N840/M840*100,0)</f>
        <v>0</v>
      </c>
    </row>
    <row r="841" spans="11:15">
      <c r="K841" s="2">
        <f>IFERROR(J841/I841*100,0)</f>
        <v>0</v>
      </c>
      <c r="O841" s="2">
        <f>IFERROR(N841/M841*100,0)</f>
        <v>0</v>
      </c>
    </row>
    <row r="842" spans="11:15">
      <c r="K842" s="2">
        <f>IFERROR(J842/I842*100,0)</f>
        <v>0</v>
      </c>
      <c r="O842" s="2">
        <f>IFERROR(N842/M842*100,0)</f>
        <v>0</v>
      </c>
    </row>
    <row r="843" spans="11:15">
      <c r="K843" s="2">
        <f>IFERROR(J843/I843*100,0)</f>
        <v>0</v>
      </c>
      <c r="O843" s="2">
        <f>IFERROR(N843/M843*100,0)</f>
        <v>0</v>
      </c>
    </row>
    <row r="844" spans="11:15">
      <c r="K844" s="2">
        <f>IFERROR(J844/I844*100,0)</f>
        <v>0</v>
      </c>
      <c r="O844" s="2">
        <f>IFERROR(N844/M844*100,0)</f>
        <v>0</v>
      </c>
    </row>
    <row r="845" spans="11:15">
      <c r="K845" s="2">
        <f>IFERROR(J845/I845*100,0)</f>
        <v>0</v>
      </c>
      <c r="O845" s="2">
        <f>IFERROR(N845/M845*100,0)</f>
        <v>0</v>
      </c>
    </row>
    <row r="846" spans="11:15">
      <c r="K846" s="2">
        <f>IFERROR(J846/I846*100,0)</f>
        <v>0</v>
      </c>
      <c r="O846" s="2">
        <f>IFERROR(N846/M846*100,0)</f>
        <v>0</v>
      </c>
    </row>
    <row r="847" spans="11:15">
      <c r="K847" s="2">
        <f>IFERROR(J847/I847*100,0)</f>
        <v>0</v>
      </c>
      <c r="O847" s="2">
        <f>IFERROR(N847/M847*100,0)</f>
        <v>0</v>
      </c>
    </row>
    <row r="848" spans="11:15">
      <c r="K848" s="2">
        <f>IFERROR(J848/I848*100,0)</f>
        <v>0</v>
      </c>
      <c r="O848" s="2">
        <f>IFERROR(N848/M848*100,0)</f>
        <v>0</v>
      </c>
    </row>
    <row r="849" spans="11:15">
      <c r="K849" s="2">
        <f>IFERROR(J849/I849*100,0)</f>
        <v>0</v>
      </c>
      <c r="O849" s="2">
        <f>IFERROR(N849/M849*100,0)</f>
        <v>0</v>
      </c>
    </row>
    <row r="850" spans="11:15">
      <c r="K850" s="2">
        <f>IFERROR(J850/I850*100,0)</f>
        <v>0</v>
      </c>
      <c r="O850" s="2">
        <f>IFERROR(N850/M850*100,0)</f>
        <v>0</v>
      </c>
    </row>
    <row r="851" spans="11:15">
      <c r="K851" s="2">
        <f>IFERROR(J851/I851*100,0)</f>
        <v>0</v>
      </c>
      <c r="O851" s="2">
        <f>IFERROR(N851/M851*100,0)</f>
        <v>0</v>
      </c>
    </row>
    <row r="852" spans="11:15">
      <c r="K852" s="2">
        <f>IFERROR(J852/I852*100,0)</f>
        <v>0</v>
      </c>
      <c r="O852" s="2">
        <f>IFERROR(N852/M852*100,0)</f>
        <v>0</v>
      </c>
    </row>
    <row r="853" spans="11:15">
      <c r="K853" s="2">
        <f>IFERROR(J853/I853*100,0)</f>
        <v>0</v>
      </c>
      <c r="O853" s="2">
        <f>IFERROR(N853/M853*100,0)</f>
        <v>0</v>
      </c>
    </row>
    <row r="854" spans="11:15">
      <c r="K854" s="2">
        <f>IFERROR(J854/I854*100,0)</f>
        <v>0</v>
      </c>
      <c r="O854" s="2">
        <f>IFERROR(N854/M854*100,0)</f>
        <v>0</v>
      </c>
    </row>
    <row r="855" spans="11:15">
      <c r="K855" s="2">
        <f>IFERROR(J855/I855*100,0)</f>
        <v>0</v>
      </c>
      <c r="O855" s="2">
        <f>IFERROR(N855/M855*100,0)</f>
        <v>0</v>
      </c>
    </row>
    <row r="856" spans="11:15">
      <c r="K856" s="2">
        <f>IFERROR(J856/I856*100,0)</f>
        <v>0</v>
      </c>
      <c r="O856" s="2">
        <f>IFERROR(N856/M856*100,0)</f>
        <v>0</v>
      </c>
    </row>
    <row r="857" spans="11:15">
      <c r="K857" s="2">
        <f>IFERROR(J857/I857*100,0)</f>
        <v>0</v>
      </c>
      <c r="O857" s="2">
        <f>IFERROR(N857/M857*100,0)</f>
        <v>0</v>
      </c>
    </row>
    <row r="858" spans="11:15">
      <c r="K858" s="2">
        <f>IFERROR(J858/I858*100,0)</f>
        <v>0</v>
      </c>
      <c r="O858" s="2">
        <f>IFERROR(N858/M858*100,0)</f>
        <v>0</v>
      </c>
    </row>
    <row r="859" spans="11:15">
      <c r="K859" s="2">
        <f>IFERROR(J859/I859*100,0)</f>
        <v>0</v>
      </c>
      <c r="O859" s="2">
        <f>IFERROR(N859/M859*100,0)</f>
        <v>0</v>
      </c>
    </row>
    <row r="860" spans="11:15">
      <c r="K860" s="2">
        <f>IFERROR(J860/I860*100,0)</f>
        <v>0</v>
      </c>
      <c r="O860" s="2">
        <f>IFERROR(N860/M860*100,0)</f>
        <v>0</v>
      </c>
    </row>
    <row r="861" spans="11:15">
      <c r="K861" s="2">
        <f>IFERROR(J861/I861*100,0)</f>
        <v>0</v>
      </c>
      <c r="O861" s="2">
        <f>IFERROR(N861/M861*100,0)</f>
        <v>0</v>
      </c>
    </row>
    <row r="862" spans="11:15">
      <c r="K862" s="2">
        <f>IFERROR(J862/I862*100,0)</f>
        <v>0</v>
      </c>
      <c r="O862" s="2">
        <f>IFERROR(N862/M862*100,0)</f>
        <v>0</v>
      </c>
    </row>
    <row r="863" spans="11:15">
      <c r="K863" s="2">
        <f>IFERROR(J863/I863*100,0)</f>
        <v>0</v>
      </c>
      <c r="O863" s="2">
        <f>IFERROR(N863/M863*100,0)</f>
        <v>0</v>
      </c>
    </row>
    <row r="864" spans="11:15">
      <c r="K864" s="2">
        <f>IFERROR(J864/I864*100,0)</f>
        <v>0</v>
      </c>
      <c r="O864" s="2">
        <f>IFERROR(N864/M864*100,0)</f>
        <v>0</v>
      </c>
    </row>
    <row r="865" spans="11:15">
      <c r="K865" s="2">
        <f>IFERROR(J865/I865*100,0)</f>
        <v>0</v>
      </c>
      <c r="O865" s="2">
        <f>IFERROR(N865/M865*100,0)</f>
        <v>0</v>
      </c>
    </row>
    <row r="866" spans="11:15">
      <c r="K866" s="2">
        <f>IFERROR(J866/I866*100,0)</f>
        <v>0</v>
      </c>
      <c r="O866" s="2">
        <f>IFERROR(N866/M866*100,0)</f>
        <v>0</v>
      </c>
    </row>
    <row r="867" spans="11:15">
      <c r="K867" s="2">
        <f>IFERROR(J867/I867*100,0)</f>
        <v>0</v>
      </c>
      <c r="O867" s="2">
        <f>IFERROR(N867/M867*100,0)</f>
        <v>0</v>
      </c>
    </row>
    <row r="868" spans="11:15">
      <c r="K868" s="2">
        <f>IFERROR(J868/I868*100,0)</f>
        <v>0</v>
      </c>
      <c r="O868" s="2">
        <f>IFERROR(N868/M868*100,0)</f>
        <v>0</v>
      </c>
    </row>
    <row r="869" spans="11:15">
      <c r="K869" s="2">
        <f>IFERROR(J869/I869*100,0)</f>
        <v>0</v>
      </c>
      <c r="O869" s="2">
        <f>IFERROR(N869/M869*100,0)</f>
        <v>0</v>
      </c>
    </row>
    <row r="870" spans="11:15">
      <c r="K870" s="2">
        <f>IFERROR(J870/I870*100,0)</f>
        <v>0</v>
      </c>
      <c r="O870" s="2">
        <f>IFERROR(N870/M870*100,0)</f>
        <v>0</v>
      </c>
    </row>
    <row r="871" spans="11:15">
      <c r="K871" s="2">
        <f>IFERROR(J871/I871*100,0)</f>
        <v>0</v>
      </c>
      <c r="O871" s="2">
        <f>IFERROR(N871/M871*100,0)</f>
        <v>0</v>
      </c>
    </row>
    <row r="872" spans="11:15">
      <c r="K872" s="2">
        <f>IFERROR(J872/I872*100,0)</f>
        <v>0</v>
      </c>
      <c r="O872" s="2">
        <f>IFERROR(N872/M872*100,0)</f>
        <v>0</v>
      </c>
    </row>
    <row r="873" spans="11:15">
      <c r="K873" s="2">
        <f>IFERROR(J873/I873*100,0)</f>
        <v>0</v>
      </c>
      <c r="O873" s="2">
        <f>IFERROR(N873/M873*100,0)</f>
        <v>0</v>
      </c>
    </row>
    <row r="874" spans="11:15">
      <c r="K874" s="2">
        <f>IFERROR(J874/I874*100,0)</f>
        <v>0</v>
      </c>
      <c r="O874" s="2">
        <f>IFERROR(N874/M874*100,0)</f>
        <v>0</v>
      </c>
    </row>
    <row r="875" spans="11:15">
      <c r="K875" s="2">
        <f>IFERROR(J875/I875*100,0)</f>
        <v>0</v>
      </c>
      <c r="O875" s="2">
        <f>IFERROR(N875/M875*100,0)</f>
        <v>0</v>
      </c>
    </row>
    <row r="876" spans="11:15">
      <c r="K876" s="2">
        <f>IFERROR(J876/I876*100,0)</f>
        <v>0</v>
      </c>
      <c r="O876" s="2">
        <f>IFERROR(N876/M876*100,0)</f>
        <v>0</v>
      </c>
    </row>
    <row r="877" spans="11:15">
      <c r="K877" s="2">
        <f>IFERROR(J877/I877*100,0)</f>
        <v>0</v>
      </c>
      <c r="O877" s="2">
        <f>IFERROR(N877/M877*100,0)</f>
        <v>0</v>
      </c>
    </row>
    <row r="878" spans="11:15">
      <c r="K878" s="2">
        <f>IFERROR(J878/I878*100,0)</f>
        <v>0</v>
      </c>
      <c r="O878" s="2">
        <f>IFERROR(N878/M878*100,0)</f>
        <v>0</v>
      </c>
    </row>
    <row r="879" spans="11:15">
      <c r="K879" s="2">
        <f>IFERROR(J879/I879*100,0)</f>
        <v>0</v>
      </c>
      <c r="O879" s="2">
        <f>IFERROR(N879/M879*100,0)</f>
        <v>0</v>
      </c>
    </row>
    <row r="880" spans="11:15">
      <c r="K880" s="2">
        <f>IFERROR(J880/I880*100,0)</f>
        <v>0</v>
      </c>
      <c r="O880" s="2">
        <f>IFERROR(N880/M880*100,0)</f>
        <v>0</v>
      </c>
    </row>
    <row r="881" spans="11:15">
      <c r="K881" s="2">
        <f>IFERROR(J881/I881*100,0)</f>
        <v>0</v>
      </c>
      <c r="O881" s="2">
        <f>IFERROR(N881/M881*100,0)</f>
        <v>0</v>
      </c>
    </row>
    <row r="882" spans="11:15">
      <c r="K882" s="2">
        <f>IFERROR(J882/I882*100,0)</f>
        <v>0</v>
      </c>
      <c r="O882" s="2">
        <f>IFERROR(N882/M882*100,0)</f>
        <v>0</v>
      </c>
    </row>
    <row r="883" spans="11:15">
      <c r="K883" s="2">
        <f>IFERROR(J883/I883*100,0)</f>
        <v>0</v>
      </c>
      <c r="O883" s="2">
        <f>IFERROR(N883/M883*100,0)</f>
        <v>0</v>
      </c>
    </row>
    <row r="884" spans="11:15">
      <c r="K884" s="2">
        <f>IFERROR(J884/I884*100,0)</f>
        <v>0</v>
      </c>
      <c r="O884" s="2">
        <f>IFERROR(N884/M884*100,0)</f>
        <v>0</v>
      </c>
    </row>
    <row r="885" spans="11:15">
      <c r="K885" s="2">
        <f>IFERROR(J885/I885*100,0)</f>
        <v>0</v>
      </c>
      <c r="O885" s="2">
        <f>IFERROR(N885/M885*100,0)</f>
        <v>0</v>
      </c>
    </row>
    <row r="886" spans="11:15">
      <c r="K886" s="2">
        <f>IFERROR(J886/I886*100,0)</f>
        <v>0</v>
      </c>
      <c r="O886" s="2">
        <f>IFERROR(N886/M886*100,0)</f>
        <v>0</v>
      </c>
    </row>
    <row r="887" spans="11:15">
      <c r="K887" s="2">
        <f>IFERROR(J887/I887*100,0)</f>
        <v>0</v>
      </c>
      <c r="O887" s="2">
        <f>IFERROR(N887/M887*100,0)</f>
        <v>0</v>
      </c>
    </row>
    <row r="888" spans="11:15">
      <c r="K888" s="2">
        <f>IFERROR(J888/I888*100,0)</f>
        <v>0</v>
      </c>
      <c r="O888" s="2">
        <f>IFERROR(N888/M888*100,0)</f>
        <v>0</v>
      </c>
    </row>
    <row r="889" spans="11:15">
      <c r="K889" s="2">
        <f>IFERROR(J889/I889*100,0)</f>
        <v>0</v>
      </c>
      <c r="O889" s="2">
        <f>IFERROR(N889/M889*100,0)</f>
        <v>0</v>
      </c>
    </row>
    <row r="890" spans="11:15">
      <c r="K890" s="2">
        <f>IFERROR(J890/I890*100,0)</f>
        <v>0</v>
      </c>
      <c r="O890" s="2">
        <f>IFERROR(N890/M890*100,0)</f>
        <v>0</v>
      </c>
    </row>
    <row r="891" spans="11:15">
      <c r="K891" s="2">
        <f>IFERROR(J891/I891*100,0)</f>
        <v>0</v>
      </c>
      <c r="O891" s="2">
        <f>IFERROR(N891/M891*100,0)</f>
        <v>0</v>
      </c>
    </row>
    <row r="892" spans="11:15">
      <c r="K892" s="2">
        <f>IFERROR(J892/I892*100,0)</f>
        <v>0</v>
      </c>
      <c r="O892" s="2">
        <f>IFERROR(N892/M892*100,0)</f>
        <v>0</v>
      </c>
    </row>
    <row r="893" spans="11:15">
      <c r="K893" s="2">
        <f>IFERROR(J893/I893*100,0)</f>
        <v>0</v>
      </c>
      <c r="O893" s="2">
        <f>IFERROR(N893/M893*100,0)</f>
        <v>0</v>
      </c>
    </row>
    <row r="894" spans="11:15">
      <c r="K894" s="2">
        <f>IFERROR(J894/I894*100,0)</f>
        <v>0</v>
      </c>
      <c r="O894" s="2">
        <f>IFERROR(N894/M894*100,0)</f>
        <v>0</v>
      </c>
    </row>
    <row r="895" spans="11:15">
      <c r="K895" s="2">
        <f>IFERROR(J895/I895*100,0)</f>
        <v>0</v>
      </c>
      <c r="O895" s="2">
        <f>IFERROR(N895/M895*100,0)</f>
        <v>0</v>
      </c>
    </row>
    <row r="896" spans="11:15">
      <c r="K896" s="2">
        <f>IFERROR(J896/I896*100,0)</f>
        <v>0</v>
      </c>
      <c r="O896" s="2">
        <f>IFERROR(N896/M896*100,0)</f>
        <v>0</v>
      </c>
    </row>
    <row r="897" spans="11:15">
      <c r="K897" s="2">
        <f>IFERROR(J897/I897*100,0)</f>
        <v>0</v>
      </c>
      <c r="O897" s="2">
        <f>IFERROR(N897/M897*100,0)</f>
        <v>0</v>
      </c>
    </row>
    <row r="898" spans="11:15">
      <c r="K898" s="2">
        <f>IFERROR(J898/I898*100,0)</f>
        <v>0</v>
      </c>
      <c r="O898" s="2">
        <f>IFERROR(N898/M898*100,0)</f>
        <v>0</v>
      </c>
    </row>
    <row r="899" spans="11:15">
      <c r="K899" s="2">
        <f>IFERROR(J899/I899*100,0)</f>
        <v>0</v>
      </c>
      <c r="O899" s="2">
        <f>IFERROR(N899/M899*100,0)</f>
        <v>0</v>
      </c>
    </row>
    <row r="900" spans="11:15">
      <c r="K900" s="2">
        <f>IFERROR(J900/I900*100,0)</f>
        <v>0</v>
      </c>
      <c r="O900" s="2">
        <f>IFERROR(N900/M900*100,0)</f>
        <v>0</v>
      </c>
    </row>
    <row r="901" spans="11:15">
      <c r="K901" s="2">
        <f>IFERROR(J901/I901*100,0)</f>
        <v>0</v>
      </c>
      <c r="O901" s="2">
        <f>IFERROR(N901/M901*100,0)</f>
        <v>0</v>
      </c>
    </row>
    <row r="902" spans="11:15">
      <c r="K902" s="2">
        <f>IFERROR(J902/I902*100,0)</f>
        <v>0</v>
      </c>
      <c r="O902" s="2">
        <f>IFERROR(N902/M902*100,0)</f>
        <v>0</v>
      </c>
    </row>
    <row r="903" spans="11:15">
      <c r="K903" s="2">
        <f>IFERROR(J903/I903*100,0)</f>
        <v>0</v>
      </c>
      <c r="O903" s="2">
        <f>IFERROR(N903/M903*100,0)</f>
        <v>0</v>
      </c>
    </row>
    <row r="904" spans="11:15">
      <c r="K904" s="2">
        <f>IFERROR(J904/I904*100,0)</f>
        <v>0</v>
      </c>
      <c r="O904" s="2">
        <f>IFERROR(N904/M904*100,0)</f>
        <v>0</v>
      </c>
    </row>
    <row r="905" spans="11:15">
      <c r="K905" s="2">
        <f>IFERROR(J905/I905*100,0)</f>
        <v>0</v>
      </c>
      <c r="O905" s="2">
        <f>IFERROR(N905/M905*100,0)</f>
        <v>0</v>
      </c>
    </row>
    <row r="906" spans="11:15">
      <c r="K906" s="2">
        <f>IFERROR(J906/I906*100,0)</f>
        <v>0</v>
      </c>
      <c r="O906" s="2">
        <f>IFERROR(N906/M906*100,0)</f>
        <v>0</v>
      </c>
    </row>
    <row r="907" spans="11:15">
      <c r="K907" s="2">
        <f>IFERROR(J907/I907*100,0)</f>
        <v>0</v>
      </c>
      <c r="O907" s="2">
        <f>IFERROR(N907/M907*100,0)</f>
        <v>0</v>
      </c>
    </row>
    <row r="908" spans="11:15">
      <c r="K908" s="2">
        <f>IFERROR(J908/I908*100,0)</f>
        <v>0</v>
      </c>
      <c r="O908" s="2">
        <f>IFERROR(N908/M908*100,0)</f>
        <v>0</v>
      </c>
    </row>
    <row r="909" spans="11:15">
      <c r="K909" s="2">
        <f>IFERROR(J909/I909*100,0)</f>
        <v>0</v>
      </c>
      <c r="O909" s="2">
        <f>IFERROR(N909/M909*100,0)</f>
        <v>0</v>
      </c>
    </row>
    <row r="910" spans="11:15">
      <c r="K910" s="2">
        <f>IFERROR(J910/I910*100,0)</f>
        <v>0</v>
      </c>
      <c r="O910" s="2">
        <f>IFERROR(N910/M910*100,0)</f>
        <v>0</v>
      </c>
    </row>
    <row r="911" spans="11:15">
      <c r="K911" s="2">
        <f>IFERROR(J911/I911*100,0)</f>
        <v>0</v>
      </c>
      <c r="O911" s="2">
        <f>IFERROR(N911/M911*100,0)</f>
        <v>0</v>
      </c>
    </row>
    <row r="912" spans="11:15">
      <c r="K912" s="2">
        <f>IFERROR(J912/I912*100,0)</f>
        <v>0</v>
      </c>
      <c r="O912" s="2">
        <f>IFERROR(N912/M912*100,0)</f>
        <v>0</v>
      </c>
    </row>
    <row r="913" spans="11:15">
      <c r="K913" s="2">
        <f>IFERROR(J913/I913*100,0)</f>
        <v>0</v>
      </c>
      <c r="O913" s="2">
        <f>IFERROR(N913/M913*100,0)</f>
        <v>0</v>
      </c>
    </row>
    <row r="914" spans="11:15">
      <c r="K914" s="2">
        <f>IFERROR(J914/I914*100,0)</f>
        <v>0</v>
      </c>
      <c r="O914" s="2">
        <f>IFERROR(N914/M914*100,0)</f>
        <v>0</v>
      </c>
    </row>
    <row r="915" spans="11:15">
      <c r="K915" s="2">
        <f>IFERROR(J915/I915*100,0)</f>
        <v>0</v>
      </c>
      <c r="O915" s="2">
        <f>IFERROR(N915/M915*100,0)</f>
        <v>0</v>
      </c>
    </row>
    <row r="916" spans="11:15">
      <c r="K916" s="2">
        <f>IFERROR(J916/I916*100,0)</f>
        <v>0</v>
      </c>
      <c r="O916" s="2">
        <f>IFERROR(N916/M916*100,0)</f>
        <v>0</v>
      </c>
    </row>
    <row r="917" spans="11:15">
      <c r="K917" s="2">
        <f>IFERROR(J917/I917*100,0)</f>
        <v>0</v>
      </c>
      <c r="O917" s="2">
        <f>IFERROR(N917/M917*100,0)</f>
        <v>0</v>
      </c>
    </row>
    <row r="918" spans="11:15">
      <c r="K918" s="2">
        <f>IFERROR(J918/I918*100,0)</f>
        <v>0</v>
      </c>
      <c r="O918" s="2">
        <f>IFERROR(N918/M918*100,0)</f>
        <v>0</v>
      </c>
    </row>
    <row r="919" spans="11:15">
      <c r="K919" s="2">
        <f>IFERROR(J919/I919*100,0)</f>
        <v>0</v>
      </c>
      <c r="O919" s="2">
        <f>IFERROR(N919/M919*100,0)</f>
        <v>0</v>
      </c>
    </row>
    <row r="920" spans="11:15">
      <c r="K920" s="2">
        <f>IFERROR(J920/I920*100,0)</f>
        <v>0</v>
      </c>
      <c r="O920" s="2">
        <f>IFERROR(N920/M920*100,0)</f>
        <v>0</v>
      </c>
    </row>
    <row r="921" spans="11:15">
      <c r="K921" s="2">
        <f>IFERROR(J921/I921*100,0)</f>
        <v>0</v>
      </c>
      <c r="O921" s="2">
        <f>IFERROR(N921/M921*100,0)</f>
        <v>0</v>
      </c>
    </row>
    <row r="922" spans="11:15">
      <c r="K922" s="2">
        <f>IFERROR(J922/I922*100,0)</f>
        <v>0</v>
      </c>
      <c r="O922" s="2">
        <f>IFERROR(N922/M922*100,0)</f>
        <v>0</v>
      </c>
    </row>
    <row r="923" spans="11:15">
      <c r="K923" s="2">
        <f>IFERROR(J923/I923*100,0)</f>
        <v>0</v>
      </c>
      <c r="O923" s="2">
        <f>IFERROR(N923/M923*100,0)</f>
        <v>0</v>
      </c>
    </row>
    <row r="924" spans="11:15">
      <c r="K924" s="2">
        <f>IFERROR(J924/I924*100,0)</f>
        <v>0</v>
      </c>
      <c r="O924" s="2">
        <f>IFERROR(N924/M924*100,0)</f>
        <v>0</v>
      </c>
    </row>
    <row r="925" spans="11:15">
      <c r="K925" s="2">
        <f>IFERROR(J925/I925*100,0)</f>
        <v>0</v>
      </c>
      <c r="O925" s="2">
        <f>IFERROR(N925/M925*100,0)</f>
        <v>0</v>
      </c>
    </row>
    <row r="926" spans="11:15">
      <c r="K926" s="2">
        <f>IFERROR(J926/I926*100,0)</f>
        <v>0</v>
      </c>
      <c r="O926" s="2">
        <f>IFERROR(N926/M926*100,0)</f>
        <v>0</v>
      </c>
    </row>
    <row r="927" spans="11:15">
      <c r="K927" s="2">
        <f>IFERROR(J927/I927*100,0)</f>
        <v>0</v>
      </c>
      <c r="O927" s="2">
        <f>IFERROR(N927/M927*100,0)</f>
        <v>0</v>
      </c>
    </row>
    <row r="928" spans="11:15">
      <c r="K928" s="2">
        <f>IFERROR(J928/I928*100,0)</f>
        <v>0</v>
      </c>
      <c r="O928" s="2">
        <f>IFERROR(N928/M928*100,0)</f>
        <v>0</v>
      </c>
    </row>
    <row r="929" spans="11:15">
      <c r="K929" s="2">
        <f>IFERROR(J929/I929*100,0)</f>
        <v>0</v>
      </c>
      <c r="O929" s="2">
        <f>IFERROR(N929/M929*100,0)</f>
        <v>0</v>
      </c>
    </row>
    <row r="930" spans="11:15">
      <c r="K930" s="2">
        <f>IFERROR(J930/I930*100,0)</f>
        <v>0</v>
      </c>
      <c r="O930" s="2">
        <f>IFERROR(N930/M930*100,0)</f>
        <v>0</v>
      </c>
    </row>
    <row r="931" spans="11:15">
      <c r="K931" s="2">
        <f>IFERROR(J931/I931*100,0)</f>
        <v>0</v>
      </c>
      <c r="O931" s="2">
        <f>IFERROR(N931/M931*100,0)</f>
        <v>0</v>
      </c>
    </row>
    <row r="932" spans="11:15">
      <c r="K932" s="2">
        <f>IFERROR(J932/I932*100,0)</f>
        <v>0</v>
      </c>
      <c r="O932" s="2">
        <f>IFERROR(N932/M932*100,0)</f>
        <v>0</v>
      </c>
    </row>
    <row r="933" spans="11:15">
      <c r="K933" s="2">
        <f>IFERROR(J933/I933*100,0)</f>
        <v>0</v>
      </c>
      <c r="O933" s="2">
        <f>IFERROR(N933/M933*100,0)</f>
        <v>0</v>
      </c>
    </row>
    <row r="934" spans="11:15">
      <c r="K934" s="2">
        <f>IFERROR(J934/I934*100,0)</f>
        <v>0</v>
      </c>
      <c r="O934" s="2">
        <f>IFERROR(N934/M934*100,0)</f>
        <v>0</v>
      </c>
    </row>
    <row r="935" spans="11:15">
      <c r="K935" s="2">
        <f>IFERROR(J935/I935*100,0)</f>
        <v>0</v>
      </c>
      <c r="O935" s="2">
        <f>IFERROR(N935/M935*100,0)</f>
        <v>0</v>
      </c>
    </row>
    <row r="936" spans="11:15">
      <c r="K936" s="2">
        <f>IFERROR(J936/I936*100,0)</f>
        <v>0</v>
      </c>
      <c r="O936" s="2">
        <f>IFERROR(N936/M936*100,0)</f>
        <v>0</v>
      </c>
    </row>
    <row r="937" spans="11:15">
      <c r="K937" s="2">
        <f>IFERROR(J937/I937*100,0)</f>
        <v>0</v>
      </c>
      <c r="O937" s="2">
        <f>IFERROR(N937/M937*100,0)</f>
        <v>0</v>
      </c>
    </row>
    <row r="938" spans="11:15">
      <c r="K938" s="2">
        <f>IFERROR(J938/I938*100,0)</f>
        <v>0</v>
      </c>
      <c r="O938" s="2">
        <f>IFERROR(N938/M938*100,0)</f>
        <v>0</v>
      </c>
    </row>
    <row r="939" spans="11:15">
      <c r="K939" s="2">
        <f>IFERROR(J939/I939*100,0)</f>
        <v>0</v>
      </c>
      <c r="O939" s="2">
        <f>IFERROR(N939/M939*100,0)</f>
        <v>0</v>
      </c>
    </row>
    <row r="940" spans="11:15">
      <c r="K940" s="2">
        <f>IFERROR(J940/I940*100,0)</f>
        <v>0</v>
      </c>
      <c r="O940" s="2">
        <f>IFERROR(N940/M940*100,0)</f>
        <v>0</v>
      </c>
    </row>
    <row r="941" spans="11:15">
      <c r="K941" s="2">
        <f>IFERROR(J941/I941*100,0)</f>
        <v>0</v>
      </c>
      <c r="O941" s="2">
        <f>IFERROR(N941/M941*100,0)</f>
        <v>0</v>
      </c>
    </row>
    <row r="942" spans="11:15">
      <c r="K942" s="2">
        <f>IFERROR(J942/I942*100,0)</f>
        <v>0</v>
      </c>
      <c r="O942" s="2">
        <f>IFERROR(N942/M942*100,0)</f>
        <v>0</v>
      </c>
    </row>
    <row r="943" spans="11:15">
      <c r="K943" s="2">
        <f>IFERROR(J943/I943*100,0)</f>
        <v>0</v>
      </c>
      <c r="O943" s="2">
        <f>IFERROR(N943/M943*100,0)</f>
        <v>0</v>
      </c>
    </row>
    <row r="944" spans="11:15">
      <c r="K944" s="2">
        <f>IFERROR(J944/I944*100,0)</f>
        <v>0</v>
      </c>
      <c r="O944" s="2">
        <f>IFERROR(N944/M944*100,0)</f>
        <v>0</v>
      </c>
    </row>
    <row r="945" spans="11:15">
      <c r="K945" s="2">
        <f>IFERROR(J945/I945*100,0)</f>
        <v>0</v>
      </c>
      <c r="O945" s="2">
        <f>IFERROR(N945/M945*100,0)</f>
        <v>0</v>
      </c>
    </row>
    <row r="946" spans="11:15">
      <c r="K946" s="2">
        <f>IFERROR(J946/I946*100,0)</f>
        <v>0</v>
      </c>
      <c r="O946" s="2">
        <f>IFERROR(N946/M946*100,0)</f>
        <v>0</v>
      </c>
    </row>
    <row r="947" spans="11:15">
      <c r="K947" s="2">
        <f>IFERROR(J947/I947*100,0)</f>
        <v>0</v>
      </c>
      <c r="O947" s="2">
        <f>IFERROR(N947/M947*100,0)</f>
        <v>0</v>
      </c>
    </row>
    <row r="948" spans="11:15">
      <c r="K948" s="2">
        <f>IFERROR(J948/I948*100,0)</f>
        <v>0</v>
      </c>
      <c r="O948" s="2">
        <f>IFERROR(N948/M948*100,0)</f>
        <v>0</v>
      </c>
    </row>
    <row r="949" spans="11:15">
      <c r="K949" s="2">
        <f>IFERROR(J949/I949*100,0)</f>
        <v>0</v>
      </c>
      <c r="O949" s="2">
        <f>IFERROR(N949/M949*100,0)</f>
        <v>0</v>
      </c>
    </row>
    <row r="950" spans="11:15">
      <c r="K950" s="2">
        <f>IFERROR(J950/I950*100,0)</f>
        <v>0</v>
      </c>
      <c r="O950" s="2">
        <f>IFERROR(N950/M950*100,0)</f>
        <v>0</v>
      </c>
    </row>
    <row r="951" spans="11:15">
      <c r="K951" s="2">
        <f>IFERROR(J951/I951*100,0)</f>
        <v>0</v>
      </c>
      <c r="O951" s="2">
        <f>IFERROR(N951/M951*100,0)</f>
        <v>0</v>
      </c>
    </row>
    <row r="952" spans="11:15">
      <c r="K952" s="2">
        <f>IFERROR(J952/I952*100,0)</f>
        <v>0</v>
      </c>
      <c r="O952" s="2">
        <f>IFERROR(N952/M952*100,0)</f>
        <v>0</v>
      </c>
    </row>
    <row r="953" spans="11:15">
      <c r="K953" s="2">
        <f>IFERROR(J953/I953*100,0)</f>
        <v>0</v>
      </c>
      <c r="O953" s="2">
        <f>IFERROR(N953/M953*100,0)</f>
        <v>0</v>
      </c>
    </row>
    <row r="954" spans="11:15">
      <c r="K954" s="2">
        <f>IFERROR(J954/I954*100,0)</f>
        <v>0</v>
      </c>
      <c r="O954" s="2">
        <f>IFERROR(N954/M954*100,0)</f>
        <v>0</v>
      </c>
    </row>
    <row r="955" spans="11:15">
      <c r="K955" s="2">
        <f>IFERROR(J955/I955*100,0)</f>
        <v>0</v>
      </c>
      <c r="O955" s="2">
        <f>IFERROR(N955/M955*100,0)</f>
        <v>0</v>
      </c>
    </row>
    <row r="956" spans="11:15">
      <c r="K956" s="2">
        <f>IFERROR(J956/I956*100,0)</f>
        <v>0</v>
      </c>
      <c r="O956" s="2">
        <f>IFERROR(N956/M956*100,0)</f>
        <v>0</v>
      </c>
    </row>
    <row r="957" spans="11:15">
      <c r="K957" s="2">
        <f>IFERROR(J957/I957*100,0)</f>
        <v>0</v>
      </c>
      <c r="O957" s="2">
        <f>IFERROR(N957/M957*100,0)</f>
        <v>0</v>
      </c>
    </row>
    <row r="958" spans="11:15">
      <c r="K958" s="2">
        <f>IFERROR(J958/I958*100,0)</f>
        <v>0</v>
      </c>
      <c r="O958" s="2">
        <f>IFERROR(N958/M958*100,0)</f>
        <v>0</v>
      </c>
    </row>
    <row r="959" spans="11:15">
      <c r="K959" s="2">
        <f>IFERROR(J959/I959*100,0)</f>
        <v>0</v>
      </c>
      <c r="O959" s="2">
        <f>IFERROR(N959/M959*100,0)</f>
        <v>0</v>
      </c>
    </row>
    <row r="960" spans="11:15">
      <c r="K960" s="2">
        <f>IFERROR(J960/I960*100,0)</f>
        <v>0</v>
      </c>
      <c r="O960" s="2">
        <f>IFERROR(N960/M960*100,0)</f>
        <v>0</v>
      </c>
    </row>
    <row r="961" spans="11:15">
      <c r="K961" s="2">
        <f>IFERROR(J961/I961*100,0)</f>
        <v>0</v>
      </c>
      <c r="O961" s="2">
        <f>IFERROR(N961/M961*100,0)</f>
        <v>0</v>
      </c>
    </row>
    <row r="962" spans="11:15">
      <c r="K962" s="2">
        <f>IFERROR(J962/I962*100,0)</f>
        <v>0</v>
      </c>
      <c r="O962" s="2">
        <f>IFERROR(N962/M962*100,0)</f>
        <v>0</v>
      </c>
    </row>
    <row r="963" spans="11:15">
      <c r="K963" s="2">
        <f>IFERROR(J963/I963*100,0)</f>
        <v>0</v>
      </c>
      <c r="O963" s="2">
        <f>IFERROR(N963/M963*100,0)</f>
        <v>0</v>
      </c>
    </row>
    <row r="964" spans="11:15">
      <c r="K964" s="2">
        <f>IFERROR(J964/I964*100,0)</f>
        <v>0</v>
      </c>
      <c r="O964" s="2">
        <f>IFERROR(N964/M964*100,0)</f>
        <v>0</v>
      </c>
    </row>
    <row r="965" spans="11:15">
      <c r="K965" s="2">
        <f>IFERROR(J965/I965*100,0)</f>
        <v>0</v>
      </c>
      <c r="O965" s="2">
        <f>IFERROR(N965/M965*100,0)</f>
        <v>0</v>
      </c>
    </row>
    <row r="966" spans="11:15">
      <c r="K966" s="2">
        <f>IFERROR(J966/I966*100,0)</f>
        <v>0</v>
      </c>
      <c r="O966" s="2">
        <f>IFERROR(N966/M966*100,0)</f>
        <v>0</v>
      </c>
    </row>
    <row r="967" spans="11:15">
      <c r="K967" s="2">
        <f>IFERROR(J967/I967*100,0)</f>
        <v>0</v>
      </c>
      <c r="O967" s="2">
        <f>IFERROR(N967/M967*100,0)</f>
        <v>0</v>
      </c>
    </row>
    <row r="968" spans="11:15">
      <c r="K968" s="2">
        <f>IFERROR(J968/I968*100,0)</f>
        <v>0</v>
      </c>
      <c r="O968" s="2">
        <f>IFERROR(N968/M968*100,0)</f>
        <v>0</v>
      </c>
    </row>
    <row r="969" spans="11:15">
      <c r="K969" s="2">
        <f>IFERROR(J969/I969*100,0)</f>
        <v>0</v>
      </c>
      <c r="O969" s="2">
        <f>IFERROR(N969/M969*100,0)</f>
        <v>0</v>
      </c>
    </row>
    <row r="970" spans="11:15">
      <c r="K970" s="2">
        <f>IFERROR(J970/I970*100,0)</f>
        <v>0</v>
      </c>
      <c r="O970" s="2">
        <f>IFERROR(N970/M970*100,0)</f>
        <v>0</v>
      </c>
    </row>
    <row r="971" spans="11:15">
      <c r="K971" s="2">
        <f>IFERROR(J971/I971*100,0)</f>
        <v>0</v>
      </c>
      <c r="O971" s="2">
        <f>IFERROR(N971/M971*100,0)</f>
        <v>0</v>
      </c>
    </row>
    <row r="972" spans="11:15">
      <c r="K972" s="2">
        <f>IFERROR(J972/I972*100,0)</f>
        <v>0</v>
      </c>
      <c r="O972" s="2">
        <f>IFERROR(N972/M972*100,0)</f>
        <v>0</v>
      </c>
    </row>
    <row r="973" spans="11:15">
      <c r="K973" s="2">
        <f>IFERROR(J973/I973*100,0)</f>
        <v>0</v>
      </c>
      <c r="O973" s="2">
        <f>IFERROR(N973/M973*100,0)</f>
        <v>0</v>
      </c>
    </row>
    <row r="974" spans="11:15">
      <c r="K974" s="2">
        <f>IFERROR(J974/I974*100,0)</f>
        <v>0</v>
      </c>
      <c r="O974" s="2">
        <f>IFERROR(N974/M974*100,0)</f>
        <v>0</v>
      </c>
    </row>
    <row r="975" spans="11:15">
      <c r="K975" s="2">
        <f>IFERROR(J975/I975*100,0)</f>
        <v>0</v>
      </c>
      <c r="O975" s="2">
        <f>IFERROR(N975/M975*100,0)</f>
        <v>0</v>
      </c>
    </row>
    <row r="976" spans="11:15">
      <c r="K976" s="2">
        <f>IFERROR(J976/I976*100,0)</f>
        <v>0</v>
      </c>
      <c r="O976" s="2">
        <f>IFERROR(N976/M976*100,0)</f>
        <v>0</v>
      </c>
    </row>
    <row r="977" spans="11:15">
      <c r="K977" s="2">
        <f>IFERROR(J977/I977*100,0)</f>
        <v>0</v>
      </c>
      <c r="O977" s="2">
        <f>IFERROR(N977/M977*100,0)</f>
        <v>0</v>
      </c>
    </row>
    <row r="978" spans="11:15">
      <c r="K978" s="2">
        <f>IFERROR(J978/I978*100,0)</f>
        <v>0</v>
      </c>
      <c r="O978" s="2">
        <f>IFERROR(N978/M978*100,0)</f>
        <v>0</v>
      </c>
    </row>
    <row r="979" spans="11:15">
      <c r="K979" s="2">
        <f>IFERROR(J979/I979*100,0)</f>
        <v>0</v>
      </c>
      <c r="O979" s="2">
        <f>IFERROR(N979/M979*100,0)</f>
        <v>0</v>
      </c>
    </row>
    <row r="980" spans="11:15">
      <c r="K980" s="2">
        <f>IFERROR(J980/I980*100,0)</f>
        <v>0</v>
      </c>
      <c r="O980" s="2">
        <f>IFERROR(N980/M980*100,0)</f>
        <v>0</v>
      </c>
    </row>
    <row r="981" spans="11:15">
      <c r="K981" s="2">
        <f>IFERROR(J981/I981*100,0)</f>
        <v>0</v>
      </c>
      <c r="O981" s="2">
        <f>IFERROR(N981/M981*100,0)</f>
        <v>0</v>
      </c>
    </row>
    <row r="982" spans="11:15">
      <c r="K982" s="2">
        <f>IFERROR(J982/I982*100,0)</f>
        <v>0</v>
      </c>
      <c r="O982" s="2">
        <f>IFERROR(N982/M982*100,0)</f>
        <v>0</v>
      </c>
    </row>
    <row r="983" spans="11:15">
      <c r="K983" s="2">
        <f>IFERROR(J983/I983*100,0)</f>
        <v>0</v>
      </c>
      <c r="O983" s="2">
        <f>IFERROR(N983/M983*100,0)</f>
        <v>0</v>
      </c>
    </row>
    <row r="984" spans="11:15">
      <c r="K984" s="2">
        <f>IFERROR(J984/I984*100,0)</f>
        <v>0</v>
      </c>
      <c r="O984" s="2">
        <f>IFERROR(N984/M984*100,0)</f>
        <v>0</v>
      </c>
    </row>
    <row r="985" spans="11:15">
      <c r="K985" s="2">
        <f>IFERROR(J985/I985*100,0)</f>
        <v>0</v>
      </c>
      <c r="O985" s="2">
        <f>IFERROR(N985/M985*100,0)</f>
        <v>0</v>
      </c>
    </row>
    <row r="986" spans="11:15">
      <c r="K986" s="2">
        <f>IFERROR(J986/I986*100,0)</f>
        <v>0</v>
      </c>
      <c r="O986" s="2">
        <f>IFERROR(N986/M986*100,0)</f>
        <v>0</v>
      </c>
    </row>
    <row r="987" spans="11:15">
      <c r="K987" s="2">
        <f>IFERROR(J987/I987*100,0)</f>
        <v>0</v>
      </c>
      <c r="O987" s="2">
        <f>IFERROR(N987/M987*100,0)</f>
        <v>0</v>
      </c>
    </row>
    <row r="988" spans="11:15">
      <c r="K988" s="2">
        <f>IFERROR(J988/I988*100,0)</f>
        <v>0</v>
      </c>
      <c r="O988" s="2">
        <f>IFERROR(N988/M988*100,0)</f>
        <v>0</v>
      </c>
    </row>
    <row r="989" spans="11:15">
      <c r="K989" s="2">
        <f>IFERROR(J989/I989*100,0)</f>
        <v>0</v>
      </c>
      <c r="O989" s="2">
        <f>IFERROR(N989/M989*100,0)</f>
        <v>0</v>
      </c>
    </row>
    <row r="990" spans="11:15">
      <c r="K990" s="2">
        <f>IFERROR(J990/I990*100,0)</f>
        <v>0</v>
      </c>
      <c r="O990" s="2">
        <f>IFERROR(N990/M990*100,0)</f>
        <v>0</v>
      </c>
    </row>
    <row r="991" spans="11:15">
      <c r="K991" s="2">
        <f>IFERROR(J991/I991*100,0)</f>
        <v>0</v>
      </c>
      <c r="O991" s="2">
        <f>IFERROR(N991/M991*100,0)</f>
        <v>0</v>
      </c>
    </row>
    <row r="992" spans="11:15">
      <c r="K992" s="2">
        <f>IFERROR(J992/I992*100,0)</f>
        <v>0</v>
      </c>
      <c r="O992" s="2">
        <f>IFERROR(N992/M992*100,0)</f>
        <v>0</v>
      </c>
    </row>
    <row r="993" spans="11:15">
      <c r="K993" s="2">
        <f>IFERROR(J993/I993*100,0)</f>
        <v>0</v>
      </c>
      <c r="O993" s="2">
        <f>IFERROR(N993/M993*100,0)</f>
        <v>0</v>
      </c>
    </row>
    <row r="994" spans="11:15">
      <c r="K994" s="2">
        <f>IFERROR(J994/I994*100,0)</f>
        <v>0</v>
      </c>
      <c r="O994" s="2">
        <f>IFERROR(N994/M994*100,0)</f>
        <v>0</v>
      </c>
    </row>
    <row r="995" spans="11:15">
      <c r="K995" s="2">
        <f>IFERROR(J995/I995*100,0)</f>
        <v>0</v>
      </c>
      <c r="O995" s="2">
        <f>IFERROR(N995/M995*100,0)</f>
        <v>0</v>
      </c>
    </row>
    <row r="996" spans="11:15">
      <c r="K996" s="2">
        <f>IFERROR(J996/I996*100,0)</f>
        <v>0</v>
      </c>
      <c r="O996" s="2">
        <f>IFERROR(N996/M996*100,0)</f>
        <v>0</v>
      </c>
    </row>
    <row r="997" spans="11:15">
      <c r="K997" s="2">
        <f>IFERROR(J997/I997*100,0)</f>
        <v>0</v>
      </c>
      <c r="O997" s="2">
        <f>IFERROR(N997/M997*100,0)</f>
        <v>0</v>
      </c>
    </row>
    <row r="998" spans="11:15">
      <c r="K998" s="2">
        <f>IFERROR(J998/I998*100,0)</f>
        <v>0</v>
      </c>
      <c r="O998" s="2">
        <f>IFERROR(N998/M998*100,0)</f>
        <v>0</v>
      </c>
    </row>
    <row r="999" spans="11:15">
      <c r="K999" s="2">
        <f>IFERROR(J999/I999*100,0)</f>
        <v>0</v>
      </c>
      <c r="O999" s="2">
        <f>IFERROR(N999/M999*100,0)</f>
        <v>0</v>
      </c>
    </row>
    <row r="1000" spans="11:15">
      <c r="K1000" s="2">
        <f>IFERROR(J1000/I1000*100,0)</f>
        <v>0</v>
      </c>
      <c r="O1000" s="2">
        <f>IFERROR(N1000/M1000*100,0)</f>
        <v>0</v>
      </c>
    </row>
    <row r="1001" spans="11:15">
      <c r="K1001" s="2">
        <f>IFERROR(J1001/I1001*100,0)</f>
        <v>0</v>
      </c>
      <c r="O1001" s="2">
        <f>IFERROR(N1001/M1001*100,0)</f>
        <v>0</v>
      </c>
    </row>
    <row r="1002" spans="11:15">
      <c r="K1002" s="2">
        <f>IFERROR(J1002/I1002*100,0)</f>
        <v>0</v>
      </c>
      <c r="O1002" s="2">
        <f>IFERROR(N1002/M1002*100,0)</f>
        <v>0</v>
      </c>
    </row>
    <row r="1003" spans="11:15">
      <c r="K1003" s="2">
        <f>IFERROR(J1003/I1003*100,0)</f>
        <v>0</v>
      </c>
      <c r="O1003" s="2">
        <f>IFERROR(N1003/M1003*100,0)</f>
        <v>0</v>
      </c>
    </row>
  </sheetData>
  <mergeCells count="2">
    <mergeCell ref="A1:P1"/>
    <mergeCell ref="A2:P2"/>
  </mergeCells>
  <dataValidations count="1">
    <dataValidation type="list" allowBlank="1" showInputMessage="1" showErrorMessage="1" sqref="G4:G100003">
      <formula1>L_Dept</formula1>
    </dataValidation>
  </dataValidations>
  <hyperlinks>
    <hyperlink ref="R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64748B"/>
    <pageSetUpPr fitToPage="1"/>
  </sheetPr>
  <dimension ref="A1:P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4.7109375" style="1" customWidth="1"/>
    <col min="3" max="3" width="13.7109375" style="1" customWidth="1"/>
    <col min="4" max="5" width="9.7109375" style="1" customWidth="1"/>
    <col min="6" max="6" width="15.7109375" style="1" customWidth="1"/>
    <col min="7" max="7" width="17.7109375" style="1" customWidth="1"/>
    <col min="8" max="8" width="11.7109375" style="1" customWidth="1"/>
    <col min="9" max="9" width="21.7109375" style="1" customWidth="1"/>
    <col min="10" max="10" width="10.7109375" style="1" customWidth="1"/>
    <col min="11" max="11" width="9.7109375" style="1" customWidth="1"/>
    <col min="12" max="13" width="14.7109375" style="1" customWidth="1"/>
    <col min="14" max="14" width="9.7109375" style="2" customWidth="1"/>
  </cols>
  <sheetData>
    <row r="1" spans="1:16" ht="22" customHeight="1">
      <c r="A1" s="3" t="s">
        <v>578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4" t="s">
        <v>139</v>
      </c>
    </row>
    <row r="2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>
      <c r="A3" s="1" t="s">
        <v>124</v>
      </c>
      <c r="B3" s="1" t="s">
        <v>640</v>
      </c>
      <c r="C3" s="1" t="s">
        <v>641</v>
      </c>
      <c r="D3" s="1" t="s">
        <v>127</v>
      </c>
      <c r="E3" s="1" t="s">
        <v>642</v>
      </c>
      <c r="F3" s="1" t="s">
        <v>643</v>
      </c>
      <c r="G3" s="1" t="s">
        <v>644</v>
      </c>
      <c r="H3" s="1" t="s">
        <v>645</v>
      </c>
      <c r="I3" s="1" t="s">
        <v>646</v>
      </c>
      <c r="J3" s="1" t="s">
        <v>647</v>
      </c>
      <c r="K3" s="1" t="s">
        <v>288</v>
      </c>
      <c r="L3" s="1" t="s">
        <v>648</v>
      </c>
      <c r="M3" s="1" t="s">
        <v>649</v>
      </c>
      <c r="N3" s="2" t="s">
        <v>650</v>
      </c>
    </row>
    <row r="4" spans="1:16">
      <c r="A4" s="1">
        <v>1</v>
      </c>
      <c r="B4" s="1" t="s">
        <v>579</v>
      </c>
      <c r="C4" s="5">
        <v>46036</v>
      </c>
      <c r="D4" s="1" t="s">
        <v>3</v>
      </c>
      <c r="E4" s="6" t="s">
        <v>580</v>
      </c>
      <c r="F4" s="6" t="s">
        <v>4</v>
      </c>
      <c r="G4" s="1" t="s">
        <v>35</v>
      </c>
      <c r="H4" s="1" t="s">
        <v>7</v>
      </c>
      <c r="I4" s="1" t="s">
        <v>581</v>
      </c>
      <c r="J4" s="1" t="s">
        <v>142</v>
      </c>
      <c r="K4" s="1" t="s">
        <v>582</v>
      </c>
      <c r="L4" s="1">
        <v>44</v>
      </c>
      <c r="M4" s="1">
        <v>26</v>
      </c>
      <c r="N4" s="2">
        <f>IFERROR(M4/L4*100,0)</f>
        <v>0</v>
      </c>
    </row>
    <row r="5" spans="1:16">
      <c r="A5" s="1">
        <v>2</v>
      </c>
      <c r="B5" s="1" t="s">
        <v>583</v>
      </c>
      <c r="C5" s="5">
        <v>46029</v>
      </c>
      <c r="D5" s="1" t="s">
        <v>3</v>
      </c>
      <c r="E5" s="6" t="s">
        <v>584</v>
      </c>
      <c r="F5" s="6" t="s">
        <v>64</v>
      </c>
      <c r="G5" s="1" t="s">
        <v>35</v>
      </c>
      <c r="H5" s="1" t="s">
        <v>32</v>
      </c>
      <c r="I5" s="1" t="s">
        <v>585</v>
      </c>
      <c r="J5" s="1" t="s">
        <v>142</v>
      </c>
      <c r="K5" s="1" t="s">
        <v>582</v>
      </c>
      <c r="L5" s="1">
        <v>60</v>
      </c>
      <c r="M5" s="1">
        <v>24</v>
      </c>
      <c r="N5" s="2">
        <f>IFERROR(M5/L5*100,0)</f>
        <v>0</v>
      </c>
    </row>
    <row r="6" spans="1:16">
      <c r="A6" s="1">
        <v>3</v>
      </c>
      <c r="B6" s="1" t="s">
        <v>586</v>
      </c>
      <c r="C6" s="5">
        <v>46047</v>
      </c>
      <c r="D6" s="1" t="s">
        <v>3</v>
      </c>
      <c r="E6" s="6" t="s">
        <v>580</v>
      </c>
      <c r="F6" s="6" t="s">
        <v>12</v>
      </c>
      <c r="G6" s="1" t="s">
        <v>80</v>
      </c>
      <c r="H6" s="1" t="s">
        <v>104</v>
      </c>
      <c r="I6" s="1" t="s">
        <v>581</v>
      </c>
      <c r="J6" s="1" t="s">
        <v>147</v>
      </c>
      <c r="K6" s="1" t="s">
        <v>582</v>
      </c>
      <c r="L6" s="1">
        <v>16</v>
      </c>
      <c r="M6" s="1">
        <v>33</v>
      </c>
      <c r="N6" s="2">
        <f>IFERROR(M6/L6*100,0)</f>
        <v>0</v>
      </c>
    </row>
    <row r="7" spans="1:16">
      <c r="A7" s="1">
        <v>4</v>
      </c>
      <c r="B7" s="1" t="s">
        <v>587</v>
      </c>
      <c r="C7" s="5">
        <v>46025</v>
      </c>
      <c r="D7" s="1" t="s">
        <v>3</v>
      </c>
      <c r="E7" s="6" t="s">
        <v>588</v>
      </c>
      <c r="F7" s="6" t="s">
        <v>4</v>
      </c>
      <c r="G7" s="1" t="s">
        <v>14</v>
      </c>
      <c r="H7" s="1" t="s">
        <v>28</v>
      </c>
      <c r="I7" s="1" t="s">
        <v>589</v>
      </c>
      <c r="J7" s="1" t="s">
        <v>151</v>
      </c>
      <c r="K7" s="1" t="s">
        <v>590</v>
      </c>
      <c r="L7" s="1">
        <v>17</v>
      </c>
      <c r="M7" s="1">
        <v>46</v>
      </c>
      <c r="N7" s="2">
        <f>IFERROR(M7/L7*100,0)</f>
        <v>0</v>
      </c>
    </row>
    <row r="8" spans="1:16">
      <c r="A8" s="1">
        <v>5</v>
      </c>
      <c r="B8" s="1" t="s">
        <v>591</v>
      </c>
      <c r="C8" s="5">
        <v>46058</v>
      </c>
      <c r="D8" s="1" t="s">
        <v>19</v>
      </c>
      <c r="E8" s="6" t="s">
        <v>588</v>
      </c>
      <c r="F8" s="6" t="s">
        <v>64</v>
      </c>
      <c r="G8" s="1" t="s">
        <v>14</v>
      </c>
      <c r="H8" s="1" t="s">
        <v>7</v>
      </c>
      <c r="I8" s="1" t="s">
        <v>581</v>
      </c>
      <c r="J8" s="1" t="s">
        <v>164</v>
      </c>
      <c r="K8" s="1" t="s">
        <v>582</v>
      </c>
      <c r="L8" s="1">
        <v>41</v>
      </c>
      <c r="M8" s="1">
        <v>41</v>
      </c>
      <c r="N8" s="2">
        <f>IFERROR(M8/L8*100,0)</f>
        <v>0</v>
      </c>
    </row>
    <row r="9" spans="1:16">
      <c r="A9" s="1">
        <v>6</v>
      </c>
      <c r="B9" s="1" t="s">
        <v>592</v>
      </c>
      <c r="C9" s="5">
        <v>46058</v>
      </c>
      <c r="D9" s="1" t="s">
        <v>19</v>
      </c>
      <c r="E9" s="6" t="s">
        <v>593</v>
      </c>
      <c r="F9" s="6" t="s">
        <v>49</v>
      </c>
      <c r="G9" s="1" t="s">
        <v>14</v>
      </c>
      <c r="H9" s="1" t="s">
        <v>93</v>
      </c>
      <c r="I9" s="1" t="s">
        <v>581</v>
      </c>
      <c r="J9" s="1" t="s">
        <v>164</v>
      </c>
      <c r="K9" s="1" t="s">
        <v>594</v>
      </c>
      <c r="L9" s="1">
        <v>30</v>
      </c>
      <c r="M9" s="1">
        <v>16</v>
      </c>
      <c r="N9" s="2">
        <f>IFERROR(M9/L9*100,0)</f>
        <v>0</v>
      </c>
    </row>
    <row r="10" spans="1:16">
      <c r="A10" s="1">
        <v>7</v>
      </c>
      <c r="B10" s="1" t="s">
        <v>595</v>
      </c>
      <c r="C10" s="5">
        <v>46074</v>
      </c>
      <c r="D10" s="1" t="s">
        <v>19</v>
      </c>
      <c r="E10" s="6" t="s">
        <v>596</v>
      </c>
      <c r="F10" s="6" t="s">
        <v>49</v>
      </c>
      <c r="G10" s="1" t="s">
        <v>51</v>
      </c>
      <c r="H10" s="1" t="s">
        <v>93</v>
      </c>
      <c r="I10" s="1" t="s">
        <v>581</v>
      </c>
      <c r="J10" s="1" t="s">
        <v>151</v>
      </c>
      <c r="K10" s="1" t="s">
        <v>590</v>
      </c>
      <c r="L10" s="1">
        <v>25</v>
      </c>
      <c r="M10" s="1">
        <v>16</v>
      </c>
      <c r="N10" s="2">
        <f>IFERROR(M10/L10*100,0)</f>
        <v>0</v>
      </c>
    </row>
    <row r="11" spans="1:16">
      <c r="A11" s="1">
        <v>8</v>
      </c>
      <c r="B11" s="1" t="s">
        <v>597</v>
      </c>
      <c r="C11" s="5">
        <v>46060</v>
      </c>
      <c r="D11" s="1" t="s">
        <v>19</v>
      </c>
      <c r="E11" s="6" t="s">
        <v>588</v>
      </c>
      <c r="F11" s="6" t="s">
        <v>26</v>
      </c>
      <c r="G11" s="1" t="s">
        <v>51</v>
      </c>
      <c r="H11" s="1" t="s">
        <v>70</v>
      </c>
      <c r="I11" s="1" t="s">
        <v>589</v>
      </c>
      <c r="J11" s="1" t="s">
        <v>142</v>
      </c>
      <c r="K11" s="1" t="s">
        <v>582</v>
      </c>
      <c r="L11" s="1">
        <v>56</v>
      </c>
      <c r="M11" s="1">
        <v>55</v>
      </c>
      <c r="N11" s="2">
        <f>IFERROR(M11/L11*100,0)</f>
        <v>0</v>
      </c>
    </row>
    <row r="12" spans="1:16">
      <c r="A12" s="1">
        <v>9</v>
      </c>
      <c r="B12" s="1" t="s">
        <v>598</v>
      </c>
      <c r="C12" s="5">
        <v>46080</v>
      </c>
      <c r="D12" s="1" t="s">
        <v>19</v>
      </c>
      <c r="E12" s="6" t="s">
        <v>596</v>
      </c>
      <c r="F12" s="6" t="s">
        <v>54</v>
      </c>
      <c r="G12" s="1" t="s">
        <v>95</v>
      </c>
      <c r="H12" s="1" t="s">
        <v>7</v>
      </c>
      <c r="I12" s="1" t="s">
        <v>581</v>
      </c>
      <c r="J12" s="1" t="s">
        <v>151</v>
      </c>
      <c r="K12" s="1" t="s">
        <v>594</v>
      </c>
      <c r="L12" s="1">
        <v>25</v>
      </c>
      <c r="M12" s="1">
        <v>18</v>
      </c>
      <c r="N12" s="2">
        <f>IFERROR(M12/L12*100,0)</f>
        <v>0</v>
      </c>
    </row>
    <row r="13" spans="1:16">
      <c r="A13" s="1">
        <v>10</v>
      </c>
      <c r="B13" s="1" t="s">
        <v>599</v>
      </c>
      <c r="C13" s="5">
        <v>46096</v>
      </c>
      <c r="D13" s="1" t="s">
        <v>44</v>
      </c>
      <c r="E13" s="6" t="s">
        <v>596</v>
      </c>
      <c r="F13" s="6" t="s">
        <v>49</v>
      </c>
      <c r="G13" s="1" t="s">
        <v>31</v>
      </c>
      <c r="H13" s="1" t="s">
        <v>41</v>
      </c>
      <c r="I13" s="1" t="s">
        <v>585</v>
      </c>
      <c r="J13" s="1" t="s">
        <v>151</v>
      </c>
      <c r="K13" s="1" t="s">
        <v>582</v>
      </c>
      <c r="L13" s="1">
        <v>38</v>
      </c>
      <c r="M13" s="1">
        <v>23</v>
      </c>
      <c r="N13" s="2">
        <f>IFERROR(M13/L13*100,0)</f>
        <v>0</v>
      </c>
    </row>
    <row r="14" spans="1:16">
      <c r="A14" s="1">
        <v>11</v>
      </c>
      <c r="B14" s="1" t="s">
        <v>600</v>
      </c>
      <c r="C14" s="5">
        <v>46092</v>
      </c>
      <c r="D14" s="1" t="s">
        <v>44</v>
      </c>
      <c r="E14" s="6" t="s">
        <v>601</v>
      </c>
      <c r="F14" s="6" t="s">
        <v>64</v>
      </c>
      <c r="G14" s="1" t="s">
        <v>21</v>
      </c>
      <c r="H14" s="1" t="s">
        <v>68</v>
      </c>
      <c r="I14" s="1" t="s">
        <v>589</v>
      </c>
      <c r="J14" s="1" t="s">
        <v>147</v>
      </c>
      <c r="K14" s="1" t="s">
        <v>582</v>
      </c>
      <c r="L14" s="1">
        <v>44</v>
      </c>
      <c r="M14" s="1">
        <v>23</v>
      </c>
      <c r="N14" s="2">
        <f>IFERROR(M14/L14*100,0)</f>
        <v>0</v>
      </c>
    </row>
    <row r="15" spans="1:16">
      <c r="A15" s="1">
        <v>12</v>
      </c>
      <c r="B15" s="1" t="s">
        <v>602</v>
      </c>
      <c r="C15" s="5">
        <v>46099</v>
      </c>
      <c r="D15" s="1" t="s">
        <v>44</v>
      </c>
      <c r="E15" s="6" t="s">
        <v>596</v>
      </c>
      <c r="F15" s="6" t="s">
        <v>64</v>
      </c>
      <c r="G15" s="1" t="s">
        <v>51</v>
      </c>
      <c r="H15" s="1" t="s">
        <v>66</v>
      </c>
      <c r="I15" s="1" t="s">
        <v>585</v>
      </c>
      <c r="J15" s="1" t="s">
        <v>147</v>
      </c>
      <c r="K15" s="1" t="s">
        <v>594</v>
      </c>
      <c r="L15" s="1">
        <v>41</v>
      </c>
      <c r="M15" s="1">
        <v>53</v>
      </c>
      <c r="N15" s="2">
        <f>IFERROR(M15/L15*100,0)</f>
        <v>0</v>
      </c>
    </row>
    <row r="16" spans="1:16">
      <c r="A16" s="1">
        <v>13</v>
      </c>
      <c r="B16" s="1" t="s">
        <v>603</v>
      </c>
      <c r="C16" s="5">
        <v>46103</v>
      </c>
      <c r="D16" s="1" t="s">
        <v>44</v>
      </c>
      <c r="E16" s="6" t="s">
        <v>580</v>
      </c>
      <c r="F16" s="6" t="s">
        <v>38</v>
      </c>
      <c r="G16" s="1" t="s">
        <v>51</v>
      </c>
      <c r="H16" s="1" t="s">
        <v>66</v>
      </c>
      <c r="I16" s="1" t="s">
        <v>604</v>
      </c>
      <c r="J16" s="1" t="s">
        <v>142</v>
      </c>
      <c r="K16" s="1" t="s">
        <v>590</v>
      </c>
      <c r="L16" s="1">
        <v>41</v>
      </c>
      <c r="M16" s="1">
        <v>11</v>
      </c>
      <c r="N16" s="2">
        <f>IFERROR(M16/L16*100,0)</f>
        <v>0</v>
      </c>
    </row>
    <row r="17" spans="1:14">
      <c r="A17" s="1">
        <v>14</v>
      </c>
      <c r="B17" s="1" t="s">
        <v>605</v>
      </c>
      <c r="C17" s="5">
        <v>46085</v>
      </c>
      <c r="D17" s="1" t="s">
        <v>44</v>
      </c>
      <c r="E17" s="6" t="s">
        <v>588</v>
      </c>
      <c r="F17" s="6" t="s">
        <v>49</v>
      </c>
      <c r="G17" s="1" t="s">
        <v>40</v>
      </c>
      <c r="H17" s="1" t="s">
        <v>104</v>
      </c>
      <c r="I17" s="1" t="s">
        <v>585</v>
      </c>
      <c r="J17" s="1" t="s">
        <v>164</v>
      </c>
      <c r="K17" s="1" t="s">
        <v>590</v>
      </c>
      <c r="L17" s="1">
        <v>25</v>
      </c>
      <c r="M17" s="1">
        <v>16</v>
      </c>
      <c r="N17" s="2">
        <f>IFERROR(M17/L17*100,0)</f>
        <v>0</v>
      </c>
    </row>
    <row r="18" spans="1:14">
      <c r="A18" s="1">
        <v>15</v>
      </c>
      <c r="B18" s="1" t="s">
        <v>606</v>
      </c>
      <c r="C18" s="5">
        <v>46140</v>
      </c>
      <c r="D18" s="1" t="s">
        <v>53</v>
      </c>
      <c r="E18" s="6" t="s">
        <v>601</v>
      </c>
      <c r="F18" s="6" t="s">
        <v>16</v>
      </c>
      <c r="G18" s="1" t="s">
        <v>95</v>
      </c>
      <c r="H18" s="1" t="s">
        <v>36</v>
      </c>
      <c r="I18" s="1" t="s">
        <v>581</v>
      </c>
      <c r="J18" s="1" t="s">
        <v>164</v>
      </c>
      <c r="K18" s="1" t="s">
        <v>590</v>
      </c>
      <c r="L18" s="1">
        <v>34</v>
      </c>
      <c r="M18" s="1">
        <v>59</v>
      </c>
      <c r="N18" s="2">
        <f>IFERROR(M18/L18*100,0)</f>
        <v>0</v>
      </c>
    </row>
    <row r="19" spans="1:14">
      <c r="A19" s="1">
        <v>16</v>
      </c>
      <c r="B19" s="1" t="s">
        <v>607</v>
      </c>
      <c r="C19" s="5">
        <v>46127</v>
      </c>
      <c r="D19" s="1" t="s">
        <v>53</v>
      </c>
      <c r="E19" s="6" t="s">
        <v>588</v>
      </c>
      <c r="F19" s="6" t="s">
        <v>26</v>
      </c>
      <c r="G19" s="1" t="s">
        <v>51</v>
      </c>
      <c r="H19" s="1" t="s">
        <v>62</v>
      </c>
      <c r="I19" s="1" t="s">
        <v>589</v>
      </c>
      <c r="J19" s="1" t="s">
        <v>151</v>
      </c>
      <c r="K19" s="1" t="s">
        <v>582</v>
      </c>
      <c r="L19" s="1">
        <v>30</v>
      </c>
      <c r="M19" s="1">
        <v>51</v>
      </c>
      <c r="N19" s="2">
        <f>IFERROR(M19/L19*100,0)</f>
        <v>0</v>
      </c>
    </row>
    <row r="20" spans="1:14">
      <c r="A20" s="1">
        <v>17</v>
      </c>
      <c r="B20" s="1" t="s">
        <v>608</v>
      </c>
      <c r="C20" s="5">
        <v>46120</v>
      </c>
      <c r="D20" s="1" t="s">
        <v>53</v>
      </c>
      <c r="E20" s="6" t="s">
        <v>601</v>
      </c>
      <c r="F20" s="6" t="s">
        <v>45</v>
      </c>
      <c r="G20" s="1" t="s">
        <v>14</v>
      </c>
      <c r="H20" s="1" t="s">
        <v>78</v>
      </c>
      <c r="I20" s="1" t="s">
        <v>604</v>
      </c>
      <c r="J20" s="1" t="s">
        <v>151</v>
      </c>
      <c r="K20" s="1" t="s">
        <v>582</v>
      </c>
      <c r="L20" s="1">
        <v>10</v>
      </c>
      <c r="M20" s="1">
        <v>28</v>
      </c>
      <c r="N20" s="2">
        <f>IFERROR(M20/L20*100,0)</f>
        <v>0</v>
      </c>
    </row>
    <row r="21" spans="1:14">
      <c r="A21" s="1">
        <v>18</v>
      </c>
      <c r="B21" s="1" t="s">
        <v>609</v>
      </c>
      <c r="C21" s="5">
        <v>46122</v>
      </c>
      <c r="D21" s="1" t="s">
        <v>53</v>
      </c>
      <c r="E21" s="6" t="s">
        <v>584</v>
      </c>
      <c r="F21" s="6" t="s">
        <v>54</v>
      </c>
      <c r="G21" s="1" t="s">
        <v>40</v>
      </c>
      <c r="H21" s="1" t="s">
        <v>68</v>
      </c>
      <c r="I21" s="1" t="s">
        <v>581</v>
      </c>
      <c r="J21" s="1" t="s">
        <v>147</v>
      </c>
      <c r="K21" s="1" t="s">
        <v>582</v>
      </c>
      <c r="L21" s="1">
        <v>48</v>
      </c>
      <c r="M21" s="1">
        <v>17</v>
      </c>
      <c r="N21" s="2">
        <f>IFERROR(M21/L21*100,0)</f>
        <v>0</v>
      </c>
    </row>
    <row r="22" spans="1:14">
      <c r="A22" s="1">
        <v>19</v>
      </c>
      <c r="B22" s="1" t="s">
        <v>610</v>
      </c>
      <c r="C22" s="5">
        <v>46163</v>
      </c>
      <c r="D22" s="1" t="s">
        <v>60</v>
      </c>
      <c r="E22" s="6" t="s">
        <v>593</v>
      </c>
      <c r="F22" s="6" t="s">
        <v>38</v>
      </c>
      <c r="G22" s="1" t="s">
        <v>21</v>
      </c>
      <c r="H22" s="1" t="s">
        <v>28</v>
      </c>
      <c r="I22" s="1" t="s">
        <v>585</v>
      </c>
      <c r="J22" s="1" t="s">
        <v>151</v>
      </c>
      <c r="K22" s="1" t="s">
        <v>582</v>
      </c>
      <c r="L22" s="1">
        <v>47</v>
      </c>
      <c r="M22" s="1">
        <v>41</v>
      </c>
      <c r="N22" s="2">
        <f>IFERROR(M22/L22*100,0)</f>
        <v>0</v>
      </c>
    </row>
    <row r="23" spans="1:14">
      <c r="A23" s="1">
        <v>20</v>
      </c>
      <c r="B23" s="1" t="s">
        <v>611</v>
      </c>
      <c r="C23" s="5">
        <v>46145</v>
      </c>
      <c r="D23" s="1" t="s">
        <v>60</v>
      </c>
      <c r="E23" s="6" t="s">
        <v>593</v>
      </c>
      <c r="F23" s="6" t="s">
        <v>64</v>
      </c>
      <c r="G23" s="1" t="s">
        <v>31</v>
      </c>
      <c r="H23" s="1" t="s">
        <v>7</v>
      </c>
      <c r="I23" s="1" t="s">
        <v>604</v>
      </c>
      <c r="J23" s="1" t="s">
        <v>142</v>
      </c>
      <c r="K23" s="1" t="s">
        <v>590</v>
      </c>
      <c r="L23" s="1">
        <v>29</v>
      </c>
      <c r="M23" s="1">
        <v>16</v>
      </c>
      <c r="N23" s="2">
        <f>IFERROR(M23/L23*100,0)</f>
        <v>0</v>
      </c>
    </row>
    <row r="24" spans="1:14">
      <c r="A24" s="1">
        <v>21</v>
      </c>
      <c r="B24" s="1" t="s">
        <v>612</v>
      </c>
      <c r="C24" s="5">
        <v>46149</v>
      </c>
      <c r="D24" s="1" t="s">
        <v>60</v>
      </c>
      <c r="E24" s="6" t="s">
        <v>596</v>
      </c>
      <c r="F24" s="6" t="s">
        <v>16</v>
      </c>
      <c r="G24" s="1" t="s">
        <v>51</v>
      </c>
      <c r="H24" s="1" t="s">
        <v>36</v>
      </c>
      <c r="I24" s="1" t="s">
        <v>585</v>
      </c>
      <c r="J24" s="1" t="s">
        <v>164</v>
      </c>
      <c r="K24" s="1" t="s">
        <v>590</v>
      </c>
      <c r="L24" s="1">
        <v>52</v>
      </c>
      <c r="M24" s="1">
        <v>45</v>
      </c>
      <c r="N24" s="2">
        <f>IFERROR(M24/L24*100,0)</f>
        <v>0</v>
      </c>
    </row>
    <row r="25" spans="1:14">
      <c r="A25" s="1">
        <v>22</v>
      </c>
      <c r="B25" s="1" t="s">
        <v>613</v>
      </c>
      <c r="C25" s="5">
        <v>46195</v>
      </c>
      <c r="D25" s="1" t="s">
        <v>73</v>
      </c>
      <c r="E25" s="6" t="s">
        <v>588</v>
      </c>
      <c r="F25" s="6" t="s">
        <v>91</v>
      </c>
      <c r="G25" s="1" t="s">
        <v>21</v>
      </c>
      <c r="H25" s="1" t="s">
        <v>78</v>
      </c>
      <c r="I25" s="1" t="s">
        <v>604</v>
      </c>
      <c r="J25" s="1" t="s">
        <v>142</v>
      </c>
      <c r="K25" s="1" t="s">
        <v>582</v>
      </c>
      <c r="L25" s="1">
        <v>18</v>
      </c>
      <c r="M25" s="1">
        <v>26</v>
      </c>
      <c r="N25" s="2">
        <f>IFERROR(M25/L25*100,0)</f>
        <v>0</v>
      </c>
    </row>
    <row r="26" spans="1:14">
      <c r="A26" s="1">
        <v>23</v>
      </c>
      <c r="B26" s="1" t="s">
        <v>614</v>
      </c>
      <c r="C26" s="5">
        <v>46180</v>
      </c>
      <c r="D26" s="1" t="s">
        <v>73</v>
      </c>
      <c r="E26" s="6" t="s">
        <v>593</v>
      </c>
      <c r="F26" s="6" t="s">
        <v>91</v>
      </c>
      <c r="G26" s="1" t="s">
        <v>31</v>
      </c>
      <c r="H26" s="1" t="s">
        <v>93</v>
      </c>
      <c r="I26" s="1" t="s">
        <v>604</v>
      </c>
      <c r="J26" s="1" t="s">
        <v>164</v>
      </c>
      <c r="K26" s="1" t="s">
        <v>582</v>
      </c>
      <c r="L26" s="1">
        <v>41</v>
      </c>
      <c r="M26" s="1">
        <v>12</v>
      </c>
      <c r="N26" s="2">
        <f>IFERROR(M26/L26*100,0)</f>
        <v>0</v>
      </c>
    </row>
    <row r="27" spans="1:14">
      <c r="A27" s="1">
        <v>24</v>
      </c>
      <c r="B27" s="1" t="s">
        <v>615</v>
      </c>
      <c r="C27" s="5">
        <v>46189</v>
      </c>
      <c r="D27" s="1" t="s">
        <v>73</v>
      </c>
      <c r="E27" s="6" t="s">
        <v>593</v>
      </c>
      <c r="F27" s="6" t="s">
        <v>57</v>
      </c>
      <c r="G27" s="1" t="s">
        <v>35</v>
      </c>
      <c r="H27" s="1" t="s">
        <v>93</v>
      </c>
      <c r="I27" s="1" t="s">
        <v>589</v>
      </c>
      <c r="J27" s="1" t="s">
        <v>147</v>
      </c>
      <c r="K27" s="1" t="s">
        <v>594</v>
      </c>
      <c r="L27" s="1">
        <v>21</v>
      </c>
      <c r="M27" s="1">
        <v>58</v>
      </c>
      <c r="N27" s="2">
        <f>IFERROR(M27/L27*100,0)</f>
        <v>0</v>
      </c>
    </row>
    <row r="28" spans="1:14">
      <c r="A28" s="1">
        <v>25</v>
      </c>
      <c r="B28" s="1" t="s">
        <v>616</v>
      </c>
      <c r="C28" s="5">
        <v>46177</v>
      </c>
      <c r="D28" s="1" t="s">
        <v>73</v>
      </c>
      <c r="E28" s="6" t="s">
        <v>601</v>
      </c>
      <c r="F28" s="6" t="s">
        <v>12</v>
      </c>
      <c r="G28" s="1" t="s">
        <v>87</v>
      </c>
      <c r="H28" s="1" t="s">
        <v>62</v>
      </c>
      <c r="I28" s="1" t="s">
        <v>585</v>
      </c>
      <c r="J28" s="1" t="s">
        <v>142</v>
      </c>
      <c r="K28" s="1" t="s">
        <v>590</v>
      </c>
      <c r="L28" s="1">
        <v>20</v>
      </c>
      <c r="M28" s="1">
        <v>24</v>
      </c>
      <c r="N28" s="2">
        <f>IFERROR(M28/L28*100,0)</f>
        <v>0</v>
      </c>
    </row>
    <row r="29" spans="1:14">
      <c r="A29" s="1">
        <v>26</v>
      </c>
      <c r="B29" s="1" t="s">
        <v>617</v>
      </c>
      <c r="C29" s="5">
        <v>46198</v>
      </c>
      <c r="D29" s="1" t="s">
        <v>73</v>
      </c>
      <c r="E29" s="6" t="s">
        <v>593</v>
      </c>
      <c r="F29" s="6" t="s">
        <v>20</v>
      </c>
      <c r="G29" s="1" t="s">
        <v>51</v>
      </c>
      <c r="H29" s="1" t="s">
        <v>22</v>
      </c>
      <c r="I29" s="1" t="s">
        <v>585</v>
      </c>
      <c r="J29" s="1" t="s">
        <v>151</v>
      </c>
      <c r="K29" s="1" t="s">
        <v>590</v>
      </c>
      <c r="L29" s="1">
        <v>11</v>
      </c>
      <c r="M29" s="1">
        <v>38</v>
      </c>
      <c r="N29" s="2">
        <f>IFERROR(M29/L29*100,0)</f>
        <v>0</v>
      </c>
    </row>
    <row r="30" spans="1:14">
      <c r="A30" s="1">
        <v>27</v>
      </c>
      <c r="B30" s="1" t="s">
        <v>618</v>
      </c>
      <c r="C30" s="5">
        <v>46189</v>
      </c>
      <c r="D30" s="1" t="s">
        <v>73</v>
      </c>
      <c r="E30" s="6" t="s">
        <v>588</v>
      </c>
      <c r="F30" s="6" t="s">
        <v>16</v>
      </c>
      <c r="G30" s="1" t="s">
        <v>6</v>
      </c>
      <c r="H30" s="1" t="s">
        <v>62</v>
      </c>
      <c r="I30" s="1" t="s">
        <v>585</v>
      </c>
      <c r="J30" s="1" t="s">
        <v>147</v>
      </c>
      <c r="K30" s="1" t="s">
        <v>590</v>
      </c>
      <c r="L30" s="1">
        <v>13</v>
      </c>
      <c r="M30" s="1">
        <v>50</v>
      </c>
      <c r="N30" s="2">
        <f>IFERROR(M30/L30*100,0)</f>
        <v>0</v>
      </c>
    </row>
    <row r="31" spans="1:14">
      <c r="A31" s="1">
        <v>28</v>
      </c>
      <c r="B31" s="1" t="s">
        <v>619</v>
      </c>
      <c r="C31" s="5">
        <v>46177</v>
      </c>
      <c r="D31" s="1" t="s">
        <v>73</v>
      </c>
      <c r="E31" s="6" t="s">
        <v>588</v>
      </c>
      <c r="F31" s="6" t="s">
        <v>91</v>
      </c>
      <c r="G31" s="1" t="s">
        <v>35</v>
      </c>
      <c r="H31" s="1" t="s">
        <v>28</v>
      </c>
      <c r="I31" s="1" t="s">
        <v>585</v>
      </c>
      <c r="J31" s="1" t="s">
        <v>142</v>
      </c>
      <c r="K31" s="1" t="s">
        <v>582</v>
      </c>
      <c r="L31" s="1">
        <v>34</v>
      </c>
      <c r="M31" s="1">
        <v>19</v>
      </c>
      <c r="N31" s="2">
        <f>IFERROR(M31/L31*100,0)</f>
        <v>0</v>
      </c>
    </row>
    <row r="32" spans="1:14">
      <c r="A32" s="1">
        <v>29</v>
      </c>
      <c r="B32" s="1" t="s">
        <v>620</v>
      </c>
      <c r="C32" s="5">
        <v>46207</v>
      </c>
      <c r="D32" s="1" t="s">
        <v>76</v>
      </c>
      <c r="E32" s="6" t="s">
        <v>593</v>
      </c>
      <c r="F32" s="6" t="s">
        <v>16</v>
      </c>
      <c r="G32" s="1" t="s">
        <v>40</v>
      </c>
      <c r="H32" s="1" t="s">
        <v>66</v>
      </c>
      <c r="I32" s="1" t="s">
        <v>581</v>
      </c>
      <c r="J32" s="1" t="s">
        <v>164</v>
      </c>
      <c r="K32" s="1" t="s">
        <v>594</v>
      </c>
      <c r="L32" s="1">
        <v>30</v>
      </c>
      <c r="M32" s="1">
        <v>31</v>
      </c>
      <c r="N32" s="2">
        <f>IFERROR(M32/L32*100,0)</f>
        <v>0</v>
      </c>
    </row>
    <row r="33" spans="1:14">
      <c r="A33" s="1">
        <v>30</v>
      </c>
      <c r="B33" s="1" t="s">
        <v>621</v>
      </c>
      <c r="C33" s="5">
        <v>46219</v>
      </c>
      <c r="D33" s="1" t="s">
        <v>76</v>
      </c>
      <c r="E33" s="6" t="s">
        <v>584</v>
      </c>
      <c r="F33" s="6" t="s">
        <v>91</v>
      </c>
      <c r="G33" s="1" t="s">
        <v>31</v>
      </c>
      <c r="H33" s="1" t="s">
        <v>28</v>
      </c>
      <c r="I33" s="1" t="s">
        <v>589</v>
      </c>
      <c r="J33" s="1" t="s">
        <v>147</v>
      </c>
      <c r="K33" s="1" t="s">
        <v>582</v>
      </c>
      <c r="L33" s="1">
        <v>12</v>
      </c>
      <c r="M33" s="1">
        <v>13</v>
      </c>
      <c r="N33" s="2">
        <f>IFERROR(M33/L33*100,0)</f>
        <v>0</v>
      </c>
    </row>
    <row r="34" spans="1:14">
      <c r="A34" s="1">
        <v>31</v>
      </c>
      <c r="B34" s="1" t="s">
        <v>622</v>
      </c>
      <c r="C34" s="5">
        <v>46219</v>
      </c>
      <c r="D34" s="1" t="s">
        <v>76</v>
      </c>
      <c r="E34" s="6" t="s">
        <v>584</v>
      </c>
      <c r="F34" s="6" t="s">
        <v>49</v>
      </c>
      <c r="G34" s="1" t="s">
        <v>87</v>
      </c>
      <c r="H34" s="1" t="s">
        <v>36</v>
      </c>
      <c r="I34" s="1" t="s">
        <v>589</v>
      </c>
      <c r="J34" s="1" t="s">
        <v>164</v>
      </c>
      <c r="K34" s="1" t="s">
        <v>590</v>
      </c>
      <c r="L34" s="1">
        <v>38</v>
      </c>
      <c r="M34" s="1">
        <v>41</v>
      </c>
      <c r="N34" s="2">
        <f>IFERROR(M34/L34*100,0)</f>
        <v>0</v>
      </c>
    </row>
    <row r="35" spans="1:14">
      <c r="A35" s="1">
        <v>32</v>
      </c>
      <c r="B35" s="1" t="s">
        <v>623</v>
      </c>
      <c r="C35" s="5">
        <v>46226</v>
      </c>
      <c r="D35" s="1" t="s">
        <v>76</v>
      </c>
      <c r="E35" s="6" t="s">
        <v>601</v>
      </c>
      <c r="F35" s="6" t="s">
        <v>61</v>
      </c>
      <c r="G35" s="1" t="s">
        <v>14</v>
      </c>
      <c r="H35" s="1" t="s">
        <v>15</v>
      </c>
      <c r="I35" s="1" t="s">
        <v>589</v>
      </c>
      <c r="J35" s="1" t="s">
        <v>164</v>
      </c>
      <c r="K35" s="1" t="s">
        <v>582</v>
      </c>
      <c r="L35" s="1">
        <v>34</v>
      </c>
      <c r="M35" s="1">
        <v>22</v>
      </c>
      <c r="N35" s="2">
        <f>IFERROR(M35/L35*100,0)</f>
        <v>0</v>
      </c>
    </row>
    <row r="36" spans="1:14">
      <c r="A36" s="1">
        <v>33</v>
      </c>
      <c r="B36" s="1" t="s">
        <v>624</v>
      </c>
      <c r="C36" s="5">
        <v>46227</v>
      </c>
      <c r="D36" s="1" t="s">
        <v>76</v>
      </c>
      <c r="E36" s="6" t="s">
        <v>601</v>
      </c>
      <c r="F36" s="6" t="s">
        <v>64</v>
      </c>
      <c r="G36" s="1" t="s">
        <v>87</v>
      </c>
      <c r="H36" s="1" t="s">
        <v>62</v>
      </c>
      <c r="I36" s="1" t="s">
        <v>581</v>
      </c>
      <c r="J36" s="1" t="s">
        <v>151</v>
      </c>
      <c r="K36" s="1" t="s">
        <v>590</v>
      </c>
      <c r="L36" s="1">
        <v>34</v>
      </c>
      <c r="M36" s="1">
        <v>28</v>
      </c>
      <c r="N36" s="2">
        <f>IFERROR(M36/L36*100,0)</f>
        <v>0</v>
      </c>
    </row>
    <row r="37" spans="1:14">
      <c r="A37" s="1">
        <v>34</v>
      </c>
      <c r="B37" s="1" t="s">
        <v>625</v>
      </c>
      <c r="C37" s="5">
        <v>46262</v>
      </c>
      <c r="D37" s="1" t="s">
        <v>86</v>
      </c>
      <c r="E37" s="6" t="s">
        <v>593</v>
      </c>
      <c r="F37" s="6" t="s">
        <v>64</v>
      </c>
      <c r="G37" s="1" t="s">
        <v>87</v>
      </c>
      <c r="H37" s="1" t="s">
        <v>66</v>
      </c>
      <c r="I37" s="1" t="s">
        <v>585</v>
      </c>
      <c r="J37" s="1" t="s">
        <v>151</v>
      </c>
      <c r="K37" s="1" t="s">
        <v>594</v>
      </c>
      <c r="L37" s="1">
        <v>59</v>
      </c>
      <c r="M37" s="1">
        <v>59</v>
      </c>
      <c r="N37" s="2">
        <f>IFERROR(M37/L37*100,0)</f>
        <v>0</v>
      </c>
    </row>
    <row r="38" spans="1:14">
      <c r="A38" s="1">
        <v>35</v>
      </c>
      <c r="B38" s="1" t="s">
        <v>626</v>
      </c>
      <c r="C38" s="5">
        <v>46249</v>
      </c>
      <c r="D38" s="1" t="s">
        <v>86</v>
      </c>
      <c r="E38" s="6" t="s">
        <v>588</v>
      </c>
      <c r="F38" s="6" t="s">
        <v>64</v>
      </c>
      <c r="G38" s="1" t="s">
        <v>14</v>
      </c>
      <c r="H38" s="1" t="s">
        <v>104</v>
      </c>
      <c r="I38" s="1" t="s">
        <v>581</v>
      </c>
      <c r="J38" s="1" t="s">
        <v>164</v>
      </c>
      <c r="K38" s="1" t="s">
        <v>594</v>
      </c>
      <c r="L38" s="1">
        <v>36</v>
      </c>
      <c r="M38" s="1">
        <v>48</v>
      </c>
      <c r="N38" s="2">
        <f>IFERROR(M38/L38*100,0)</f>
        <v>0</v>
      </c>
    </row>
    <row r="39" spans="1:14">
      <c r="A39" s="1">
        <v>36</v>
      </c>
      <c r="B39" s="1" t="s">
        <v>627</v>
      </c>
      <c r="C39" s="5">
        <v>46250</v>
      </c>
      <c r="D39" s="1" t="s">
        <v>86</v>
      </c>
      <c r="E39" s="6" t="s">
        <v>584</v>
      </c>
      <c r="F39" s="6" t="s">
        <v>54</v>
      </c>
      <c r="G39" s="1" t="s">
        <v>80</v>
      </c>
      <c r="H39" s="1" t="s">
        <v>41</v>
      </c>
      <c r="I39" s="1" t="s">
        <v>589</v>
      </c>
      <c r="J39" s="1" t="s">
        <v>147</v>
      </c>
      <c r="K39" s="1" t="s">
        <v>594</v>
      </c>
      <c r="L39" s="1">
        <v>58</v>
      </c>
      <c r="M39" s="1">
        <v>11</v>
      </c>
      <c r="N39" s="2">
        <f>IFERROR(M39/L39*100,0)</f>
        <v>0</v>
      </c>
    </row>
    <row r="40" spans="1:14">
      <c r="A40" s="1">
        <v>37</v>
      </c>
      <c r="B40" s="1" t="s">
        <v>628</v>
      </c>
      <c r="C40" s="5">
        <v>46261</v>
      </c>
      <c r="D40" s="1" t="s">
        <v>86</v>
      </c>
      <c r="E40" s="6" t="s">
        <v>580</v>
      </c>
      <c r="F40" s="6" t="s">
        <v>4</v>
      </c>
      <c r="G40" s="1" t="s">
        <v>51</v>
      </c>
      <c r="H40" s="1" t="s">
        <v>32</v>
      </c>
      <c r="I40" s="1" t="s">
        <v>585</v>
      </c>
      <c r="J40" s="1" t="s">
        <v>164</v>
      </c>
      <c r="K40" s="1" t="s">
        <v>582</v>
      </c>
      <c r="L40" s="1">
        <v>20</v>
      </c>
      <c r="M40" s="1">
        <v>40</v>
      </c>
      <c r="N40" s="2">
        <f>IFERROR(M40/L40*100,0)</f>
        <v>0</v>
      </c>
    </row>
    <row r="41" spans="1:14">
      <c r="A41" s="1">
        <v>38</v>
      </c>
      <c r="B41" s="1" t="s">
        <v>629</v>
      </c>
      <c r="C41" s="5">
        <v>46239</v>
      </c>
      <c r="D41" s="1" t="s">
        <v>86</v>
      </c>
      <c r="E41" s="6" t="s">
        <v>584</v>
      </c>
      <c r="F41" s="6" t="s">
        <v>64</v>
      </c>
      <c r="G41" s="1" t="s">
        <v>95</v>
      </c>
      <c r="H41" s="1" t="s">
        <v>66</v>
      </c>
      <c r="I41" s="1" t="s">
        <v>589</v>
      </c>
      <c r="J41" s="1" t="s">
        <v>147</v>
      </c>
      <c r="K41" s="1" t="s">
        <v>582</v>
      </c>
      <c r="L41" s="1">
        <v>10</v>
      </c>
      <c r="M41" s="1">
        <v>22</v>
      </c>
      <c r="N41" s="2">
        <f>IFERROR(M41/L41*100,0)</f>
        <v>0</v>
      </c>
    </row>
    <row r="42" spans="1:14">
      <c r="A42" s="1">
        <v>39</v>
      </c>
      <c r="B42" s="1" t="s">
        <v>630</v>
      </c>
      <c r="C42" s="5">
        <v>46280</v>
      </c>
      <c r="D42" s="1" t="s">
        <v>102</v>
      </c>
      <c r="E42" s="6" t="s">
        <v>596</v>
      </c>
      <c r="F42" s="6" t="s">
        <v>38</v>
      </c>
      <c r="G42" s="1" t="s">
        <v>82</v>
      </c>
      <c r="H42" s="1" t="s">
        <v>22</v>
      </c>
      <c r="I42" s="1" t="s">
        <v>585</v>
      </c>
      <c r="J42" s="1" t="s">
        <v>147</v>
      </c>
      <c r="K42" s="1" t="s">
        <v>594</v>
      </c>
      <c r="L42" s="1">
        <v>29</v>
      </c>
      <c r="M42" s="1">
        <v>23</v>
      </c>
      <c r="N42" s="2">
        <f>IFERROR(M42/L42*100,0)</f>
        <v>0</v>
      </c>
    </row>
    <row r="43" spans="1:14">
      <c r="A43" s="1">
        <v>40</v>
      </c>
      <c r="B43" s="1" t="s">
        <v>631</v>
      </c>
      <c r="C43" s="5">
        <v>46288</v>
      </c>
      <c r="D43" s="1" t="s">
        <v>102</v>
      </c>
      <c r="E43" s="6" t="s">
        <v>601</v>
      </c>
      <c r="F43" s="6" t="s">
        <v>20</v>
      </c>
      <c r="G43" s="1" t="s">
        <v>95</v>
      </c>
      <c r="H43" s="1" t="s">
        <v>22</v>
      </c>
      <c r="I43" s="1" t="s">
        <v>585</v>
      </c>
      <c r="J43" s="1" t="s">
        <v>142</v>
      </c>
      <c r="K43" s="1" t="s">
        <v>582</v>
      </c>
      <c r="L43" s="1">
        <v>47</v>
      </c>
      <c r="M43" s="1">
        <v>41</v>
      </c>
      <c r="N43" s="2">
        <f>IFERROR(M43/L43*100,0)</f>
        <v>0</v>
      </c>
    </row>
    <row r="44" spans="1:14">
      <c r="A44" s="1">
        <v>41</v>
      </c>
      <c r="B44" s="1" t="s">
        <v>632</v>
      </c>
      <c r="C44" s="5">
        <v>46290</v>
      </c>
      <c r="D44" s="1" t="s">
        <v>102</v>
      </c>
      <c r="E44" s="6" t="s">
        <v>593</v>
      </c>
      <c r="F44" s="6" t="s">
        <v>20</v>
      </c>
      <c r="G44" s="1" t="s">
        <v>87</v>
      </c>
      <c r="H44" s="1" t="s">
        <v>70</v>
      </c>
      <c r="I44" s="1" t="s">
        <v>604</v>
      </c>
      <c r="J44" s="1" t="s">
        <v>164</v>
      </c>
      <c r="K44" s="1" t="s">
        <v>582</v>
      </c>
      <c r="L44" s="1">
        <v>12</v>
      </c>
      <c r="M44" s="1">
        <v>10</v>
      </c>
      <c r="N44" s="2">
        <f>IFERROR(M44/L44*100,0)</f>
        <v>0</v>
      </c>
    </row>
    <row r="45" spans="1:14">
      <c r="A45" s="1">
        <v>42</v>
      </c>
      <c r="B45" s="1" t="s">
        <v>633</v>
      </c>
      <c r="C45" s="5">
        <v>46331</v>
      </c>
      <c r="D45" s="1" t="s">
        <v>111</v>
      </c>
      <c r="E45" s="6" t="s">
        <v>596</v>
      </c>
      <c r="F45" s="6" t="s">
        <v>45</v>
      </c>
      <c r="G45" s="1" t="s">
        <v>82</v>
      </c>
      <c r="H45" s="1" t="s">
        <v>66</v>
      </c>
      <c r="I45" s="1" t="s">
        <v>585</v>
      </c>
      <c r="J45" s="1" t="s">
        <v>164</v>
      </c>
      <c r="K45" s="1" t="s">
        <v>594</v>
      </c>
      <c r="L45" s="1">
        <v>29</v>
      </c>
      <c r="M45" s="1">
        <v>13</v>
      </c>
      <c r="N45" s="2">
        <f>IFERROR(M45/L45*100,0)</f>
        <v>0</v>
      </c>
    </row>
    <row r="46" spans="1:14">
      <c r="A46" s="1">
        <v>43</v>
      </c>
      <c r="B46" s="1" t="s">
        <v>634</v>
      </c>
      <c r="C46" s="5">
        <v>46341</v>
      </c>
      <c r="D46" s="1" t="s">
        <v>111</v>
      </c>
      <c r="E46" s="6" t="s">
        <v>601</v>
      </c>
      <c r="F46" s="6" t="s">
        <v>57</v>
      </c>
      <c r="G46" s="1" t="s">
        <v>95</v>
      </c>
      <c r="H46" s="1" t="s">
        <v>36</v>
      </c>
      <c r="I46" s="1" t="s">
        <v>604</v>
      </c>
      <c r="J46" s="1" t="s">
        <v>147</v>
      </c>
      <c r="K46" s="1" t="s">
        <v>590</v>
      </c>
      <c r="L46" s="1">
        <v>37</v>
      </c>
      <c r="M46" s="1">
        <v>42</v>
      </c>
      <c r="N46" s="2">
        <f>IFERROR(M46/L46*100,0)</f>
        <v>0</v>
      </c>
    </row>
    <row r="47" spans="1:14">
      <c r="A47" s="1">
        <v>44</v>
      </c>
      <c r="B47" s="1" t="s">
        <v>635</v>
      </c>
      <c r="C47" s="5">
        <v>46342</v>
      </c>
      <c r="D47" s="1" t="s">
        <v>111</v>
      </c>
      <c r="E47" s="6" t="s">
        <v>596</v>
      </c>
      <c r="F47" s="6" t="s">
        <v>12</v>
      </c>
      <c r="G47" s="1" t="s">
        <v>77</v>
      </c>
      <c r="H47" s="1" t="s">
        <v>41</v>
      </c>
      <c r="I47" s="1" t="s">
        <v>604</v>
      </c>
      <c r="J47" s="1" t="s">
        <v>142</v>
      </c>
      <c r="K47" s="1" t="s">
        <v>590</v>
      </c>
      <c r="L47" s="1">
        <v>40</v>
      </c>
      <c r="M47" s="1">
        <v>21</v>
      </c>
      <c r="N47" s="2">
        <f>IFERROR(M47/L47*100,0)</f>
        <v>0</v>
      </c>
    </row>
    <row r="48" spans="1:14">
      <c r="A48" s="1">
        <v>45</v>
      </c>
      <c r="B48" s="1" t="s">
        <v>636</v>
      </c>
      <c r="C48" s="5">
        <v>46341</v>
      </c>
      <c r="D48" s="1" t="s">
        <v>111</v>
      </c>
      <c r="E48" s="6" t="s">
        <v>580</v>
      </c>
      <c r="F48" s="6" t="s">
        <v>16</v>
      </c>
      <c r="G48" s="1" t="s">
        <v>31</v>
      </c>
      <c r="H48" s="1" t="s">
        <v>78</v>
      </c>
      <c r="I48" s="1" t="s">
        <v>585</v>
      </c>
      <c r="J48" s="1" t="s">
        <v>147</v>
      </c>
      <c r="K48" s="1" t="s">
        <v>582</v>
      </c>
      <c r="L48" s="1">
        <v>54</v>
      </c>
      <c r="M48" s="1">
        <v>20</v>
      </c>
      <c r="N48" s="2">
        <f>IFERROR(M48/L48*100,0)</f>
        <v>0</v>
      </c>
    </row>
    <row r="49" spans="1:14">
      <c r="A49" s="1">
        <v>46</v>
      </c>
      <c r="B49" s="1" t="s">
        <v>637</v>
      </c>
      <c r="C49" s="5">
        <v>46337</v>
      </c>
      <c r="D49" s="1" t="s">
        <v>111</v>
      </c>
      <c r="E49" s="6" t="s">
        <v>580</v>
      </c>
      <c r="F49" s="6" t="s">
        <v>64</v>
      </c>
      <c r="G49" s="1" t="s">
        <v>87</v>
      </c>
      <c r="H49" s="1" t="s">
        <v>36</v>
      </c>
      <c r="I49" s="1" t="s">
        <v>581</v>
      </c>
      <c r="J49" s="1" t="s">
        <v>147</v>
      </c>
      <c r="K49" s="1" t="s">
        <v>582</v>
      </c>
      <c r="L49" s="1">
        <v>42</v>
      </c>
      <c r="M49" s="1">
        <v>25</v>
      </c>
      <c r="N49" s="2">
        <f>IFERROR(M49/L49*100,0)</f>
        <v>0</v>
      </c>
    </row>
    <row r="50" spans="1:14">
      <c r="A50" s="1">
        <v>47</v>
      </c>
      <c r="B50" s="1" t="s">
        <v>638</v>
      </c>
      <c r="C50" s="5">
        <v>46371</v>
      </c>
      <c r="D50" s="1" t="s">
        <v>122</v>
      </c>
      <c r="E50" s="6" t="s">
        <v>588</v>
      </c>
      <c r="F50" s="6" t="s">
        <v>38</v>
      </c>
      <c r="G50" s="1" t="s">
        <v>21</v>
      </c>
      <c r="H50" s="1" t="s">
        <v>93</v>
      </c>
      <c r="I50" s="1" t="s">
        <v>604</v>
      </c>
      <c r="J50" s="1" t="s">
        <v>151</v>
      </c>
      <c r="K50" s="1" t="s">
        <v>582</v>
      </c>
      <c r="L50" s="1">
        <v>46</v>
      </c>
      <c r="M50" s="1">
        <v>29</v>
      </c>
      <c r="N50" s="2">
        <f>IFERROR(M50/L50*100,0)</f>
        <v>0</v>
      </c>
    </row>
    <row r="51" spans="1:14">
      <c r="A51" s="1">
        <v>48</v>
      </c>
      <c r="B51" s="1" t="s">
        <v>639</v>
      </c>
      <c r="C51" s="5">
        <v>46371</v>
      </c>
      <c r="D51" s="1" t="s">
        <v>122</v>
      </c>
      <c r="E51" s="6" t="s">
        <v>596</v>
      </c>
      <c r="F51" s="6" t="s">
        <v>20</v>
      </c>
      <c r="G51" s="1" t="s">
        <v>82</v>
      </c>
      <c r="H51" s="1" t="s">
        <v>93</v>
      </c>
      <c r="I51" s="1" t="s">
        <v>589</v>
      </c>
      <c r="J51" s="1" t="s">
        <v>147</v>
      </c>
      <c r="K51" s="1" t="s">
        <v>590</v>
      </c>
      <c r="L51" s="1">
        <v>57</v>
      </c>
      <c r="M51" s="1">
        <v>44</v>
      </c>
      <c r="N51" s="2">
        <f>IFERROR(M51/L51*100,0)</f>
        <v>0</v>
      </c>
    </row>
    <row r="52" spans="1:14">
      <c r="N52" s="2">
        <f>IFERROR(M52/L52*100,0)</f>
        <v>0</v>
      </c>
    </row>
    <row r="53" spans="1:14">
      <c r="N53" s="2">
        <f>IFERROR(M53/L53*100,0)</f>
        <v>0</v>
      </c>
    </row>
    <row r="54" spans="1:14">
      <c r="N54" s="2">
        <f>IFERROR(M54/L54*100,0)</f>
        <v>0</v>
      </c>
    </row>
    <row r="55" spans="1:14">
      <c r="N55" s="2">
        <f>IFERROR(M55/L55*100,0)</f>
        <v>0</v>
      </c>
    </row>
    <row r="56" spans="1:14">
      <c r="N56" s="2">
        <f>IFERROR(M56/L56*100,0)</f>
        <v>0</v>
      </c>
    </row>
    <row r="57" spans="1:14">
      <c r="N57" s="2">
        <f>IFERROR(M57/L57*100,0)</f>
        <v>0</v>
      </c>
    </row>
    <row r="58" spans="1:14">
      <c r="N58" s="2">
        <f>IFERROR(M58/L58*100,0)</f>
        <v>0</v>
      </c>
    </row>
    <row r="59" spans="1:14">
      <c r="N59" s="2">
        <f>IFERROR(M59/L59*100,0)</f>
        <v>0</v>
      </c>
    </row>
    <row r="60" spans="1:14">
      <c r="N60" s="2">
        <f>IFERROR(M60/L60*100,0)</f>
        <v>0</v>
      </c>
    </row>
    <row r="61" spans="1:14">
      <c r="N61" s="2">
        <f>IFERROR(M61/L61*100,0)</f>
        <v>0</v>
      </c>
    </row>
    <row r="62" spans="1:14">
      <c r="N62" s="2">
        <f>IFERROR(M62/L62*100,0)</f>
        <v>0</v>
      </c>
    </row>
    <row r="63" spans="1:14">
      <c r="N63" s="2">
        <f>IFERROR(M63/L63*100,0)</f>
        <v>0</v>
      </c>
    </row>
    <row r="64" spans="1:14">
      <c r="N64" s="2">
        <f>IFERROR(M64/L64*100,0)</f>
        <v>0</v>
      </c>
    </row>
    <row r="65" spans="14:14">
      <c r="N65" s="2">
        <f>IFERROR(M65/L65*100,0)</f>
        <v>0</v>
      </c>
    </row>
    <row r="66" spans="14:14">
      <c r="N66" s="2">
        <f>IFERROR(M66/L66*100,0)</f>
        <v>0</v>
      </c>
    </row>
    <row r="67" spans="14:14">
      <c r="N67" s="2">
        <f>IFERROR(M67/L67*100,0)</f>
        <v>0</v>
      </c>
    </row>
    <row r="68" spans="14:14">
      <c r="N68" s="2">
        <f>IFERROR(M68/L68*100,0)</f>
        <v>0</v>
      </c>
    </row>
    <row r="69" spans="14:14">
      <c r="N69" s="2">
        <f>IFERROR(M69/L69*100,0)</f>
        <v>0</v>
      </c>
    </row>
    <row r="70" spans="14:14">
      <c r="N70" s="2">
        <f>IFERROR(M70/L70*100,0)</f>
        <v>0</v>
      </c>
    </row>
    <row r="71" spans="14:14">
      <c r="N71" s="2">
        <f>IFERROR(M71/L71*100,0)</f>
        <v>0</v>
      </c>
    </row>
    <row r="72" spans="14:14">
      <c r="N72" s="2">
        <f>IFERROR(M72/L72*100,0)</f>
        <v>0</v>
      </c>
    </row>
    <row r="73" spans="14:14">
      <c r="N73" s="2">
        <f>IFERROR(M73/L73*100,0)</f>
        <v>0</v>
      </c>
    </row>
    <row r="74" spans="14:14">
      <c r="N74" s="2">
        <f>IFERROR(M74/L74*100,0)</f>
        <v>0</v>
      </c>
    </row>
    <row r="75" spans="14:14">
      <c r="N75" s="2">
        <f>IFERROR(M75/L75*100,0)</f>
        <v>0</v>
      </c>
    </row>
    <row r="76" spans="14:14">
      <c r="N76" s="2">
        <f>IFERROR(M76/L76*100,0)</f>
        <v>0</v>
      </c>
    </row>
    <row r="77" spans="14:14">
      <c r="N77" s="2">
        <f>IFERROR(M77/L77*100,0)</f>
        <v>0</v>
      </c>
    </row>
    <row r="78" spans="14:14">
      <c r="N78" s="2">
        <f>IFERROR(M78/L78*100,0)</f>
        <v>0</v>
      </c>
    </row>
    <row r="79" spans="14:14">
      <c r="N79" s="2">
        <f>IFERROR(M79/L79*100,0)</f>
        <v>0</v>
      </c>
    </row>
    <row r="80" spans="14:14">
      <c r="N80" s="2">
        <f>IFERROR(M80/L80*100,0)</f>
        <v>0</v>
      </c>
    </row>
    <row r="81" spans="14:14">
      <c r="N81" s="2">
        <f>IFERROR(M81/L81*100,0)</f>
        <v>0</v>
      </c>
    </row>
    <row r="82" spans="14:14">
      <c r="N82" s="2">
        <f>IFERROR(M82/L82*100,0)</f>
        <v>0</v>
      </c>
    </row>
    <row r="83" spans="14:14">
      <c r="N83" s="2">
        <f>IFERROR(M83/L83*100,0)</f>
        <v>0</v>
      </c>
    </row>
    <row r="84" spans="14:14">
      <c r="N84" s="2">
        <f>IFERROR(M84/L84*100,0)</f>
        <v>0</v>
      </c>
    </row>
    <row r="85" spans="14:14">
      <c r="N85" s="2">
        <f>IFERROR(M85/L85*100,0)</f>
        <v>0</v>
      </c>
    </row>
    <row r="86" spans="14:14">
      <c r="N86" s="2">
        <f>IFERROR(M86/L86*100,0)</f>
        <v>0</v>
      </c>
    </row>
    <row r="87" spans="14:14">
      <c r="N87" s="2">
        <f>IFERROR(M87/L87*100,0)</f>
        <v>0</v>
      </c>
    </row>
    <row r="88" spans="14:14">
      <c r="N88" s="2">
        <f>IFERROR(M88/L88*100,0)</f>
        <v>0</v>
      </c>
    </row>
    <row r="89" spans="14:14">
      <c r="N89" s="2">
        <f>IFERROR(M89/L89*100,0)</f>
        <v>0</v>
      </c>
    </row>
    <row r="90" spans="14:14">
      <c r="N90" s="2">
        <f>IFERROR(M90/L90*100,0)</f>
        <v>0</v>
      </c>
    </row>
    <row r="91" spans="14:14">
      <c r="N91" s="2">
        <f>IFERROR(M91/L91*100,0)</f>
        <v>0</v>
      </c>
    </row>
    <row r="92" spans="14:14">
      <c r="N92" s="2">
        <f>IFERROR(M92/L92*100,0)</f>
        <v>0</v>
      </c>
    </row>
    <row r="93" spans="14:14">
      <c r="N93" s="2">
        <f>IFERROR(M93/L93*100,0)</f>
        <v>0</v>
      </c>
    </row>
    <row r="94" spans="14:14">
      <c r="N94" s="2">
        <f>IFERROR(M94/L94*100,0)</f>
        <v>0</v>
      </c>
    </row>
    <row r="95" spans="14:14">
      <c r="N95" s="2">
        <f>IFERROR(M95/L95*100,0)</f>
        <v>0</v>
      </c>
    </row>
    <row r="96" spans="14:14">
      <c r="N96" s="2">
        <f>IFERROR(M96/L96*100,0)</f>
        <v>0</v>
      </c>
    </row>
    <row r="97" spans="14:14">
      <c r="N97" s="2">
        <f>IFERROR(M97/L97*100,0)</f>
        <v>0</v>
      </c>
    </row>
    <row r="98" spans="14:14">
      <c r="N98" s="2">
        <f>IFERROR(M98/L98*100,0)</f>
        <v>0</v>
      </c>
    </row>
    <row r="99" spans="14:14">
      <c r="N99" s="2">
        <f>IFERROR(M99/L99*100,0)</f>
        <v>0</v>
      </c>
    </row>
    <row r="100" spans="14:14">
      <c r="N100" s="2">
        <f>IFERROR(M100/L100*100,0)</f>
        <v>0</v>
      </c>
    </row>
    <row r="101" spans="14:14">
      <c r="N101" s="2">
        <f>IFERROR(M101/L101*100,0)</f>
        <v>0</v>
      </c>
    </row>
    <row r="102" spans="14:14">
      <c r="N102" s="2">
        <f>IFERROR(M102/L102*100,0)</f>
        <v>0</v>
      </c>
    </row>
    <row r="103" spans="14:14">
      <c r="N103" s="2">
        <f>IFERROR(M103/L103*100,0)</f>
        <v>0</v>
      </c>
    </row>
    <row r="104" spans="14:14">
      <c r="N104" s="2">
        <f>IFERROR(M104/L104*100,0)</f>
        <v>0</v>
      </c>
    </row>
    <row r="105" spans="14:14">
      <c r="N105" s="2">
        <f>IFERROR(M105/L105*100,0)</f>
        <v>0</v>
      </c>
    </row>
    <row r="106" spans="14:14">
      <c r="N106" s="2">
        <f>IFERROR(M106/L106*100,0)</f>
        <v>0</v>
      </c>
    </row>
    <row r="107" spans="14:14">
      <c r="N107" s="2">
        <f>IFERROR(M107/L107*100,0)</f>
        <v>0</v>
      </c>
    </row>
    <row r="108" spans="14:14">
      <c r="N108" s="2">
        <f>IFERROR(M108/L108*100,0)</f>
        <v>0</v>
      </c>
    </row>
    <row r="109" spans="14:14">
      <c r="N109" s="2">
        <f>IFERROR(M109/L109*100,0)</f>
        <v>0</v>
      </c>
    </row>
    <row r="110" spans="14:14">
      <c r="N110" s="2">
        <f>IFERROR(M110/L110*100,0)</f>
        <v>0</v>
      </c>
    </row>
    <row r="111" spans="14:14">
      <c r="N111" s="2">
        <f>IFERROR(M111/L111*100,0)</f>
        <v>0</v>
      </c>
    </row>
    <row r="112" spans="14:14">
      <c r="N112" s="2">
        <f>IFERROR(M112/L112*100,0)</f>
        <v>0</v>
      </c>
    </row>
    <row r="113" spans="14:14">
      <c r="N113" s="2">
        <f>IFERROR(M113/L113*100,0)</f>
        <v>0</v>
      </c>
    </row>
    <row r="114" spans="14:14">
      <c r="N114" s="2">
        <f>IFERROR(M114/L114*100,0)</f>
        <v>0</v>
      </c>
    </row>
    <row r="115" spans="14:14">
      <c r="N115" s="2">
        <f>IFERROR(M115/L115*100,0)</f>
        <v>0</v>
      </c>
    </row>
    <row r="116" spans="14:14">
      <c r="N116" s="2">
        <f>IFERROR(M116/L116*100,0)</f>
        <v>0</v>
      </c>
    </row>
    <row r="117" spans="14:14">
      <c r="N117" s="2">
        <f>IFERROR(M117/L117*100,0)</f>
        <v>0</v>
      </c>
    </row>
    <row r="118" spans="14:14">
      <c r="N118" s="2">
        <f>IFERROR(M118/L118*100,0)</f>
        <v>0</v>
      </c>
    </row>
    <row r="119" spans="14:14">
      <c r="N119" s="2">
        <f>IFERROR(M119/L119*100,0)</f>
        <v>0</v>
      </c>
    </row>
    <row r="120" spans="14:14">
      <c r="N120" s="2">
        <f>IFERROR(M120/L120*100,0)</f>
        <v>0</v>
      </c>
    </row>
    <row r="121" spans="14:14">
      <c r="N121" s="2">
        <f>IFERROR(M121/L121*100,0)</f>
        <v>0</v>
      </c>
    </row>
    <row r="122" spans="14:14">
      <c r="N122" s="2">
        <f>IFERROR(M122/L122*100,0)</f>
        <v>0</v>
      </c>
    </row>
    <row r="123" spans="14:14">
      <c r="N123" s="2">
        <f>IFERROR(M123/L123*100,0)</f>
        <v>0</v>
      </c>
    </row>
    <row r="124" spans="14:14">
      <c r="N124" s="2">
        <f>IFERROR(M124/L124*100,0)</f>
        <v>0</v>
      </c>
    </row>
    <row r="125" spans="14:14">
      <c r="N125" s="2">
        <f>IFERROR(M125/L125*100,0)</f>
        <v>0</v>
      </c>
    </row>
    <row r="126" spans="14:14">
      <c r="N126" s="2">
        <f>IFERROR(M126/L126*100,0)</f>
        <v>0</v>
      </c>
    </row>
    <row r="127" spans="14:14">
      <c r="N127" s="2">
        <f>IFERROR(M127/L127*100,0)</f>
        <v>0</v>
      </c>
    </row>
    <row r="128" spans="14:14">
      <c r="N128" s="2">
        <f>IFERROR(M128/L128*100,0)</f>
        <v>0</v>
      </c>
    </row>
    <row r="129" spans="14:14">
      <c r="N129" s="2">
        <f>IFERROR(M129/L129*100,0)</f>
        <v>0</v>
      </c>
    </row>
    <row r="130" spans="14:14">
      <c r="N130" s="2">
        <f>IFERROR(M130/L130*100,0)</f>
        <v>0</v>
      </c>
    </row>
    <row r="131" spans="14:14">
      <c r="N131" s="2">
        <f>IFERROR(M131/L131*100,0)</f>
        <v>0</v>
      </c>
    </row>
    <row r="132" spans="14:14">
      <c r="N132" s="2">
        <f>IFERROR(M132/L132*100,0)</f>
        <v>0</v>
      </c>
    </row>
    <row r="133" spans="14:14">
      <c r="N133" s="2">
        <f>IFERROR(M133/L133*100,0)</f>
        <v>0</v>
      </c>
    </row>
    <row r="134" spans="14:14">
      <c r="N134" s="2">
        <f>IFERROR(M134/L134*100,0)</f>
        <v>0</v>
      </c>
    </row>
    <row r="135" spans="14:14">
      <c r="N135" s="2">
        <f>IFERROR(M135/L135*100,0)</f>
        <v>0</v>
      </c>
    </row>
    <row r="136" spans="14:14">
      <c r="N136" s="2">
        <f>IFERROR(M136/L136*100,0)</f>
        <v>0</v>
      </c>
    </row>
    <row r="137" spans="14:14">
      <c r="N137" s="2">
        <f>IFERROR(M137/L137*100,0)</f>
        <v>0</v>
      </c>
    </row>
    <row r="138" spans="14:14">
      <c r="N138" s="2">
        <f>IFERROR(M138/L138*100,0)</f>
        <v>0</v>
      </c>
    </row>
    <row r="139" spans="14:14">
      <c r="N139" s="2">
        <f>IFERROR(M139/L139*100,0)</f>
        <v>0</v>
      </c>
    </row>
    <row r="140" spans="14:14">
      <c r="N140" s="2">
        <f>IFERROR(M140/L140*100,0)</f>
        <v>0</v>
      </c>
    </row>
    <row r="141" spans="14:14">
      <c r="N141" s="2">
        <f>IFERROR(M141/L141*100,0)</f>
        <v>0</v>
      </c>
    </row>
    <row r="142" spans="14:14">
      <c r="N142" s="2">
        <f>IFERROR(M142/L142*100,0)</f>
        <v>0</v>
      </c>
    </row>
    <row r="143" spans="14:14">
      <c r="N143" s="2">
        <f>IFERROR(M143/L143*100,0)</f>
        <v>0</v>
      </c>
    </row>
    <row r="144" spans="14:14">
      <c r="N144" s="2">
        <f>IFERROR(M144/L144*100,0)</f>
        <v>0</v>
      </c>
    </row>
    <row r="145" spans="14:14">
      <c r="N145" s="2">
        <f>IFERROR(M145/L145*100,0)</f>
        <v>0</v>
      </c>
    </row>
    <row r="146" spans="14:14">
      <c r="N146" s="2">
        <f>IFERROR(M146/L146*100,0)</f>
        <v>0</v>
      </c>
    </row>
    <row r="147" spans="14:14">
      <c r="N147" s="2">
        <f>IFERROR(M147/L147*100,0)</f>
        <v>0</v>
      </c>
    </row>
    <row r="148" spans="14:14">
      <c r="N148" s="2">
        <f>IFERROR(M148/L148*100,0)</f>
        <v>0</v>
      </c>
    </row>
    <row r="149" spans="14:14">
      <c r="N149" s="2">
        <f>IFERROR(M149/L149*100,0)</f>
        <v>0</v>
      </c>
    </row>
    <row r="150" spans="14:14">
      <c r="N150" s="2">
        <f>IFERROR(M150/L150*100,0)</f>
        <v>0</v>
      </c>
    </row>
    <row r="151" spans="14:14">
      <c r="N151" s="2">
        <f>IFERROR(M151/L151*100,0)</f>
        <v>0</v>
      </c>
    </row>
    <row r="152" spans="14:14">
      <c r="N152" s="2">
        <f>IFERROR(M152/L152*100,0)</f>
        <v>0</v>
      </c>
    </row>
    <row r="153" spans="14:14">
      <c r="N153" s="2">
        <f>IFERROR(M153/L153*100,0)</f>
        <v>0</v>
      </c>
    </row>
    <row r="154" spans="14:14">
      <c r="N154" s="2">
        <f>IFERROR(M154/L154*100,0)</f>
        <v>0</v>
      </c>
    </row>
    <row r="155" spans="14:14">
      <c r="N155" s="2">
        <f>IFERROR(M155/L155*100,0)</f>
        <v>0</v>
      </c>
    </row>
    <row r="156" spans="14:14">
      <c r="N156" s="2">
        <f>IFERROR(M156/L156*100,0)</f>
        <v>0</v>
      </c>
    </row>
    <row r="157" spans="14:14">
      <c r="N157" s="2">
        <f>IFERROR(M157/L157*100,0)</f>
        <v>0</v>
      </c>
    </row>
    <row r="158" spans="14:14">
      <c r="N158" s="2">
        <f>IFERROR(M158/L158*100,0)</f>
        <v>0</v>
      </c>
    </row>
    <row r="159" spans="14:14">
      <c r="N159" s="2">
        <f>IFERROR(M159/L159*100,0)</f>
        <v>0</v>
      </c>
    </row>
    <row r="160" spans="14:14">
      <c r="N160" s="2">
        <f>IFERROR(M160/L160*100,0)</f>
        <v>0</v>
      </c>
    </row>
    <row r="161" spans="14:14">
      <c r="N161" s="2">
        <f>IFERROR(M161/L161*100,0)</f>
        <v>0</v>
      </c>
    </row>
    <row r="162" spans="14:14">
      <c r="N162" s="2">
        <f>IFERROR(M162/L162*100,0)</f>
        <v>0</v>
      </c>
    </row>
    <row r="163" spans="14:14">
      <c r="N163" s="2">
        <f>IFERROR(M163/L163*100,0)</f>
        <v>0</v>
      </c>
    </row>
    <row r="164" spans="14:14">
      <c r="N164" s="2">
        <f>IFERROR(M164/L164*100,0)</f>
        <v>0</v>
      </c>
    </row>
    <row r="165" spans="14:14">
      <c r="N165" s="2">
        <f>IFERROR(M165/L165*100,0)</f>
        <v>0</v>
      </c>
    </row>
    <row r="166" spans="14:14">
      <c r="N166" s="2">
        <f>IFERROR(M166/L166*100,0)</f>
        <v>0</v>
      </c>
    </row>
    <row r="167" spans="14:14">
      <c r="N167" s="2">
        <f>IFERROR(M167/L167*100,0)</f>
        <v>0</v>
      </c>
    </row>
    <row r="168" spans="14:14">
      <c r="N168" s="2">
        <f>IFERROR(M168/L168*100,0)</f>
        <v>0</v>
      </c>
    </row>
    <row r="169" spans="14:14">
      <c r="N169" s="2">
        <f>IFERROR(M169/L169*100,0)</f>
        <v>0</v>
      </c>
    </row>
    <row r="170" spans="14:14">
      <c r="N170" s="2">
        <f>IFERROR(M170/L170*100,0)</f>
        <v>0</v>
      </c>
    </row>
    <row r="171" spans="14:14">
      <c r="N171" s="2">
        <f>IFERROR(M171/L171*100,0)</f>
        <v>0</v>
      </c>
    </row>
    <row r="172" spans="14:14">
      <c r="N172" s="2">
        <f>IFERROR(M172/L172*100,0)</f>
        <v>0</v>
      </c>
    </row>
    <row r="173" spans="14:14">
      <c r="N173" s="2">
        <f>IFERROR(M173/L173*100,0)</f>
        <v>0</v>
      </c>
    </row>
    <row r="174" spans="14:14">
      <c r="N174" s="2">
        <f>IFERROR(M174/L174*100,0)</f>
        <v>0</v>
      </c>
    </row>
    <row r="175" spans="14:14">
      <c r="N175" s="2">
        <f>IFERROR(M175/L175*100,0)</f>
        <v>0</v>
      </c>
    </row>
    <row r="176" spans="14:14">
      <c r="N176" s="2">
        <f>IFERROR(M176/L176*100,0)</f>
        <v>0</v>
      </c>
    </row>
    <row r="177" spans="14:14">
      <c r="N177" s="2">
        <f>IFERROR(M177/L177*100,0)</f>
        <v>0</v>
      </c>
    </row>
    <row r="178" spans="14:14">
      <c r="N178" s="2">
        <f>IFERROR(M178/L178*100,0)</f>
        <v>0</v>
      </c>
    </row>
    <row r="179" spans="14:14">
      <c r="N179" s="2">
        <f>IFERROR(M179/L179*100,0)</f>
        <v>0</v>
      </c>
    </row>
    <row r="180" spans="14:14">
      <c r="N180" s="2">
        <f>IFERROR(M180/L180*100,0)</f>
        <v>0</v>
      </c>
    </row>
    <row r="181" spans="14:14">
      <c r="N181" s="2">
        <f>IFERROR(M181/L181*100,0)</f>
        <v>0</v>
      </c>
    </row>
    <row r="182" spans="14:14">
      <c r="N182" s="2">
        <f>IFERROR(M182/L182*100,0)</f>
        <v>0</v>
      </c>
    </row>
    <row r="183" spans="14:14">
      <c r="N183" s="2">
        <f>IFERROR(M183/L183*100,0)</f>
        <v>0</v>
      </c>
    </row>
    <row r="184" spans="14:14">
      <c r="N184" s="2">
        <f>IFERROR(M184/L184*100,0)</f>
        <v>0</v>
      </c>
    </row>
    <row r="185" spans="14:14">
      <c r="N185" s="2">
        <f>IFERROR(M185/L185*100,0)</f>
        <v>0</v>
      </c>
    </row>
    <row r="186" spans="14:14">
      <c r="N186" s="2">
        <f>IFERROR(M186/L186*100,0)</f>
        <v>0</v>
      </c>
    </row>
    <row r="187" spans="14:14">
      <c r="N187" s="2">
        <f>IFERROR(M187/L187*100,0)</f>
        <v>0</v>
      </c>
    </row>
    <row r="188" spans="14:14">
      <c r="N188" s="2">
        <f>IFERROR(M188/L188*100,0)</f>
        <v>0</v>
      </c>
    </row>
    <row r="189" spans="14:14">
      <c r="N189" s="2">
        <f>IFERROR(M189/L189*100,0)</f>
        <v>0</v>
      </c>
    </row>
    <row r="190" spans="14:14">
      <c r="N190" s="2">
        <f>IFERROR(M190/L190*100,0)</f>
        <v>0</v>
      </c>
    </row>
    <row r="191" spans="14:14">
      <c r="N191" s="2">
        <f>IFERROR(M191/L191*100,0)</f>
        <v>0</v>
      </c>
    </row>
    <row r="192" spans="14:14">
      <c r="N192" s="2">
        <f>IFERROR(M192/L192*100,0)</f>
        <v>0</v>
      </c>
    </row>
    <row r="193" spans="14:14">
      <c r="N193" s="2">
        <f>IFERROR(M193/L193*100,0)</f>
        <v>0</v>
      </c>
    </row>
    <row r="194" spans="14:14">
      <c r="N194" s="2">
        <f>IFERROR(M194/L194*100,0)</f>
        <v>0</v>
      </c>
    </row>
    <row r="195" spans="14:14">
      <c r="N195" s="2">
        <f>IFERROR(M195/L195*100,0)</f>
        <v>0</v>
      </c>
    </row>
    <row r="196" spans="14:14">
      <c r="N196" s="2">
        <f>IFERROR(M196/L196*100,0)</f>
        <v>0</v>
      </c>
    </row>
    <row r="197" spans="14:14">
      <c r="N197" s="2">
        <f>IFERROR(M197/L197*100,0)</f>
        <v>0</v>
      </c>
    </row>
    <row r="198" spans="14:14">
      <c r="N198" s="2">
        <f>IFERROR(M198/L198*100,0)</f>
        <v>0</v>
      </c>
    </row>
    <row r="199" spans="14:14">
      <c r="N199" s="2">
        <f>IFERROR(M199/L199*100,0)</f>
        <v>0</v>
      </c>
    </row>
    <row r="200" spans="14:14">
      <c r="N200" s="2">
        <f>IFERROR(M200/L200*100,0)</f>
        <v>0</v>
      </c>
    </row>
    <row r="201" spans="14:14">
      <c r="N201" s="2">
        <f>IFERROR(M201/L201*100,0)</f>
        <v>0</v>
      </c>
    </row>
    <row r="202" spans="14:14">
      <c r="N202" s="2">
        <f>IFERROR(M202/L202*100,0)</f>
        <v>0</v>
      </c>
    </row>
    <row r="203" spans="14:14">
      <c r="N203" s="2">
        <f>IFERROR(M203/L203*100,0)</f>
        <v>0</v>
      </c>
    </row>
    <row r="204" spans="14:14">
      <c r="N204" s="2">
        <f>IFERROR(M204/L204*100,0)</f>
        <v>0</v>
      </c>
    </row>
    <row r="205" spans="14:14">
      <c r="N205" s="2">
        <f>IFERROR(M205/L205*100,0)</f>
        <v>0</v>
      </c>
    </row>
    <row r="206" spans="14:14">
      <c r="N206" s="2">
        <f>IFERROR(M206/L206*100,0)</f>
        <v>0</v>
      </c>
    </row>
    <row r="207" spans="14:14">
      <c r="N207" s="2">
        <f>IFERROR(M207/L207*100,0)</f>
        <v>0</v>
      </c>
    </row>
    <row r="208" spans="14:14">
      <c r="N208" s="2">
        <f>IFERROR(M208/L208*100,0)</f>
        <v>0</v>
      </c>
    </row>
    <row r="209" spans="14:14">
      <c r="N209" s="2">
        <f>IFERROR(M209/L209*100,0)</f>
        <v>0</v>
      </c>
    </row>
    <row r="210" spans="14:14">
      <c r="N210" s="2">
        <f>IFERROR(M210/L210*100,0)</f>
        <v>0</v>
      </c>
    </row>
    <row r="211" spans="14:14">
      <c r="N211" s="2">
        <f>IFERROR(M211/L211*100,0)</f>
        <v>0</v>
      </c>
    </row>
    <row r="212" spans="14:14">
      <c r="N212" s="2">
        <f>IFERROR(M212/L212*100,0)</f>
        <v>0</v>
      </c>
    </row>
    <row r="213" spans="14:14">
      <c r="N213" s="2">
        <f>IFERROR(M213/L213*100,0)</f>
        <v>0</v>
      </c>
    </row>
    <row r="214" spans="14:14">
      <c r="N214" s="2">
        <f>IFERROR(M214/L214*100,0)</f>
        <v>0</v>
      </c>
    </row>
    <row r="215" spans="14:14">
      <c r="N215" s="2">
        <f>IFERROR(M215/L215*100,0)</f>
        <v>0</v>
      </c>
    </row>
    <row r="216" spans="14:14">
      <c r="N216" s="2">
        <f>IFERROR(M216/L216*100,0)</f>
        <v>0</v>
      </c>
    </row>
    <row r="217" spans="14:14">
      <c r="N217" s="2">
        <f>IFERROR(M217/L217*100,0)</f>
        <v>0</v>
      </c>
    </row>
    <row r="218" spans="14:14">
      <c r="N218" s="2">
        <f>IFERROR(M218/L218*100,0)</f>
        <v>0</v>
      </c>
    </row>
    <row r="219" spans="14:14">
      <c r="N219" s="2">
        <f>IFERROR(M219/L219*100,0)</f>
        <v>0</v>
      </c>
    </row>
    <row r="220" spans="14:14">
      <c r="N220" s="2">
        <f>IFERROR(M220/L220*100,0)</f>
        <v>0</v>
      </c>
    </row>
    <row r="221" spans="14:14">
      <c r="N221" s="2">
        <f>IFERROR(M221/L221*100,0)</f>
        <v>0</v>
      </c>
    </row>
    <row r="222" spans="14:14">
      <c r="N222" s="2">
        <f>IFERROR(M222/L222*100,0)</f>
        <v>0</v>
      </c>
    </row>
    <row r="223" spans="14:14">
      <c r="N223" s="2">
        <f>IFERROR(M223/L223*100,0)</f>
        <v>0</v>
      </c>
    </row>
    <row r="224" spans="14:14">
      <c r="N224" s="2">
        <f>IFERROR(M224/L224*100,0)</f>
        <v>0</v>
      </c>
    </row>
    <row r="225" spans="14:14">
      <c r="N225" s="2">
        <f>IFERROR(M225/L225*100,0)</f>
        <v>0</v>
      </c>
    </row>
    <row r="226" spans="14:14">
      <c r="N226" s="2">
        <f>IFERROR(M226/L226*100,0)</f>
        <v>0</v>
      </c>
    </row>
    <row r="227" spans="14:14">
      <c r="N227" s="2">
        <f>IFERROR(M227/L227*100,0)</f>
        <v>0</v>
      </c>
    </row>
    <row r="228" spans="14:14">
      <c r="N228" s="2">
        <f>IFERROR(M228/L228*100,0)</f>
        <v>0</v>
      </c>
    </row>
    <row r="229" spans="14:14">
      <c r="N229" s="2">
        <f>IFERROR(M229/L229*100,0)</f>
        <v>0</v>
      </c>
    </row>
    <row r="230" spans="14:14">
      <c r="N230" s="2">
        <f>IFERROR(M230/L230*100,0)</f>
        <v>0</v>
      </c>
    </row>
    <row r="231" spans="14:14">
      <c r="N231" s="2">
        <f>IFERROR(M231/L231*100,0)</f>
        <v>0</v>
      </c>
    </row>
    <row r="232" spans="14:14">
      <c r="N232" s="2">
        <f>IFERROR(M232/L232*100,0)</f>
        <v>0</v>
      </c>
    </row>
    <row r="233" spans="14:14">
      <c r="N233" s="2">
        <f>IFERROR(M233/L233*100,0)</f>
        <v>0</v>
      </c>
    </row>
    <row r="234" spans="14:14">
      <c r="N234" s="2">
        <f>IFERROR(M234/L234*100,0)</f>
        <v>0</v>
      </c>
    </row>
    <row r="235" spans="14:14">
      <c r="N235" s="2">
        <f>IFERROR(M235/L235*100,0)</f>
        <v>0</v>
      </c>
    </row>
    <row r="236" spans="14:14">
      <c r="N236" s="2">
        <f>IFERROR(M236/L236*100,0)</f>
        <v>0</v>
      </c>
    </row>
    <row r="237" spans="14:14">
      <c r="N237" s="2">
        <f>IFERROR(M237/L237*100,0)</f>
        <v>0</v>
      </c>
    </row>
    <row r="238" spans="14:14">
      <c r="N238" s="2">
        <f>IFERROR(M238/L238*100,0)</f>
        <v>0</v>
      </c>
    </row>
    <row r="239" spans="14:14">
      <c r="N239" s="2">
        <f>IFERROR(M239/L239*100,0)</f>
        <v>0</v>
      </c>
    </row>
    <row r="240" spans="14:14">
      <c r="N240" s="2">
        <f>IFERROR(M240/L240*100,0)</f>
        <v>0</v>
      </c>
    </row>
    <row r="241" spans="14:14">
      <c r="N241" s="2">
        <f>IFERROR(M241/L241*100,0)</f>
        <v>0</v>
      </c>
    </row>
    <row r="242" spans="14:14">
      <c r="N242" s="2">
        <f>IFERROR(M242/L242*100,0)</f>
        <v>0</v>
      </c>
    </row>
    <row r="243" spans="14:14">
      <c r="N243" s="2">
        <f>IFERROR(M243/L243*100,0)</f>
        <v>0</v>
      </c>
    </row>
    <row r="244" spans="14:14">
      <c r="N244" s="2">
        <f>IFERROR(M244/L244*100,0)</f>
        <v>0</v>
      </c>
    </row>
    <row r="245" spans="14:14">
      <c r="N245" s="2">
        <f>IFERROR(M245/L245*100,0)</f>
        <v>0</v>
      </c>
    </row>
    <row r="246" spans="14:14">
      <c r="N246" s="2">
        <f>IFERROR(M246/L246*100,0)</f>
        <v>0</v>
      </c>
    </row>
    <row r="247" spans="14:14">
      <c r="N247" s="2">
        <f>IFERROR(M247/L247*100,0)</f>
        <v>0</v>
      </c>
    </row>
    <row r="248" spans="14:14">
      <c r="N248" s="2">
        <f>IFERROR(M248/L248*100,0)</f>
        <v>0</v>
      </c>
    </row>
    <row r="249" spans="14:14">
      <c r="N249" s="2">
        <f>IFERROR(M249/L249*100,0)</f>
        <v>0</v>
      </c>
    </row>
    <row r="250" spans="14:14">
      <c r="N250" s="2">
        <f>IFERROR(M250/L250*100,0)</f>
        <v>0</v>
      </c>
    </row>
    <row r="251" spans="14:14">
      <c r="N251" s="2">
        <f>IFERROR(M251/L251*100,0)</f>
        <v>0</v>
      </c>
    </row>
    <row r="252" spans="14:14">
      <c r="N252" s="2">
        <f>IFERROR(M252/L252*100,0)</f>
        <v>0</v>
      </c>
    </row>
    <row r="253" spans="14:14">
      <c r="N253" s="2">
        <f>IFERROR(M253/L253*100,0)</f>
        <v>0</v>
      </c>
    </row>
    <row r="254" spans="14:14">
      <c r="N254" s="2">
        <f>IFERROR(M254/L254*100,0)</f>
        <v>0</v>
      </c>
    </row>
    <row r="255" spans="14:14">
      <c r="N255" s="2">
        <f>IFERROR(M255/L255*100,0)</f>
        <v>0</v>
      </c>
    </row>
    <row r="256" spans="14:14">
      <c r="N256" s="2">
        <f>IFERROR(M256/L256*100,0)</f>
        <v>0</v>
      </c>
    </row>
    <row r="257" spans="14:14">
      <c r="N257" s="2">
        <f>IFERROR(M257/L257*100,0)</f>
        <v>0</v>
      </c>
    </row>
    <row r="258" spans="14:14">
      <c r="N258" s="2">
        <f>IFERROR(M258/L258*100,0)</f>
        <v>0</v>
      </c>
    </row>
    <row r="259" spans="14:14">
      <c r="N259" s="2">
        <f>IFERROR(M259/L259*100,0)</f>
        <v>0</v>
      </c>
    </row>
    <row r="260" spans="14:14">
      <c r="N260" s="2">
        <f>IFERROR(M260/L260*100,0)</f>
        <v>0</v>
      </c>
    </row>
    <row r="261" spans="14:14">
      <c r="N261" s="2">
        <f>IFERROR(M261/L261*100,0)</f>
        <v>0</v>
      </c>
    </row>
    <row r="262" spans="14:14">
      <c r="N262" s="2">
        <f>IFERROR(M262/L262*100,0)</f>
        <v>0</v>
      </c>
    </row>
    <row r="263" spans="14:14">
      <c r="N263" s="2">
        <f>IFERROR(M263/L263*100,0)</f>
        <v>0</v>
      </c>
    </row>
    <row r="264" spans="14:14">
      <c r="N264" s="2">
        <f>IFERROR(M264/L264*100,0)</f>
        <v>0</v>
      </c>
    </row>
    <row r="265" spans="14:14">
      <c r="N265" s="2">
        <f>IFERROR(M265/L265*100,0)</f>
        <v>0</v>
      </c>
    </row>
    <row r="266" spans="14:14">
      <c r="N266" s="2">
        <f>IFERROR(M266/L266*100,0)</f>
        <v>0</v>
      </c>
    </row>
    <row r="267" spans="14:14">
      <c r="N267" s="2">
        <f>IFERROR(M267/L267*100,0)</f>
        <v>0</v>
      </c>
    </row>
    <row r="268" spans="14:14">
      <c r="N268" s="2">
        <f>IFERROR(M268/L268*100,0)</f>
        <v>0</v>
      </c>
    </row>
    <row r="269" spans="14:14">
      <c r="N269" s="2">
        <f>IFERROR(M269/L269*100,0)</f>
        <v>0</v>
      </c>
    </row>
    <row r="270" spans="14:14">
      <c r="N270" s="2">
        <f>IFERROR(M270/L270*100,0)</f>
        <v>0</v>
      </c>
    </row>
    <row r="271" spans="14:14">
      <c r="N271" s="2">
        <f>IFERROR(M271/L271*100,0)</f>
        <v>0</v>
      </c>
    </row>
    <row r="272" spans="14:14">
      <c r="N272" s="2">
        <f>IFERROR(M272/L272*100,0)</f>
        <v>0</v>
      </c>
    </row>
    <row r="273" spans="14:14">
      <c r="N273" s="2">
        <f>IFERROR(M273/L273*100,0)</f>
        <v>0</v>
      </c>
    </row>
    <row r="274" spans="14:14">
      <c r="N274" s="2">
        <f>IFERROR(M274/L274*100,0)</f>
        <v>0</v>
      </c>
    </row>
    <row r="275" spans="14:14">
      <c r="N275" s="2">
        <f>IFERROR(M275/L275*100,0)</f>
        <v>0</v>
      </c>
    </row>
    <row r="276" spans="14:14">
      <c r="N276" s="2">
        <f>IFERROR(M276/L276*100,0)</f>
        <v>0</v>
      </c>
    </row>
    <row r="277" spans="14:14">
      <c r="N277" s="2">
        <f>IFERROR(M277/L277*100,0)</f>
        <v>0</v>
      </c>
    </row>
    <row r="278" spans="14:14">
      <c r="N278" s="2">
        <f>IFERROR(M278/L278*100,0)</f>
        <v>0</v>
      </c>
    </row>
    <row r="279" spans="14:14">
      <c r="N279" s="2">
        <f>IFERROR(M279/L279*100,0)</f>
        <v>0</v>
      </c>
    </row>
    <row r="280" spans="14:14">
      <c r="N280" s="2">
        <f>IFERROR(M280/L280*100,0)</f>
        <v>0</v>
      </c>
    </row>
    <row r="281" spans="14:14">
      <c r="N281" s="2">
        <f>IFERROR(M281/L281*100,0)</f>
        <v>0</v>
      </c>
    </row>
    <row r="282" spans="14:14">
      <c r="N282" s="2">
        <f>IFERROR(M282/L282*100,0)</f>
        <v>0</v>
      </c>
    </row>
    <row r="283" spans="14:14">
      <c r="N283" s="2">
        <f>IFERROR(M283/L283*100,0)</f>
        <v>0</v>
      </c>
    </row>
    <row r="284" spans="14:14">
      <c r="N284" s="2">
        <f>IFERROR(M284/L284*100,0)</f>
        <v>0</v>
      </c>
    </row>
    <row r="285" spans="14:14">
      <c r="N285" s="2">
        <f>IFERROR(M285/L285*100,0)</f>
        <v>0</v>
      </c>
    </row>
    <row r="286" spans="14:14">
      <c r="N286" s="2">
        <f>IFERROR(M286/L286*100,0)</f>
        <v>0</v>
      </c>
    </row>
    <row r="287" spans="14:14">
      <c r="N287" s="2">
        <f>IFERROR(M287/L287*100,0)</f>
        <v>0</v>
      </c>
    </row>
    <row r="288" spans="14:14">
      <c r="N288" s="2">
        <f>IFERROR(M288/L288*100,0)</f>
        <v>0</v>
      </c>
    </row>
    <row r="289" spans="14:14">
      <c r="N289" s="2">
        <f>IFERROR(M289/L289*100,0)</f>
        <v>0</v>
      </c>
    </row>
    <row r="290" spans="14:14">
      <c r="N290" s="2">
        <f>IFERROR(M290/L290*100,0)</f>
        <v>0</v>
      </c>
    </row>
    <row r="291" spans="14:14">
      <c r="N291" s="2">
        <f>IFERROR(M291/L291*100,0)</f>
        <v>0</v>
      </c>
    </row>
    <row r="292" spans="14:14">
      <c r="N292" s="2">
        <f>IFERROR(M292/L292*100,0)</f>
        <v>0</v>
      </c>
    </row>
    <row r="293" spans="14:14">
      <c r="N293" s="2">
        <f>IFERROR(M293/L293*100,0)</f>
        <v>0</v>
      </c>
    </row>
    <row r="294" spans="14:14">
      <c r="N294" s="2">
        <f>IFERROR(M294/L294*100,0)</f>
        <v>0</v>
      </c>
    </row>
    <row r="295" spans="14:14">
      <c r="N295" s="2">
        <f>IFERROR(M295/L295*100,0)</f>
        <v>0</v>
      </c>
    </row>
    <row r="296" spans="14:14">
      <c r="N296" s="2">
        <f>IFERROR(M296/L296*100,0)</f>
        <v>0</v>
      </c>
    </row>
    <row r="297" spans="14:14">
      <c r="N297" s="2">
        <f>IFERROR(M297/L297*100,0)</f>
        <v>0</v>
      </c>
    </row>
    <row r="298" spans="14:14">
      <c r="N298" s="2">
        <f>IFERROR(M298/L298*100,0)</f>
        <v>0</v>
      </c>
    </row>
    <row r="299" spans="14:14">
      <c r="N299" s="2">
        <f>IFERROR(M299/L299*100,0)</f>
        <v>0</v>
      </c>
    </row>
    <row r="300" spans="14:14">
      <c r="N300" s="2">
        <f>IFERROR(M300/L300*100,0)</f>
        <v>0</v>
      </c>
    </row>
    <row r="301" spans="14:14">
      <c r="N301" s="2">
        <f>IFERROR(M301/L301*100,0)</f>
        <v>0</v>
      </c>
    </row>
    <row r="302" spans="14:14">
      <c r="N302" s="2">
        <f>IFERROR(M302/L302*100,0)</f>
        <v>0</v>
      </c>
    </row>
    <row r="303" spans="14:14">
      <c r="N303" s="2">
        <f>IFERROR(M303/L303*100,0)</f>
        <v>0</v>
      </c>
    </row>
    <row r="304" spans="14:14">
      <c r="N304" s="2">
        <f>IFERROR(M304/L304*100,0)</f>
        <v>0</v>
      </c>
    </row>
    <row r="305" spans="14:14">
      <c r="N305" s="2">
        <f>IFERROR(M305/L305*100,0)</f>
        <v>0</v>
      </c>
    </row>
    <row r="306" spans="14:14">
      <c r="N306" s="2">
        <f>IFERROR(M306/L306*100,0)</f>
        <v>0</v>
      </c>
    </row>
    <row r="307" spans="14:14">
      <c r="N307" s="2">
        <f>IFERROR(M307/L307*100,0)</f>
        <v>0</v>
      </c>
    </row>
    <row r="308" spans="14:14">
      <c r="N308" s="2">
        <f>IFERROR(M308/L308*100,0)</f>
        <v>0</v>
      </c>
    </row>
    <row r="309" spans="14:14">
      <c r="N309" s="2">
        <f>IFERROR(M309/L309*100,0)</f>
        <v>0</v>
      </c>
    </row>
    <row r="310" spans="14:14">
      <c r="N310" s="2">
        <f>IFERROR(M310/L310*100,0)</f>
        <v>0</v>
      </c>
    </row>
    <row r="311" spans="14:14">
      <c r="N311" s="2">
        <f>IFERROR(M311/L311*100,0)</f>
        <v>0</v>
      </c>
    </row>
    <row r="312" spans="14:14">
      <c r="N312" s="2">
        <f>IFERROR(M312/L312*100,0)</f>
        <v>0</v>
      </c>
    </row>
    <row r="313" spans="14:14">
      <c r="N313" s="2">
        <f>IFERROR(M313/L313*100,0)</f>
        <v>0</v>
      </c>
    </row>
    <row r="314" spans="14:14">
      <c r="N314" s="2">
        <f>IFERROR(M314/L314*100,0)</f>
        <v>0</v>
      </c>
    </row>
    <row r="315" spans="14:14">
      <c r="N315" s="2">
        <f>IFERROR(M315/L315*100,0)</f>
        <v>0</v>
      </c>
    </row>
    <row r="316" spans="14:14">
      <c r="N316" s="2">
        <f>IFERROR(M316/L316*100,0)</f>
        <v>0</v>
      </c>
    </row>
    <row r="317" spans="14:14">
      <c r="N317" s="2">
        <f>IFERROR(M317/L317*100,0)</f>
        <v>0</v>
      </c>
    </row>
    <row r="318" spans="14:14">
      <c r="N318" s="2">
        <f>IFERROR(M318/L318*100,0)</f>
        <v>0</v>
      </c>
    </row>
    <row r="319" spans="14:14">
      <c r="N319" s="2">
        <f>IFERROR(M319/L319*100,0)</f>
        <v>0</v>
      </c>
    </row>
    <row r="320" spans="14:14">
      <c r="N320" s="2">
        <f>IFERROR(M320/L320*100,0)</f>
        <v>0</v>
      </c>
    </row>
    <row r="321" spans="14:14">
      <c r="N321" s="2">
        <f>IFERROR(M321/L321*100,0)</f>
        <v>0</v>
      </c>
    </row>
    <row r="322" spans="14:14">
      <c r="N322" s="2">
        <f>IFERROR(M322/L322*100,0)</f>
        <v>0</v>
      </c>
    </row>
    <row r="323" spans="14:14">
      <c r="N323" s="2">
        <f>IFERROR(M323/L323*100,0)</f>
        <v>0</v>
      </c>
    </row>
    <row r="324" spans="14:14">
      <c r="N324" s="2">
        <f>IFERROR(M324/L324*100,0)</f>
        <v>0</v>
      </c>
    </row>
    <row r="325" spans="14:14">
      <c r="N325" s="2">
        <f>IFERROR(M325/L325*100,0)</f>
        <v>0</v>
      </c>
    </row>
    <row r="326" spans="14:14">
      <c r="N326" s="2">
        <f>IFERROR(M326/L326*100,0)</f>
        <v>0</v>
      </c>
    </row>
    <row r="327" spans="14:14">
      <c r="N327" s="2">
        <f>IFERROR(M327/L327*100,0)</f>
        <v>0</v>
      </c>
    </row>
    <row r="328" spans="14:14">
      <c r="N328" s="2">
        <f>IFERROR(M328/L328*100,0)</f>
        <v>0</v>
      </c>
    </row>
    <row r="329" spans="14:14">
      <c r="N329" s="2">
        <f>IFERROR(M329/L329*100,0)</f>
        <v>0</v>
      </c>
    </row>
    <row r="330" spans="14:14">
      <c r="N330" s="2">
        <f>IFERROR(M330/L330*100,0)</f>
        <v>0</v>
      </c>
    </row>
    <row r="331" spans="14:14">
      <c r="N331" s="2">
        <f>IFERROR(M331/L331*100,0)</f>
        <v>0</v>
      </c>
    </row>
    <row r="332" spans="14:14">
      <c r="N332" s="2">
        <f>IFERROR(M332/L332*100,0)</f>
        <v>0</v>
      </c>
    </row>
    <row r="333" spans="14:14">
      <c r="N333" s="2">
        <f>IFERROR(M333/L333*100,0)</f>
        <v>0</v>
      </c>
    </row>
    <row r="334" spans="14:14">
      <c r="N334" s="2">
        <f>IFERROR(M334/L334*100,0)</f>
        <v>0</v>
      </c>
    </row>
    <row r="335" spans="14:14">
      <c r="N335" s="2">
        <f>IFERROR(M335/L335*100,0)</f>
        <v>0</v>
      </c>
    </row>
    <row r="336" spans="14:14">
      <c r="N336" s="2">
        <f>IFERROR(M336/L336*100,0)</f>
        <v>0</v>
      </c>
    </row>
    <row r="337" spans="14:14">
      <c r="N337" s="2">
        <f>IFERROR(M337/L337*100,0)</f>
        <v>0</v>
      </c>
    </row>
    <row r="338" spans="14:14">
      <c r="N338" s="2">
        <f>IFERROR(M338/L338*100,0)</f>
        <v>0</v>
      </c>
    </row>
    <row r="339" spans="14:14">
      <c r="N339" s="2">
        <f>IFERROR(M339/L339*100,0)</f>
        <v>0</v>
      </c>
    </row>
    <row r="340" spans="14:14">
      <c r="N340" s="2">
        <f>IFERROR(M340/L340*100,0)</f>
        <v>0</v>
      </c>
    </row>
    <row r="341" spans="14:14">
      <c r="N341" s="2">
        <f>IFERROR(M341/L341*100,0)</f>
        <v>0</v>
      </c>
    </row>
    <row r="342" spans="14:14">
      <c r="N342" s="2">
        <f>IFERROR(M342/L342*100,0)</f>
        <v>0</v>
      </c>
    </row>
    <row r="343" spans="14:14">
      <c r="N343" s="2">
        <f>IFERROR(M343/L343*100,0)</f>
        <v>0</v>
      </c>
    </row>
    <row r="344" spans="14:14">
      <c r="N344" s="2">
        <f>IFERROR(M344/L344*100,0)</f>
        <v>0</v>
      </c>
    </row>
    <row r="345" spans="14:14">
      <c r="N345" s="2">
        <f>IFERROR(M345/L345*100,0)</f>
        <v>0</v>
      </c>
    </row>
    <row r="346" spans="14:14">
      <c r="N346" s="2">
        <f>IFERROR(M346/L346*100,0)</f>
        <v>0</v>
      </c>
    </row>
    <row r="347" spans="14:14">
      <c r="N347" s="2">
        <f>IFERROR(M347/L347*100,0)</f>
        <v>0</v>
      </c>
    </row>
    <row r="348" spans="14:14">
      <c r="N348" s="2">
        <f>IFERROR(M348/L348*100,0)</f>
        <v>0</v>
      </c>
    </row>
    <row r="349" spans="14:14">
      <c r="N349" s="2">
        <f>IFERROR(M349/L349*100,0)</f>
        <v>0</v>
      </c>
    </row>
    <row r="350" spans="14:14">
      <c r="N350" s="2">
        <f>IFERROR(M350/L350*100,0)</f>
        <v>0</v>
      </c>
    </row>
    <row r="351" spans="14:14">
      <c r="N351" s="2">
        <f>IFERROR(M351/L351*100,0)</f>
        <v>0</v>
      </c>
    </row>
    <row r="352" spans="14:14">
      <c r="N352" s="2">
        <f>IFERROR(M352/L352*100,0)</f>
        <v>0</v>
      </c>
    </row>
    <row r="353" spans="14:14">
      <c r="N353" s="2">
        <f>IFERROR(M353/L353*100,0)</f>
        <v>0</v>
      </c>
    </row>
    <row r="354" spans="14:14">
      <c r="N354" s="2">
        <f>IFERROR(M354/L354*100,0)</f>
        <v>0</v>
      </c>
    </row>
    <row r="355" spans="14:14">
      <c r="N355" s="2">
        <f>IFERROR(M355/L355*100,0)</f>
        <v>0</v>
      </c>
    </row>
    <row r="356" spans="14:14">
      <c r="N356" s="2">
        <f>IFERROR(M356/L356*100,0)</f>
        <v>0</v>
      </c>
    </row>
    <row r="357" spans="14:14">
      <c r="N357" s="2">
        <f>IFERROR(M357/L357*100,0)</f>
        <v>0</v>
      </c>
    </row>
    <row r="358" spans="14:14">
      <c r="N358" s="2">
        <f>IFERROR(M358/L358*100,0)</f>
        <v>0</v>
      </c>
    </row>
    <row r="359" spans="14:14">
      <c r="N359" s="2">
        <f>IFERROR(M359/L359*100,0)</f>
        <v>0</v>
      </c>
    </row>
    <row r="360" spans="14:14">
      <c r="N360" s="2">
        <f>IFERROR(M360/L360*100,0)</f>
        <v>0</v>
      </c>
    </row>
    <row r="361" spans="14:14">
      <c r="N361" s="2">
        <f>IFERROR(M361/L361*100,0)</f>
        <v>0</v>
      </c>
    </row>
    <row r="362" spans="14:14">
      <c r="N362" s="2">
        <f>IFERROR(M362/L362*100,0)</f>
        <v>0</v>
      </c>
    </row>
    <row r="363" spans="14:14">
      <c r="N363" s="2">
        <f>IFERROR(M363/L363*100,0)</f>
        <v>0</v>
      </c>
    </row>
    <row r="364" spans="14:14">
      <c r="N364" s="2">
        <f>IFERROR(M364/L364*100,0)</f>
        <v>0</v>
      </c>
    </row>
    <row r="365" spans="14:14">
      <c r="N365" s="2">
        <f>IFERROR(M365/L365*100,0)</f>
        <v>0</v>
      </c>
    </row>
    <row r="366" spans="14:14">
      <c r="N366" s="2">
        <f>IFERROR(M366/L366*100,0)</f>
        <v>0</v>
      </c>
    </row>
    <row r="367" spans="14:14">
      <c r="N367" s="2">
        <f>IFERROR(M367/L367*100,0)</f>
        <v>0</v>
      </c>
    </row>
    <row r="368" spans="14:14">
      <c r="N368" s="2">
        <f>IFERROR(M368/L368*100,0)</f>
        <v>0</v>
      </c>
    </row>
    <row r="369" spans="14:14">
      <c r="N369" s="2">
        <f>IFERROR(M369/L369*100,0)</f>
        <v>0</v>
      </c>
    </row>
    <row r="370" spans="14:14">
      <c r="N370" s="2">
        <f>IFERROR(M370/L370*100,0)</f>
        <v>0</v>
      </c>
    </row>
    <row r="371" spans="14:14">
      <c r="N371" s="2">
        <f>IFERROR(M371/L371*100,0)</f>
        <v>0</v>
      </c>
    </row>
    <row r="372" spans="14:14">
      <c r="N372" s="2">
        <f>IFERROR(M372/L372*100,0)</f>
        <v>0</v>
      </c>
    </row>
    <row r="373" spans="14:14">
      <c r="N373" s="2">
        <f>IFERROR(M373/L373*100,0)</f>
        <v>0</v>
      </c>
    </row>
    <row r="374" spans="14:14">
      <c r="N374" s="2">
        <f>IFERROR(M374/L374*100,0)</f>
        <v>0</v>
      </c>
    </row>
    <row r="375" spans="14:14">
      <c r="N375" s="2">
        <f>IFERROR(M375/L375*100,0)</f>
        <v>0</v>
      </c>
    </row>
    <row r="376" spans="14:14">
      <c r="N376" s="2">
        <f>IFERROR(M376/L376*100,0)</f>
        <v>0</v>
      </c>
    </row>
    <row r="377" spans="14:14">
      <c r="N377" s="2">
        <f>IFERROR(M377/L377*100,0)</f>
        <v>0</v>
      </c>
    </row>
    <row r="378" spans="14:14">
      <c r="N378" s="2">
        <f>IFERROR(M378/L378*100,0)</f>
        <v>0</v>
      </c>
    </row>
    <row r="379" spans="14:14">
      <c r="N379" s="2">
        <f>IFERROR(M379/L379*100,0)</f>
        <v>0</v>
      </c>
    </row>
    <row r="380" spans="14:14">
      <c r="N380" s="2">
        <f>IFERROR(M380/L380*100,0)</f>
        <v>0</v>
      </c>
    </row>
    <row r="381" spans="14:14">
      <c r="N381" s="2">
        <f>IFERROR(M381/L381*100,0)</f>
        <v>0</v>
      </c>
    </row>
    <row r="382" spans="14:14">
      <c r="N382" s="2">
        <f>IFERROR(M382/L382*100,0)</f>
        <v>0</v>
      </c>
    </row>
    <row r="383" spans="14:14">
      <c r="N383" s="2">
        <f>IFERROR(M383/L383*100,0)</f>
        <v>0</v>
      </c>
    </row>
    <row r="384" spans="14:14">
      <c r="N384" s="2">
        <f>IFERROR(M384/L384*100,0)</f>
        <v>0</v>
      </c>
    </row>
    <row r="385" spans="14:14">
      <c r="N385" s="2">
        <f>IFERROR(M385/L385*100,0)</f>
        <v>0</v>
      </c>
    </row>
    <row r="386" spans="14:14">
      <c r="N386" s="2">
        <f>IFERROR(M386/L386*100,0)</f>
        <v>0</v>
      </c>
    </row>
    <row r="387" spans="14:14">
      <c r="N387" s="2">
        <f>IFERROR(M387/L387*100,0)</f>
        <v>0</v>
      </c>
    </row>
    <row r="388" spans="14:14">
      <c r="N388" s="2">
        <f>IFERROR(M388/L388*100,0)</f>
        <v>0</v>
      </c>
    </row>
    <row r="389" spans="14:14">
      <c r="N389" s="2">
        <f>IFERROR(M389/L389*100,0)</f>
        <v>0</v>
      </c>
    </row>
    <row r="390" spans="14:14">
      <c r="N390" s="2">
        <f>IFERROR(M390/L390*100,0)</f>
        <v>0</v>
      </c>
    </row>
    <row r="391" spans="14:14">
      <c r="N391" s="2">
        <f>IFERROR(M391/L391*100,0)</f>
        <v>0</v>
      </c>
    </row>
    <row r="392" spans="14:14">
      <c r="N392" s="2">
        <f>IFERROR(M392/L392*100,0)</f>
        <v>0</v>
      </c>
    </row>
    <row r="393" spans="14:14">
      <c r="N393" s="2">
        <f>IFERROR(M393/L393*100,0)</f>
        <v>0</v>
      </c>
    </row>
    <row r="394" spans="14:14">
      <c r="N394" s="2">
        <f>IFERROR(M394/L394*100,0)</f>
        <v>0</v>
      </c>
    </row>
    <row r="395" spans="14:14">
      <c r="N395" s="2">
        <f>IFERROR(M395/L395*100,0)</f>
        <v>0</v>
      </c>
    </row>
    <row r="396" spans="14:14">
      <c r="N396" s="2">
        <f>IFERROR(M396/L396*100,0)</f>
        <v>0</v>
      </c>
    </row>
    <row r="397" spans="14:14">
      <c r="N397" s="2">
        <f>IFERROR(M397/L397*100,0)</f>
        <v>0</v>
      </c>
    </row>
    <row r="398" spans="14:14">
      <c r="N398" s="2">
        <f>IFERROR(M398/L398*100,0)</f>
        <v>0</v>
      </c>
    </row>
    <row r="399" spans="14:14">
      <c r="N399" s="2">
        <f>IFERROR(M399/L399*100,0)</f>
        <v>0</v>
      </c>
    </row>
    <row r="400" spans="14:14">
      <c r="N400" s="2">
        <f>IFERROR(M400/L400*100,0)</f>
        <v>0</v>
      </c>
    </row>
    <row r="401" spans="14:14">
      <c r="N401" s="2">
        <f>IFERROR(M401/L401*100,0)</f>
        <v>0</v>
      </c>
    </row>
    <row r="402" spans="14:14">
      <c r="N402" s="2">
        <f>IFERROR(M402/L402*100,0)</f>
        <v>0</v>
      </c>
    </row>
    <row r="403" spans="14:14">
      <c r="N403" s="2">
        <f>IFERROR(M403/L403*100,0)</f>
        <v>0</v>
      </c>
    </row>
    <row r="404" spans="14:14">
      <c r="N404" s="2">
        <f>IFERROR(M404/L404*100,0)</f>
        <v>0</v>
      </c>
    </row>
    <row r="405" spans="14:14">
      <c r="N405" s="2">
        <f>IFERROR(M405/L405*100,0)</f>
        <v>0</v>
      </c>
    </row>
    <row r="406" spans="14:14">
      <c r="N406" s="2">
        <f>IFERROR(M406/L406*100,0)</f>
        <v>0</v>
      </c>
    </row>
    <row r="407" spans="14:14">
      <c r="N407" s="2">
        <f>IFERROR(M407/L407*100,0)</f>
        <v>0</v>
      </c>
    </row>
    <row r="408" spans="14:14">
      <c r="N408" s="2">
        <f>IFERROR(M408/L408*100,0)</f>
        <v>0</v>
      </c>
    </row>
    <row r="409" spans="14:14">
      <c r="N409" s="2">
        <f>IFERROR(M409/L409*100,0)</f>
        <v>0</v>
      </c>
    </row>
    <row r="410" spans="14:14">
      <c r="N410" s="2">
        <f>IFERROR(M410/L410*100,0)</f>
        <v>0</v>
      </c>
    </row>
    <row r="411" spans="14:14">
      <c r="N411" s="2">
        <f>IFERROR(M411/L411*100,0)</f>
        <v>0</v>
      </c>
    </row>
    <row r="412" spans="14:14">
      <c r="N412" s="2">
        <f>IFERROR(M412/L412*100,0)</f>
        <v>0</v>
      </c>
    </row>
    <row r="413" spans="14:14">
      <c r="N413" s="2">
        <f>IFERROR(M413/L413*100,0)</f>
        <v>0</v>
      </c>
    </row>
    <row r="414" spans="14:14">
      <c r="N414" s="2">
        <f>IFERROR(M414/L414*100,0)</f>
        <v>0</v>
      </c>
    </row>
    <row r="415" spans="14:14">
      <c r="N415" s="2">
        <f>IFERROR(M415/L415*100,0)</f>
        <v>0</v>
      </c>
    </row>
    <row r="416" spans="14:14">
      <c r="N416" s="2">
        <f>IFERROR(M416/L416*100,0)</f>
        <v>0</v>
      </c>
    </row>
    <row r="417" spans="14:14">
      <c r="N417" s="2">
        <f>IFERROR(M417/L417*100,0)</f>
        <v>0</v>
      </c>
    </row>
    <row r="418" spans="14:14">
      <c r="N418" s="2">
        <f>IFERROR(M418/L418*100,0)</f>
        <v>0</v>
      </c>
    </row>
    <row r="419" spans="14:14">
      <c r="N419" s="2">
        <f>IFERROR(M419/L419*100,0)</f>
        <v>0</v>
      </c>
    </row>
    <row r="420" spans="14:14">
      <c r="N420" s="2">
        <f>IFERROR(M420/L420*100,0)</f>
        <v>0</v>
      </c>
    </row>
    <row r="421" spans="14:14">
      <c r="N421" s="2">
        <f>IFERROR(M421/L421*100,0)</f>
        <v>0</v>
      </c>
    </row>
    <row r="422" spans="14:14">
      <c r="N422" s="2">
        <f>IFERROR(M422/L422*100,0)</f>
        <v>0</v>
      </c>
    </row>
    <row r="423" spans="14:14">
      <c r="N423" s="2">
        <f>IFERROR(M423/L423*100,0)</f>
        <v>0</v>
      </c>
    </row>
    <row r="424" spans="14:14">
      <c r="N424" s="2">
        <f>IFERROR(M424/L424*100,0)</f>
        <v>0</v>
      </c>
    </row>
    <row r="425" spans="14:14">
      <c r="N425" s="2">
        <f>IFERROR(M425/L425*100,0)</f>
        <v>0</v>
      </c>
    </row>
    <row r="426" spans="14:14">
      <c r="N426" s="2">
        <f>IFERROR(M426/L426*100,0)</f>
        <v>0</v>
      </c>
    </row>
    <row r="427" spans="14:14">
      <c r="N427" s="2">
        <f>IFERROR(M427/L427*100,0)</f>
        <v>0</v>
      </c>
    </row>
    <row r="428" spans="14:14">
      <c r="N428" s="2">
        <f>IFERROR(M428/L428*100,0)</f>
        <v>0</v>
      </c>
    </row>
    <row r="429" spans="14:14">
      <c r="N429" s="2">
        <f>IFERROR(M429/L429*100,0)</f>
        <v>0</v>
      </c>
    </row>
    <row r="430" spans="14:14">
      <c r="N430" s="2">
        <f>IFERROR(M430/L430*100,0)</f>
        <v>0</v>
      </c>
    </row>
    <row r="431" spans="14:14">
      <c r="N431" s="2">
        <f>IFERROR(M431/L431*100,0)</f>
        <v>0</v>
      </c>
    </row>
    <row r="432" spans="14:14">
      <c r="N432" s="2">
        <f>IFERROR(M432/L432*100,0)</f>
        <v>0</v>
      </c>
    </row>
    <row r="433" spans="14:14">
      <c r="N433" s="2">
        <f>IFERROR(M433/L433*100,0)</f>
        <v>0</v>
      </c>
    </row>
    <row r="434" spans="14:14">
      <c r="N434" s="2">
        <f>IFERROR(M434/L434*100,0)</f>
        <v>0</v>
      </c>
    </row>
    <row r="435" spans="14:14">
      <c r="N435" s="2">
        <f>IFERROR(M435/L435*100,0)</f>
        <v>0</v>
      </c>
    </row>
    <row r="436" spans="14:14">
      <c r="N436" s="2">
        <f>IFERROR(M436/L436*100,0)</f>
        <v>0</v>
      </c>
    </row>
    <row r="437" spans="14:14">
      <c r="N437" s="2">
        <f>IFERROR(M437/L437*100,0)</f>
        <v>0</v>
      </c>
    </row>
    <row r="438" spans="14:14">
      <c r="N438" s="2">
        <f>IFERROR(M438/L438*100,0)</f>
        <v>0</v>
      </c>
    </row>
    <row r="439" spans="14:14">
      <c r="N439" s="2">
        <f>IFERROR(M439/L439*100,0)</f>
        <v>0</v>
      </c>
    </row>
    <row r="440" spans="14:14">
      <c r="N440" s="2">
        <f>IFERROR(M440/L440*100,0)</f>
        <v>0</v>
      </c>
    </row>
    <row r="441" spans="14:14">
      <c r="N441" s="2">
        <f>IFERROR(M441/L441*100,0)</f>
        <v>0</v>
      </c>
    </row>
    <row r="442" spans="14:14">
      <c r="N442" s="2">
        <f>IFERROR(M442/L442*100,0)</f>
        <v>0</v>
      </c>
    </row>
    <row r="443" spans="14:14">
      <c r="N443" s="2">
        <f>IFERROR(M443/L443*100,0)</f>
        <v>0</v>
      </c>
    </row>
    <row r="444" spans="14:14">
      <c r="N444" s="2">
        <f>IFERROR(M444/L444*100,0)</f>
        <v>0</v>
      </c>
    </row>
    <row r="445" spans="14:14">
      <c r="N445" s="2">
        <f>IFERROR(M445/L445*100,0)</f>
        <v>0</v>
      </c>
    </row>
    <row r="446" spans="14:14">
      <c r="N446" s="2">
        <f>IFERROR(M446/L446*100,0)</f>
        <v>0</v>
      </c>
    </row>
    <row r="447" spans="14:14">
      <c r="N447" s="2">
        <f>IFERROR(M447/L447*100,0)</f>
        <v>0</v>
      </c>
    </row>
    <row r="448" spans="14:14">
      <c r="N448" s="2">
        <f>IFERROR(M448/L448*100,0)</f>
        <v>0</v>
      </c>
    </row>
    <row r="449" spans="14:14">
      <c r="N449" s="2">
        <f>IFERROR(M449/L449*100,0)</f>
        <v>0</v>
      </c>
    </row>
    <row r="450" spans="14:14">
      <c r="N450" s="2">
        <f>IFERROR(M450/L450*100,0)</f>
        <v>0</v>
      </c>
    </row>
    <row r="451" spans="14:14">
      <c r="N451" s="2">
        <f>IFERROR(M451/L451*100,0)</f>
        <v>0</v>
      </c>
    </row>
    <row r="452" spans="14:14">
      <c r="N452" s="2">
        <f>IFERROR(M452/L452*100,0)</f>
        <v>0</v>
      </c>
    </row>
    <row r="453" spans="14:14">
      <c r="N453" s="2">
        <f>IFERROR(M453/L453*100,0)</f>
        <v>0</v>
      </c>
    </row>
    <row r="454" spans="14:14">
      <c r="N454" s="2">
        <f>IFERROR(M454/L454*100,0)</f>
        <v>0</v>
      </c>
    </row>
    <row r="455" spans="14:14">
      <c r="N455" s="2">
        <f>IFERROR(M455/L455*100,0)</f>
        <v>0</v>
      </c>
    </row>
    <row r="456" spans="14:14">
      <c r="N456" s="2">
        <f>IFERROR(M456/L456*100,0)</f>
        <v>0</v>
      </c>
    </row>
    <row r="457" spans="14:14">
      <c r="N457" s="2">
        <f>IFERROR(M457/L457*100,0)</f>
        <v>0</v>
      </c>
    </row>
    <row r="458" spans="14:14">
      <c r="N458" s="2">
        <f>IFERROR(M458/L458*100,0)</f>
        <v>0</v>
      </c>
    </row>
    <row r="459" spans="14:14">
      <c r="N459" s="2">
        <f>IFERROR(M459/L459*100,0)</f>
        <v>0</v>
      </c>
    </row>
    <row r="460" spans="14:14">
      <c r="N460" s="2">
        <f>IFERROR(M460/L460*100,0)</f>
        <v>0</v>
      </c>
    </row>
    <row r="461" spans="14:14">
      <c r="N461" s="2">
        <f>IFERROR(M461/L461*100,0)</f>
        <v>0</v>
      </c>
    </row>
    <row r="462" spans="14:14">
      <c r="N462" s="2">
        <f>IFERROR(M462/L462*100,0)</f>
        <v>0</v>
      </c>
    </row>
    <row r="463" spans="14:14">
      <c r="N463" s="2">
        <f>IFERROR(M463/L463*100,0)</f>
        <v>0</v>
      </c>
    </row>
    <row r="464" spans="14:14">
      <c r="N464" s="2">
        <f>IFERROR(M464/L464*100,0)</f>
        <v>0</v>
      </c>
    </row>
    <row r="465" spans="14:14">
      <c r="N465" s="2">
        <f>IFERROR(M465/L465*100,0)</f>
        <v>0</v>
      </c>
    </row>
    <row r="466" spans="14:14">
      <c r="N466" s="2">
        <f>IFERROR(M466/L466*100,0)</f>
        <v>0</v>
      </c>
    </row>
    <row r="467" spans="14:14">
      <c r="N467" s="2">
        <f>IFERROR(M467/L467*100,0)</f>
        <v>0</v>
      </c>
    </row>
    <row r="468" spans="14:14">
      <c r="N468" s="2">
        <f>IFERROR(M468/L468*100,0)</f>
        <v>0</v>
      </c>
    </row>
    <row r="469" spans="14:14">
      <c r="N469" s="2">
        <f>IFERROR(M469/L469*100,0)</f>
        <v>0</v>
      </c>
    </row>
    <row r="470" spans="14:14">
      <c r="N470" s="2">
        <f>IFERROR(M470/L470*100,0)</f>
        <v>0</v>
      </c>
    </row>
    <row r="471" spans="14:14">
      <c r="N471" s="2">
        <f>IFERROR(M471/L471*100,0)</f>
        <v>0</v>
      </c>
    </row>
    <row r="472" spans="14:14">
      <c r="N472" s="2">
        <f>IFERROR(M472/L472*100,0)</f>
        <v>0</v>
      </c>
    </row>
    <row r="473" spans="14:14">
      <c r="N473" s="2">
        <f>IFERROR(M473/L473*100,0)</f>
        <v>0</v>
      </c>
    </row>
    <row r="474" spans="14:14">
      <c r="N474" s="2">
        <f>IFERROR(M474/L474*100,0)</f>
        <v>0</v>
      </c>
    </row>
    <row r="475" spans="14:14">
      <c r="N475" s="2">
        <f>IFERROR(M475/L475*100,0)</f>
        <v>0</v>
      </c>
    </row>
    <row r="476" spans="14:14">
      <c r="N476" s="2">
        <f>IFERROR(M476/L476*100,0)</f>
        <v>0</v>
      </c>
    </row>
    <row r="477" spans="14:14">
      <c r="N477" s="2">
        <f>IFERROR(M477/L477*100,0)</f>
        <v>0</v>
      </c>
    </row>
    <row r="478" spans="14:14">
      <c r="N478" s="2">
        <f>IFERROR(M478/L478*100,0)</f>
        <v>0</v>
      </c>
    </row>
    <row r="479" spans="14:14">
      <c r="N479" s="2">
        <f>IFERROR(M479/L479*100,0)</f>
        <v>0</v>
      </c>
    </row>
    <row r="480" spans="14:14">
      <c r="N480" s="2">
        <f>IFERROR(M480/L480*100,0)</f>
        <v>0</v>
      </c>
    </row>
    <row r="481" spans="14:14">
      <c r="N481" s="2">
        <f>IFERROR(M481/L481*100,0)</f>
        <v>0</v>
      </c>
    </row>
    <row r="482" spans="14:14">
      <c r="N482" s="2">
        <f>IFERROR(M482/L482*100,0)</f>
        <v>0</v>
      </c>
    </row>
    <row r="483" spans="14:14">
      <c r="N483" s="2">
        <f>IFERROR(M483/L483*100,0)</f>
        <v>0</v>
      </c>
    </row>
    <row r="484" spans="14:14">
      <c r="N484" s="2">
        <f>IFERROR(M484/L484*100,0)</f>
        <v>0</v>
      </c>
    </row>
    <row r="485" spans="14:14">
      <c r="N485" s="2">
        <f>IFERROR(M485/L485*100,0)</f>
        <v>0</v>
      </c>
    </row>
    <row r="486" spans="14:14">
      <c r="N486" s="2">
        <f>IFERROR(M486/L486*100,0)</f>
        <v>0</v>
      </c>
    </row>
    <row r="487" spans="14:14">
      <c r="N487" s="2">
        <f>IFERROR(M487/L487*100,0)</f>
        <v>0</v>
      </c>
    </row>
    <row r="488" spans="14:14">
      <c r="N488" s="2">
        <f>IFERROR(M488/L488*100,0)</f>
        <v>0</v>
      </c>
    </row>
    <row r="489" spans="14:14">
      <c r="N489" s="2">
        <f>IFERROR(M489/L489*100,0)</f>
        <v>0</v>
      </c>
    </row>
    <row r="490" spans="14:14">
      <c r="N490" s="2">
        <f>IFERROR(M490/L490*100,0)</f>
        <v>0</v>
      </c>
    </row>
    <row r="491" spans="14:14">
      <c r="N491" s="2">
        <f>IFERROR(M491/L491*100,0)</f>
        <v>0</v>
      </c>
    </row>
    <row r="492" spans="14:14">
      <c r="N492" s="2">
        <f>IFERROR(M492/L492*100,0)</f>
        <v>0</v>
      </c>
    </row>
    <row r="493" spans="14:14">
      <c r="N493" s="2">
        <f>IFERROR(M493/L493*100,0)</f>
        <v>0</v>
      </c>
    </row>
    <row r="494" spans="14:14">
      <c r="N494" s="2">
        <f>IFERROR(M494/L494*100,0)</f>
        <v>0</v>
      </c>
    </row>
    <row r="495" spans="14:14">
      <c r="N495" s="2">
        <f>IFERROR(M495/L495*100,0)</f>
        <v>0</v>
      </c>
    </row>
    <row r="496" spans="14:14">
      <c r="N496" s="2">
        <f>IFERROR(M496/L496*100,0)</f>
        <v>0</v>
      </c>
    </row>
    <row r="497" spans="14:14">
      <c r="N497" s="2">
        <f>IFERROR(M497/L497*100,0)</f>
        <v>0</v>
      </c>
    </row>
    <row r="498" spans="14:14">
      <c r="N498" s="2">
        <f>IFERROR(M498/L498*100,0)</f>
        <v>0</v>
      </c>
    </row>
    <row r="499" spans="14:14">
      <c r="N499" s="2">
        <f>IFERROR(M499/L499*100,0)</f>
        <v>0</v>
      </c>
    </row>
    <row r="500" spans="14:14">
      <c r="N500" s="2">
        <f>IFERROR(M500/L500*100,0)</f>
        <v>0</v>
      </c>
    </row>
    <row r="501" spans="14:14">
      <c r="N501" s="2">
        <f>IFERROR(M501/L501*100,0)</f>
        <v>0</v>
      </c>
    </row>
    <row r="502" spans="14:14">
      <c r="N502" s="2">
        <f>IFERROR(M502/L502*100,0)</f>
        <v>0</v>
      </c>
    </row>
    <row r="503" spans="14:14">
      <c r="N503" s="2">
        <f>IFERROR(M503/L503*100,0)</f>
        <v>0</v>
      </c>
    </row>
    <row r="504" spans="14:14">
      <c r="N504" s="2">
        <f>IFERROR(M504/L504*100,0)</f>
        <v>0</v>
      </c>
    </row>
    <row r="505" spans="14:14">
      <c r="N505" s="2">
        <f>IFERROR(M505/L505*100,0)</f>
        <v>0</v>
      </c>
    </row>
    <row r="506" spans="14:14">
      <c r="N506" s="2">
        <f>IFERROR(M506/L506*100,0)</f>
        <v>0</v>
      </c>
    </row>
    <row r="507" spans="14:14">
      <c r="N507" s="2">
        <f>IFERROR(M507/L507*100,0)</f>
        <v>0</v>
      </c>
    </row>
    <row r="508" spans="14:14">
      <c r="N508" s="2">
        <f>IFERROR(M508/L508*100,0)</f>
        <v>0</v>
      </c>
    </row>
    <row r="509" spans="14:14">
      <c r="N509" s="2">
        <f>IFERROR(M509/L509*100,0)</f>
        <v>0</v>
      </c>
    </row>
    <row r="510" spans="14:14">
      <c r="N510" s="2">
        <f>IFERROR(M510/L510*100,0)</f>
        <v>0</v>
      </c>
    </row>
    <row r="511" spans="14:14">
      <c r="N511" s="2">
        <f>IFERROR(M511/L511*100,0)</f>
        <v>0</v>
      </c>
    </row>
    <row r="512" spans="14:14">
      <c r="N512" s="2">
        <f>IFERROR(M512/L512*100,0)</f>
        <v>0</v>
      </c>
    </row>
    <row r="513" spans="14:14">
      <c r="N513" s="2">
        <f>IFERROR(M513/L513*100,0)</f>
        <v>0</v>
      </c>
    </row>
    <row r="514" spans="14:14">
      <c r="N514" s="2">
        <f>IFERROR(M514/L514*100,0)</f>
        <v>0</v>
      </c>
    </row>
    <row r="515" spans="14:14">
      <c r="N515" s="2">
        <f>IFERROR(M515/L515*100,0)</f>
        <v>0</v>
      </c>
    </row>
    <row r="516" spans="14:14">
      <c r="N516" s="2">
        <f>IFERROR(M516/L516*100,0)</f>
        <v>0</v>
      </c>
    </row>
    <row r="517" spans="14:14">
      <c r="N517" s="2">
        <f>IFERROR(M517/L517*100,0)</f>
        <v>0</v>
      </c>
    </row>
    <row r="518" spans="14:14">
      <c r="N518" s="2">
        <f>IFERROR(M518/L518*100,0)</f>
        <v>0</v>
      </c>
    </row>
    <row r="519" spans="14:14">
      <c r="N519" s="2">
        <f>IFERROR(M519/L519*100,0)</f>
        <v>0</v>
      </c>
    </row>
    <row r="520" spans="14:14">
      <c r="N520" s="2">
        <f>IFERROR(M520/L520*100,0)</f>
        <v>0</v>
      </c>
    </row>
    <row r="521" spans="14:14">
      <c r="N521" s="2">
        <f>IFERROR(M521/L521*100,0)</f>
        <v>0</v>
      </c>
    </row>
    <row r="522" spans="14:14">
      <c r="N522" s="2">
        <f>IFERROR(M522/L522*100,0)</f>
        <v>0</v>
      </c>
    </row>
    <row r="523" spans="14:14">
      <c r="N523" s="2">
        <f>IFERROR(M523/L523*100,0)</f>
        <v>0</v>
      </c>
    </row>
    <row r="524" spans="14:14">
      <c r="N524" s="2">
        <f>IFERROR(M524/L524*100,0)</f>
        <v>0</v>
      </c>
    </row>
    <row r="525" spans="14:14">
      <c r="N525" s="2">
        <f>IFERROR(M525/L525*100,0)</f>
        <v>0</v>
      </c>
    </row>
    <row r="526" spans="14:14">
      <c r="N526" s="2">
        <f>IFERROR(M526/L526*100,0)</f>
        <v>0</v>
      </c>
    </row>
    <row r="527" spans="14:14">
      <c r="N527" s="2">
        <f>IFERROR(M527/L527*100,0)</f>
        <v>0</v>
      </c>
    </row>
    <row r="528" spans="14:14">
      <c r="N528" s="2">
        <f>IFERROR(M528/L528*100,0)</f>
        <v>0</v>
      </c>
    </row>
    <row r="529" spans="14:14">
      <c r="N529" s="2">
        <f>IFERROR(M529/L529*100,0)</f>
        <v>0</v>
      </c>
    </row>
    <row r="530" spans="14:14">
      <c r="N530" s="2">
        <f>IFERROR(M530/L530*100,0)</f>
        <v>0</v>
      </c>
    </row>
    <row r="531" spans="14:14">
      <c r="N531" s="2">
        <f>IFERROR(M531/L531*100,0)</f>
        <v>0</v>
      </c>
    </row>
    <row r="532" spans="14:14">
      <c r="N532" s="2">
        <f>IFERROR(M532/L532*100,0)</f>
        <v>0</v>
      </c>
    </row>
    <row r="533" spans="14:14">
      <c r="N533" s="2">
        <f>IFERROR(M533/L533*100,0)</f>
        <v>0</v>
      </c>
    </row>
    <row r="534" spans="14:14">
      <c r="N534" s="2">
        <f>IFERROR(M534/L534*100,0)</f>
        <v>0</v>
      </c>
    </row>
    <row r="535" spans="14:14">
      <c r="N535" s="2">
        <f>IFERROR(M535/L535*100,0)</f>
        <v>0</v>
      </c>
    </row>
    <row r="536" spans="14:14">
      <c r="N536" s="2">
        <f>IFERROR(M536/L536*100,0)</f>
        <v>0</v>
      </c>
    </row>
    <row r="537" spans="14:14">
      <c r="N537" s="2">
        <f>IFERROR(M537/L537*100,0)</f>
        <v>0</v>
      </c>
    </row>
    <row r="538" spans="14:14">
      <c r="N538" s="2">
        <f>IFERROR(M538/L538*100,0)</f>
        <v>0</v>
      </c>
    </row>
    <row r="539" spans="14:14">
      <c r="N539" s="2">
        <f>IFERROR(M539/L539*100,0)</f>
        <v>0</v>
      </c>
    </row>
    <row r="540" spans="14:14">
      <c r="N540" s="2">
        <f>IFERROR(M540/L540*100,0)</f>
        <v>0</v>
      </c>
    </row>
    <row r="541" spans="14:14">
      <c r="N541" s="2">
        <f>IFERROR(M541/L541*100,0)</f>
        <v>0</v>
      </c>
    </row>
    <row r="542" spans="14:14">
      <c r="N542" s="2">
        <f>IFERROR(M542/L542*100,0)</f>
        <v>0</v>
      </c>
    </row>
    <row r="543" spans="14:14">
      <c r="N543" s="2">
        <f>IFERROR(M543/L543*100,0)</f>
        <v>0</v>
      </c>
    </row>
    <row r="544" spans="14:14">
      <c r="N544" s="2">
        <f>IFERROR(M544/L544*100,0)</f>
        <v>0</v>
      </c>
    </row>
    <row r="545" spans="14:14">
      <c r="N545" s="2">
        <f>IFERROR(M545/L545*100,0)</f>
        <v>0</v>
      </c>
    </row>
    <row r="546" spans="14:14">
      <c r="N546" s="2">
        <f>IFERROR(M546/L546*100,0)</f>
        <v>0</v>
      </c>
    </row>
    <row r="547" spans="14:14">
      <c r="N547" s="2">
        <f>IFERROR(M547/L547*100,0)</f>
        <v>0</v>
      </c>
    </row>
    <row r="548" spans="14:14">
      <c r="N548" s="2">
        <f>IFERROR(M548/L548*100,0)</f>
        <v>0</v>
      </c>
    </row>
    <row r="549" spans="14:14">
      <c r="N549" s="2">
        <f>IFERROR(M549/L549*100,0)</f>
        <v>0</v>
      </c>
    </row>
    <row r="550" spans="14:14">
      <c r="N550" s="2">
        <f>IFERROR(M550/L550*100,0)</f>
        <v>0</v>
      </c>
    </row>
    <row r="551" spans="14:14">
      <c r="N551" s="2">
        <f>IFERROR(M551/L551*100,0)</f>
        <v>0</v>
      </c>
    </row>
    <row r="552" spans="14:14">
      <c r="N552" s="2">
        <f>IFERROR(M552/L552*100,0)</f>
        <v>0</v>
      </c>
    </row>
    <row r="553" spans="14:14">
      <c r="N553" s="2">
        <f>IFERROR(M553/L553*100,0)</f>
        <v>0</v>
      </c>
    </row>
    <row r="554" spans="14:14">
      <c r="N554" s="2">
        <f>IFERROR(M554/L554*100,0)</f>
        <v>0</v>
      </c>
    </row>
    <row r="555" spans="14:14">
      <c r="N555" s="2">
        <f>IFERROR(M555/L555*100,0)</f>
        <v>0</v>
      </c>
    </row>
    <row r="556" spans="14:14">
      <c r="N556" s="2">
        <f>IFERROR(M556/L556*100,0)</f>
        <v>0</v>
      </c>
    </row>
    <row r="557" spans="14:14">
      <c r="N557" s="2">
        <f>IFERROR(M557/L557*100,0)</f>
        <v>0</v>
      </c>
    </row>
    <row r="558" spans="14:14">
      <c r="N558" s="2">
        <f>IFERROR(M558/L558*100,0)</f>
        <v>0</v>
      </c>
    </row>
    <row r="559" spans="14:14">
      <c r="N559" s="2">
        <f>IFERROR(M559/L559*100,0)</f>
        <v>0</v>
      </c>
    </row>
    <row r="560" spans="14:14">
      <c r="N560" s="2">
        <f>IFERROR(M560/L560*100,0)</f>
        <v>0</v>
      </c>
    </row>
    <row r="561" spans="14:14">
      <c r="N561" s="2">
        <f>IFERROR(M561/L561*100,0)</f>
        <v>0</v>
      </c>
    </row>
    <row r="562" spans="14:14">
      <c r="N562" s="2">
        <f>IFERROR(M562/L562*100,0)</f>
        <v>0</v>
      </c>
    </row>
    <row r="563" spans="14:14">
      <c r="N563" s="2">
        <f>IFERROR(M563/L563*100,0)</f>
        <v>0</v>
      </c>
    </row>
    <row r="564" spans="14:14">
      <c r="N564" s="2">
        <f>IFERROR(M564/L564*100,0)</f>
        <v>0</v>
      </c>
    </row>
    <row r="565" spans="14:14">
      <c r="N565" s="2">
        <f>IFERROR(M565/L565*100,0)</f>
        <v>0</v>
      </c>
    </row>
    <row r="566" spans="14:14">
      <c r="N566" s="2">
        <f>IFERROR(M566/L566*100,0)</f>
        <v>0</v>
      </c>
    </row>
    <row r="567" spans="14:14">
      <c r="N567" s="2">
        <f>IFERROR(M567/L567*100,0)</f>
        <v>0</v>
      </c>
    </row>
    <row r="568" spans="14:14">
      <c r="N568" s="2">
        <f>IFERROR(M568/L568*100,0)</f>
        <v>0</v>
      </c>
    </row>
    <row r="569" spans="14:14">
      <c r="N569" s="2">
        <f>IFERROR(M569/L569*100,0)</f>
        <v>0</v>
      </c>
    </row>
    <row r="570" spans="14:14">
      <c r="N570" s="2">
        <f>IFERROR(M570/L570*100,0)</f>
        <v>0</v>
      </c>
    </row>
    <row r="571" spans="14:14">
      <c r="N571" s="2">
        <f>IFERROR(M571/L571*100,0)</f>
        <v>0</v>
      </c>
    </row>
    <row r="572" spans="14:14">
      <c r="N572" s="2">
        <f>IFERROR(M572/L572*100,0)</f>
        <v>0</v>
      </c>
    </row>
    <row r="573" spans="14:14">
      <c r="N573" s="2">
        <f>IFERROR(M573/L573*100,0)</f>
        <v>0</v>
      </c>
    </row>
    <row r="574" spans="14:14">
      <c r="N574" s="2">
        <f>IFERROR(M574/L574*100,0)</f>
        <v>0</v>
      </c>
    </row>
    <row r="575" spans="14:14">
      <c r="N575" s="2">
        <f>IFERROR(M575/L575*100,0)</f>
        <v>0</v>
      </c>
    </row>
    <row r="576" spans="14:14">
      <c r="N576" s="2">
        <f>IFERROR(M576/L576*100,0)</f>
        <v>0</v>
      </c>
    </row>
    <row r="577" spans="14:14">
      <c r="N577" s="2">
        <f>IFERROR(M577/L577*100,0)</f>
        <v>0</v>
      </c>
    </row>
    <row r="578" spans="14:14">
      <c r="N578" s="2">
        <f>IFERROR(M578/L578*100,0)</f>
        <v>0</v>
      </c>
    </row>
    <row r="579" spans="14:14">
      <c r="N579" s="2">
        <f>IFERROR(M579/L579*100,0)</f>
        <v>0</v>
      </c>
    </row>
    <row r="580" spans="14:14">
      <c r="N580" s="2">
        <f>IFERROR(M580/L580*100,0)</f>
        <v>0</v>
      </c>
    </row>
    <row r="581" spans="14:14">
      <c r="N581" s="2">
        <f>IFERROR(M581/L581*100,0)</f>
        <v>0</v>
      </c>
    </row>
    <row r="582" spans="14:14">
      <c r="N582" s="2">
        <f>IFERROR(M582/L582*100,0)</f>
        <v>0</v>
      </c>
    </row>
    <row r="583" spans="14:14">
      <c r="N583" s="2">
        <f>IFERROR(M583/L583*100,0)</f>
        <v>0</v>
      </c>
    </row>
    <row r="584" spans="14:14">
      <c r="N584" s="2">
        <f>IFERROR(M584/L584*100,0)</f>
        <v>0</v>
      </c>
    </row>
    <row r="585" spans="14:14">
      <c r="N585" s="2">
        <f>IFERROR(M585/L585*100,0)</f>
        <v>0</v>
      </c>
    </row>
    <row r="586" spans="14:14">
      <c r="N586" s="2">
        <f>IFERROR(M586/L586*100,0)</f>
        <v>0</v>
      </c>
    </row>
    <row r="587" spans="14:14">
      <c r="N587" s="2">
        <f>IFERROR(M587/L587*100,0)</f>
        <v>0</v>
      </c>
    </row>
    <row r="588" spans="14:14">
      <c r="N588" s="2">
        <f>IFERROR(M588/L588*100,0)</f>
        <v>0</v>
      </c>
    </row>
    <row r="589" spans="14:14">
      <c r="N589" s="2">
        <f>IFERROR(M589/L589*100,0)</f>
        <v>0</v>
      </c>
    </row>
    <row r="590" spans="14:14">
      <c r="N590" s="2">
        <f>IFERROR(M590/L590*100,0)</f>
        <v>0</v>
      </c>
    </row>
    <row r="591" spans="14:14">
      <c r="N591" s="2">
        <f>IFERROR(M591/L591*100,0)</f>
        <v>0</v>
      </c>
    </row>
    <row r="592" spans="14:14">
      <c r="N592" s="2">
        <f>IFERROR(M592/L592*100,0)</f>
        <v>0</v>
      </c>
    </row>
    <row r="593" spans="14:14">
      <c r="N593" s="2">
        <f>IFERROR(M593/L593*100,0)</f>
        <v>0</v>
      </c>
    </row>
    <row r="594" spans="14:14">
      <c r="N594" s="2">
        <f>IFERROR(M594/L594*100,0)</f>
        <v>0</v>
      </c>
    </row>
    <row r="595" spans="14:14">
      <c r="N595" s="2">
        <f>IFERROR(M595/L595*100,0)</f>
        <v>0</v>
      </c>
    </row>
    <row r="596" spans="14:14">
      <c r="N596" s="2">
        <f>IFERROR(M596/L596*100,0)</f>
        <v>0</v>
      </c>
    </row>
    <row r="597" spans="14:14">
      <c r="N597" s="2">
        <f>IFERROR(M597/L597*100,0)</f>
        <v>0</v>
      </c>
    </row>
    <row r="598" spans="14:14">
      <c r="N598" s="2">
        <f>IFERROR(M598/L598*100,0)</f>
        <v>0</v>
      </c>
    </row>
    <row r="599" spans="14:14">
      <c r="N599" s="2">
        <f>IFERROR(M599/L599*100,0)</f>
        <v>0</v>
      </c>
    </row>
    <row r="600" spans="14:14">
      <c r="N600" s="2">
        <f>IFERROR(M600/L600*100,0)</f>
        <v>0</v>
      </c>
    </row>
    <row r="601" spans="14:14">
      <c r="N601" s="2">
        <f>IFERROR(M601/L601*100,0)</f>
        <v>0</v>
      </c>
    </row>
    <row r="602" spans="14:14">
      <c r="N602" s="2">
        <f>IFERROR(M602/L602*100,0)</f>
        <v>0</v>
      </c>
    </row>
    <row r="603" spans="14:14">
      <c r="N603" s="2">
        <f>IFERROR(M603/L603*100,0)</f>
        <v>0</v>
      </c>
    </row>
    <row r="604" spans="14:14">
      <c r="N604" s="2">
        <f>IFERROR(M604/L604*100,0)</f>
        <v>0</v>
      </c>
    </row>
    <row r="605" spans="14:14">
      <c r="N605" s="2">
        <f>IFERROR(M605/L605*100,0)</f>
        <v>0</v>
      </c>
    </row>
    <row r="606" spans="14:14">
      <c r="N606" s="2">
        <f>IFERROR(M606/L606*100,0)</f>
        <v>0</v>
      </c>
    </row>
    <row r="607" spans="14:14">
      <c r="N607" s="2">
        <f>IFERROR(M607/L607*100,0)</f>
        <v>0</v>
      </c>
    </row>
    <row r="608" spans="14:14">
      <c r="N608" s="2">
        <f>IFERROR(M608/L608*100,0)</f>
        <v>0</v>
      </c>
    </row>
    <row r="609" spans="14:14">
      <c r="N609" s="2">
        <f>IFERROR(M609/L609*100,0)</f>
        <v>0</v>
      </c>
    </row>
    <row r="610" spans="14:14">
      <c r="N610" s="2">
        <f>IFERROR(M610/L610*100,0)</f>
        <v>0</v>
      </c>
    </row>
    <row r="611" spans="14:14">
      <c r="N611" s="2">
        <f>IFERROR(M611/L611*100,0)</f>
        <v>0</v>
      </c>
    </row>
    <row r="612" spans="14:14">
      <c r="N612" s="2">
        <f>IFERROR(M612/L612*100,0)</f>
        <v>0</v>
      </c>
    </row>
    <row r="613" spans="14:14">
      <c r="N613" s="2">
        <f>IFERROR(M613/L613*100,0)</f>
        <v>0</v>
      </c>
    </row>
    <row r="614" spans="14:14">
      <c r="N614" s="2">
        <f>IFERROR(M614/L614*100,0)</f>
        <v>0</v>
      </c>
    </row>
    <row r="615" spans="14:14">
      <c r="N615" s="2">
        <f>IFERROR(M615/L615*100,0)</f>
        <v>0</v>
      </c>
    </row>
    <row r="616" spans="14:14">
      <c r="N616" s="2">
        <f>IFERROR(M616/L616*100,0)</f>
        <v>0</v>
      </c>
    </row>
    <row r="617" spans="14:14">
      <c r="N617" s="2">
        <f>IFERROR(M617/L617*100,0)</f>
        <v>0</v>
      </c>
    </row>
    <row r="618" spans="14:14">
      <c r="N618" s="2">
        <f>IFERROR(M618/L618*100,0)</f>
        <v>0</v>
      </c>
    </row>
    <row r="619" spans="14:14">
      <c r="N619" s="2">
        <f>IFERROR(M619/L619*100,0)</f>
        <v>0</v>
      </c>
    </row>
    <row r="620" spans="14:14">
      <c r="N620" s="2">
        <f>IFERROR(M620/L620*100,0)</f>
        <v>0</v>
      </c>
    </row>
    <row r="621" spans="14:14">
      <c r="N621" s="2">
        <f>IFERROR(M621/L621*100,0)</f>
        <v>0</v>
      </c>
    </row>
    <row r="622" spans="14:14">
      <c r="N622" s="2">
        <f>IFERROR(M622/L622*100,0)</f>
        <v>0</v>
      </c>
    </row>
    <row r="623" spans="14:14">
      <c r="N623" s="2">
        <f>IFERROR(M623/L623*100,0)</f>
        <v>0</v>
      </c>
    </row>
    <row r="624" spans="14:14">
      <c r="N624" s="2">
        <f>IFERROR(M624/L624*100,0)</f>
        <v>0</v>
      </c>
    </row>
    <row r="625" spans="14:14">
      <c r="N625" s="2">
        <f>IFERROR(M625/L625*100,0)</f>
        <v>0</v>
      </c>
    </row>
    <row r="626" spans="14:14">
      <c r="N626" s="2">
        <f>IFERROR(M626/L626*100,0)</f>
        <v>0</v>
      </c>
    </row>
    <row r="627" spans="14:14">
      <c r="N627" s="2">
        <f>IFERROR(M627/L627*100,0)</f>
        <v>0</v>
      </c>
    </row>
    <row r="628" spans="14:14">
      <c r="N628" s="2">
        <f>IFERROR(M628/L628*100,0)</f>
        <v>0</v>
      </c>
    </row>
    <row r="629" spans="14:14">
      <c r="N629" s="2">
        <f>IFERROR(M629/L629*100,0)</f>
        <v>0</v>
      </c>
    </row>
    <row r="630" spans="14:14">
      <c r="N630" s="2">
        <f>IFERROR(M630/L630*100,0)</f>
        <v>0</v>
      </c>
    </row>
    <row r="631" spans="14:14">
      <c r="N631" s="2">
        <f>IFERROR(M631/L631*100,0)</f>
        <v>0</v>
      </c>
    </row>
    <row r="632" spans="14:14">
      <c r="N632" s="2">
        <f>IFERROR(M632/L632*100,0)</f>
        <v>0</v>
      </c>
    </row>
    <row r="633" spans="14:14">
      <c r="N633" s="2">
        <f>IFERROR(M633/L633*100,0)</f>
        <v>0</v>
      </c>
    </row>
    <row r="634" spans="14:14">
      <c r="N634" s="2">
        <f>IFERROR(M634/L634*100,0)</f>
        <v>0</v>
      </c>
    </row>
    <row r="635" spans="14:14">
      <c r="N635" s="2">
        <f>IFERROR(M635/L635*100,0)</f>
        <v>0</v>
      </c>
    </row>
    <row r="636" spans="14:14">
      <c r="N636" s="2">
        <f>IFERROR(M636/L636*100,0)</f>
        <v>0</v>
      </c>
    </row>
    <row r="637" spans="14:14">
      <c r="N637" s="2">
        <f>IFERROR(M637/L637*100,0)</f>
        <v>0</v>
      </c>
    </row>
    <row r="638" spans="14:14">
      <c r="N638" s="2">
        <f>IFERROR(M638/L638*100,0)</f>
        <v>0</v>
      </c>
    </row>
    <row r="639" spans="14:14">
      <c r="N639" s="2">
        <f>IFERROR(M639/L639*100,0)</f>
        <v>0</v>
      </c>
    </row>
    <row r="640" spans="14:14">
      <c r="N640" s="2">
        <f>IFERROR(M640/L640*100,0)</f>
        <v>0</v>
      </c>
    </row>
    <row r="641" spans="14:14">
      <c r="N641" s="2">
        <f>IFERROR(M641/L641*100,0)</f>
        <v>0</v>
      </c>
    </row>
    <row r="642" spans="14:14">
      <c r="N642" s="2">
        <f>IFERROR(M642/L642*100,0)</f>
        <v>0</v>
      </c>
    </row>
    <row r="643" spans="14:14">
      <c r="N643" s="2">
        <f>IFERROR(M643/L643*100,0)</f>
        <v>0</v>
      </c>
    </row>
    <row r="644" spans="14:14">
      <c r="N644" s="2">
        <f>IFERROR(M644/L644*100,0)</f>
        <v>0</v>
      </c>
    </row>
    <row r="645" spans="14:14">
      <c r="N645" s="2">
        <f>IFERROR(M645/L645*100,0)</f>
        <v>0</v>
      </c>
    </row>
    <row r="646" spans="14:14">
      <c r="N646" s="2">
        <f>IFERROR(M646/L646*100,0)</f>
        <v>0</v>
      </c>
    </row>
    <row r="647" spans="14:14">
      <c r="N647" s="2">
        <f>IFERROR(M647/L647*100,0)</f>
        <v>0</v>
      </c>
    </row>
    <row r="648" spans="14:14">
      <c r="N648" s="2">
        <f>IFERROR(M648/L648*100,0)</f>
        <v>0</v>
      </c>
    </row>
    <row r="649" spans="14:14">
      <c r="N649" s="2">
        <f>IFERROR(M649/L649*100,0)</f>
        <v>0</v>
      </c>
    </row>
    <row r="650" spans="14:14">
      <c r="N650" s="2">
        <f>IFERROR(M650/L650*100,0)</f>
        <v>0</v>
      </c>
    </row>
    <row r="651" spans="14:14">
      <c r="N651" s="2">
        <f>IFERROR(M651/L651*100,0)</f>
        <v>0</v>
      </c>
    </row>
    <row r="652" spans="14:14">
      <c r="N652" s="2">
        <f>IFERROR(M652/L652*100,0)</f>
        <v>0</v>
      </c>
    </row>
    <row r="653" spans="14:14">
      <c r="N653" s="2">
        <f>IFERROR(M653/L653*100,0)</f>
        <v>0</v>
      </c>
    </row>
    <row r="654" spans="14:14">
      <c r="N654" s="2">
        <f>IFERROR(M654/L654*100,0)</f>
        <v>0</v>
      </c>
    </row>
    <row r="655" spans="14:14">
      <c r="N655" s="2">
        <f>IFERROR(M655/L655*100,0)</f>
        <v>0</v>
      </c>
    </row>
    <row r="656" spans="14:14">
      <c r="N656" s="2">
        <f>IFERROR(M656/L656*100,0)</f>
        <v>0</v>
      </c>
    </row>
    <row r="657" spans="14:14">
      <c r="N657" s="2">
        <f>IFERROR(M657/L657*100,0)</f>
        <v>0</v>
      </c>
    </row>
    <row r="658" spans="14:14">
      <c r="N658" s="2">
        <f>IFERROR(M658/L658*100,0)</f>
        <v>0</v>
      </c>
    </row>
    <row r="659" spans="14:14">
      <c r="N659" s="2">
        <f>IFERROR(M659/L659*100,0)</f>
        <v>0</v>
      </c>
    </row>
    <row r="660" spans="14:14">
      <c r="N660" s="2">
        <f>IFERROR(M660/L660*100,0)</f>
        <v>0</v>
      </c>
    </row>
    <row r="661" spans="14:14">
      <c r="N661" s="2">
        <f>IFERROR(M661/L661*100,0)</f>
        <v>0</v>
      </c>
    </row>
    <row r="662" spans="14:14">
      <c r="N662" s="2">
        <f>IFERROR(M662/L662*100,0)</f>
        <v>0</v>
      </c>
    </row>
    <row r="663" spans="14:14">
      <c r="N663" s="2">
        <f>IFERROR(M663/L663*100,0)</f>
        <v>0</v>
      </c>
    </row>
    <row r="664" spans="14:14">
      <c r="N664" s="2">
        <f>IFERROR(M664/L664*100,0)</f>
        <v>0</v>
      </c>
    </row>
    <row r="665" spans="14:14">
      <c r="N665" s="2">
        <f>IFERROR(M665/L665*100,0)</f>
        <v>0</v>
      </c>
    </row>
    <row r="666" spans="14:14">
      <c r="N666" s="2">
        <f>IFERROR(M666/L666*100,0)</f>
        <v>0</v>
      </c>
    </row>
    <row r="667" spans="14:14">
      <c r="N667" s="2">
        <f>IFERROR(M667/L667*100,0)</f>
        <v>0</v>
      </c>
    </row>
    <row r="668" spans="14:14">
      <c r="N668" s="2">
        <f>IFERROR(M668/L668*100,0)</f>
        <v>0</v>
      </c>
    </row>
    <row r="669" spans="14:14">
      <c r="N669" s="2">
        <f>IFERROR(M669/L669*100,0)</f>
        <v>0</v>
      </c>
    </row>
    <row r="670" spans="14:14">
      <c r="N670" s="2">
        <f>IFERROR(M670/L670*100,0)</f>
        <v>0</v>
      </c>
    </row>
    <row r="671" spans="14:14">
      <c r="N671" s="2">
        <f>IFERROR(M671/L671*100,0)</f>
        <v>0</v>
      </c>
    </row>
    <row r="672" spans="14:14">
      <c r="N672" s="2">
        <f>IFERROR(M672/L672*100,0)</f>
        <v>0</v>
      </c>
    </row>
    <row r="673" spans="14:14">
      <c r="N673" s="2">
        <f>IFERROR(M673/L673*100,0)</f>
        <v>0</v>
      </c>
    </row>
    <row r="674" spans="14:14">
      <c r="N674" s="2">
        <f>IFERROR(M674/L674*100,0)</f>
        <v>0</v>
      </c>
    </row>
    <row r="675" spans="14:14">
      <c r="N675" s="2">
        <f>IFERROR(M675/L675*100,0)</f>
        <v>0</v>
      </c>
    </row>
    <row r="676" spans="14:14">
      <c r="N676" s="2">
        <f>IFERROR(M676/L676*100,0)</f>
        <v>0</v>
      </c>
    </row>
    <row r="677" spans="14:14">
      <c r="N677" s="2">
        <f>IFERROR(M677/L677*100,0)</f>
        <v>0</v>
      </c>
    </row>
    <row r="678" spans="14:14">
      <c r="N678" s="2">
        <f>IFERROR(M678/L678*100,0)</f>
        <v>0</v>
      </c>
    </row>
    <row r="679" spans="14:14">
      <c r="N679" s="2">
        <f>IFERROR(M679/L679*100,0)</f>
        <v>0</v>
      </c>
    </row>
    <row r="680" spans="14:14">
      <c r="N680" s="2">
        <f>IFERROR(M680/L680*100,0)</f>
        <v>0</v>
      </c>
    </row>
    <row r="681" spans="14:14">
      <c r="N681" s="2">
        <f>IFERROR(M681/L681*100,0)</f>
        <v>0</v>
      </c>
    </row>
    <row r="682" spans="14:14">
      <c r="N682" s="2">
        <f>IFERROR(M682/L682*100,0)</f>
        <v>0</v>
      </c>
    </row>
    <row r="683" spans="14:14">
      <c r="N683" s="2">
        <f>IFERROR(M683/L683*100,0)</f>
        <v>0</v>
      </c>
    </row>
    <row r="684" spans="14:14">
      <c r="N684" s="2">
        <f>IFERROR(M684/L684*100,0)</f>
        <v>0</v>
      </c>
    </row>
    <row r="685" spans="14:14">
      <c r="N685" s="2">
        <f>IFERROR(M685/L685*100,0)</f>
        <v>0</v>
      </c>
    </row>
    <row r="686" spans="14:14">
      <c r="N686" s="2">
        <f>IFERROR(M686/L686*100,0)</f>
        <v>0</v>
      </c>
    </row>
    <row r="687" spans="14:14">
      <c r="N687" s="2">
        <f>IFERROR(M687/L687*100,0)</f>
        <v>0</v>
      </c>
    </row>
    <row r="688" spans="14:14">
      <c r="N688" s="2">
        <f>IFERROR(M688/L688*100,0)</f>
        <v>0</v>
      </c>
    </row>
    <row r="689" spans="14:14">
      <c r="N689" s="2">
        <f>IFERROR(M689/L689*100,0)</f>
        <v>0</v>
      </c>
    </row>
    <row r="690" spans="14:14">
      <c r="N690" s="2">
        <f>IFERROR(M690/L690*100,0)</f>
        <v>0</v>
      </c>
    </row>
    <row r="691" spans="14:14">
      <c r="N691" s="2">
        <f>IFERROR(M691/L691*100,0)</f>
        <v>0</v>
      </c>
    </row>
    <row r="692" spans="14:14">
      <c r="N692" s="2">
        <f>IFERROR(M692/L692*100,0)</f>
        <v>0</v>
      </c>
    </row>
    <row r="693" spans="14:14">
      <c r="N693" s="2">
        <f>IFERROR(M693/L693*100,0)</f>
        <v>0</v>
      </c>
    </row>
    <row r="694" spans="14:14">
      <c r="N694" s="2">
        <f>IFERROR(M694/L694*100,0)</f>
        <v>0</v>
      </c>
    </row>
    <row r="695" spans="14:14">
      <c r="N695" s="2">
        <f>IFERROR(M695/L695*100,0)</f>
        <v>0</v>
      </c>
    </row>
    <row r="696" spans="14:14">
      <c r="N696" s="2">
        <f>IFERROR(M696/L696*100,0)</f>
        <v>0</v>
      </c>
    </row>
    <row r="697" spans="14:14">
      <c r="N697" s="2">
        <f>IFERROR(M697/L697*100,0)</f>
        <v>0</v>
      </c>
    </row>
    <row r="698" spans="14:14">
      <c r="N698" s="2">
        <f>IFERROR(M698/L698*100,0)</f>
        <v>0</v>
      </c>
    </row>
    <row r="699" spans="14:14">
      <c r="N699" s="2">
        <f>IFERROR(M699/L699*100,0)</f>
        <v>0</v>
      </c>
    </row>
    <row r="700" spans="14:14">
      <c r="N700" s="2">
        <f>IFERROR(M700/L700*100,0)</f>
        <v>0</v>
      </c>
    </row>
    <row r="701" spans="14:14">
      <c r="N701" s="2">
        <f>IFERROR(M701/L701*100,0)</f>
        <v>0</v>
      </c>
    </row>
    <row r="702" spans="14:14">
      <c r="N702" s="2">
        <f>IFERROR(M702/L702*100,0)</f>
        <v>0</v>
      </c>
    </row>
    <row r="703" spans="14:14">
      <c r="N703" s="2">
        <f>IFERROR(M703/L703*100,0)</f>
        <v>0</v>
      </c>
    </row>
    <row r="704" spans="14:14">
      <c r="N704" s="2">
        <f>IFERROR(M704/L704*100,0)</f>
        <v>0</v>
      </c>
    </row>
    <row r="705" spans="14:14">
      <c r="N705" s="2">
        <f>IFERROR(M705/L705*100,0)</f>
        <v>0</v>
      </c>
    </row>
    <row r="706" spans="14:14">
      <c r="N706" s="2">
        <f>IFERROR(M706/L706*100,0)</f>
        <v>0</v>
      </c>
    </row>
    <row r="707" spans="14:14">
      <c r="N707" s="2">
        <f>IFERROR(M707/L707*100,0)</f>
        <v>0</v>
      </c>
    </row>
    <row r="708" spans="14:14">
      <c r="N708" s="2">
        <f>IFERROR(M708/L708*100,0)</f>
        <v>0</v>
      </c>
    </row>
    <row r="709" spans="14:14">
      <c r="N709" s="2">
        <f>IFERROR(M709/L709*100,0)</f>
        <v>0</v>
      </c>
    </row>
    <row r="710" spans="14:14">
      <c r="N710" s="2">
        <f>IFERROR(M710/L710*100,0)</f>
        <v>0</v>
      </c>
    </row>
    <row r="711" spans="14:14">
      <c r="N711" s="2">
        <f>IFERROR(M711/L711*100,0)</f>
        <v>0</v>
      </c>
    </row>
    <row r="712" spans="14:14">
      <c r="N712" s="2">
        <f>IFERROR(M712/L712*100,0)</f>
        <v>0</v>
      </c>
    </row>
    <row r="713" spans="14:14">
      <c r="N713" s="2">
        <f>IFERROR(M713/L713*100,0)</f>
        <v>0</v>
      </c>
    </row>
    <row r="714" spans="14:14">
      <c r="N714" s="2">
        <f>IFERROR(M714/L714*100,0)</f>
        <v>0</v>
      </c>
    </row>
    <row r="715" spans="14:14">
      <c r="N715" s="2">
        <f>IFERROR(M715/L715*100,0)</f>
        <v>0</v>
      </c>
    </row>
    <row r="716" spans="14:14">
      <c r="N716" s="2">
        <f>IFERROR(M716/L716*100,0)</f>
        <v>0</v>
      </c>
    </row>
    <row r="717" spans="14:14">
      <c r="N717" s="2">
        <f>IFERROR(M717/L717*100,0)</f>
        <v>0</v>
      </c>
    </row>
    <row r="718" spans="14:14">
      <c r="N718" s="2">
        <f>IFERROR(M718/L718*100,0)</f>
        <v>0</v>
      </c>
    </row>
    <row r="719" spans="14:14">
      <c r="N719" s="2">
        <f>IFERROR(M719/L719*100,0)</f>
        <v>0</v>
      </c>
    </row>
    <row r="720" spans="14:14">
      <c r="N720" s="2">
        <f>IFERROR(M720/L720*100,0)</f>
        <v>0</v>
      </c>
    </row>
    <row r="721" spans="14:14">
      <c r="N721" s="2">
        <f>IFERROR(M721/L721*100,0)</f>
        <v>0</v>
      </c>
    </row>
    <row r="722" spans="14:14">
      <c r="N722" s="2">
        <f>IFERROR(M722/L722*100,0)</f>
        <v>0</v>
      </c>
    </row>
    <row r="723" spans="14:14">
      <c r="N723" s="2">
        <f>IFERROR(M723/L723*100,0)</f>
        <v>0</v>
      </c>
    </row>
    <row r="724" spans="14:14">
      <c r="N724" s="2">
        <f>IFERROR(M724/L724*100,0)</f>
        <v>0</v>
      </c>
    </row>
    <row r="725" spans="14:14">
      <c r="N725" s="2">
        <f>IFERROR(M725/L725*100,0)</f>
        <v>0</v>
      </c>
    </row>
    <row r="726" spans="14:14">
      <c r="N726" s="2">
        <f>IFERROR(M726/L726*100,0)</f>
        <v>0</v>
      </c>
    </row>
    <row r="727" spans="14:14">
      <c r="N727" s="2">
        <f>IFERROR(M727/L727*100,0)</f>
        <v>0</v>
      </c>
    </row>
    <row r="728" spans="14:14">
      <c r="N728" s="2">
        <f>IFERROR(M728/L728*100,0)</f>
        <v>0</v>
      </c>
    </row>
    <row r="729" spans="14:14">
      <c r="N729" s="2">
        <f>IFERROR(M729/L729*100,0)</f>
        <v>0</v>
      </c>
    </row>
    <row r="730" spans="14:14">
      <c r="N730" s="2">
        <f>IFERROR(M730/L730*100,0)</f>
        <v>0</v>
      </c>
    </row>
    <row r="731" spans="14:14">
      <c r="N731" s="2">
        <f>IFERROR(M731/L731*100,0)</f>
        <v>0</v>
      </c>
    </row>
    <row r="732" spans="14:14">
      <c r="N732" s="2">
        <f>IFERROR(M732/L732*100,0)</f>
        <v>0</v>
      </c>
    </row>
    <row r="733" spans="14:14">
      <c r="N733" s="2">
        <f>IFERROR(M733/L733*100,0)</f>
        <v>0</v>
      </c>
    </row>
    <row r="734" spans="14:14">
      <c r="N734" s="2">
        <f>IFERROR(M734/L734*100,0)</f>
        <v>0</v>
      </c>
    </row>
    <row r="735" spans="14:14">
      <c r="N735" s="2">
        <f>IFERROR(M735/L735*100,0)</f>
        <v>0</v>
      </c>
    </row>
    <row r="736" spans="14:14">
      <c r="N736" s="2">
        <f>IFERROR(M736/L736*100,0)</f>
        <v>0</v>
      </c>
    </row>
    <row r="737" spans="14:14">
      <c r="N737" s="2">
        <f>IFERROR(M737/L737*100,0)</f>
        <v>0</v>
      </c>
    </row>
    <row r="738" spans="14:14">
      <c r="N738" s="2">
        <f>IFERROR(M738/L738*100,0)</f>
        <v>0</v>
      </c>
    </row>
    <row r="739" spans="14:14">
      <c r="N739" s="2">
        <f>IFERROR(M739/L739*100,0)</f>
        <v>0</v>
      </c>
    </row>
    <row r="740" spans="14:14">
      <c r="N740" s="2">
        <f>IFERROR(M740/L740*100,0)</f>
        <v>0</v>
      </c>
    </row>
    <row r="741" spans="14:14">
      <c r="N741" s="2">
        <f>IFERROR(M741/L741*100,0)</f>
        <v>0</v>
      </c>
    </row>
    <row r="742" spans="14:14">
      <c r="N742" s="2">
        <f>IFERROR(M742/L742*100,0)</f>
        <v>0</v>
      </c>
    </row>
    <row r="743" spans="14:14">
      <c r="N743" s="2">
        <f>IFERROR(M743/L743*100,0)</f>
        <v>0</v>
      </c>
    </row>
    <row r="744" spans="14:14">
      <c r="N744" s="2">
        <f>IFERROR(M744/L744*100,0)</f>
        <v>0</v>
      </c>
    </row>
    <row r="745" spans="14:14">
      <c r="N745" s="2">
        <f>IFERROR(M745/L745*100,0)</f>
        <v>0</v>
      </c>
    </row>
    <row r="746" spans="14:14">
      <c r="N746" s="2">
        <f>IFERROR(M746/L746*100,0)</f>
        <v>0</v>
      </c>
    </row>
    <row r="747" spans="14:14">
      <c r="N747" s="2">
        <f>IFERROR(M747/L747*100,0)</f>
        <v>0</v>
      </c>
    </row>
    <row r="748" spans="14:14">
      <c r="N748" s="2">
        <f>IFERROR(M748/L748*100,0)</f>
        <v>0</v>
      </c>
    </row>
    <row r="749" spans="14:14">
      <c r="N749" s="2">
        <f>IFERROR(M749/L749*100,0)</f>
        <v>0</v>
      </c>
    </row>
    <row r="750" spans="14:14">
      <c r="N750" s="2">
        <f>IFERROR(M750/L750*100,0)</f>
        <v>0</v>
      </c>
    </row>
    <row r="751" spans="14:14">
      <c r="N751" s="2">
        <f>IFERROR(M751/L751*100,0)</f>
        <v>0</v>
      </c>
    </row>
    <row r="752" spans="14:14">
      <c r="N752" s="2">
        <f>IFERROR(M752/L752*100,0)</f>
        <v>0</v>
      </c>
    </row>
    <row r="753" spans="14:14">
      <c r="N753" s="2">
        <f>IFERROR(M753/L753*100,0)</f>
        <v>0</v>
      </c>
    </row>
    <row r="754" spans="14:14">
      <c r="N754" s="2">
        <f>IFERROR(M754/L754*100,0)</f>
        <v>0</v>
      </c>
    </row>
    <row r="755" spans="14:14">
      <c r="N755" s="2">
        <f>IFERROR(M755/L755*100,0)</f>
        <v>0</v>
      </c>
    </row>
    <row r="756" spans="14:14">
      <c r="N756" s="2">
        <f>IFERROR(M756/L756*100,0)</f>
        <v>0</v>
      </c>
    </row>
    <row r="757" spans="14:14">
      <c r="N757" s="2">
        <f>IFERROR(M757/L757*100,0)</f>
        <v>0</v>
      </c>
    </row>
    <row r="758" spans="14:14">
      <c r="N758" s="2">
        <f>IFERROR(M758/L758*100,0)</f>
        <v>0</v>
      </c>
    </row>
    <row r="759" spans="14:14">
      <c r="N759" s="2">
        <f>IFERROR(M759/L759*100,0)</f>
        <v>0</v>
      </c>
    </row>
    <row r="760" spans="14:14">
      <c r="N760" s="2">
        <f>IFERROR(M760/L760*100,0)</f>
        <v>0</v>
      </c>
    </row>
    <row r="761" spans="14:14">
      <c r="N761" s="2">
        <f>IFERROR(M761/L761*100,0)</f>
        <v>0</v>
      </c>
    </row>
    <row r="762" spans="14:14">
      <c r="N762" s="2">
        <f>IFERROR(M762/L762*100,0)</f>
        <v>0</v>
      </c>
    </row>
    <row r="763" spans="14:14">
      <c r="N763" s="2">
        <f>IFERROR(M763/L763*100,0)</f>
        <v>0</v>
      </c>
    </row>
    <row r="764" spans="14:14">
      <c r="N764" s="2">
        <f>IFERROR(M764/L764*100,0)</f>
        <v>0</v>
      </c>
    </row>
    <row r="765" spans="14:14">
      <c r="N765" s="2">
        <f>IFERROR(M765/L765*100,0)</f>
        <v>0</v>
      </c>
    </row>
    <row r="766" spans="14:14">
      <c r="N766" s="2">
        <f>IFERROR(M766/L766*100,0)</f>
        <v>0</v>
      </c>
    </row>
    <row r="767" spans="14:14">
      <c r="N767" s="2">
        <f>IFERROR(M767/L767*100,0)</f>
        <v>0</v>
      </c>
    </row>
    <row r="768" spans="14:14">
      <c r="N768" s="2">
        <f>IFERROR(M768/L768*100,0)</f>
        <v>0</v>
      </c>
    </row>
    <row r="769" spans="14:14">
      <c r="N769" s="2">
        <f>IFERROR(M769/L769*100,0)</f>
        <v>0</v>
      </c>
    </row>
    <row r="770" spans="14:14">
      <c r="N770" s="2">
        <f>IFERROR(M770/L770*100,0)</f>
        <v>0</v>
      </c>
    </row>
    <row r="771" spans="14:14">
      <c r="N771" s="2">
        <f>IFERROR(M771/L771*100,0)</f>
        <v>0</v>
      </c>
    </row>
    <row r="772" spans="14:14">
      <c r="N772" s="2">
        <f>IFERROR(M772/L772*100,0)</f>
        <v>0</v>
      </c>
    </row>
    <row r="773" spans="14:14">
      <c r="N773" s="2">
        <f>IFERROR(M773/L773*100,0)</f>
        <v>0</v>
      </c>
    </row>
    <row r="774" spans="14:14">
      <c r="N774" s="2">
        <f>IFERROR(M774/L774*100,0)</f>
        <v>0</v>
      </c>
    </row>
    <row r="775" spans="14:14">
      <c r="N775" s="2">
        <f>IFERROR(M775/L775*100,0)</f>
        <v>0</v>
      </c>
    </row>
    <row r="776" spans="14:14">
      <c r="N776" s="2">
        <f>IFERROR(M776/L776*100,0)</f>
        <v>0</v>
      </c>
    </row>
    <row r="777" spans="14:14">
      <c r="N777" s="2">
        <f>IFERROR(M777/L777*100,0)</f>
        <v>0</v>
      </c>
    </row>
    <row r="778" spans="14:14">
      <c r="N778" s="2">
        <f>IFERROR(M778/L778*100,0)</f>
        <v>0</v>
      </c>
    </row>
    <row r="779" spans="14:14">
      <c r="N779" s="2">
        <f>IFERROR(M779/L779*100,0)</f>
        <v>0</v>
      </c>
    </row>
    <row r="780" spans="14:14">
      <c r="N780" s="2">
        <f>IFERROR(M780/L780*100,0)</f>
        <v>0</v>
      </c>
    </row>
    <row r="781" spans="14:14">
      <c r="N781" s="2">
        <f>IFERROR(M781/L781*100,0)</f>
        <v>0</v>
      </c>
    </row>
    <row r="782" spans="14:14">
      <c r="N782" s="2">
        <f>IFERROR(M782/L782*100,0)</f>
        <v>0</v>
      </c>
    </row>
    <row r="783" spans="14:14">
      <c r="N783" s="2">
        <f>IFERROR(M783/L783*100,0)</f>
        <v>0</v>
      </c>
    </row>
    <row r="784" spans="14:14">
      <c r="N784" s="2">
        <f>IFERROR(M784/L784*100,0)</f>
        <v>0</v>
      </c>
    </row>
    <row r="785" spans="14:14">
      <c r="N785" s="2">
        <f>IFERROR(M785/L785*100,0)</f>
        <v>0</v>
      </c>
    </row>
    <row r="786" spans="14:14">
      <c r="N786" s="2">
        <f>IFERROR(M786/L786*100,0)</f>
        <v>0</v>
      </c>
    </row>
    <row r="787" spans="14:14">
      <c r="N787" s="2">
        <f>IFERROR(M787/L787*100,0)</f>
        <v>0</v>
      </c>
    </row>
    <row r="788" spans="14:14">
      <c r="N788" s="2">
        <f>IFERROR(M788/L788*100,0)</f>
        <v>0</v>
      </c>
    </row>
    <row r="789" spans="14:14">
      <c r="N789" s="2">
        <f>IFERROR(M789/L789*100,0)</f>
        <v>0</v>
      </c>
    </row>
    <row r="790" spans="14:14">
      <c r="N790" s="2">
        <f>IFERROR(M790/L790*100,0)</f>
        <v>0</v>
      </c>
    </row>
    <row r="791" spans="14:14">
      <c r="N791" s="2">
        <f>IFERROR(M791/L791*100,0)</f>
        <v>0</v>
      </c>
    </row>
    <row r="792" spans="14:14">
      <c r="N792" s="2">
        <f>IFERROR(M792/L792*100,0)</f>
        <v>0</v>
      </c>
    </row>
    <row r="793" spans="14:14">
      <c r="N793" s="2">
        <f>IFERROR(M793/L793*100,0)</f>
        <v>0</v>
      </c>
    </row>
    <row r="794" spans="14:14">
      <c r="N794" s="2">
        <f>IFERROR(M794/L794*100,0)</f>
        <v>0</v>
      </c>
    </row>
    <row r="795" spans="14:14">
      <c r="N795" s="2">
        <f>IFERROR(M795/L795*100,0)</f>
        <v>0</v>
      </c>
    </row>
    <row r="796" spans="14:14">
      <c r="N796" s="2">
        <f>IFERROR(M796/L796*100,0)</f>
        <v>0</v>
      </c>
    </row>
    <row r="797" spans="14:14">
      <c r="N797" s="2">
        <f>IFERROR(M797/L797*100,0)</f>
        <v>0</v>
      </c>
    </row>
    <row r="798" spans="14:14">
      <c r="N798" s="2">
        <f>IFERROR(M798/L798*100,0)</f>
        <v>0</v>
      </c>
    </row>
    <row r="799" spans="14:14">
      <c r="N799" s="2">
        <f>IFERROR(M799/L799*100,0)</f>
        <v>0</v>
      </c>
    </row>
    <row r="800" spans="14:14">
      <c r="N800" s="2">
        <f>IFERROR(M800/L800*100,0)</f>
        <v>0</v>
      </c>
    </row>
    <row r="801" spans="14:14">
      <c r="N801" s="2">
        <f>IFERROR(M801/L801*100,0)</f>
        <v>0</v>
      </c>
    </row>
    <row r="802" spans="14:14">
      <c r="N802" s="2">
        <f>IFERROR(M802/L802*100,0)</f>
        <v>0</v>
      </c>
    </row>
    <row r="803" spans="14:14">
      <c r="N803" s="2">
        <f>IFERROR(M803/L803*100,0)</f>
        <v>0</v>
      </c>
    </row>
    <row r="804" spans="14:14">
      <c r="N804" s="2">
        <f>IFERROR(M804/L804*100,0)</f>
        <v>0</v>
      </c>
    </row>
    <row r="805" spans="14:14">
      <c r="N805" s="2">
        <f>IFERROR(M805/L805*100,0)</f>
        <v>0</v>
      </c>
    </row>
    <row r="806" spans="14:14">
      <c r="N806" s="2">
        <f>IFERROR(M806/L806*100,0)</f>
        <v>0</v>
      </c>
    </row>
    <row r="807" spans="14:14">
      <c r="N807" s="2">
        <f>IFERROR(M807/L807*100,0)</f>
        <v>0</v>
      </c>
    </row>
    <row r="808" spans="14:14">
      <c r="N808" s="2">
        <f>IFERROR(M808/L808*100,0)</f>
        <v>0</v>
      </c>
    </row>
    <row r="809" spans="14:14">
      <c r="N809" s="2">
        <f>IFERROR(M809/L809*100,0)</f>
        <v>0</v>
      </c>
    </row>
    <row r="810" spans="14:14">
      <c r="N810" s="2">
        <f>IFERROR(M810/L810*100,0)</f>
        <v>0</v>
      </c>
    </row>
    <row r="811" spans="14:14">
      <c r="N811" s="2">
        <f>IFERROR(M811/L811*100,0)</f>
        <v>0</v>
      </c>
    </row>
    <row r="812" spans="14:14">
      <c r="N812" s="2">
        <f>IFERROR(M812/L812*100,0)</f>
        <v>0</v>
      </c>
    </row>
    <row r="813" spans="14:14">
      <c r="N813" s="2">
        <f>IFERROR(M813/L813*100,0)</f>
        <v>0</v>
      </c>
    </row>
    <row r="814" spans="14:14">
      <c r="N814" s="2">
        <f>IFERROR(M814/L814*100,0)</f>
        <v>0</v>
      </c>
    </row>
    <row r="815" spans="14:14">
      <c r="N815" s="2">
        <f>IFERROR(M815/L815*100,0)</f>
        <v>0</v>
      </c>
    </row>
    <row r="816" spans="14:14">
      <c r="N816" s="2">
        <f>IFERROR(M816/L816*100,0)</f>
        <v>0</v>
      </c>
    </row>
    <row r="817" spans="14:14">
      <c r="N817" s="2">
        <f>IFERROR(M817/L817*100,0)</f>
        <v>0</v>
      </c>
    </row>
    <row r="818" spans="14:14">
      <c r="N818" s="2">
        <f>IFERROR(M818/L818*100,0)</f>
        <v>0</v>
      </c>
    </row>
    <row r="819" spans="14:14">
      <c r="N819" s="2">
        <f>IFERROR(M819/L819*100,0)</f>
        <v>0</v>
      </c>
    </row>
    <row r="820" spans="14:14">
      <c r="N820" s="2">
        <f>IFERROR(M820/L820*100,0)</f>
        <v>0</v>
      </c>
    </row>
    <row r="821" spans="14:14">
      <c r="N821" s="2">
        <f>IFERROR(M821/L821*100,0)</f>
        <v>0</v>
      </c>
    </row>
    <row r="822" spans="14:14">
      <c r="N822" s="2">
        <f>IFERROR(M822/L822*100,0)</f>
        <v>0</v>
      </c>
    </row>
    <row r="823" spans="14:14">
      <c r="N823" s="2">
        <f>IFERROR(M823/L823*100,0)</f>
        <v>0</v>
      </c>
    </row>
    <row r="824" spans="14:14">
      <c r="N824" s="2">
        <f>IFERROR(M824/L824*100,0)</f>
        <v>0</v>
      </c>
    </row>
    <row r="825" spans="14:14">
      <c r="N825" s="2">
        <f>IFERROR(M825/L825*100,0)</f>
        <v>0</v>
      </c>
    </row>
    <row r="826" spans="14:14">
      <c r="N826" s="2">
        <f>IFERROR(M826/L826*100,0)</f>
        <v>0</v>
      </c>
    </row>
    <row r="827" spans="14:14">
      <c r="N827" s="2">
        <f>IFERROR(M827/L827*100,0)</f>
        <v>0</v>
      </c>
    </row>
    <row r="828" spans="14:14">
      <c r="N828" s="2">
        <f>IFERROR(M828/L828*100,0)</f>
        <v>0</v>
      </c>
    </row>
    <row r="829" spans="14:14">
      <c r="N829" s="2">
        <f>IFERROR(M829/L829*100,0)</f>
        <v>0</v>
      </c>
    </row>
    <row r="830" spans="14:14">
      <c r="N830" s="2">
        <f>IFERROR(M830/L830*100,0)</f>
        <v>0</v>
      </c>
    </row>
    <row r="831" spans="14:14">
      <c r="N831" s="2">
        <f>IFERROR(M831/L831*100,0)</f>
        <v>0</v>
      </c>
    </row>
    <row r="832" spans="14:14">
      <c r="N832" s="2">
        <f>IFERROR(M832/L832*100,0)</f>
        <v>0</v>
      </c>
    </row>
    <row r="833" spans="14:14">
      <c r="N833" s="2">
        <f>IFERROR(M833/L833*100,0)</f>
        <v>0</v>
      </c>
    </row>
    <row r="834" spans="14:14">
      <c r="N834" s="2">
        <f>IFERROR(M834/L834*100,0)</f>
        <v>0</v>
      </c>
    </row>
    <row r="835" spans="14:14">
      <c r="N835" s="2">
        <f>IFERROR(M835/L835*100,0)</f>
        <v>0</v>
      </c>
    </row>
    <row r="836" spans="14:14">
      <c r="N836" s="2">
        <f>IFERROR(M836/L836*100,0)</f>
        <v>0</v>
      </c>
    </row>
    <row r="837" spans="14:14">
      <c r="N837" s="2">
        <f>IFERROR(M837/L837*100,0)</f>
        <v>0</v>
      </c>
    </row>
    <row r="838" spans="14:14">
      <c r="N838" s="2">
        <f>IFERROR(M838/L838*100,0)</f>
        <v>0</v>
      </c>
    </row>
    <row r="839" spans="14:14">
      <c r="N839" s="2">
        <f>IFERROR(M839/L839*100,0)</f>
        <v>0</v>
      </c>
    </row>
    <row r="840" spans="14:14">
      <c r="N840" s="2">
        <f>IFERROR(M840/L840*100,0)</f>
        <v>0</v>
      </c>
    </row>
    <row r="841" spans="14:14">
      <c r="N841" s="2">
        <f>IFERROR(M841/L841*100,0)</f>
        <v>0</v>
      </c>
    </row>
    <row r="842" spans="14:14">
      <c r="N842" s="2">
        <f>IFERROR(M842/L842*100,0)</f>
        <v>0</v>
      </c>
    </row>
    <row r="843" spans="14:14">
      <c r="N843" s="2">
        <f>IFERROR(M843/L843*100,0)</f>
        <v>0</v>
      </c>
    </row>
    <row r="844" spans="14:14">
      <c r="N844" s="2">
        <f>IFERROR(M844/L844*100,0)</f>
        <v>0</v>
      </c>
    </row>
    <row r="845" spans="14:14">
      <c r="N845" s="2">
        <f>IFERROR(M845/L845*100,0)</f>
        <v>0</v>
      </c>
    </row>
    <row r="846" spans="14:14">
      <c r="N846" s="2">
        <f>IFERROR(M846/L846*100,0)</f>
        <v>0</v>
      </c>
    </row>
    <row r="847" spans="14:14">
      <c r="N847" s="2">
        <f>IFERROR(M847/L847*100,0)</f>
        <v>0</v>
      </c>
    </row>
    <row r="848" spans="14:14">
      <c r="N848" s="2">
        <f>IFERROR(M848/L848*100,0)</f>
        <v>0</v>
      </c>
    </row>
    <row r="849" spans="14:14">
      <c r="N849" s="2">
        <f>IFERROR(M849/L849*100,0)</f>
        <v>0</v>
      </c>
    </row>
    <row r="850" spans="14:14">
      <c r="N850" s="2">
        <f>IFERROR(M850/L850*100,0)</f>
        <v>0</v>
      </c>
    </row>
    <row r="851" spans="14:14">
      <c r="N851" s="2">
        <f>IFERROR(M851/L851*100,0)</f>
        <v>0</v>
      </c>
    </row>
    <row r="852" spans="14:14">
      <c r="N852" s="2">
        <f>IFERROR(M852/L852*100,0)</f>
        <v>0</v>
      </c>
    </row>
    <row r="853" spans="14:14">
      <c r="N853" s="2">
        <f>IFERROR(M853/L853*100,0)</f>
        <v>0</v>
      </c>
    </row>
    <row r="854" spans="14:14">
      <c r="N854" s="2">
        <f>IFERROR(M854/L854*100,0)</f>
        <v>0</v>
      </c>
    </row>
    <row r="855" spans="14:14">
      <c r="N855" s="2">
        <f>IFERROR(M855/L855*100,0)</f>
        <v>0</v>
      </c>
    </row>
    <row r="856" spans="14:14">
      <c r="N856" s="2">
        <f>IFERROR(M856/L856*100,0)</f>
        <v>0</v>
      </c>
    </row>
    <row r="857" spans="14:14">
      <c r="N857" s="2">
        <f>IFERROR(M857/L857*100,0)</f>
        <v>0</v>
      </c>
    </row>
    <row r="858" spans="14:14">
      <c r="N858" s="2">
        <f>IFERROR(M858/L858*100,0)</f>
        <v>0</v>
      </c>
    </row>
    <row r="859" spans="14:14">
      <c r="N859" s="2">
        <f>IFERROR(M859/L859*100,0)</f>
        <v>0</v>
      </c>
    </row>
    <row r="860" spans="14:14">
      <c r="N860" s="2">
        <f>IFERROR(M860/L860*100,0)</f>
        <v>0</v>
      </c>
    </row>
    <row r="861" spans="14:14">
      <c r="N861" s="2">
        <f>IFERROR(M861/L861*100,0)</f>
        <v>0</v>
      </c>
    </row>
    <row r="862" spans="14:14">
      <c r="N862" s="2">
        <f>IFERROR(M862/L862*100,0)</f>
        <v>0</v>
      </c>
    </row>
    <row r="863" spans="14:14">
      <c r="N863" s="2">
        <f>IFERROR(M863/L863*100,0)</f>
        <v>0</v>
      </c>
    </row>
    <row r="864" spans="14:14">
      <c r="N864" s="2">
        <f>IFERROR(M864/L864*100,0)</f>
        <v>0</v>
      </c>
    </row>
    <row r="865" spans="14:14">
      <c r="N865" s="2">
        <f>IFERROR(M865/L865*100,0)</f>
        <v>0</v>
      </c>
    </row>
    <row r="866" spans="14:14">
      <c r="N866" s="2">
        <f>IFERROR(M866/L866*100,0)</f>
        <v>0</v>
      </c>
    </row>
    <row r="867" spans="14:14">
      <c r="N867" s="2">
        <f>IFERROR(M867/L867*100,0)</f>
        <v>0</v>
      </c>
    </row>
    <row r="868" spans="14:14">
      <c r="N868" s="2">
        <f>IFERROR(M868/L868*100,0)</f>
        <v>0</v>
      </c>
    </row>
    <row r="869" spans="14:14">
      <c r="N869" s="2">
        <f>IFERROR(M869/L869*100,0)</f>
        <v>0</v>
      </c>
    </row>
    <row r="870" spans="14:14">
      <c r="N870" s="2">
        <f>IFERROR(M870/L870*100,0)</f>
        <v>0</v>
      </c>
    </row>
    <row r="871" spans="14:14">
      <c r="N871" s="2">
        <f>IFERROR(M871/L871*100,0)</f>
        <v>0</v>
      </c>
    </row>
    <row r="872" spans="14:14">
      <c r="N872" s="2">
        <f>IFERROR(M872/L872*100,0)</f>
        <v>0</v>
      </c>
    </row>
    <row r="873" spans="14:14">
      <c r="N873" s="2">
        <f>IFERROR(M873/L873*100,0)</f>
        <v>0</v>
      </c>
    </row>
    <row r="874" spans="14:14">
      <c r="N874" s="2">
        <f>IFERROR(M874/L874*100,0)</f>
        <v>0</v>
      </c>
    </row>
    <row r="875" spans="14:14">
      <c r="N875" s="2">
        <f>IFERROR(M875/L875*100,0)</f>
        <v>0</v>
      </c>
    </row>
    <row r="876" spans="14:14">
      <c r="N876" s="2">
        <f>IFERROR(M876/L876*100,0)</f>
        <v>0</v>
      </c>
    </row>
    <row r="877" spans="14:14">
      <c r="N877" s="2">
        <f>IFERROR(M877/L877*100,0)</f>
        <v>0</v>
      </c>
    </row>
    <row r="878" spans="14:14">
      <c r="N878" s="2">
        <f>IFERROR(M878/L878*100,0)</f>
        <v>0</v>
      </c>
    </row>
    <row r="879" spans="14:14">
      <c r="N879" s="2">
        <f>IFERROR(M879/L879*100,0)</f>
        <v>0</v>
      </c>
    </row>
    <row r="880" spans="14:14">
      <c r="N880" s="2">
        <f>IFERROR(M880/L880*100,0)</f>
        <v>0</v>
      </c>
    </row>
    <row r="881" spans="14:14">
      <c r="N881" s="2">
        <f>IFERROR(M881/L881*100,0)</f>
        <v>0</v>
      </c>
    </row>
    <row r="882" spans="14:14">
      <c r="N882" s="2">
        <f>IFERROR(M882/L882*100,0)</f>
        <v>0</v>
      </c>
    </row>
    <row r="883" spans="14:14">
      <c r="N883" s="2">
        <f>IFERROR(M883/L883*100,0)</f>
        <v>0</v>
      </c>
    </row>
    <row r="884" spans="14:14">
      <c r="N884" s="2">
        <f>IFERROR(M884/L884*100,0)</f>
        <v>0</v>
      </c>
    </row>
    <row r="885" spans="14:14">
      <c r="N885" s="2">
        <f>IFERROR(M885/L885*100,0)</f>
        <v>0</v>
      </c>
    </row>
    <row r="886" spans="14:14">
      <c r="N886" s="2">
        <f>IFERROR(M886/L886*100,0)</f>
        <v>0</v>
      </c>
    </row>
    <row r="887" spans="14:14">
      <c r="N887" s="2">
        <f>IFERROR(M887/L887*100,0)</f>
        <v>0</v>
      </c>
    </row>
    <row r="888" spans="14:14">
      <c r="N888" s="2">
        <f>IFERROR(M888/L888*100,0)</f>
        <v>0</v>
      </c>
    </row>
    <row r="889" spans="14:14">
      <c r="N889" s="2">
        <f>IFERROR(M889/L889*100,0)</f>
        <v>0</v>
      </c>
    </row>
    <row r="890" spans="14:14">
      <c r="N890" s="2">
        <f>IFERROR(M890/L890*100,0)</f>
        <v>0</v>
      </c>
    </row>
    <row r="891" spans="14:14">
      <c r="N891" s="2">
        <f>IFERROR(M891/L891*100,0)</f>
        <v>0</v>
      </c>
    </row>
    <row r="892" spans="14:14">
      <c r="N892" s="2">
        <f>IFERROR(M892/L892*100,0)</f>
        <v>0</v>
      </c>
    </row>
    <row r="893" spans="14:14">
      <c r="N893" s="2">
        <f>IFERROR(M893/L893*100,0)</f>
        <v>0</v>
      </c>
    </row>
    <row r="894" spans="14:14">
      <c r="N894" s="2">
        <f>IFERROR(M894/L894*100,0)</f>
        <v>0</v>
      </c>
    </row>
    <row r="895" spans="14:14">
      <c r="N895" s="2">
        <f>IFERROR(M895/L895*100,0)</f>
        <v>0</v>
      </c>
    </row>
    <row r="896" spans="14:14">
      <c r="N896" s="2">
        <f>IFERROR(M896/L896*100,0)</f>
        <v>0</v>
      </c>
    </row>
    <row r="897" spans="14:14">
      <c r="N897" s="2">
        <f>IFERROR(M897/L897*100,0)</f>
        <v>0</v>
      </c>
    </row>
    <row r="898" spans="14:14">
      <c r="N898" s="2">
        <f>IFERROR(M898/L898*100,0)</f>
        <v>0</v>
      </c>
    </row>
    <row r="899" spans="14:14">
      <c r="N899" s="2">
        <f>IFERROR(M899/L899*100,0)</f>
        <v>0</v>
      </c>
    </row>
    <row r="900" spans="14:14">
      <c r="N900" s="2">
        <f>IFERROR(M900/L900*100,0)</f>
        <v>0</v>
      </c>
    </row>
    <row r="901" spans="14:14">
      <c r="N901" s="2">
        <f>IFERROR(M901/L901*100,0)</f>
        <v>0</v>
      </c>
    </row>
    <row r="902" spans="14:14">
      <c r="N902" s="2">
        <f>IFERROR(M902/L902*100,0)</f>
        <v>0</v>
      </c>
    </row>
    <row r="903" spans="14:14">
      <c r="N903" s="2">
        <f>IFERROR(M903/L903*100,0)</f>
        <v>0</v>
      </c>
    </row>
    <row r="904" spans="14:14">
      <c r="N904" s="2">
        <f>IFERROR(M904/L904*100,0)</f>
        <v>0</v>
      </c>
    </row>
    <row r="905" spans="14:14">
      <c r="N905" s="2">
        <f>IFERROR(M905/L905*100,0)</f>
        <v>0</v>
      </c>
    </row>
    <row r="906" spans="14:14">
      <c r="N906" s="2">
        <f>IFERROR(M906/L906*100,0)</f>
        <v>0</v>
      </c>
    </row>
    <row r="907" spans="14:14">
      <c r="N907" s="2">
        <f>IFERROR(M907/L907*100,0)</f>
        <v>0</v>
      </c>
    </row>
    <row r="908" spans="14:14">
      <c r="N908" s="2">
        <f>IFERROR(M908/L908*100,0)</f>
        <v>0</v>
      </c>
    </row>
    <row r="909" spans="14:14">
      <c r="N909" s="2">
        <f>IFERROR(M909/L909*100,0)</f>
        <v>0</v>
      </c>
    </row>
    <row r="910" spans="14:14">
      <c r="N910" s="2">
        <f>IFERROR(M910/L910*100,0)</f>
        <v>0</v>
      </c>
    </row>
    <row r="911" spans="14:14">
      <c r="N911" s="2">
        <f>IFERROR(M911/L911*100,0)</f>
        <v>0</v>
      </c>
    </row>
    <row r="912" spans="14:14">
      <c r="N912" s="2">
        <f>IFERROR(M912/L912*100,0)</f>
        <v>0</v>
      </c>
    </row>
    <row r="913" spans="14:14">
      <c r="N913" s="2">
        <f>IFERROR(M913/L913*100,0)</f>
        <v>0</v>
      </c>
    </row>
    <row r="914" spans="14:14">
      <c r="N914" s="2">
        <f>IFERROR(M914/L914*100,0)</f>
        <v>0</v>
      </c>
    </row>
    <row r="915" spans="14:14">
      <c r="N915" s="2">
        <f>IFERROR(M915/L915*100,0)</f>
        <v>0</v>
      </c>
    </row>
    <row r="916" spans="14:14">
      <c r="N916" s="2">
        <f>IFERROR(M916/L916*100,0)</f>
        <v>0</v>
      </c>
    </row>
    <row r="917" spans="14:14">
      <c r="N917" s="2">
        <f>IFERROR(M917/L917*100,0)</f>
        <v>0</v>
      </c>
    </row>
    <row r="918" spans="14:14">
      <c r="N918" s="2">
        <f>IFERROR(M918/L918*100,0)</f>
        <v>0</v>
      </c>
    </row>
    <row r="919" spans="14:14">
      <c r="N919" s="2">
        <f>IFERROR(M919/L919*100,0)</f>
        <v>0</v>
      </c>
    </row>
    <row r="920" spans="14:14">
      <c r="N920" s="2">
        <f>IFERROR(M920/L920*100,0)</f>
        <v>0</v>
      </c>
    </row>
    <row r="921" spans="14:14">
      <c r="N921" s="2">
        <f>IFERROR(M921/L921*100,0)</f>
        <v>0</v>
      </c>
    </row>
    <row r="922" spans="14:14">
      <c r="N922" s="2">
        <f>IFERROR(M922/L922*100,0)</f>
        <v>0</v>
      </c>
    </row>
    <row r="923" spans="14:14">
      <c r="N923" s="2">
        <f>IFERROR(M923/L923*100,0)</f>
        <v>0</v>
      </c>
    </row>
    <row r="924" spans="14:14">
      <c r="N924" s="2">
        <f>IFERROR(M924/L924*100,0)</f>
        <v>0</v>
      </c>
    </row>
    <row r="925" spans="14:14">
      <c r="N925" s="2">
        <f>IFERROR(M925/L925*100,0)</f>
        <v>0</v>
      </c>
    </row>
    <row r="926" spans="14:14">
      <c r="N926" s="2">
        <f>IFERROR(M926/L926*100,0)</f>
        <v>0</v>
      </c>
    </row>
    <row r="927" spans="14:14">
      <c r="N927" s="2">
        <f>IFERROR(M927/L927*100,0)</f>
        <v>0</v>
      </c>
    </row>
    <row r="928" spans="14:14">
      <c r="N928" s="2">
        <f>IFERROR(M928/L928*100,0)</f>
        <v>0</v>
      </c>
    </row>
    <row r="929" spans="14:14">
      <c r="N929" s="2">
        <f>IFERROR(M929/L929*100,0)</f>
        <v>0</v>
      </c>
    </row>
    <row r="930" spans="14:14">
      <c r="N930" s="2">
        <f>IFERROR(M930/L930*100,0)</f>
        <v>0</v>
      </c>
    </row>
    <row r="931" spans="14:14">
      <c r="N931" s="2">
        <f>IFERROR(M931/L931*100,0)</f>
        <v>0</v>
      </c>
    </row>
    <row r="932" spans="14:14">
      <c r="N932" s="2">
        <f>IFERROR(M932/L932*100,0)</f>
        <v>0</v>
      </c>
    </row>
    <row r="933" spans="14:14">
      <c r="N933" s="2">
        <f>IFERROR(M933/L933*100,0)</f>
        <v>0</v>
      </c>
    </row>
    <row r="934" spans="14:14">
      <c r="N934" s="2">
        <f>IFERROR(M934/L934*100,0)</f>
        <v>0</v>
      </c>
    </row>
    <row r="935" spans="14:14">
      <c r="N935" s="2">
        <f>IFERROR(M935/L935*100,0)</f>
        <v>0</v>
      </c>
    </row>
    <row r="936" spans="14:14">
      <c r="N936" s="2">
        <f>IFERROR(M936/L936*100,0)</f>
        <v>0</v>
      </c>
    </row>
    <row r="937" spans="14:14">
      <c r="N937" s="2">
        <f>IFERROR(M937/L937*100,0)</f>
        <v>0</v>
      </c>
    </row>
    <row r="938" spans="14:14">
      <c r="N938" s="2">
        <f>IFERROR(M938/L938*100,0)</f>
        <v>0</v>
      </c>
    </row>
    <row r="939" spans="14:14">
      <c r="N939" s="2">
        <f>IFERROR(M939/L939*100,0)</f>
        <v>0</v>
      </c>
    </row>
    <row r="940" spans="14:14">
      <c r="N940" s="2">
        <f>IFERROR(M940/L940*100,0)</f>
        <v>0</v>
      </c>
    </row>
    <row r="941" spans="14:14">
      <c r="N941" s="2">
        <f>IFERROR(M941/L941*100,0)</f>
        <v>0</v>
      </c>
    </row>
    <row r="942" spans="14:14">
      <c r="N942" s="2">
        <f>IFERROR(M942/L942*100,0)</f>
        <v>0</v>
      </c>
    </row>
    <row r="943" spans="14:14">
      <c r="N943" s="2">
        <f>IFERROR(M943/L943*100,0)</f>
        <v>0</v>
      </c>
    </row>
    <row r="944" spans="14:14">
      <c r="N944" s="2">
        <f>IFERROR(M944/L944*100,0)</f>
        <v>0</v>
      </c>
    </row>
    <row r="945" spans="14:14">
      <c r="N945" s="2">
        <f>IFERROR(M945/L945*100,0)</f>
        <v>0</v>
      </c>
    </row>
    <row r="946" spans="14:14">
      <c r="N946" s="2">
        <f>IFERROR(M946/L946*100,0)</f>
        <v>0</v>
      </c>
    </row>
    <row r="947" spans="14:14">
      <c r="N947" s="2">
        <f>IFERROR(M947/L947*100,0)</f>
        <v>0</v>
      </c>
    </row>
    <row r="948" spans="14:14">
      <c r="N948" s="2">
        <f>IFERROR(M948/L948*100,0)</f>
        <v>0</v>
      </c>
    </row>
    <row r="949" spans="14:14">
      <c r="N949" s="2">
        <f>IFERROR(M949/L949*100,0)</f>
        <v>0</v>
      </c>
    </row>
    <row r="950" spans="14:14">
      <c r="N950" s="2">
        <f>IFERROR(M950/L950*100,0)</f>
        <v>0</v>
      </c>
    </row>
    <row r="951" spans="14:14">
      <c r="N951" s="2">
        <f>IFERROR(M951/L951*100,0)</f>
        <v>0</v>
      </c>
    </row>
    <row r="952" spans="14:14">
      <c r="N952" s="2">
        <f>IFERROR(M952/L952*100,0)</f>
        <v>0</v>
      </c>
    </row>
    <row r="953" spans="14:14">
      <c r="N953" s="2">
        <f>IFERROR(M953/L953*100,0)</f>
        <v>0</v>
      </c>
    </row>
    <row r="954" spans="14:14">
      <c r="N954" s="2">
        <f>IFERROR(M954/L954*100,0)</f>
        <v>0</v>
      </c>
    </row>
    <row r="955" spans="14:14">
      <c r="N955" s="2">
        <f>IFERROR(M955/L955*100,0)</f>
        <v>0</v>
      </c>
    </row>
    <row r="956" spans="14:14">
      <c r="N956" s="2">
        <f>IFERROR(M956/L956*100,0)</f>
        <v>0</v>
      </c>
    </row>
    <row r="957" spans="14:14">
      <c r="N957" s="2">
        <f>IFERROR(M957/L957*100,0)</f>
        <v>0</v>
      </c>
    </row>
    <row r="958" spans="14:14">
      <c r="N958" s="2">
        <f>IFERROR(M958/L958*100,0)</f>
        <v>0</v>
      </c>
    </row>
    <row r="959" spans="14:14">
      <c r="N959" s="2">
        <f>IFERROR(M959/L959*100,0)</f>
        <v>0</v>
      </c>
    </row>
    <row r="960" spans="14:14">
      <c r="N960" s="2">
        <f>IFERROR(M960/L960*100,0)</f>
        <v>0</v>
      </c>
    </row>
    <row r="961" spans="14:14">
      <c r="N961" s="2">
        <f>IFERROR(M961/L961*100,0)</f>
        <v>0</v>
      </c>
    </row>
    <row r="962" spans="14:14">
      <c r="N962" s="2">
        <f>IFERROR(M962/L962*100,0)</f>
        <v>0</v>
      </c>
    </row>
    <row r="963" spans="14:14">
      <c r="N963" s="2">
        <f>IFERROR(M963/L963*100,0)</f>
        <v>0</v>
      </c>
    </row>
    <row r="964" spans="14:14">
      <c r="N964" s="2">
        <f>IFERROR(M964/L964*100,0)</f>
        <v>0</v>
      </c>
    </row>
    <row r="965" spans="14:14">
      <c r="N965" s="2">
        <f>IFERROR(M965/L965*100,0)</f>
        <v>0</v>
      </c>
    </row>
    <row r="966" spans="14:14">
      <c r="N966" s="2">
        <f>IFERROR(M966/L966*100,0)</f>
        <v>0</v>
      </c>
    </row>
    <row r="967" spans="14:14">
      <c r="N967" s="2">
        <f>IFERROR(M967/L967*100,0)</f>
        <v>0</v>
      </c>
    </row>
    <row r="968" spans="14:14">
      <c r="N968" s="2">
        <f>IFERROR(M968/L968*100,0)</f>
        <v>0</v>
      </c>
    </row>
    <row r="969" spans="14:14">
      <c r="N969" s="2">
        <f>IFERROR(M969/L969*100,0)</f>
        <v>0</v>
      </c>
    </row>
    <row r="970" spans="14:14">
      <c r="N970" s="2">
        <f>IFERROR(M970/L970*100,0)</f>
        <v>0</v>
      </c>
    </row>
    <row r="971" spans="14:14">
      <c r="N971" s="2">
        <f>IFERROR(M971/L971*100,0)</f>
        <v>0</v>
      </c>
    </row>
    <row r="972" spans="14:14">
      <c r="N972" s="2">
        <f>IFERROR(M972/L972*100,0)</f>
        <v>0</v>
      </c>
    </row>
    <row r="973" spans="14:14">
      <c r="N973" s="2">
        <f>IFERROR(M973/L973*100,0)</f>
        <v>0</v>
      </c>
    </row>
    <row r="974" spans="14:14">
      <c r="N974" s="2">
        <f>IFERROR(M974/L974*100,0)</f>
        <v>0</v>
      </c>
    </row>
    <row r="975" spans="14:14">
      <c r="N975" s="2">
        <f>IFERROR(M975/L975*100,0)</f>
        <v>0</v>
      </c>
    </row>
    <row r="976" spans="14:14">
      <c r="N976" s="2">
        <f>IFERROR(M976/L976*100,0)</f>
        <v>0</v>
      </c>
    </row>
    <row r="977" spans="14:14">
      <c r="N977" s="2">
        <f>IFERROR(M977/L977*100,0)</f>
        <v>0</v>
      </c>
    </row>
    <row r="978" spans="14:14">
      <c r="N978" s="2">
        <f>IFERROR(M978/L978*100,0)</f>
        <v>0</v>
      </c>
    </row>
    <row r="979" spans="14:14">
      <c r="N979" s="2">
        <f>IFERROR(M979/L979*100,0)</f>
        <v>0</v>
      </c>
    </row>
    <row r="980" spans="14:14">
      <c r="N980" s="2">
        <f>IFERROR(M980/L980*100,0)</f>
        <v>0</v>
      </c>
    </row>
    <row r="981" spans="14:14">
      <c r="N981" s="2">
        <f>IFERROR(M981/L981*100,0)</f>
        <v>0</v>
      </c>
    </row>
    <row r="982" spans="14:14">
      <c r="N982" s="2">
        <f>IFERROR(M982/L982*100,0)</f>
        <v>0</v>
      </c>
    </row>
    <row r="983" spans="14:14">
      <c r="N983" s="2">
        <f>IFERROR(M983/L983*100,0)</f>
        <v>0</v>
      </c>
    </row>
    <row r="984" spans="14:14">
      <c r="N984" s="2">
        <f>IFERROR(M984/L984*100,0)</f>
        <v>0</v>
      </c>
    </row>
    <row r="985" spans="14:14">
      <c r="N985" s="2">
        <f>IFERROR(M985/L985*100,0)</f>
        <v>0</v>
      </c>
    </row>
    <row r="986" spans="14:14">
      <c r="N986" s="2">
        <f>IFERROR(M986/L986*100,0)</f>
        <v>0</v>
      </c>
    </row>
    <row r="987" spans="14:14">
      <c r="N987" s="2">
        <f>IFERROR(M987/L987*100,0)</f>
        <v>0</v>
      </c>
    </row>
    <row r="988" spans="14:14">
      <c r="N988" s="2">
        <f>IFERROR(M988/L988*100,0)</f>
        <v>0</v>
      </c>
    </row>
    <row r="989" spans="14:14">
      <c r="N989" s="2">
        <f>IFERROR(M989/L989*100,0)</f>
        <v>0</v>
      </c>
    </row>
    <row r="990" spans="14:14">
      <c r="N990" s="2">
        <f>IFERROR(M990/L990*100,0)</f>
        <v>0</v>
      </c>
    </row>
    <row r="991" spans="14:14">
      <c r="N991" s="2">
        <f>IFERROR(M991/L991*100,0)</f>
        <v>0</v>
      </c>
    </row>
    <row r="992" spans="14:14">
      <c r="N992" s="2">
        <f>IFERROR(M992/L992*100,0)</f>
        <v>0</v>
      </c>
    </row>
    <row r="993" spans="14:14">
      <c r="N993" s="2">
        <f>IFERROR(M993/L993*100,0)</f>
        <v>0</v>
      </c>
    </row>
    <row r="994" spans="14:14">
      <c r="N994" s="2">
        <f>IFERROR(M994/L994*100,0)</f>
        <v>0</v>
      </c>
    </row>
    <row r="995" spans="14:14">
      <c r="N995" s="2">
        <f>IFERROR(M995/L995*100,0)</f>
        <v>0</v>
      </c>
    </row>
    <row r="996" spans="14:14">
      <c r="N996" s="2">
        <f>IFERROR(M996/L996*100,0)</f>
        <v>0</v>
      </c>
    </row>
    <row r="997" spans="14:14">
      <c r="N997" s="2">
        <f>IFERROR(M997/L997*100,0)</f>
        <v>0</v>
      </c>
    </row>
    <row r="998" spans="14:14">
      <c r="N998" s="2">
        <f>IFERROR(M998/L998*100,0)</f>
        <v>0</v>
      </c>
    </row>
    <row r="999" spans="14:14">
      <c r="N999" s="2">
        <f>IFERROR(M999/L999*100,0)</f>
        <v>0</v>
      </c>
    </row>
    <row r="1000" spans="14:14">
      <c r="N1000" s="2">
        <f>IFERROR(M1000/L1000*100,0)</f>
        <v>0</v>
      </c>
    </row>
    <row r="1001" spans="14:14">
      <c r="N1001" s="2">
        <f>IFERROR(M1001/L1001*100,0)</f>
        <v>0</v>
      </c>
    </row>
    <row r="1002" spans="14:14">
      <c r="N1002" s="2">
        <f>IFERROR(M1002/L1002*100,0)</f>
        <v>0</v>
      </c>
    </row>
    <row r="1003" spans="14:14">
      <c r="N1003" s="2">
        <f>IFERROR(M1003/L1003*100,0)</f>
        <v>0</v>
      </c>
    </row>
  </sheetData>
  <mergeCells count="2">
    <mergeCell ref="A1:N1"/>
    <mergeCell ref="A2:N2"/>
  </mergeCells>
  <dataValidations count="2">
    <dataValidation type="list" allowBlank="1" showInputMessage="1" showErrorMessage="1" sqref="K4:K100003">
      <formula1>L_Status</formula1>
    </dataValidation>
    <dataValidation type="list" allowBlank="1" showInputMessage="1" showErrorMessage="1" sqref="J4:J100003">
      <formula1>L_Risk</formula1>
    </dataValidation>
  </dataValidations>
  <hyperlinks>
    <hyperlink ref="P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rgb="FF64748B"/>
    <pageSetUpPr fitToPage="1"/>
  </sheetPr>
  <dimension ref="A1:Q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0.7109375" style="1" customWidth="1"/>
    <col min="3" max="4" width="9.7109375" style="1" customWidth="1"/>
    <col min="5" max="5" width="12.7109375" style="1" customWidth="1"/>
    <col min="6" max="6" width="10.7109375" style="1" customWidth="1"/>
    <col min="7" max="7" width="14.7109375" style="1" customWidth="1"/>
    <col min="8" max="9" width="21.7109375" style="1" customWidth="1"/>
    <col min="10" max="10" width="17.7109375" style="2" customWidth="1"/>
    <col min="11" max="12" width="23.7109375" style="1" customWidth="1"/>
    <col min="13" max="13" width="16.7109375" style="1" customWidth="1"/>
    <col min="14" max="14" width="19.7109375" style="1" customWidth="1"/>
    <col min="15" max="15" width="9.7109375" style="1" customWidth="1"/>
  </cols>
  <sheetData>
    <row r="1" spans="1:17" ht="22" customHeight="1">
      <c r="A1" s="3" t="s">
        <v>651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708</v>
      </c>
      <c r="C3" s="1" t="s">
        <v>126</v>
      </c>
      <c r="D3" s="1" t="s">
        <v>127</v>
      </c>
      <c r="E3" s="1" t="s">
        <v>709</v>
      </c>
      <c r="F3" s="1" t="s">
        <v>130</v>
      </c>
      <c r="G3" s="1" t="s">
        <v>710</v>
      </c>
      <c r="H3" s="1" t="s">
        <v>711</v>
      </c>
      <c r="I3" s="1" t="s">
        <v>712</v>
      </c>
      <c r="J3" s="2" t="s">
        <v>713</v>
      </c>
      <c r="K3" s="1" t="s">
        <v>714</v>
      </c>
      <c r="L3" s="1" t="s">
        <v>715</v>
      </c>
      <c r="M3" s="1" t="s">
        <v>415</v>
      </c>
      <c r="N3" s="1" t="s">
        <v>716</v>
      </c>
      <c r="O3" s="1" t="s">
        <v>288</v>
      </c>
    </row>
    <row r="4" spans="1:17">
      <c r="A4" s="1">
        <v>1</v>
      </c>
      <c r="B4" s="1" t="s">
        <v>652</v>
      </c>
      <c r="C4" s="5">
        <v>46035</v>
      </c>
      <c r="D4" s="1" t="s">
        <v>3</v>
      </c>
      <c r="E4" s="6" t="s">
        <v>653</v>
      </c>
      <c r="F4" s="6" t="s">
        <v>31</v>
      </c>
      <c r="G4" s="1" t="s">
        <v>104</v>
      </c>
      <c r="H4" s="1">
        <v>26</v>
      </c>
      <c r="I4" s="1">
        <v>31</v>
      </c>
      <c r="J4" s="2">
        <f>IFERROR(I4/H4*100,0)</f>
        <v>0</v>
      </c>
      <c r="K4" s="1">
        <v>27</v>
      </c>
      <c r="L4" s="1">
        <v>8</v>
      </c>
      <c r="M4" s="1" t="s">
        <v>96</v>
      </c>
      <c r="N4" s="1" t="s">
        <v>77</v>
      </c>
      <c r="O4" s="1" t="s">
        <v>654</v>
      </c>
    </row>
    <row r="5" spans="1:17">
      <c r="A5" s="1">
        <v>2</v>
      </c>
      <c r="B5" s="1" t="s">
        <v>655</v>
      </c>
      <c r="C5" s="5">
        <v>46049</v>
      </c>
      <c r="D5" s="1" t="s">
        <v>3</v>
      </c>
      <c r="E5" s="6" t="s">
        <v>656</v>
      </c>
      <c r="F5" s="6" t="s">
        <v>40</v>
      </c>
      <c r="G5" s="1" t="s">
        <v>15</v>
      </c>
      <c r="H5" s="1">
        <v>26</v>
      </c>
      <c r="I5" s="1">
        <v>29</v>
      </c>
      <c r="J5" s="2">
        <f>IFERROR(I5/H5*100,0)</f>
        <v>0</v>
      </c>
      <c r="K5" s="1">
        <v>20</v>
      </c>
      <c r="L5" s="1">
        <v>18</v>
      </c>
      <c r="M5" s="1" t="s">
        <v>17</v>
      </c>
      <c r="N5" s="1" t="s">
        <v>14</v>
      </c>
      <c r="O5" s="1" t="s">
        <v>222</v>
      </c>
    </row>
    <row r="6" spans="1:17">
      <c r="A6" s="1">
        <v>3</v>
      </c>
      <c r="B6" s="1" t="s">
        <v>657</v>
      </c>
      <c r="C6" s="5">
        <v>46045</v>
      </c>
      <c r="D6" s="1" t="s">
        <v>3</v>
      </c>
      <c r="E6" s="6" t="s">
        <v>653</v>
      </c>
      <c r="F6" s="6" t="s">
        <v>95</v>
      </c>
      <c r="G6" s="1" t="s">
        <v>41</v>
      </c>
      <c r="H6" s="1">
        <v>44</v>
      </c>
      <c r="I6" s="1">
        <v>25</v>
      </c>
      <c r="J6" s="2">
        <f>IFERROR(I6/H6*100,0)</f>
        <v>0</v>
      </c>
      <c r="K6" s="1">
        <v>9</v>
      </c>
      <c r="L6" s="1">
        <v>17</v>
      </c>
      <c r="M6" s="1" t="s">
        <v>24</v>
      </c>
      <c r="N6" s="1" t="s">
        <v>31</v>
      </c>
      <c r="O6" s="1" t="s">
        <v>222</v>
      </c>
    </row>
    <row r="7" spans="1:17">
      <c r="A7" s="1">
        <v>4</v>
      </c>
      <c r="B7" s="1" t="s">
        <v>658</v>
      </c>
      <c r="C7" s="5">
        <v>46068</v>
      </c>
      <c r="D7" s="1" t="s">
        <v>19</v>
      </c>
      <c r="E7" s="6" t="s">
        <v>659</v>
      </c>
      <c r="F7" s="6" t="s">
        <v>51</v>
      </c>
      <c r="G7" s="1" t="s">
        <v>15</v>
      </c>
      <c r="H7" s="1">
        <v>33</v>
      </c>
      <c r="I7" s="1">
        <v>21</v>
      </c>
      <c r="J7" s="2">
        <f>IFERROR(I7/H7*100,0)</f>
        <v>0</v>
      </c>
      <c r="K7" s="1">
        <v>25</v>
      </c>
      <c r="L7" s="1">
        <v>24</v>
      </c>
      <c r="M7" s="1" t="s">
        <v>17</v>
      </c>
      <c r="N7" s="1" t="s">
        <v>14</v>
      </c>
      <c r="O7" s="1" t="s">
        <v>222</v>
      </c>
    </row>
    <row r="8" spans="1:17">
      <c r="A8" s="1">
        <v>5</v>
      </c>
      <c r="B8" s="1" t="s">
        <v>660</v>
      </c>
      <c r="C8" s="5">
        <v>46069</v>
      </c>
      <c r="D8" s="1" t="s">
        <v>19</v>
      </c>
      <c r="E8" s="6" t="s">
        <v>656</v>
      </c>
      <c r="F8" s="6" t="s">
        <v>35</v>
      </c>
      <c r="G8" s="1" t="s">
        <v>70</v>
      </c>
      <c r="H8" s="1">
        <v>15</v>
      </c>
      <c r="I8" s="1">
        <v>59</v>
      </c>
      <c r="J8" s="2">
        <f>IFERROR(I8/H8*100,0)</f>
        <v>0</v>
      </c>
      <c r="K8" s="1">
        <v>10</v>
      </c>
      <c r="L8" s="1">
        <v>15</v>
      </c>
      <c r="M8" s="1" t="s">
        <v>96</v>
      </c>
      <c r="N8" s="1" t="s">
        <v>40</v>
      </c>
      <c r="O8" s="1" t="s">
        <v>654</v>
      </c>
    </row>
    <row r="9" spans="1:17">
      <c r="A9" s="1">
        <v>6</v>
      </c>
      <c r="B9" s="1" t="s">
        <v>661</v>
      </c>
      <c r="C9" s="5">
        <v>46074</v>
      </c>
      <c r="D9" s="1" t="s">
        <v>19</v>
      </c>
      <c r="E9" s="6" t="s">
        <v>662</v>
      </c>
      <c r="F9" s="6" t="s">
        <v>31</v>
      </c>
      <c r="G9" s="1" t="s">
        <v>32</v>
      </c>
      <c r="H9" s="1">
        <v>38</v>
      </c>
      <c r="I9" s="1">
        <v>25</v>
      </c>
      <c r="J9" s="2">
        <f>IFERROR(I9/H9*100,0)</f>
        <v>0</v>
      </c>
      <c r="K9" s="1">
        <v>26</v>
      </c>
      <c r="L9" s="1">
        <v>12</v>
      </c>
      <c r="M9" s="1" t="s">
        <v>10</v>
      </c>
      <c r="N9" s="1" t="s">
        <v>51</v>
      </c>
      <c r="O9" s="1" t="s">
        <v>654</v>
      </c>
    </row>
    <row r="10" spans="1:17">
      <c r="A10" s="1">
        <v>7</v>
      </c>
      <c r="B10" s="1" t="s">
        <v>663</v>
      </c>
      <c r="C10" s="5">
        <v>46093</v>
      </c>
      <c r="D10" s="1" t="s">
        <v>44</v>
      </c>
      <c r="E10" s="6" t="s">
        <v>659</v>
      </c>
      <c r="F10" s="6" t="s">
        <v>21</v>
      </c>
      <c r="G10" s="1" t="s">
        <v>7</v>
      </c>
      <c r="H10" s="1">
        <v>26</v>
      </c>
      <c r="I10" s="1">
        <v>58</v>
      </c>
      <c r="J10" s="2">
        <f>IFERROR(I10/H10*100,0)</f>
        <v>0</v>
      </c>
      <c r="K10" s="1">
        <v>1</v>
      </c>
      <c r="L10" s="1">
        <v>4</v>
      </c>
      <c r="M10" s="1" t="s">
        <v>96</v>
      </c>
      <c r="N10" s="1" t="s">
        <v>21</v>
      </c>
      <c r="O10" s="1" t="s">
        <v>654</v>
      </c>
    </row>
    <row r="11" spans="1:17">
      <c r="A11" s="1">
        <v>8</v>
      </c>
      <c r="B11" s="1" t="s">
        <v>664</v>
      </c>
      <c r="C11" s="5">
        <v>46098</v>
      </c>
      <c r="D11" s="1" t="s">
        <v>44</v>
      </c>
      <c r="E11" s="6" t="s">
        <v>662</v>
      </c>
      <c r="F11" s="6" t="s">
        <v>40</v>
      </c>
      <c r="G11" s="1" t="s">
        <v>32</v>
      </c>
      <c r="H11" s="1">
        <v>53</v>
      </c>
      <c r="I11" s="1">
        <v>35</v>
      </c>
      <c r="J11" s="2">
        <f>IFERROR(I11/H11*100,0)</f>
        <v>0</v>
      </c>
      <c r="K11" s="1">
        <v>22</v>
      </c>
      <c r="L11" s="1">
        <v>19</v>
      </c>
      <c r="M11" s="1" t="s">
        <v>96</v>
      </c>
      <c r="N11" s="1" t="s">
        <v>31</v>
      </c>
      <c r="O11" s="1" t="s">
        <v>222</v>
      </c>
    </row>
    <row r="12" spans="1:17">
      <c r="A12" s="1">
        <v>9</v>
      </c>
      <c r="B12" s="1" t="s">
        <v>665</v>
      </c>
      <c r="C12" s="5">
        <v>46107</v>
      </c>
      <c r="D12" s="1" t="s">
        <v>44</v>
      </c>
      <c r="E12" s="6" t="s">
        <v>656</v>
      </c>
      <c r="F12" s="6" t="s">
        <v>80</v>
      </c>
      <c r="G12" s="1" t="s">
        <v>68</v>
      </c>
      <c r="H12" s="1">
        <v>42</v>
      </c>
      <c r="I12" s="1">
        <v>36</v>
      </c>
      <c r="J12" s="2">
        <f>IFERROR(I12/H12*100,0)</f>
        <v>0</v>
      </c>
      <c r="K12" s="1">
        <v>18</v>
      </c>
      <c r="L12" s="1">
        <v>4</v>
      </c>
      <c r="M12" s="1" t="s">
        <v>17</v>
      </c>
      <c r="N12" s="1" t="s">
        <v>95</v>
      </c>
      <c r="O12" s="1" t="s">
        <v>222</v>
      </c>
    </row>
    <row r="13" spans="1:17">
      <c r="A13" s="1">
        <v>10</v>
      </c>
      <c r="B13" s="1" t="s">
        <v>666</v>
      </c>
      <c r="C13" s="5">
        <v>46117</v>
      </c>
      <c r="D13" s="1" t="s">
        <v>53</v>
      </c>
      <c r="E13" s="6" t="s">
        <v>653</v>
      </c>
      <c r="F13" s="6" t="s">
        <v>14</v>
      </c>
      <c r="G13" s="1" t="s">
        <v>68</v>
      </c>
      <c r="H13" s="1">
        <v>34</v>
      </c>
      <c r="I13" s="1">
        <v>58</v>
      </c>
      <c r="J13" s="2">
        <f>IFERROR(I13/H13*100,0)</f>
        <v>0</v>
      </c>
      <c r="K13" s="1">
        <v>15</v>
      </c>
      <c r="L13" s="1">
        <v>1</v>
      </c>
      <c r="M13" s="1" t="s">
        <v>96</v>
      </c>
      <c r="N13" s="1" t="s">
        <v>21</v>
      </c>
      <c r="O13" s="1" t="s">
        <v>222</v>
      </c>
    </row>
    <row r="14" spans="1:17">
      <c r="A14" s="1">
        <v>11</v>
      </c>
      <c r="B14" s="1" t="s">
        <v>667</v>
      </c>
      <c r="C14" s="5">
        <v>46136</v>
      </c>
      <c r="D14" s="1" t="s">
        <v>53</v>
      </c>
      <c r="E14" s="6" t="s">
        <v>668</v>
      </c>
      <c r="F14" s="6" t="s">
        <v>14</v>
      </c>
      <c r="G14" s="1" t="s">
        <v>93</v>
      </c>
      <c r="H14" s="1">
        <v>42</v>
      </c>
      <c r="I14" s="1">
        <v>57</v>
      </c>
      <c r="J14" s="2">
        <f>IFERROR(I14/H14*100,0)</f>
        <v>0</v>
      </c>
      <c r="K14" s="1">
        <v>14</v>
      </c>
      <c r="L14" s="1">
        <v>30</v>
      </c>
      <c r="M14" s="1" t="s">
        <v>96</v>
      </c>
      <c r="N14" s="1" t="s">
        <v>51</v>
      </c>
      <c r="O14" s="1" t="s">
        <v>222</v>
      </c>
    </row>
    <row r="15" spans="1:17">
      <c r="A15" s="1">
        <v>12</v>
      </c>
      <c r="B15" s="1" t="s">
        <v>669</v>
      </c>
      <c r="C15" s="5">
        <v>46132</v>
      </c>
      <c r="D15" s="1" t="s">
        <v>53</v>
      </c>
      <c r="E15" s="6" t="s">
        <v>668</v>
      </c>
      <c r="F15" s="6" t="s">
        <v>87</v>
      </c>
      <c r="G15" s="1" t="s">
        <v>78</v>
      </c>
      <c r="H15" s="1">
        <v>11</v>
      </c>
      <c r="I15" s="1">
        <v>44</v>
      </c>
      <c r="J15" s="2">
        <f>IFERROR(I15/H15*100,0)</f>
        <v>0</v>
      </c>
      <c r="K15" s="1">
        <v>29</v>
      </c>
      <c r="L15" s="1">
        <v>0</v>
      </c>
      <c r="M15" s="1" t="s">
        <v>17</v>
      </c>
      <c r="N15" s="1" t="s">
        <v>21</v>
      </c>
      <c r="O15" s="1" t="s">
        <v>222</v>
      </c>
    </row>
    <row r="16" spans="1:17">
      <c r="A16" s="1">
        <v>13</v>
      </c>
      <c r="B16" s="1" t="s">
        <v>670</v>
      </c>
      <c r="C16" s="5">
        <v>46168</v>
      </c>
      <c r="D16" s="1" t="s">
        <v>60</v>
      </c>
      <c r="E16" s="6" t="s">
        <v>653</v>
      </c>
      <c r="F16" s="6" t="s">
        <v>6</v>
      </c>
      <c r="G16" s="1" t="s">
        <v>28</v>
      </c>
      <c r="H16" s="1">
        <v>44</v>
      </c>
      <c r="I16" s="1">
        <v>30</v>
      </c>
      <c r="J16" s="2">
        <f>IFERROR(I16/H16*100,0)</f>
        <v>0</v>
      </c>
      <c r="K16" s="1">
        <v>18</v>
      </c>
      <c r="L16" s="1">
        <v>15</v>
      </c>
      <c r="M16" s="1" t="s">
        <v>10</v>
      </c>
      <c r="N16" s="1" t="s">
        <v>95</v>
      </c>
      <c r="O16" s="1" t="s">
        <v>654</v>
      </c>
    </row>
    <row r="17" spans="1:15">
      <c r="A17" s="1">
        <v>14</v>
      </c>
      <c r="B17" s="1" t="s">
        <v>671</v>
      </c>
      <c r="C17" s="5">
        <v>46144</v>
      </c>
      <c r="D17" s="1" t="s">
        <v>60</v>
      </c>
      <c r="E17" s="6" t="s">
        <v>653</v>
      </c>
      <c r="F17" s="6" t="s">
        <v>77</v>
      </c>
      <c r="G17" s="1" t="s">
        <v>78</v>
      </c>
      <c r="H17" s="1">
        <v>27</v>
      </c>
      <c r="I17" s="1">
        <v>45</v>
      </c>
      <c r="J17" s="2">
        <f>IFERROR(I17/H17*100,0)</f>
        <v>0</v>
      </c>
      <c r="K17" s="1">
        <v>28</v>
      </c>
      <c r="L17" s="1">
        <v>14</v>
      </c>
      <c r="M17" s="1" t="s">
        <v>42</v>
      </c>
      <c r="N17" s="1" t="s">
        <v>6</v>
      </c>
      <c r="O17" s="1" t="s">
        <v>654</v>
      </c>
    </row>
    <row r="18" spans="1:15">
      <c r="A18" s="1">
        <v>15</v>
      </c>
      <c r="B18" s="1" t="s">
        <v>672</v>
      </c>
      <c r="C18" s="5">
        <v>46158</v>
      </c>
      <c r="D18" s="1" t="s">
        <v>60</v>
      </c>
      <c r="E18" s="6" t="s">
        <v>662</v>
      </c>
      <c r="F18" s="6" t="s">
        <v>35</v>
      </c>
      <c r="G18" s="1" t="s">
        <v>22</v>
      </c>
      <c r="H18" s="1">
        <v>49</v>
      </c>
      <c r="I18" s="1">
        <v>28</v>
      </c>
      <c r="J18" s="2">
        <f>IFERROR(I18/H18*100,0)</f>
        <v>0</v>
      </c>
      <c r="K18" s="1">
        <v>4</v>
      </c>
      <c r="L18" s="1">
        <v>24</v>
      </c>
      <c r="M18" s="1" t="s">
        <v>17</v>
      </c>
      <c r="N18" s="1" t="s">
        <v>21</v>
      </c>
      <c r="O18" s="1" t="s">
        <v>222</v>
      </c>
    </row>
    <row r="19" spans="1:15">
      <c r="A19" s="1">
        <v>16</v>
      </c>
      <c r="B19" s="1" t="s">
        <v>673</v>
      </c>
      <c r="C19" s="5">
        <v>46183</v>
      </c>
      <c r="D19" s="1" t="s">
        <v>73</v>
      </c>
      <c r="E19" s="6" t="s">
        <v>653</v>
      </c>
      <c r="F19" s="6" t="s">
        <v>95</v>
      </c>
      <c r="G19" s="1" t="s">
        <v>7</v>
      </c>
      <c r="H19" s="1">
        <v>43</v>
      </c>
      <c r="I19" s="1">
        <v>12</v>
      </c>
      <c r="J19" s="2">
        <f>IFERROR(I19/H19*100,0)</f>
        <v>0</v>
      </c>
      <c r="K19" s="1">
        <v>22</v>
      </c>
      <c r="L19" s="1">
        <v>27</v>
      </c>
      <c r="M19" s="1" t="s">
        <v>24</v>
      </c>
      <c r="N19" s="1" t="s">
        <v>82</v>
      </c>
      <c r="O19" s="1" t="s">
        <v>222</v>
      </c>
    </row>
    <row r="20" spans="1:15">
      <c r="A20" s="1">
        <v>17</v>
      </c>
      <c r="B20" s="1" t="s">
        <v>674</v>
      </c>
      <c r="C20" s="5">
        <v>46196</v>
      </c>
      <c r="D20" s="1" t="s">
        <v>73</v>
      </c>
      <c r="E20" s="6" t="s">
        <v>659</v>
      </c>
      <c r="F20" s="6" t="s">
        <v>21</v>
      </c>
      <c r="G20" s="1" t="s">
        <v>15</v>
      </c>
      <c r="H20" s="1">
        <v>52</v>
      </c>
      <c r="I20" s="1">
        <v>16</v>
      </c>
      <c r="J20" s="2">
        <f>IFERROR(I20/H20*100,0)</f>
        <v>0</v>
      </c>
      <c r="K20" s="1">
        <v>23</v>
      </c>
      <c r="L20" s="1">
        <v>0</v>
      </c>
      <c r="M20" s="1" t="s">
        <v>24</v>
      </c>
      <c r="N20" s="1" t="s">
        <v>14</v>
      </c>
      <c r="O20" s="1" t="s">
        <v>222</v>
      </c>
    </row>
    <row r="21" spans="1:15">
      <c r="A21" s="1">
        <v>18</v>
      </c>
      <c r="B21" s="1" t="s">
        <v>675</v>
      </c>
      <c r="C21" s="5">
        <v>46182</v>
      </c>
      <c r="D21" s="1" t="s">
        <v>73</v>
      </c>
      <c r="E21" s="6" t="s">
        <v>662</v>
      </c>
      <c r="F21" s="6" t="s">
        <v>87</v>
      </c>
      <c r="G21" s="1" t="s">
        <v>104</v>
      </c>
      <c r="H21" s="1">
        <v>22</v>
      </c>
      <c r="I21" s="1">
        <v>11</v>
      </c>
      <c r="J21" s="2">
        <f>IFERROR(I21/H21*100,0)</f>
        <v>0</v>
      </c>
      <c r="K21" s="1">
        <v>23</v>
      </c>
      <c r="L21" s="1">
        <v>24</v>
      </c>
      <c r="M21" s="1" t="s">
        <v>42</v>
      </c>
      <c r="N21" s="1" t="s">
        <v>21</v>
      </c>
      <c r="O21" s="1" t="s">
        <v>654</v>
      </c>
    </row>
    <row r="22" spans="1:15">
      <c r="A22" s="1">
        <v>19</v>
      </c>
      <c r="B22" s="1" t="s">
        <v>676</v>
      </c>
      <c r="C22" s="5">
        <v>46194</v>
      </c>
      <c r="D22" s="1" t="s">
        <v>73</v>
      </c>
      <c r="E22" s="6" t="s">
        <v>659</v>
      </c>
      <c r="F22" s="6" t="s">
        <v>14</v>
      </c>
      <c r="G22" s="1" t="s">
        <v>70</v>
      </c>
      <c r="H22" s="1">
        <v>30</v>
      </c>
      <c r="I22" s="1">
        <v>45</v>
      </c>
      <c r="J22" s="2">
        <f>IFERROR(I22/H22*100,0)</f>
        <v>0</v>
      </c>
      <c r="K22" s="1">
        <v>19</v>
      </c>
      <c r="L22" s="1">
        <v>24</v>
      </c>
      <c r="M22" s="1" t="s">
        <v>42</v>
      </c>
      <c r="N22" s="1" t="s">
        <v>51</v>
      </c>
      <c r="O22" s="1" t="s">
        <v>654</v>
      </c>
    </row>
    <row r="23" spans="1:15">
      <c r="A23" s="1">
        <v>20</v>
      </c>
      <c r="B23" s="1" t="s">
        <v>677</v>
      </c>
      <c r="C23" s="5">
        <v>46218</v>
      </c>
      <c r="D23" s="1" t="s">
        <v>76</v>
      </c>
      <c r="E23" s="6" t="s">
        <v>662</v>
      </c>
      <c r="F23" s="6" t="s">
        <v>35</v>
      </c>
      <c r="G23" s="1" t="s">
        <v>68</v>
      </c>
      <c r="H23" s="1">
        <v>18</v>
      </c>
      <c r="I23" s="1">
        <v>27</v>
      </c>
      <c r="J23" s="2">
        <f>IFERROR(I23/H23*100,0)</f>
        <v>0</v>
      </c>
      <c r="K23" s="1">
        <v>22</v>
      </c>
      <c r="L23" s="1">
        <v>15</v>
      </c>
      <c r="M23" s="1" t="s">
        <v>17</v>
      </c>
      <c r="N23" s="1" t="s">
        <v>87</v>
      </c>
      <c r="O23" s="1" t="s">
        <v>222</v>
      </c>
    </row>
    <row r="24" spans="1:15">
      <c r="A24" s="1">
        <v>21</v>
      </c>
      <c r="B24" s="1" t="s">
        <v>678</v>
      </c>
      <c r="C24" s="5">
        <v>46226</v>
      </c>
      <c r="D24" s="1" t="s">
        <v>76</v>
      </c>
      <c r="E24" s="6" t="s">
        <v>656</v>
      </c>
      <c r="F24" s="6" t="s">
        <v>51</v>
      </c>
      <c r="G24" s="1" t="s">
        <v>15</v>
      </c>
      <c r="H24" s="1">
        <v>56</v>
      </c>
      <c r="I24" s="1">
        <v>15</v>
      </c>
      <c r="J24" s="2">
        <f>IFERROR(I24/H24*100,0)</f>
        <v>0</v>
      </c>
      <c r="K24" s="1">
        <v>10</v>
      </c>
      <c r="L24" s="1">
        <v>6</v>
      </c>
      <c r="M24" s="1" t="s">
        <v>42</v>
      </c>
      <c r="N24" s="1" t="s">
        <v>82</v>
      </c>
      <c r="O24" s="1" t="s">
        <v>222</v>
      </c>
    </row>
    <row r="25" spans="1:15">
      <c r="A25" s="1">
        <v>22</v>
      </c>
      <c r="B25" s="1" t="s">
        <v>679</v>
      </c>
      <c r="C25" s="5">
        <v>46207</v>
      </c>
      <c r="D25" s="1" t="s">
        <v>76</v>
      </c>
      <c r="E25" s="6" t="s">
        <v>680</v>
      </c>
      <c r="F25" s="6" t="s">
        <v>40</v>
      </c>
      <c r="G25" s="1" t="s">
        <v>15</v>
      </c>
      <c r="H25" s="1">
        <v>46</v>
      </c>
      <c r="I25" s="1">
        <v>46</v>
      </c>
      <c r="J25" s="2">
        <f>IFERROR(I25/H25*100,0)</f>
        <v>0</v>
      </c>
      <c r="K25" s="1">
        <v>16</v>
      </c>
      <c r="L25" s="1">
        <v>30</v>
      </c>
      <c r="M25" s="1" t="s">
        <v>10</v>
      </c>
      <c r="N25" s="1" t="s">
        <v>82</v>
      </c>
      <c r="O25" s="1" t="s">
        <v>222</v>
      </c>
    </row>
    <row r="26" spans="1:15">
      <c r="A26" s="1">
        <v>23</v>
      </c>
      <c r="B26" s="1" t="s">
        <v>681</v>
      </c>
      <c r="C26" s="5">
        <v>46238</v>
      </c>
      <c r="D26" s="1" t="s">
        <v>86</v>
      </c>
      <c r="E26" s="6" t="s">
        <v>659</v>
      </c>
      <c r="F26" s="6" t="s">
        <v>40</v>
      </c>
      <c r="G26" s="1" t="s">
        <v>36</v>
      </c>
      <c r="H26" s="1">
        <v>50</v>
      </c>
      <c r="I26" s="1">
        <v>26</v>
      </c>
      <c r="J26" s="2">
        <f>IFERROR(I26/H26*100,0)</f>
        <v>0</v>
      </c>
      <c r="K26" s="1">
        <v>14</v>
      </c>
      <c r="L26" s="1">
        <v>5</v>
      </c>
      <c r="M26" s="1" t="s">
        <v>96</v>
      </c>
      <c r="N26" s="1" t="s">
        <v>40</v>
      </c>
      <c r="O26" s="1" t="s">
        <v>222</v>
      </c>
    </row>
    <row r="27" spans="1:15">
      <c r="A27" s="1">
        <v>24</v>
      </c>
      <c r="B27" s="1" t="s">
        <v>682</v>
      </c>
      <c r="C27" s="5">
        <v>46247</v>
      </c>
      <c r="D27" s="1" t="s">
        <v>86</v>
      </c>
      <c r="E27" s="6" t="s">
        <v>656</v>
      </c>
      <c r="F27" s="6" t="s">
        <v>14</v>
      </c>
      <c r="G27" s="1" t="s">
        <v>104</v>
      </c>
      <c r="H27" s="1">
        <v>60</v>
      </c>
      <c r="I27" s="1">
        <v>53</v>
      </c>
      <c r="J27" s="2">
        <f>IFERROR(I27/H27*100,0)</f>
        <v>0</v>
      </c>
      <c r="K27" s="1">
        <v>29</v>
      </c>
      <c r="L27" s="1">
        <v>10</v>
      </c>
      <c r="M27" s="1" t="s">
        <v>10</v>
      </c>
      <c r="N27" s="1" t="s">
        <v>35</v>
      </c>
      <c r="O27" s="1" t="s">
        <v>222</v>
      </c>
    </row>
    <row r="28" spans="1:15">
      <c r="A28" s="1">
        <v>25</v>
      </c>
      <c r="B28" s="1" t="s">
        <v>683</v>
      </c>
      <c r="C28" s="5">
        <v>46255</v>
      </c>
      <c r="D28" s="1" t="s">
        <v>86</v>
      </c>
      <c r="E28" s="6" t="s">
        <v>659</v>
      </c>
      <c r="F28" s="6" t="s">
        <v>14</v>
      </c>
      <c r="G28" s="1" t="s">
        <v>32</v>
      </c>
      <c r="H28" s="1">
        <v>17</v>
      </c>
      <c r="I28" s="1">
        <v>17</v>
      </c>
      <c r="J28" s="2">
        <f>IFERROR(I28/H28*100,0)</f>
        <v>0</v>
      </c>
      <c r="K28" s="1">
        <v>4</v>
      </c>
      <c r="L28" s="1">
        <v>6</v>
      </c>
      <c r="M28" s="1" t="s">
        <v>17</v>
      </c>
      <c r="N28" s="1" t="s">
        <v>95</v>
      </c>
      <c r="O28" s="1" t="s">
        <v>222</v>
      </c>
    </row>
    <row r="29" spans="1:15">
      <c r="A29" s="1">
        <v>26</v>
      </c>
      <c r="B29" s="1" t="s">
        <v>684</v>
      </c>
      <c r="C29" s="5">
        <v>46253</v>
      </c>
      <c r="D29" s="1" t="s">
        <v>86</v>
      </c>
      <c r="E29" s="6" t="s">
        <v>659</v>
      </c>
      <c r="F29" s="6" t="s">
        <v>80</v>
      </c>
      <c r="G29" s="1" t="s">
        <v>36</v>
      </c>
      <c r="H29" s="1">
        <v>30</v>
      </c>
      <c r="I29" s="1">
        <v>41</v>
      </c>
      <c r="J29" s="2">
        <f>IFERROR(I29/H29*100,0)</f>
        <v>0</v>
      </c>
      <c r="K29" s="1">
        <v>16</v>
      </c>
      <c r="L29" s="1">
        <v>28</v>
      </c>
      <c r="M29" s="1" t="s">
        <v>96</v>
      </c>
      <c r="N29" s="1" t="s">
        <v>35</v>
      </c>
      <c r="O29" s="1" t="s">
        <v>222</v>
      </c>
    </row>
    <row r="30" spans="1:15">
      <c r="A30" s="1">
        <v>27</v>
      </c>
      <c r="B30" s="1" t="s">
        <v>685</v>
      </c>
      <c r="C30" s="5">
        <v>46242</v>
      </c>
      <c r="D30" s="1" t="s">
        <v>86</v>
      </c>
      <c r="E30" s="6" t="s">
        <v>653</v>
      </c>
      <c r="F30" s="6" t="s">
        <v>80</v>
      </c>
      <c r="G30" s="1" t="s">
        <v>22</v>
      </c>
      <c r="H30" s="1">
        <v>41</v>
      </c>
      <c r="I30" s="1">
        <v>31</v>
      </c>
      <c r="J30" s="2">
        <f>IFERROR(I30/H30*100,0)</f>
        <v>0</v>
      </c>
      <c r="K30" s="1">
        <v>23</v>
      </c>
      <c r="L30" s="1">
        <v>11</v>
      </c>
      <c r="M30" s="1" t="s">
        <v>42</v>
      </c>
      <c r="N30" s="1" t="s">
        <v>77</v>
      </c>
      <c r="O30" s="1" t="s">
        <v>222</v>
      </c>
    </row>
    <row r="31" spans="1:15">
      <c r="A31" s="1">
        <v>28</v>
      </c>
      <c r="B31" s="1" t="s">
        <v>686</v>
      </c>
      <c r="C31" s="5">
        <v>46267</v>
      </c>
      <c r="D31" s="1" t="s">
        <v>102</v>
      </c>
      <c r="E31" s="6" t="s">
        <v>680</v>
      </c>
      <c r="F31" s="6" t="s">
        <v>6</v>
      </c>
      <c r="G31" s="1" t="s">
        <v>36</v>
      </c>
      <c r="H31" s="1">
        <v>13</v>
      </c>
      <c r="I31" s="1">
        <v>40</v>
      </c>
      <c r="J31" s="2">
        <f>IFERROR(I31/H31*100,0)</f>
        <v>0</v>
      </c>
      <c r="K31" s="1">
        <v>7</v>
      </c>
      <c r="L31" s="1">
        <v>15</v>
      </c>
      <c r="M31" s="1" t="s">
        <v>17</v>
      </c>
      <c r="N31" s="1" t="s">
        <v>95</v>
      </c>
      <c r="O31" s="1" t="s">
        <v>222</v>
      </c>
    </row>
    <row r="32" spans="1:15">
      <c r="A32" s="1">
        <v>29</v>
      </c>
      <c r="B32" s="1" t="s">
        <v>687</v>
      </c>
      <c r="C32" s="5">
        <v>46287</v>
      </c>
      <c r="D32" s="1" t="s">
        <v>102</v>
      </c>
      <c r="E32" s="6" t="s">
        <v>659</v>
      </c>
      <c r="F32" s="6" t="s">
        <v>77</v>
      </c>
      <c r="G32" s="1" t="s">
        <v>7</v>
      </c>
      <c r="H32" s="1">
        <v>21</v>
      </c>
      <c r="I32" s="1">
        <v>25</v>
      </c>
      <c r="J32" s="2">
        <f>IFERROR(I32/H32*100,0)</f>
        <v>0</v>
      </c>
      <c r="K32" s="1">
        <v>23</v>
      </c>
      <c r="L32" s="1">
        <v>19</v>
      </c>
      <c r="M32" s="1" t="s">
        <v>42</v>
      </c>
      <c r="N32" s="1" t="s">
        <v>95</v>
      </c>
      <c r="O32" s="1" t="s">
        <v>222</v>
      </c>
    </row>
    <row r="33" spans="1:15">
      <c r="A33" s="1">
        <v>30</v>
      </c>
      <c r="B33" s="1" t="s">
        <v>688</v>
      </c>
      <c r="C33" s="5">
        <v>46281</v>
      </c>
      <c r="D33" s="1" t="s">
        <v>102</v>
      </c>
      <c r="E33" s="6" t="s">
        <v>653</v>
      </c>
      <c r="F33" s="6" t="s">
        <v>77</v>
      </c>
      <c r="G33" s="1" t="s">
        <v>41</v>
      </c>
      <c r="H33" s="1">
        <v>43</v>
      </c>
      <c r="I33" s="1">
        <v>33</v>
      </c>
      <c r="J33" s="2">
        <f>IFERROR(I33/H33*100,0)</f>
        <v>0</v>
      </c>
      <c r="K33" s="1">
        <v>22</v>
      </c>
      <c r="L33" s="1">
        <v>13</v>
      </c>
      <c r="M33" s="1" t="s">
        <v>10</v>
      </c>
      <c r="N33" s="1" t="s">
        <v>31</v>
      </c>
      <c r="O33" s="1" t="s">
        <v>222</v>
      </c>
    </row>
    <row r="34" spans="1:15">
      <c r="A34" s="1">
        <v>31</v>
      </c>
      <c r="B34" s="1" t="s">
        <v>689</v>
      </c>
      <c r="C34" s="5">
        <v>46267</v>
      </c>
      <c r="D34" s="1" t="s">
        <v>102</v>
      </c>
      <c r="E34" s="6" t="s">
        <v>653</v>
      </c>
      <c r="F34" s="6" t="s">
        <v>95</v>
      </c>
      <c r="G34" s="1" t="s">
        <v>7</v>
      </c>
      <c r="H34" s="1">
        <v>45</v>
      </c>
      <c r="I34" s="1">
        <v>60</v>
      </c>
      <c r="J34" s="2">
        <f>IFERROR(I34/H34*100,0)</f>
        <v>0</v>
      </c>
      <c r="K34" s="1">
        <v>24</v>
      </c>
      <c r="L34" s="1">
        <v>7</v>
      </c>
      <c r="M34" s="1" t="s">
        <v>10</v>
      </c>
      <c r="N34" s="1" t="s">
        <v>77</v>
      </c>
      <c r="O34" s="1" t="s">
        <v>222</v>
      </c>
    </row>
    <row r="35" spans="1:15">
      <c r="A35" s="1">
        <v>32</v>
      </c>
      <c r="B35" s="1" t="s">
        <v>690</v>
      </c>
      <c r="C35" s="5">
        <v>46279</v>
      </c>
      <c r="D35" s="1" t="s">
        <v>102</v>
      </c>
      <c r="E35" s="6" t="s">
        <v>656</v>
      </c>
      <c r="F35" s="6" t="s">
        <v>87</v>
      </c>
      <c r="G35" s="1" t="s">
        <v>68</v>
      </c>
      <c r="H35" s="1">
        <v>42</v>
      </c>
      <c r="I35" s="1">
        <v>36</v>
      </c>
      <c r="J35" s="2">
        <f>IFERROR(I35/H35*100,0)</f>
        <v>0</v>
      </c>
      <c r="K35" s="1">
        <v>3</v>
      </c>
      <c r="L35" s="1">
        <v>14</v>
      </c>
      <c r="M35" s="1" t="s">
        <v>42</v>
      </c>
      <c r="N35" s="1" t="s">
        <v>77</v>
      </c>
      <c r="O35" s="1" t="s">
        <v>222</v>
      </c>
    </row>
    <row r="36" spans="1:15">
      <c r="A36" s="1">
        <v>33</v>
      </c>
      <c r="B36" s="1" t="s">
        <v>691</v>
      </c>
      <c r="C36" s="5">
        <v>46284</v>
      </c>
      <c r="D36" s="1" t="s">
        <v>102</v>
      </c>
      <c r="E36" s="6" t="s">
        <v>680</v>
      </c>
      <c r="F36" s="6" t="s">
        <v>6</v>
      </c>
      <c r="G36" s="1" t="s">
        <v>78</v>
      </c>
      <c r="H36" s="1">
        <v>15</v>
      </c>
      <c r="I36" s="1">
        <v>19</v>
      </c>
      <c r="J36" s="2">
        <f>IFERROR(I36/H36*100,0)</f>
        <v>0</v>
      </c>
      <c r="K36" s="1">
        <v>2</v>
      </c>
      <c r="L36" s="1">
        <v>2</v>
      </c>
      <c r="M36" s="1" t="s">
        <v>42</v>
      </c>
      <c r="N36" s="1" t="s">
        <v>21</v>
      </c>
      <c r="O36" s="1" t="s">
        <v>222</v>
      </c>
    </row>
    <row r="37" spans="1:15">
      <c r="A37" s="1">
        <v>34</v>
      </c>
      <c r="B37" s="1" t="s">
        <v>692</v>
      </c>
      <c r="C37" s="5">
        <v>46304</v>
      </c>
      <c r="D37" s="1" t="s">
        <v>106</v>
      </c>
      <c r="E37" s="6" t="s">
        <v>656</v>
      </c>
      <c r="F37" s="6" t="s">
        <v>82</v>
      </c>
      <c r="G37" s="1" t="s">
        <v>104</v>
      </c>
      <c r="H37" s="1">
        <v>44</v>
      </c>
      <c r="I37" s="1">
        <v>50</v>
      </c>
      <c r="J37" s="2">
        <f>IFERROR(I37/H37*100,0)</f>
        <v>0</v>
      </c>
      <c r="K37" s="1">
        <v>15</v>
      </c>
      <c r="L37" s="1">
        <v>30</v>
      </c>
      <c r="M37" s="1" t="s">
        <v>24</v>
      </c>
      <c r="N37" s="1" t="s">
        <v>31</v>
      </c>
      <c r="O37" s="1" t="s">
        <v>222</v>
      </c>
    </row>
    <row r="38" spans="1:15">
      <c r="A38" s="1">
        <v>35</v>
      </c>
      <c r="B38" s="1" t="s">
        <v>693</v>
      </c>
      <c r="C38" s="5">
        <v>46322</v>
      </c>
      <c r="D38" s="1" t="s">
        <v>106</v>
      </c>
      <c r="E38" s="6" t="s">
        <v>659</v>
      </c>
      <c r="F38" s="6" t="s">
        <v>51</v>
      </c>
      <c r="G38" s="1" t="s">
        <v>28</v>
      </c>
      <c r="H38" s="1">
        <v>57</v>
      </c>
      <c r="I38" s="1">
        <v>40</v>
      </c>
      <c r="J38" s="2">
        <f>IFERROR(I38/H38*100,0)</f>
        <v>0</v>
      </c>
      <c r="K38" s="1">
        <v>29</v>
      </c>
      <c r="L38" s="1">
        <v>4</v>
      </c>
      <c r="M38" s="1" t="s">
        <v>24</v>
      </c>
      <c r="N38" s="1" t="s">
        <v>6</v>
      </c>
      <c r="O38" s="1" t="s">
        <v>222</v>
      </c>
    </row>
    <row r="39" spans="1:15">
      <c r="A39" s="1">
        <v>36</v>
      </c>
      <c r="B39" s="1" t="s">
        <v>694</v>
      </c>
      <c r="C39" s="5">
        <v>46317</v>
      </c>
      <c r="D39" s="1" t="s">
        <v>106</v>
      </c>
      <c r="E39" s="6" t="s">
        <v>653</v>
      </c>
      <c r="F39" s="6" t="s">
        <v>87</v>
      </c>
      <c r="G39" s="1" t="s">
        <v>15</v>
      </c>
      <c r="H39" s="1">
        <v>49</v>
      </c>
      <c r="I39" s="1">
        <v>28</v>
      </c>
      <c r="J39" s="2">
        <f>IFERROR(I39/H39*100,0)</f>
        <v>0</v>
      </c>
      <c r="K39" s="1">
        <v>29</v>
      </c>
      <c r="L39" s="1">
        <v>27</v>
      </c>
      <c r="M39" s="1" t="s">
        <v>24</v>
      </c>
      <c r="N39" s="1" t="s">
        <v>95</v>
      </c>
      <c r="O39" s="1" t="s">
        <v>654</v>
      </c>
    </row>
    <row r="40" spans="1:15">
      <c r="A40" s="1">
        <v>37</v>
      </c>
      <c r="B40" s="1" t="s">
        <v>695</v>
      </c>
      <c r="C40" s="5">
        <v>46296</v>
      </c>
      <c r="D40" s="1" t="s">
        <v>106</v>
      </c>
      <c r="E40" s="6" t="s">
        <v>656</v>
      </c>
      <c r="F40" s="6" t="s">
        <v>14</v>
      </c>
      <c r="G40" s="1" t="s">
        <v>66</v>
      </c>
      <c r="H40" s="1">
        <v>30</v>
      </c>
      <c r="I40" s="1">
        <v>37</v>
      </c>
      <c r="J40" s="2">
        <f>IFERROR(I40/H40*100,0)</f>
        <v>0</v>
      </c>
      <c r="K40" s="1">
        <v>10</v>
      </c>
      <c r="L40" s="1">
        <v>14</v>
      </c>
      <c r="M40" s="1" t="s">
        <v>10</v>
      </c>
      <c r="N40" s="1" t="s">
        <v>6</v>
      </c>
      <c r="O40" s="1" t="s">
        <v>222</v>
      </c>
    </row>
    <row r="41" spans="1:15">
      <c r="A41" s="1">
        <v>38</v>
      </c>
      <c r="B41" s="1" t="s">
        <v>696</v>
      </c>
      <c r="C41" s="5">
        <v>46306</v>
      </c>
      <c r="D41" s="1" t="s">
        <v>106</v>
      </c>
      <c r="E41" s="6" t="s">
        <v>668</v>
      </c>
      <c r="F41" s="6" t="s">
        <v>77</v>
      </c>
      <c r="G41" s="1" t="s">
        <v>32</v>
      </c>
      <c r="H41" s="1">
        <v>55</v>
      </c>
      <c r="I41" s="1">
        <v>31</v>
      </c>
      <c r="J41" s="2">
        <f>IFERROR(I41/H41*100,0)</f>
        <v>0</v>
      </c>
      <c r="K41" s="1">
        <v>6</v>
      </c>
      <c r="L41" s="1">
        <v>29</v>
      </c>
      <c r="M41" s="1" t="s">
        <v>96</v>
      </c>
      <c r="N41" s="1" t="s">
        <v>80</v>
      </c>
      <c r="O41" s="1" t="s">
        <v>222</v>
      </c>
    </row>
    <row r="42" spans="1:15">
      <c r="A42" s="1">
        <v>39</v>
      </c>
      <c r="B42" s="1" t="s">
        <v>697</v>
      </c>
      <c r="C42" s="5">
        <v>46304</v>
      </c>
      <c r="D42" s="1" t="s">
        <v>106</v>
      </c>
      <c r="E42" s="6" t="s">
        <v>662</v>
      </c>
      <c r="F42" s="6" t="s">
        <v>14</v>
      </c>
      <c r="G42" s="1" t="s">
        <v>32</v>
      </c>
      <c r="H42" s="1">
        <v>39</v>
      </c>
      <c r="I42" s="1">
        <v>20</v>
      </c>
      <c r="J42" s="2">
        <f>IFERROR(I42/H42*100,0)</f>
        <v>0</v>
      </c>
      <c r="K42" s="1">
        <v>3</v>
      </c>
      <c r="L42" s="1">
        <v>16</v>
      </c>
      <c r="M42" s="1" t="s">
        <v>17</v>
      </c>
      <c r="N42" s="1" t="s">
        <v>82</v>
      </c>
      <c r="O42" s="1" t="s">
        <v>698</v>
      </c>
    </row>
    <row r="43" spans="1:15">
      <c r="A43" s="1">
        <v>40</v>
      </c>
      <c r="B43" s="1" t="s">
        <v>699</v>
      </c>
      <c r="C43" s="5">
        <v>46309</v>
      </c>
      <c r="D43" s="1" t="s">
        <v>106</v>
      </c>
      <c r="E43" s="6" t="s">
        <v>656</v>
      </c>
      <c r="F43" s="6" t="s">
        <v>87</v>
      </c>
      <c r="G43" s="1" t="s">
        <v>68</v>
      </c>
      <c r="H43" s="1">
        <v>39</v>
      </c>
      <c r="I43" s="1">
        <v>51</v>
      </c>
      <c r="J43" s="2">
        <f>IFERROR(I43/H43*100,0)</f>
        <v>0</v>
      </c>
      <c r="K43" s="1">
        <v>22</v>
      </c>
      <c r="L43" s="1">
        <v>18</v>
      </c>
      <c r="M43" s="1" t="s">
        <v>42</v>
      </c>
      <c r="N43" s="1" t="s">
        <v>77</v>
      </c>
      <c r="O43" s="1" t="s">
        <v>654</v>
      </c>
    </row>
    <row r="44" spans="1:15">
      <c r="A44" s="1">
        <v>41</v>
      </c>
      <c r="B44" s="1" t="s">
        <v>700</v>
      </c>
      <c r="C44" s="5">
        <v>46345</v>
      </c>
      <c r="D44" s="1" t="s">
        <v>111</v>
      </c>
      <c r="E44" s="6" t="s">
        <v>662</v>
      </c>
      <c r="F44" s="6" t="s">
        <v>31</v>
      </c>
      <c r="G44" s="1" t="s">
        <v>32</v>
      </c>
      <c r="H44" s="1">
        <v>58</v>
      </c>
      <c r="I44" s="1">
        <v>43</v>
      </c>
      <c r="J44" s="2">
        <f>IFERROR(I44/H44*100,0)</f>
        <v>0</v>
      </c>
      <c r="K44" s="1">
        <v>4</v>
      </c>
      <c r="L44" s="1">
        <v>15</v>
      </c>
      <c r="M44" s="1" t="s">
        <v>17</v>
      </c>
      <c r="N44" s="1" t="s">
        <v>6</v>
      </c>
      <c r="O44" s="1" t="s">
        <v>222</v>
      </c>
    </row>
    <row r="45" spans="1:15">
      <c r="A45" s="1">
        <v>42</v>
      </c>
      <c r="B45" s="1" t="s">
        <v>701</v>
      </c>
      <c r="C45" s="5">
        <v>46350</v>
      </c>
      <c r="D45" s="1" t="s">
        <v>111</v>
      </c>
      <c r="E45" s="6" t="s">
        <v>656</v>
      </c>
      <c r="F45" s="6" t="s">
        <v>14</v>
      </c>
      <c r="G45" s="1" t="s">
        <v>41</v>
      </c>
      <c r="H45" s="1">
        <v>29</v>
      </c>
      <c r="I45" s="1">
        <v>58</v>
      </c>
      <c r="J45" s="2">
        <f>IFERROR(I45/H45*100,0)</f>
        <v>0</v>
      </c>
      <c r="K45" s="1">
        <v>3</v>
      </c>
      <c r="L45" s="1">
        <v>9</v>
      </c>
      <c r="M45" s="1" t="s">
        <v>24</v>
      </c>
      <c r="N45" s="1" t="s">
        <v>31</v>
      </c>
      <c r="O45" s="1" t="s">
        <v>222</v>
      </c>
    </row>
    <row r="46" spans="1:15">
      <c r="A46" s="1">
        <v>43</v>
      </c>
      <c r="B46" s="1" t="s">
        <v>702</v>
      </c>
      <c r="C46" s="5">
        <v>46328</v>
      </c>
      <c r="D46" s="1" t="s">
        <v>111</v>
      </c>
      <c r="E46" s="6" t="s">
        <v>668</v>
      </c>
      <c r="F46" s="6" t="s">
        <v>95</v>
      </c>
      <c r="G46" s="1" t="s">
        <v>104</v>
      </c>
      <c r="H46" s="1">
        <v>53</v>
      </c>
      <c r="I46" s="1">
        <v>54</v>
      </c>
      <c r="J46" s="2">
        <f>IFERROR(I46/H46*100,0)</f>
        <v>0</v>
      </c>
      <c r="K46" s="1">
        <v>20</v>
      </c>
      <c r="L46" s="1">
        <v>13</v>
      </c>
      <c r="M46" s="1" t="s">
        <v>10</v>
      </c>
      <c r="N46" s="1" t="s">
        <v>21</v>
      </c>
      <c r="O46" s="1" t="s">
        <v>698</v>
      </c>
    </row>
    <row r="47" spans="1:15">
      <c r="A47" s="1">
        <v>44</v>
      </c>
      <c r="B47" s="1" t="s">
        <v>703</v>
      </c>
      <c r="C47" s="5">
        <v>46330</v>
      </c>
      <c r="D47" s="1" t="s">
        <v>111</v>
      </c>
      <c r="E47" s="6" t="s">
        <v>668</v>
      </c>
      <c r="F47" s="6" t="s">
        <v>31</v>
      </c>
      <c r="G47" s="1" t="s">
        <v>93</v>
      </c>
      <c r="H47" s="1">
        <v>14</v>
      </c>
      <c r="I47" s="1">
        <v>51</v>
      </c>
      <c r="J47" s="2">
        <f>IFERROR(I47/H47*100,0)</f>
        <v>0</v>
      </c>
      <c r="K47" s="1">
        <v>7</v>
      </c>
      <c r="L47" s="1">
        <v>25</v>
      </c>
      <c r="M47" s="1" t="s">
        <v>24</v>
      </c>
      <c r="N47" s="1" t="s">
        <v>14</v>
      </c>
      <c r="O47" s="1" t="s">
        <v>698</v>
      </c>
    </row>
    <row r="48" spans="1:15">
      <c r="A48" s="1">
        <v>45</v>
      </c>
      <c r="B48" s="1" t="s">
        <v>704</v>
      </c>
      <c r="C48" s="5">
        <v>46327</v>
      </c>
      <c r="D48" s="1" t="s">
        <v>111</v>
      </c>
      <c r="E48" s="6" t="s">
        <v>656</v>
      </c>
      <c r="F48" s="6" t="s">
        <v>40</v>
      </c>
      <c r="G48" s="1" t="s">
        <v>66</v>
      </c>
      <c r="H48" s="1">
        <v>48</v>
      </c>
      <c r="I48" s="1">
        <v>49</v>
      </c>
      <c r="J48" s="2">
        <f>IFERROR(I48/H48*100,0)</f>
        <v>0</v>
      </c>
      <c r="K48" s="1">
        <v>11</v>
      </c>
      <c r="L48" s="1">
        <v>21</v>
      </c>
      <c r="M48" s="1" t="s">
        <v>96</v>
      </c>
      <c r="N48" s="1" t="s">
        <v>35</v>
      </c>
      <c r="O48" s="1" t="s">
        <v>698</v>
      </c>
    </row>
    <row r="49" spans="1:15">
      <c r="A49" s="1">
        <v>46</v>
      </c>
      <c r="B49" s="1" t="s">
        <v>705</v>
      </c>
      <c r="C49" s="5">
        <v>46334</v>
      </c>
      <c r="D49" s="1" t="s">
        <v>111</v>
      </c>
      <c r="E49" s="6" t="s">
        <v>656</v>
      </c>
      <c r="F49" s="6" t="s">
        <v>31</v>
      </c>
      <c r="G49" s="1" t="s">
        <v>78</v>
      </c>
      <c r="H49" s="1">
        <v>31</v>
      </c>
      <c r="I49" s="1">
        <v>45</v>
      </c>
      <c r="J49" s="2">
        <f>IFERROR(I49/H49*100,0)</f>
        <v>0</v>
      </c>
      <c r="K49" s="1">
        <v>9</v>
      </c>
      <c r="L49" s="1">
        <v>25</v>
      </c>
      <c r="M49" s="1" t="s">
        <v>96</v>
      </c>
      <c r="N49" s="1" t="s">
        <v>80</v>
      </c>
      <c r="O49" s="1" t="s">
        <v>222</v>
      </c>
    </row>
    <row r="50" spans="1:15">
      <c r="A50" s="1">
        <v>47</v>
      </c>
      <c r="B50" s="1" t="s">
        <v>706</v>
      </c>
      <c r="C50" s="5">
        <v>46380</v>
      </c>
      <c r="D50" s="1" t="s">
        <v>122</v>
      </c>
      <c r="E50" s="6" t="s">
        <v>653</v>
      </c>
      <c r="F50" s="6" t="s">
        <v>31</v>
      </c>
      <c r="G50" s="1" t="s">
        <v>41</v>
      </c>
      <c r="H50" s="1">
        <v>52</v>
      </c>
      <c r="I50" s="1">
        <v>16</v>
      </c>
      <c r="J50" s="2">
        <f>IFERROR(I50/H50*100,0)</f>
        <v>0</v>
      </c>
      <c r="K50" s="1">
        <v>4</v>
      </c>
      <c r="L50" s="1">
        <v>27</v>
      </c>
      <c r="M50" s="1" t="s">
        <v>96</v>
      </c>
      <c r="N50" s="1" t="s">
        <v>95</v>
      </c>
      <c r="O50" s="1" t="s">
        <v>698</v>
      </c>
    </row>
    <row r="51" spans="1:15">
      <c r="A51" s="1">
        <v>48</v>
      </c>
      <c r="B51" s="1" t="s">
        <v>707</v>
      </c>
      <c r="C51" s="5">
        <v>46384</v>
      </c>
      <c r="D51" s="1" t="s">
        <v>122</v>
      </c>
      <c r="E51" s="6" t="s">
        <v>668</v>
      </c>
      <c r="F51" s="6" t="s">
        <v>95</v>
      </c>
      <c r="G51" s="1" t="s">
        <v>22</v>
      </c>
      <c r="H51" s="1">
        <v>17</v>
      </c>
      <c r="I51" s="1">
        <v>14</v>
      </c>
      <c r="J51" s="2">
        <f>IFERROR(I51/H51*100,0)</f>
        <v>0</v>
      </c>
      <c r="K51" s="1">
        <v>18</v>
      </c>
      <c r="L51" s="1">
        <v>15</v>
      </c>
      <c r="M51" s="1" t="s">
        <v>17</v>
      </c>
      <c r="N51" s="1" t="s">
        <v>14</v>
      </c>
      <c r="O51" s="1" t="s">
        <v>654</v>
      </c>
    </row>
    <row r="52" spans="1:15">
      <c r="J52" s="2">
        <f>IFERROR(I52/H52*100,0)</f>
        <v>0</v>
      </c>
    </row>
    <row r="53" spans="1:15">
      <c r="J53" s="2">
        <f>IFERROR(I53/H53*100,0)</f>
        <v>0</v>
      </c>
    </row>
    <row r="54" spans="1:15">
      <c r="J54" s="2">
        <f>IFERROR(I54/H54*100,0)</f>
        <v>0</v>
      </c>
    </row>
    <row r="55" spans="1:15">
      <c r="J55" s="2">
        <f>IFERROR(I55/H55*100,0)</f>
        <v>0</v>
      </c>
    </row>
    <row r="56" spans="1:15">
      <c r="J56" s="2">
        <f>IFERROR(I56/H56*100,0)</f>
        <v>0</v>
      </c>
    </row>
    <row r="57" spans="1:15">
      <c r="J57" s="2">
        <f>IFERROR(I57/H57*100,0)</f>
        <v>0</v>
      </c>
    </row>
    <row r="58" spans="1:15">
      <c r="J58" s="2">
        <f>IFERROR(I58/H58*100,0)</f>
        <v>0</v>
      </c>
    </row>
    <row r="59" spans="1:15">
      <c r="J59" s="2">
        <f>IFERROR(I59/H59*100,0)</f>
        <v>0</v>
      </c>
    </row>
    <row r="60" spans="1:15">
      <c r="J60" s="2">
        <f>IFERROR(I60/H60*100,0)</f>
        <v>0</v>
      </c>
    </row>
    <row r="61" spans="1:15">
      <c r="J61" s="2">
        <f>IFERROR(I61/H61*100,0)</f>
        <v>0</v>
      </c>
    </row>
    <row r="62" spans="1:15">
      <c r="J62" s="2">
        <f>IFERROR(I62/H62*100,0)</f>
        <v>0</v>
      </c>
    </row>
    <row r="63" spans="1:15">
      <c r="J63" s="2">
        <f>IFERROR(I63/H63*100,0)</f>
        <v>0</v>
      </c>
    </row>
    <row r="64" spans="1:15">
      <c r="J64" s="2">
        <f>IFERROR(I64/H64*100,0)</f>
        <v>0</v>
      </c>
    </row>
    <row r="65" spans="10:10">
      <c r="J65" s="2">
        <f>IFERROR(I65/H65*100,0)</f>
        <v>0</v>
      </c>
    </row>
    <row r="66" spans="10:10">
      <c r="J66" s="2">
        <f>IFERROR(I66/H66*100,0)</f>
        <v>0</v>
      </c>
    </row>
    <row r="67" spans="10:10">
      <c r="J67" s="2">
        <f>IFERROR(I67/H67*100,0)</f>
        <v>0</v>
      </c>
    </row>
    <row r="68" spans="10:10">
      <c r="J68" s="2">
        <f>IFERROR(I68/H68*100,0)</f>
        <v>0</v>
      </c>
    </row>
    <row r="69" spans="10:10">
      <c r="J69" s="2">
        <f>IFERROR(I69/H69*100,0)</f>
        <v>0</v>
      </c>
    </row>
    <row r="70" spans="10:10">
      <c r="J70" s="2">
        <f>IFERROR(I70/H70*100,0)</f>
        <v>0</v>
      </c>
    </row>
    <row r="71" spans="10:10">
      <c r="J71" s="2">
        <f>IFERROR(I71/H71*100,0)</f>
        <v>0</v>
      </c>
    </row>
    <row r="72" spans="10:10">
      <c r="J72" s="2">
        <f>IFERROR(I72/H72*100,0)</f>
        <v>0</v>
      </c>
    </row>
    <row r="73" spans="10:10">
      <c r="J73" s="2">
        <f>IFERROR(I73/H73*100,0)</f>
        <v>0</v>
      </c>
    </row>
    <row r="74" spans="10:10">
      <c r="J74" s="2">
        <f>IFERROR(I74/H74*100,0)</f>
        <v>0</v>
      </c>
    </row>
    <row r="75" spans="10:10">
      <c r="J75" s="2">
        <f>IFERROR(I75/H75*100,0)</f>
        <v>0</v>
      </c>
    </row>
    <row r="76" spans="10:10">
      <c r="J76" s="2">
        <f>IFERROR(I76/H76*100,0)</f>
        <v>0</v>
      </c>
    </row>
    <row r="77" spans="10:10">
      <c r="J77" s="2">
        <f>IFERROR(I77/H77*100,0)</f>
        <v>0</v>
      </c>
    </row>
    <row r="78" spans="10:10">
      <c r="J78" s="2">
        <f>IFERROR(I78/H78*100,0)</f>
        <v>0</v>
      </c>
    </row>
    <row r="79" spans="10:10">
      <c r="J79" s="2">
        <f>IFERROR(I79/H79*100,0)</f>
        <v>0</v>
      </c>
    </row>
    <row r="80" spans="10:10">
      <c r="J80" s="2">
        <f>IFERROR(I80/H80*100,0)</f>
        <v>0</v>
      </c>
    </row>
    <row r="81" spans="10:10">
      <c r="J81" s="2">
        <f>IFERROR(I81/H81*100,0)</f>
        <v>0</v>
      </c>
    </row>
    <row r="82" spans="10:10">
      <c r="J82" s="2">
        <f>IFERROR(I82/H82*100,0)</f>
        <v>0</v>
      </c>
    </row>
    <row r="83" spans="10:10">
      <c r="J83" s="2">
        <f>IFERROR(I83/H83*100,0)</f>
        <v>0</v>
      </c>
    </row>
    <row r="84" spans="10:10">
      <c r="J84" s="2">
        <f>IFERROR(I84/H84*100,0)</f>
        <v>0</v>
      </c>
    </row>
    <row r="85" spans="10:10">
      <c r="J85" s="2">
        <f>IFERROR(I85/H85*100,0)</f>
        <v>0</v>
      </c>
    </row>
    <row r="86" spans="10:10">
      <c r="J86" s="2">
        <f>IFERROR(I86/H86*100,0)</f>
        <v>0</v>
      </c>
    </row>
    <row r="87" spans="10:10">
      <c r="J87" s="2">
        <f>IFERROR(I87/H87*100,0)</f>
        <v>0</v>
      </c>
    </row>
    <row r="88" spans="10:10">
      <c r="J88" s="2">
        <f>IFERROR(I88/H88*100,0)</f>
        <v>0</v>
      </c>
    </row>
    <row r="89" spans="10:10">
      <c r="J89" s="2">
        <f>IFERROR(I89/H89*100,0)</f>
        <v>0</v>
      </c>
    </row>
    <row r="90" spans="10:10">
      <c r="J90" s="2">
        <f>IFERROR(I90/H90*100,0)</f>
        <v>0</v>
      </c>
    </row>
    <row r="91" spans="10:10">
      <c r="J91" s="2">
        <f>IFERROR(I91/H91*100,0)</f>
        <v>0</v>
      </c>
    </row>
    <row r="92" spans="10:10">
      <c r="J92" s="2">
        <f>IFERROR(I92/H92*100,0)</f>
        <v>0</v>
      </c>
    </row>
    <row r="93" spans="10:10">
      <c r="J93" s="2">
        <f>IFERROR(I93/H93*100,0)</f>
        <v>0</v>
      </c>
    </row>
    <row r="94" spans="10:10">
      <c r="J94" s="2">
        <f>IFERROR(I94/H94*100,0)</f>
        <v>0</v>
      </c>
    </row>
    <row r="95" spans="10:10">
      <c r="J95" s="2">
        <f>IFERROR(I95/H95*100,0)</f>
        <v>0</v>
      </c>
    </row>
    <row r="96" spans="10:10">
      <c r="J96" s="2">
        <f>IFERROR(I96/H96*100,0)</f>
        <v>0</v>
      </c>
    </row>
    <row r="97" spans="10:10">
      <c r="J97" s="2">
        <f>IFERROR(I97/H97*100,0)</f>
        <v>0</v>
      </c>
    </row>
    <row r="98" spans="10:10">
      <c r="J98" s="2">
        <f>IFERROR(I98/H98*100,0)</f>
        <v>0</v>
      </c>
    </row>
    <row r="99" spans="10:10">
      <c r="J99" s="2">
        <f>IFERROR(I99/H99*100,0)</f>
        <v>0</v>
      </c>
    </row>
    <row r="100" spans="10:10">
      <c r="J100" s="2">
        <f>IFERROR(I100/H100*100,0)</f>
        <v>0</v>
      </c>
    </row>
    <row r="101" spans="10:10">
      <c r="J101" s="2">
        <f>IFERROR(I101/H101*100,0)</f>
        <v>0</v>
      </c>
    </row>
    <row r="102" spans="10:10">
      <c r="J102" s="2">
        <f>IFERROR(I102/H102*100,0)</f>
        <v>0</v>
      </c>
    </row>
    <row r="103" spans="10:10">
      <c r="J103" s="2">
        <f>IFERROR(I103/H103*100,0)</f>
        <v>0</v>
      </c>
    </row>
    <row r="104" spans="10:10">
      <c r="J104" s="2">
        <f>IFERROR(I104/H104*100,0)</f>
        <v>0</v>
      </c>
    </row>
    <row r="105" spans="10:10">
      <c r="J105" s="2">
        <f>IFERROR(I105/H105*100,0)</f>
        <v>0</v>
      </c>
    </row>
    <row r="106" spans="10:10">
      <c r="J106" s="2">
        <f>IFERROR(I106/H106*100,0)</f>
        <v>0</v>
      </c>
    </row>
    <row r="107" spans="10:10">
      <c r="J107" s="2">
        <f>IFERROR(I107/H107*100,0)</f>
        <v>0</v>
      </c>
    </row>
    <row r="108" spans="10:10">
      <c r="J108" s="2">
        <f>IFERROR(I108/H108*100,0)</f>
        <v>0</v>
      </c>
    </row>
    <row r="109" spans="10:10">
      <c r="J109" s="2">
        <f>IFERROR(I109/H109*100,0)</f>
        <v>0</v>
      </c>
    </row>
    <row r="110" spans="10:10">
      <c r="J110" s="2">
        <f>IFERROR(I110/H110*100,0)</f>
        <v>0</v>
      </c>
    </row>
    <row r="111" spans="10:10">
      <c r="J111" s="2">
        <f>IFERROR(I111/H111*100,0)</f>
        <v>0</v>
      </c>
    </row>
    <row r="112" spans="10:10">
      <c r="J112" s="2">
        <f>IFERROR(I112/H112*100,0)</f>
        <v>0</v>
      </c>
    </row>
    <row r="113" spans="10:10">
      <c r="J113" s="2">
        <f>IFERROR(I113/H113*100,0)</f>
        <v>0</v>
      </c>
    </row>
    <row r="114" spans="10:10">
      <c r="J114" s="2">
        <f>IFERROR(I114/H114*100,0)</f>
        <v>0</v>
      </c>
    </row>
    <row r="115" spans="10:10">
      <c r="J115" s="2">
        <f>IFERROR(I115/H115*100,0)</f>
        <v>0</v>
      </c>
    </row>
    <row r="116" spans="10:10">
      <c r="J116" s="2">
        <f>IFERROR(I116/H116*100,0)</f>
        <v>0</v>
      </c>
    </row>
    <row r="117" spans="10:10">
      <c r="J117" s="2">
        <f>IFERROR(I117/H117*100,0)</f>
        <v>0</v>
      </c>
    </row>
    <row r="118" spans="10:10">
      <c r="J118" s="2">
        <f>IFERROR(I118/H118*100,0)</f>
        <v>0</v>
      </c>
    </row>
    <row r="119" spans="10:10">
      <c r="J119" s="2">
        <f>IFERROR(I119/H119*100,0)</f>
        <v>0</v>
      </c>
    </row>
    <row r="120" spans="10:10">
      <c r="J120" s="2">
        <f>IFERROR(I120/H120*100,0)</f>
        <v>0</v>
      </c>
    </row>
    <row r="121" spans="10:10">
      <c r="J121" s="2">
        <f>IFERROR(I121/H121*100,0)</f>
        <v>0</v>
      </c>
    </row>
    <row r="122" spans="10:10">
      <c r="J122" s="2">
        <f>IFERROR(I122/H122*100,0)</f>
        <v>0</v>
      </c>
    </row>
    <row r="123" spans="10:10">
      <c r="J123" s="2">
        <f>IFERROR(I123/H123*100,0)</f>
        <v>0</v>
      </c>
    </row>
    <row r="124" spans="10:10">
      <c r="J124" s="2">
        <f>IFERROR(I124/H124*100,0)</f>
        <v>0</v>
      </c>
    </row>
    <row r="125" spans="10:10">
      <c r="J125" s="2">
        <f>IFERROR(I125/H125*100,0)</f>
        <v>0</v>
      </c>
    </row>
    <row r="126" spans="10:10">
      <c r="J126" s="2">
        <f>IFERROR(I126/H126*100,0)</f>
        <v>0</v>
      </c>
    </row>
    <row r="127" spans="10:10">
      <c r="J127" s="2">
        <f>IFERROR(I127/H127*100,0)</f>
        <v>0</v>
      </c>
    </row>
    <row r="128" spans="10:10">
      <c r="J128" s="2">
        <f>IFERROR(I128/H128*100,0)</f>
        <v>0</v>
      </c>
    </row>
    <row r="129" spans="10:10">
      <c r="J129" s="2">
        <f>IFERROR(I129/H129*100,0)</f>
        <v>0</v>
      </c>
    </row>
    <row r="130" spans="10:10">
      <c r="J130" s="2">
        <f>IFERROR(I130/H130*100,0)</f>
        <v>0</v>
      </c>
    </row>
    <row r="131" spans="10:10">
      <c r="J131" s="2">
        <f>IFERROR(I131/H131*100,0)</f>
        <v>0</v>
      </c>
    </row>
    <row r="132" spans="10:10">
      <c r="J132" s="2">
        <f>IFERROR(I132/H132*100,0)</f>
        <v>0</v>
      </c>
    </row>
    <row r="133" spans="10:10">
      <c r="J133" s="2">
        <f>IFERROR(I133/H133*100,0)</f>
        <v>0</v>
      </c>
    </row>
    <row r="134" spans="10:10">
      <c r="J134" s="2">
        <f>IFERROR(I134/H134*100,0)</f>
        <v>0</v>
      </c>
    </row>
    <row r="135" spans="10:10">
      <c r="J135" s="2">
        <f>IFERROR(I135/H135*100,0)</f>
        <v>0</v>
      </c>
    </row>
    <row r="136" spans="10:10">
      <c r="J136" s="2">
        <f>IFERROR(I136/H136*100,0)</f>
        <v>0</v>
      </c>
    </row>
    <row r="137" spans="10:10">
      <c r="J137" s="2">
        <f>IFERROR(I137/H137*100,0)</f>
        <v>0</v>
      </c>
    </row>
    <row r="138" spans="10:10">
      <c r="J138" s="2">
        <f>IFERROR(I138/H138*100,0)</f>
        <v>0</v>
      </c>
    </row>
    <row r="139" spans="10:10">
      <c r="J139" s="2">
        <f>IFERROR(I139/H139*100,0)</f>
        <v>0</v>
      </c>
    </row>
    <row r="140" spans="10:10">
      <c r="J140" s="2">
        <f>IFERROR(I140/H140*100,0)</f>
        <v>0</v>
      </c>
    </row>
    <row r="141" spans="10:10">
      <c r="J141" s="2">
        <f>IFERROR(I141/H141*100,0)</f>
        <v>0</v>
      </c>
    </row>
    <row r="142" spans="10:10">
      <c r="J142" s="2">
        <f>IFERROR(I142/H142*100,0)</f>
        <v>0</v>
      </c>
    </row>
    <row r="143" spans="10:10">
      <c r="J143" s="2">
        <f>IFERROR(I143/H143*100,0)</f>
        <v>0</v>
      </c>
    </row>
    <row r="144" spans="10:10">
      <c r="J144" s="2">
        <f>IFERROR(I144/H144*100,0)</f>
        <v>0</v>
      </c>
    </row>
    <row r="145" spans="10:10">
      <c r="J145" s="2">
        <f>IFERROR(I145/H145*100,0)</f>
        <v>0</v>
      </c>
    </row>
    <row r="146" spans="10:10">
      <c r="J146" s="2">
        <f>IFERROR(I146/H146*100,0)</f>
        <v>0</v>
      </c>
    </row>
    <row r="147" spans="10:10">
      <c r="J147" s="2">
        <f>IFERROR(I147/H147*100,0)</f>
        <v>0</v>
      </c>
    </row>
    <row r="148" spans="10:10">
      <c r="J148" s="2">
        <f>IFERROR(I148/H148*100,0)</f>
        <v>0</v>
      </c>
    </row>
    <row r="149" spans="10:10">
      <c r="J149" s="2">
        <f>IFERROR(I149/H149*100,0)</f>
        <v>0</v>
      </c>
    </row>
    <row r="150" spans="10:10">
      <c r="J150" s="2">
        <f>IFERROR(I150/H150*100,0)</f>
        <v>0</v>
      </c>
    </row>
    <row r="151" spans="10:10">
      <c r="J151" s="2">
        <f>IFERROR(I151/H151*100,0)</f>
        <v>0</v>
      </c>
    </row>
    <row r="152" spans="10:10">
      <c r="J152" s="2">
        <f>IFERROR(I152/H152*100,0)</f>
        <v>0</v>
      </c>
    </row>
    <row r="153" spans="10:10">
      <c r="J153" s="2">
        <f>IFERROR(I153/H153*100,0)</f>
        <v>0</v>
      </c>
    </row>
    <row r="154" spans="10:10">
      <c r="J154" s="2">
        <f>IFERROR(I154/H154*100,0)</f>
        <v>0</v>
      </c>
    </row>
    <row r="155" spans="10:10">
      <c r="J155" s="2">
        <f>IFERROR(I155/H155*100,0)</f>
        <v>0</v>
      </c>
    </row>
    <row r="156" spans="10:10">
      <c r="J156" s="2">
        <f>IFERROR(I156/H156*100,0)</f>
        <v>0</v>
      </c>
    </row>
    <row r="157" spans="10:10">
      <c r="J157" s="2">
        <f>IFERROR(I157/H157*100,0)</f>
        <v>0</v>
      </c>
    </row>
    <row r="158" spans="10:10">
      <c r="J158" s="2">
        <f>IFERROR(I158/H158*100,0)</f>
        <v>0</v>
      </c>
    </row>
    <row r="159" spans="10:10">
      <c r="J159" s="2">
        <f>IFERROR(I159/H159*100,0)</f>
        <v>0</v>
      </c>
    </row>
    <row r="160" spans="10:10">
      <c r="J160" s="2">
        <f>IFERROR(I160/H160*100,0)</f>
        <v>0</v>
      </c>
    </row>
    <row r="161" spans="10:10">
      <c r="J161" s="2">
        <f>IFERROR(I161/H161*100,0)</f>
        <v>0</v>
      </c>
    </row>
    <row r="162" spans="10:10">
      <c r="J162" s="2">
        <f>IFERROR(I162/H162*100,0)</f>
        <v>0</v>
      </c>
    </row>
    <row r="163" spans="10:10">
      <c r="J163" s="2">
        <f>IFERROR(I163/H163*100,0)</f>
        <v>0</v>
      </c>
    </row>
    <row r="164" spans="10:10">
      <c r="J164" s="2">
        <f>IFERROR(I164/H164*100,0)</f>
        <v>0</v>
      </c>
    </row>
    <row r="165" spans="10:10">
      <c r="J165" s="2">
        <f>IFERROR(I165/H165*100,0)</f>
        <v>0</v>
      </c>
    </row>
    <row r="166" spans="10:10">
      <c r="J166" s="2">
        <f>IFERROR(I166/H166*100,0)</f>
        <v>0</v>
      </c>
    </row>
    <row r="167" spans="10:10">
      <c r="J167" s="2">
        <f>IFERROR(I167/H167*100,0)</f>
        <v>0</v>
      </c>
    </row>
    <row r="168" spans="10:10">
      <c r="J168" s="2">
        <f>IFERROR(I168/H168*100,0)</f>
        <v>0</v>
      </c>
    </row>
    <row r="169" spans="10:10">
      <c r="J169" s="2">
        <f>IFERROR(I169/H169*100,0)</f>
        <v>0</v>
      </c>
    </row>
    <row r="170" spans="10:10">
      <c r="J170" s="2">
        <f>IFERROR(I170/H170*100,0)</f>
        <v>0</v>
      </c>
    </row>
    <row r="171" spans="10:10">
      <c r="J171" s="2">
        <f>IFERROR(I171/H171*100,0)</f>
        <v>0</v>
      </c>
    </row>
    <row r="172" spans="10:10">
      <c r="J172" s="2">
        <f>IFERROR(I172/H172*100,0)</f>
        <v>0</v>
      </c>
    </row>
    <row r="173" spans="10:10">
      <c r="J173" s="2">
        <f>IFERROR(I173/H173*100,0)</f>
        <v>0</v>
      </c>
    </row>
    <row r="174" spans="10:10">
      <c r="J174" s="2">
        <f>IFERROR(I174/H174*100,0)</f>
        <v>0</v>
      </c>
    </row>
    <row r="175" spans="10:10">
      <c r="J175" s="2">
        <f>IFERROR(I175/H175*100,0)</f>
        <v>0</v>
      </c>
    </row>
    <row r="176" spans="10:10">
      <c r="J176" s="2">
        <f>IFERROR(I176/H176*100,0)</f>
        <v>0</v>
      </c>
    </row>
    <row r="177" spans="10:10">
      <c r="J177" s="2">
        <f>IFERROR(I177/H177*100,0)</f>
        <v>0</v>
      </c>
    </row>
    <row r="178" spans="10:10">
      <c r="J178" s="2">
        <f>IFERROR(I178/H178*100,0)</f>
        <v>0</v>
      </c>
    </row>
    <row r="179" spans="10:10">
      <c r="J179" s="2">
        <f>IFERROR(I179/H179*100,0)</f>
        <v>0</v>
      </c>
    </row>
    <row r="180" spans="10:10">
      <c r="J180" s="2">
        <f>IFERROR(I180/H180*100,0)</f>
        <v>0</v>
      </c>
    </row>
    <row r="181" spans="10:10">
      <c r="J181" s="2">
        <f>IFERROR(I181/H181*100,0)</f>
        <v>0</v>
      </c>
    </row>
    <row r="182" spans="10:10">
      <c r="J182" s="2">
        <f>IFERROR(I182/H182*100,0)</f>
        <v>0</v>
      </c>
    </row>
    <row r="183" spans="10:10">
      <c r="J183" s="2">
        <f>IFERROR(I183/H183*100,0)</f>
        <v>0</v>
      </c>
    </row>
    <row r="184" spans="10:10">
      <c r="J184" s="2">
        <f>IFERROR(I184/H184*100,0)</f>
        <v>0</v>
      </c>
    </row>
    <row r="185" spans="10:10">
      <c r="J185" s="2">
        <f>IFERROR(I185/H185*100,0)</f>
        <v>0</v>
      </c>
    </row>
    <row r="186" spans="10:10">
      <c r="J186" s="2">
        <f>IFERROR(I186/H186*100,0)</f>
        <v>0</v>
      </c>
    </row>
    <row r="187" spans="10:10">
      <c r="J187" s="2">
        <f>IFERROR(I187/H187*100,0)</f>
        <v>0</v>
      </c>
    </row>
    <row r="188" spans="10:10">
      <c r="J188" s="2">
        <f>IFERROR(I188/H188*100,0)</f>
        <v>0</v>
      </c>
    </row>
    <row r="189" spans="10:10">
      <c r="J189" s="2">
        <f>IFERROR(I189/H189*100,0)</f>
        <v>0</v>
      </c>
    </row>
    <row r="190" spans="10:10">
      <c r="J190" s="2">
        <f>IFERROR(I190/H190*100,0)</f>
        <v>0</v>
      </c>
    </row>
    <row r="191" spans="10:10">
      <c r="J191" s="2">
        <f>IFERROR(I191/H191*100,0)</f>
        <v>0</v>
      </c>
    </row>
    <row r="192" spans="10:10">
      <c r="J192" s="2">
        <f>IFERROR(I192/H192*100,0)</f>
        <v>0</v>
      </c>
    </row>
    <row r="193" spans="10:10">
      <c r="J193" s="2">
        <f>IFERROR(I193/H193*100,0)</f>
        <v>0</v>
      </c>
    </row>
    <row r="194" spans="10:10">
      <c r="J194" s="2">
        <f>IFERROR(I194/H194*100,0)</f>
        <v>0</v>
      </c>
    </row>
    <row r="195" spans="10:10">
      <c r="J195" s="2">
        <f>IFERROR(I195/H195*100,0)</f>
        <v>0</v>
      </c>
    </row>
    <row r="196" spans="10:10">
      <c r="J196" s="2">
        <f>IFERROR(I196/H196*100,0)</f>
        <v>0</v>
      </c>
    </row>
    <row r="197" spans="10:10">
      <c r="J197" s="2">
        <f>IFERROR(I197/H197*100,0)</f>
        <v>0</v>
      </c>
    </row>
    <row r="198" spans="10:10">
      <c r="J198" s="2">
        <f>IFERROR(I198/H198*100,0)</f>
        <v>0</v>
      </c>
    </row>
    <row r="199" spans="10:10">
      <c r="J199" s="2">
        <f>IFERROR(I199/H199*100,0)</f>
        <v>0</v>
      </c>
    </row>
    <row r="200" spans="10:10">
      <c r="J200" s="2">
        <f>IFERROR(I200/H200*100,0)</f>
        <v>0</v>
      </c>
    </row>
    <row r="201" spans="10:10">
      <c r="J201" s="2">
        <f>IFERROR(I201/H201*100,0)</f>
        <v>0</v>
      </c>
    </row>
    <row r="202" spans="10:10">
      <c r="J202" s="2">
        <f>IFERROR(I202/H202*100,0)</f>
        <v>0</v>
      </c>
    </row>
    <row r="203" spans="10:10">
      <c r="J203" s="2">
        <f>IFERROR(I203/H203*100,0)</f>
        <v>0</v>
      </c>
    </row>
    <row r="204" spans="10:10">
      <c r="J204" s="2">
        <f>IFERROR(I204/H204*100,0)</f>
        <v>0</v>
      </c>
    </row>
    <row r="205" spans="10:10">
      <c r="J205" s="2">
        <f>IFERROR(I205/H205*100,0)</f>
        <v>0</v>
      </c>
    </row>
    <row r="206" spans="10:10">
      <c r="J206" s="2">
        <f>IFERROR(I206/H206*100,0)</f>
        <v>0</v>
      </c>
    </row>
    <row r="207" spans="10:10">
      <c r="J207" s="2">
        <f>IFERROR(I207/H207*100,0)</f>
        <v>0</v>
      </c>
    </row>
    <row r="208" spans="10:10">
      <c r="J208" s="2">
        <f>IFERROR(I208/H208*100,0)</f>
        <v>0</v>
      </c>
    </row>
    <row r="209" spans="10:10">
      <c r="J209" s="2">
        <f>IFERROR(I209/H209*100,0)</f>
        <v>0</v>
      </c>
    </row>
    <row r="210" spans="10:10">
      <c r="J210" s="2">
        <f>IFERROR(I210/H210*100,0)</f>
        <v>0</v>
      </c>
    </row>
    <row r="211" spans="10:10">
      <c r="J211" s="2">
        <f>IFERROR(I211/H211*100,0)</f>
        <v>0</v>
      </c>
    </row>
    <row r="212" spans="10:10">
      <c r="J212" s="2">
        <f>IFERROR(I212/H212*100,0)</f>
        <v>0</v>
      </c>
    </row>
    <row r="213" spans="10:10">
      <c r="J213" s="2">
        <f>IFERROR(I213/H213*100,0)</f>
        <v>0</v>
      </c>
    </row>
    <row r="214" spans="10:10">
      <c r="J214" s="2">
        <f>IFERROR(I214/H214*100,0)</f>
        <v>0</v>
      </c>
    </row>
    <row r="215" spans="10:10">
      <c r="J215" s="2">
        <f>IFERROR(I215/H215*100,0)</f>
        <v>0</v>
      </c>
    </row>
    <row r="216" spans="10:10">
      <c r="J216" s="2">
        <f>IFERROR(I216/H216*100,0)</f>
        <v>0</v>
      </c>
    </row>
    <row r="217" spans="10:10">
      <c r="J217" s="2">
        <f>IFERROR(I217/H217*100,0)</f>
        <v>0</v>
      </c>
    </row>
    <row r="218" spans="10:10">
      <c r="J218" s="2">
        <f>IFERROR(I218/H218*100,0)</f>
        <v>0</v>
      </c>
    </row>
    <row r="219" spans="10:10">
      <c r="J219" s="2">
        <f>IFERROR(I219/H219*100,0)</f>
        <v>0</v>
      </c>
    </row>
    <row r="220" spans="10:10">
      <c r="J220" s="2">
        <f>IFERROR(I220/H220*100,0)</f>
        <v>0</v>
      </c>
    </row>
    <row r="221" spans="10:10">
      <c r="J221" s="2">
        <f>IFERROR(I221/H221*100,0)</f>
        <v>0</v>
      </c>
    </row>
    <row r="222" spans="10:10">
      <c r="J222" s="2">
        <f>IFERROR(I222/H222*100,0)</f>
        <v>0</v>
      </c>
    </row>
    <row r="223" spans="10:10">
      <c r="J223" s="2">
        <f>IFERROR(I223/H223*100,0)</f>
        <v>0</v>
      </c>
    </row>
    <row r="224" spans="10:10">
      <c r="J224" s="2">
        <f>IFERROR(I224/H224*100,0)</f>
        <v>0</v>
      </c>
    </row>
    <row r="225" spans="10:10">
      <c r="J225" s="2">
        <f>IFERROR(I225/H225*100,0)</f>
        <v>0</v>
      </c>
    </row>
    <row r="226" spans="10:10">
      <c r="J226" s="2">
        <f>IFERROR(I226/H226*100,0)</f>
        <v>0</v>
      </c>
    </row>
    <row r="227" spans="10:10">
      <c r="J227" s="2">
        <f>IFERROR(I227/H227*100,0)</f>
        <v>0</v>
      </c>
    </row>
    <row r="228" spans="10:10">
      <c r="J228" s="2">
        <f>IFERROR(I228/H228*100,0)</f>
        <v>0</v>
      </c>
    </row>
    <row r="229" spans="10:10">
      <c r="J229" s="2">
        <f>IFERROR(I229/H229*100,0)</f>
        <v>0</v>
      </c>
    </row>
    <row r="230" spans="10:10">
      <c r="J230" s="2">
        <f>IFERROR(I230/H230*100,0)</f>
        <v>0</v>
      </c>
    </row>
    <row r="231" spans="10:10">
      <c r="J231" s="2">
        <f>IFERROR(I231/H231*100,0)</f>
        <v>0</v>
      </c>
    </row>
    <row r="232" spans="10:10">
      <c r="J232" s="2">
        <f>IFERROR(I232/H232*100,0)</f>
        <v>0</v>
      </c>
    </row>
    <row r="233" spans="10:10">
      <c r="J233" s="2">
        <f>IFERROR(I233/H233*100,0)</f>
        <v>0</v>
      </c>
    </row>
    <row r="234" spans="10:10">
      <c r="J234" s="2">
        <f>IFERROR(I234/H234*100,0)</f>
        <v>0</v>
      </c>
    </row>
    <row r="235" spans="10:10">
      <c r="J235" s="2">
        <f>IFERROR(I235/H235*100,0)</f>
        <v>0</v>
      </c>
    </row>
    <row r="236" spans="10:10">
      <c r="J236" s="2">
        <f>IFERROR(I236/H236*100,0)</f>
        <v>0</v>
      </c>
    </row>
    <row r="237" spans="10:10">
      <c r="J237" s="2">
        <f>IFERROR(I237/H237*100,0)</f>
        <v>0</v>
      </c>
    </row>
    <row r="238" spans="10:10">
      <c r="J238" s="2">
        <f>IFERROR(I238/H238*100,0)</f>
        <v>0</v>
      </c>
    </row>
    <row r="239" spans="10:10">
      <c r="J239" s="2">
        <f>IFERROR(I239/H239*100,0)</f>
        <v>0</v>
      </c>
    </row>
    <row r="240" spans="10:10">
      <c r="J240" s="2">
        <f>IFERROR(I240/H240*100,0)</f>
        <v>0</v>
      </c>
    </row>
    <row r="241" spans="10:10">
      <c r="J241" s="2">
        <f>IFERROR(I241/H241*100,0)</f>
        <v>0</v>
      </c>
    </row>
    <row r="242" spans="10:10">
      <c r="J242" s="2">
        <f>IFERROR(I242/H242*100,0)</f>
        <v>0</v>
      </c>
    </row>
    <row r="243" spans="10:10">
      <c r="J243" s="2">
        <f>IFERROR(I243/H243*100,0)</f>
        <v>0</v>
      </c>
    </row>
    <row r="244" spans="10:10">
      <c r="J244" s="2">
        <f>IFERROR(I244/H244*100,0)</f>
        <v>0</v>
      </c>
    </row>
    <row r="245" spans="10:10">
      <c r="J245" s="2">
        <f>IFERROR(I245/H245*100,0)</f>
        <v>0</v>
      </c>
    </row>
    <row r="246" spans="10:10">
      <c r="J246" s="2">
        <f>IFERROR(I246/H246*100,0)</f>
        <v>0</v>
      </c>
    </row>
    <row r="247" spans="10:10">
      <c r="J247" s="2">
        <f>IFERROR(I247/H247*100,0)</f>
        <v>0</v>
      </c>
    </row>
    <row r="248" spans="10:10">
      <c r="J248" s="2">
        <f>IFERROR(I248/H248*100,0)</f>
        <v>0</v>
      </c>
    </row>
    <row r="249" spans="10:10">
      <c r="J249" s="2">
        <f>IFERROR(I249/H249*100,0)</f>
        <v>0</v>
      </c>
    </row>
    <row r="250" spans="10:10">
      <c r="J250" s="2">
        <f>IFERROR(I250/H250*100,0)</f>
        <v>0</v>
      </c>
    </row>
    <row r="251" spans="10:10">
      <c r="J251" s="2">
        <f>IFERROR(I251/H251*100,0)</f>
        <v>0</v>
      </c>
    </row>
    <row r="252" spans="10:10">
      <c r="J252" s="2">
        <f>IFERROR(I252/H252*100,0)</f>
        <v>0</v>
      </c>
    </row>
    <row r="253" spans="10:10">
      <c r="J253" s="2">
        <f>IFERROR(I253/H253*100,0)</f>
        <v>0</v>
      </c>
    </row>
    <row r="254" spans="10:10">
      <c r="J254" s="2">
        <f>IFERROR(I254/H254*100,0)</f>
        <v>0</v>
      </c>
    </row>
    <row r="255" spans="10:10">
      <c r="J255" s="2">
        <f>IFERROR(I255/H255*100,0)</f>
        <v>0</v>
      </c>
    </row>
    <row r="256" spans="10:10">
      <c r="J256" s="2">
        <f>IFERROR(I256/H256*100,0)</f>
        <v>0</v>
      </c>
    </row>
    <row r="257" spans="10:10">
      <c r="J257" s="2">
        <f>IFERROR(I257/H257*100,0)</f>
        <v>0</v>
      </c>
    </row>
    <row r="258" spans="10:10">
      <c r="J258" s="2">
        <f>IFERROR(I258/H258*100,0)</f>
        <v>0</v>
      </c>
    </row>
    <row r="259" spans="10:10">
      <c r="J259" s="2">
        <f>IFERROR(I259/H259*100,0)</f>
        <v>0</v>
      </c>
    </row>
    <row r="260" spans="10:10">
      <c r="J260" s="2">
        <f>IFERROR(I260/H260*100,0)</f>
        <v>0</v>
      </c>
    </row>
    <row r="261" spans="10:10">
      <c r="J261" s="2">
        <f>IFERROR(I261/H261*100,0)</f>
        <v>0</v>
      </c>
    </row>
    <row r="262" spans="10:10">
      <c r="J262" s="2">
        <f>IFERROR(I262/H262*100,0)</f>
        <v>0</v>
      </c>
    </row>
    <row r="263" spans="10:10">
      <c r="J263" s="2">
        <f>IFERROR(I263/H263*100,0)</f>
        <v>0</v>
      </c>
    </row>
    <row r="264" spans="10:10">
      <c r="J264" s="2">
        <f>IFERROR(I264/H264*100,0)</f>
        <v>0</v>
      </c>
    </row>
    <row r="265" spans="10:10">
      <c r="J265" s="2">
        <f>IFERROR(I265/H265*100,0)</f>
        <v>0</v>
      </c>
    </row>
    <row r="266" spans="10:10">
      <c r="J266" s="2">
        <f>IFERROR(I266/H266*100,0)</f>
        <v>0</v>
      </c>
    </row>
    <row r="267" spans="10:10">
      <c r="J267" s="2">
        <f>IFERROR(I267/H267*100,0)</f>
        <v>0</v>
      </c>
    </row>
    <row r="268" spans="10:10">
      <c r="J268" s="2">
        <f>IFERROR(I268/H268*100,0)</f>
        <v>0</v>
      </c>
    </row>
    <row r="269" spans="10:10">
      <c r="J269" s="2">
        <f>IFERROR(I269/H269*100,0)</f>
        <v>0</v>
      </c>
    </row>
    <row r="270" spans="10:10">
      <c r="J270" s="2">
        <f>IFERROR(I270/H270*100,0)</f>
        <v>0</v>
      </c>
    </row>
    <row r="271" spans="10:10">
      <c r="J271" s="2">
        <f>IFERROR(I271/H271*100,0)</f>
        <v>0</v>
      </c>
    </row>
    <row r="272" spans="10:10">
      <c r="J272" s="2">
        <f>IFERROR(I272/H272*100,0)</f>
        <v>0</v>
      </c>
    </row>
    <row r="273" spans="10:10">
      <c r="J273" s="2">
        <f>IFERROR(I273/H273*100,0)</f>
        <v>0</v>
      </c>
    </row>
    <row r="274" spans="10:10">
      <c r="J274" s="2">
        <f>IFERROR(I274/H274*100,0)</f>
        <v>0</v>
      </c>
    </row>
    <row r="275" spans="10:10">
      <c r="J275" s="2">
        <f>IFERROR(I275/H275*100,0)</f>
        <v>0</v>
      </c>
    </row>
    <row r="276" spans="10:10">
      <c r="J276" s="2">
        <f>IFERROR(I276/H276*100,0)</f>
        <v>0</v>
      </c>
    </row>
    <row r="277" spans="10:10">
      <c r="J277" s="2">
        <f>IFERROR(I277/H277*100,0)</f>
        <v>0</v>
      </c>
    </row>
    <row r="278" spans="10:10">
      <c r="J278" s="2">
        <f>IFERROR(I278/H278*100,0)</f>
        <v>0</v>
      </c>
    </row>
    <row r="279" spans="10:10">
      <c r="J279" s="2">
        <f>IFERROR(I279/H279*100,0)</f>
        <v>0</v>
      </c>
    </row>
    <row r="280" spans="10:10">
      <c r="J280" s="2">
        <f>IFERROR(I280/H280*100,0)</f>
        <v>0</v>
      </c>
    </row>
    <row r="281" spans="10:10">
      <c r="J281" s="2">
        <f>IFERROR(I281/H281*100,0)</f>
        <v>0</v>
      </c>
    </row>
    <row r="282" spans="10:10">
      <c r="J282" s="2">
        <f>IFERROR(I282/H282*100,0)</f>
        <v>0</v>
      </c>
    </row>
    <row r="283" spans="10:10">
      <c r="J283" s="2">
        <f>IFERROR(I283/H283*100,0)</f>
        <v>0</v>
      </c>
    </row>
    <row r="284" spans="10:10">
      <c r="J284" s="2">
        <f>IFERROR(I284/H284*100,0)</f>
        <v>0</v>
      </c>
    </row>
    <row r="285" spans="10:10">
      <c r="J285" s="2">
        <f>IFERROR(I285/H285*100,0)</f>
        <v>0</v>
      </c>
    </row>
    <row r="286" spans="10:10">
      <c r="J286" s="2">
        <f>IFERROR(I286/H286*100,0)</f>
        <v>0</v>
      </c>
    </row>
    <row r="287" spans="10:10">
      <c r="J287" s="2">
        <f>IFERROR(I287/H287*100,0)</f>
        <v>0</v>
      </c>
    </row>
    <row r="288" spans="10:10">
      <c r="J288" s="2">
        <f>IFERROR(I288/H288*100,0)</f>
        <v>0</v>
      </c>
    </row>
    <row r="289" spans="10:10">
      <c r="J289" s="2">
        <f>IFERROR(I289/H289*100,0)</f>
        <v>0</v>
      </c>
    </row>
    <row r="290" spans="10:10">
      <c r="J290" s="2">
        <f>IFERROR(I290/H290*100,0)</f>
        <v>0</v>
      </c>
    </row>
    <row r="291" spans="10:10">
      <c r="J291" s="2">
        <f>IFERROR(I291/H291*100,0)</f>
        <v>0</v>
      </c>
    </row>
    <row r="292" spans="10:10">
      <c r="J292" s="2">
        <f>IFERROR(I292/H292*100,0)</f>
        <v>0</v>
      </c>
    </row>
    <row r="293" spans="10:10">
      <c r="J293" s="2">
        <f>IFERROR(I293/H293*100,0)</f>
        <v>0</v>
      </c>
    </row>
    <row r="294" spans="10:10">
      <c r="J294" s="2">
        <f>IFERROR(I294/H294*100,0)</f>
        <v>0</v>
      </c>
    </row>
    <row r="295" spans="10:10">
      <c r="J295" s="2">
        <f>IFERROR(I295/H295*100,0)</f>
        <v>0</v>
      </c>
    </row>
    <row r="296" spans="10:10">
      <c r="J296" s="2">
        <f>IFERROR(I296/H296*100,0)</f>
        <v>0</v>
      </c>
    </row>
    <row r="297" spans="10:10">
      <c r="J297" s="2">
        <f>IFERROR(I297/H297*100,0)</f>
        <v>0</v>
      </c>
    </row>
    <row r="298" spans="10:10">
      <c r="J298" s="2">
        <f>IFERROR(I298/H298*100,0)</f>
        <v>0</v>
      </c>
    </row>
    <row r="299" spans="10:10">
      <c r="J299" s="2">
        <f>IFERROR(I299/H299*100,0)</f>
        <v>0</v>
      </c>
    </row>
    <row r="300" spans="10:10">
      <c r="J300" s="2">
        <f>IFERROR(I300/H300*100,0)</f>
        <v>0</v>
      </c>
    </row>
    <row r="301" spans="10:10">
      <c r="J301" s="2">
        <f>IFERROR(I301/H301*100,0)</f>
        <v>0</v>
      </c>
    </row>
    <row r="302" spans="10:10">
      <c r="J302" s="2">
        <f>IFERROR(I302/H302*100,0)</f>
        <v>0</v>
      </c>
    </row>
    <row r="303" spans="10:10">
      <c r="J303" s="2">
        <f>IFERROR(I303/H303*100,0)</f>
        <v>0</v>
      </c>
    </row>
    <row r="304" spans="10:10">
      <c r="J304" s="2">
        <f>IFERROR(I304/H304*100,0)</f>
        <v>0</v>
      </c>
    </row>
    <row r="305" spans="10:10">
      <c r="J305" s="2">
        <f>IFERROR(I305/H305*100,0)</f>
        <v>0</v>
      </c>
    </row>
    <row r="306" spans="10:10">
      <c r="J306" s="2">
        <f>IFERROR(I306/H306*100,0)</f>
        <v>0</v>
      </c>
    </row>
    <row r="307" spans="10:10">
      <c r="J307" s="2">
        <f>IFERROR(I307/H307*100,0)</f>
        <v>0</v>
      </c>
    </row>
    <row r="308" spans="10:10">
      <c r="J308" s="2">
        <f>IFERROR(I308/H308*100,0)</f>
        <v>0</v>
      </c>
    </row>
    <row r="309" spans="10:10">
      <c r="J309" s="2">
        <f>IFERROR(I309/H309*100,0)</f>
        <v>0</v>
      </c>
    </row>
    <row r="310" spans="10:10">
      <c r="J310" s="2">
        <f>IFERROR(I310/H310*100,0)</f>
        <v>0</v>
      </c>
    </row>
    <row r="311" spans="10:10">
      <c r="J311" s="2">
        <f>IFERROR(I311/H311*100,0)</f>
        <v>0</v>
      </c>
    </row>
    <row r="312" spans="10:10">
      <c r="J312" s="2">
        <f>IFERROR(I312/H312*100,0)</f>
        <v>0</v>
      </c>
    </row>
    <row r="313" spans="10:10">
      <c r="J313" s="2">
        <f>IFERROR(I313/H313*100,0)</f>
        <v>0</v>
      </c>
    </row>
    <row r="314" spans="10:10">
      <c r="J314" s="2">
        <f>IFERROR(I314/H314*100,0)</f>
        <v>0</v>
      </c>
    </row>
    <row r="315" spans="10:10">
      <c r="J315" s="2">
        <f>IFERROR(I315/H315*100,0)</f>
        <v>0</v>
      </c>
    </row>
    <row r="316" spans="10:10">
      <c r="J316" s="2">
        <f>IFERROR(I316/H316*100,0)</f>
        <v>0</v>
      </c>
    </row>
    <row r="317" spans="10:10">
      <c r="J317" s="2">
        <f>IFERROR(I317/H317*100,0)</f>
        <v>0</v>
      </c>
    </row>
    <row r="318" spans="10:10">
      <c r="J318" s="2">
        <f>IFERROR(I318/H318*100,0)</f>
        <v>0</v>
      </c>
    </row>
    <row r="319" spans="10:10">
      <c r="J319" s="2">
        <f>IFERROR(I319/H319*100,0)</f>
        <v>0</v>
      </c>
    </row>
    <row r="320" spans="10:10">
      <c r="J320" s="2">
        <f>IFERROR(I320/H320*100,0)</f>
        <v>0</v>
      </c>
    </row>
    <row r="321" spans="10:10">
      <c r="J321" s="2">
        <f>IFERROR(I321/H321*100,0)</f>
        <v>0</v>
      </c>
    </row>
    <row r="322" spans="10:10">
      <c r="J322" s="2">
        <f>IFERROR(I322/H322*100,0)</f>
        <v>0</v>
      </c>
    </row>
    <row r="323" spans="10:10">
      <c r="J323" s="2">
        <f>IFERROR(I323/H323*100,0)</f>
        <v>0</v>
      </c>
    </row>
    <row r="324" spans="10:10">
      <c r="J324" s="2">
        <f>IFERROR(I324/H324*100,0)</f>
        <v>0</v>
      </c>
    </row>
    <row r="325" spans="10:10">
      <c r="J325" s="2">
        <f>IFERROR(I325/H325*100,0)</f>
        <v>0</v>
      </c>
    </row>
    <row r="326" spans="10:10">
      <c r="J326" s="2">
        <f>IFERROR(I326/H326*100,0)</f>
        <v>0</v>
      </c>
    </row>
    <row r="327" spans="10:10">
      <c r="J327" s="2">
        <f>IFERROR(I327/H327*100,0)</f>
        <v>0</v>
      </c>
    </row>
    <row r="328" spans="10:10">
      <c r="J328" s="2">
        <f>IFERROR(I328/H328*100,0)</f>
        <v>0</v>
      </c>
    </row>
    <row r="329" spans="10:10">
      <c r="J329" s="2">
        <f>IFERROR(I329/H329*100,0)</f>
        <v>0</v>
      </c>
    </row>
    <row r="330" spans="10:10">
      <c r="J330" s="2">
        <f>IFERROR(I330/H330*100,0)</f>
        <v>0</v>
      </c>
    </row>
    <row r="331" spans="10:10">
      <c r="J331" s="2">
        <f>IFERROR(I331/H331*100,0)</f>
        <v>0</v>
      </c>
    </row>
    <row r="332" spans="10:10">
      <c r="J332" s="2">
        <f>IFERROR(I332/H332*100,0)</f>
        <v>0</v>
      </c>
    </row>
    <row r="333" spans="10:10">
      <c r="J333" s="2">
        <f>IFERROR(I333/H333*100,0)</f>
        <v>0</v>
      </c>
    </row>
    <row r="334" spans="10:10">
      <c r="J334" s="2">
        <f>IFERROR(I334/H334*100,0)</f>
        <v>0</v>
      </c>
    </row>
    <row r="335" spans="10:10">
      <c r="J335" s="2">
        <f>IFERROR(I335/H335*100,0)</f>
        <v>0</v>
      </c>
    </row>
    <row r="336" spans="10:10">
      <c r="J336" s="2">
        <f>IFERROR(I336/H336*100,0)</f>
        <v>0</v>
      </c>
    </row>
    <row r="337" spans="10:10">
      <c r="J337" s="2">
        <f>IFERROR(I337/H337*100,0)</f>
        <v>0</v>
      </c>
    </row>
    <row r="338" spans="10:10">
      <c r="J338" s="2">
        <f>IFERROR(I338/H338*100,0)</f>
        <v>0</v>
      </c>
    </row>
    <row r="339" spans="10:10">
      <c r="J339" s="2">
        <f>IFERROR(I339/H339*100,0)</f>
        <v>0</v>
      </c>
    </row>
    <row r="340" spans="10:10">
      <c r="J340" s="2">
        <f>IFERROR(I340/H340*100,0)</f>
        <v>0</v>
      </c>
    </row>
    <row r="341" spans="10:10">
      <c r="J341" s="2">
        <f>IFERROR(I341/H341*100,0)</f>
        <v>0</v>
      </c>
    </row>
    <row r="342" spans="10:10">
      <c r="J342" s="2">
        <f>IFERROR(I342/H342*100,0)</f>
        <v>0</v>
      </c>
    </row>
    <row r="343" spans="10:10">
      <c r="J343" s="2">
        <f>IFERROR(I343/H343*100,0)</f>
        <v>0</v>
      </c>
    </row>
    <row r="344" spans="10:10">
      <c r="J344" s="2">
        <f>IFERROR(I344/H344*100,0)</f>
        <v>0</v>
      </c>
    </row>
    <row r="345" spans="10:10">
      <c r="J345" s="2">
        <f>IFERROR(I345/H345*100,0)</f>
        <v>0</v>
      </c>
    </row>
    <row r="346" spans="10:10">
      <c r="J346" s="2">
        <f>IFERROR(I346/H346*100,0)</f>
        <v>0</v>
      </c>
    </row>
    <row r="347" spans="10:10">
      <c r="J347" s="2">
        <f>IFERROR(I347/H347*100,0)</f>
        <v>0</v>
      </c>
    </row>
    <row r="348" spans="10:10">
      <c r="J348" s="2">
        <f>IFERROR(I348/H348*100,0)</f>
        <v>0</v>
      </c>
    </row>
    <row r="349" spans="10:10">
      <c r="J349" s="2">
        <f>IFERROR(I349/H349*100,0)</f>
        <v>0</v>
      </c>
    </row>
    <row r="350" spans="10:10">
      <c r="J350" s="2">
        <f>IFERROR(I350/H350*100,0)</f>
        <v>0</v>
      </c>
    </row>
    <row r="351" spans="10:10">
      <c r="J351" s="2">
        <f>IFERROR(I351/H351*100,0)</f>
        <v>0</v>
      </c>
    </row>
    <row r="352" spans="10:10">
      <c r="J352" s="2">
        <f>IFERROR(I352/H352*100,0)</f>
        <v>0</v>
      </c>
    </row>
    <row r="353" spans="10:10">
      <c r="J353" s="2">
        <f>IFERROR(I353/H353*100,0)</f>
        <v>0</v>
      </c>
    </row>
    <row r="354" spans="10:10">
      <c r="J354" s="2">
        <f>IFERROR(I354/H354*100,0)</f>
        <v>0</v>
      </c>
    </row>
    <row r="355" spans="10:10">
      <c r="J355" s="2">
        <f>IFERROR(I355/H355*100,0)</f>
        <v>0</v>
      </c>
    </row>
    <row r="356" spans="10:10">
      <c r="J356" s="2">
        <f>IFERROR(I356/H356*100,0)</f>
        <v>0</v>
      </c>
    </row>
    <row r="357" spans="10:10">
      <c r="J357" s="2">
        <f>IFERROR(I357/H357*100,0)</f>
        <v>0</v>
      </c>
    </row>
    <row r="358" spans="10:10">
      <c r="J358" s="2">
        <f>IFERROR(I358/H358*100,0)</f>
        <v>0</v>
      </c>
    </row>
    <row r="359" spans="10:10">
      <c r="J359" s="2">
        <f>IFERROR(I359/H359*100,0)</f>
        <v>0</v>
      </c>
    </row>
    <row r="360" spans="10:10">
      <c r="J360" s="2">
        <f>IFERROR(I360/H360*100,0)</f>
        <v>0</v>
      </c>
    </row>
    <row r="361" spans="10:10">
      <c r="J361" s="2">
        <f>IFERROR(I361/H361*100,0)</f>
        <v>0</v>
      </c>
    </row>
    <row r="362" spans="10:10">
      <c r="J362" s="2">
        <f>IFERROR(I362/H362*100,0)</f>
        <v>0</v>
      </c>
    </row>
    <row r="363" spans="10:10">
      <c r="J363" s="2">
        <f>IFERROR(I363/H363*100,0)</f>
        <v>0</v>
      </c>
    </row>
    <row r="364" spans="10:10">
      <c r="J364" s="2">
        <f>IFERROR(I364/H364*100,0)</f>
        <v>0</v>
      </c>
    </row>
    <row r="365" spans="10:10">
      <c r="J365" s="2">
        <f>IFERROR(I365/H365*100,0)</f>
        <v>0</v>
      </c>
    </row>
    <row r="366" spans="10:10">
      <c r="J366" s="2">
        <f>IFERROR(I366/H366*100,0)</f>
        <v>0</v>
      </c>
    </row>
    <row r="367" spans="10:10">
      <c r="J367" s="2">
        <f>IFERROR(I367/H367*100,0)</f>
        <v>0</v>
      </c>
    </row>
    <row r="368" spans="10:10">
      <c r="J368" s="2">
        <f>IFERROR(I368/H368*100,0)</f>
        <v>0</v>
      </c>
    </row>
    <row r="369" spans="10:10">
      <c r="J369" s="2">
        <f>IFERROR(I369/H369*100,0)</f>
        <v>0</v>
      </c>
    </row>
    <row r="370" spans="10:10">
      <c r="J370" s="2">
        <f>IFERROR(I370/H370*100,0)</f>
        <v>0</v>
      </c>
    </row>
    <row r="371" spans="10:10">
      <c r="J371" s="2">
        <f>IFERROR(I371/H371*100,0)</f>
        <v>0</v>
      </c>
    </row>
    <row r="372" spans="10:10">
      <c r="J372" s="2">
        <f>IFERROR(I372/H372*100,0)</f>
        <v>0</v>
      </c>
    </row>
    <row r="373" spans="10:10">
      <c r="J373" s="2">
        <f>IFERROR(I373/H373*100,0)</f>
        <v>0</v>
      </c>
    </row>
    <row r="374" spans="10:10">
      <c r="J374" s="2">
        <f>IFERROR(I374/H374*100,0)</f>
        <v>0</v>
      </c>
    </row>
    <row r="375" spans="10:10">
      <c r="J375" s="2">
        <f>IFERROR(I375/H375*100,0)</f>
        <v>0</v>
      </c>
    </row>
    <row r="376" spans="10:10">
      <c r="J376" s="2">
        <f>IFERROR(I376/H376*100,0)</f>
        <v>0</v>
      </c>
    </row>
    <row r="377" spans="10:10">
      <c r="J377" s="2">
        <f>IFERROR(I377/H377*100,0)</f>
        <v>0</v>
      </c>
    </row>
    <row r="378" spans="10:10">
      <c r="J378" s="2">
        <f>IFERROR(I378/H378*100,0)</f>
        <v>0</v>
      </c>
    </row>
    <row r="379" spans="10:10">
      <c r="J379" s="2">
        <f>IFERROR(I379/H379*100,0)</f>
        <v>0</v>
      </c>
    </row>
    <row r="380" spans="10:10">
      <c r="J380" s="2">
        <f>IFERROR(I380/H380*100,0)</f>
        <v>0</v>
      </c>
    </row>
    <row r="381" spans="10:10">
      <c r="J381" s="2">
        <f>IFERROR(I381/H381*100,0)</f>
        <v>0</v>
      </c>
    </row>
    <row r="382" spans="10:10">
      <c r="J382" s="2">
        <f>IFERROR(I382/H382*100,0)</f>
        <v>0</v>
      </c>
    </row>
    <row r="383" spans="10:10">
      <c r="J383" s="2">
        <f>IFERROR(I383/H383*100,0)</f>
        <v>0</v>
      </c>
    </row>
    <row r="384" spans="10:10">
      <c r="J384" s="2">
        <f>IFERROR(I384/H384*100,0)</f>
        <v>0</v>
      </c>
    </row>
    <row r="385" spans="10:10">
      <c r="J385" s="2">
        <f>IFERROR(I385/H385*100,0)</f>
        <v>0</v>
      </c>
    </row>
    <row r="386" spans="10:10">
      <c r="J386" s="2">
        <f>IFERROR(I386/H386*100,0)</f>
        <v>0</v>
      </c>
    </row>
    <row r="387" spans="10:10">
      <c r="J387" s="2">
        <f>IFERROR(I387/H387*100,0)</f>
        <v>0</v>
      </c>
    </row>
    <row r="388" spans="10:10">
      <c r="J388" s="2">
        <f>IFERROR(I388/H388*100,0)</f>
        <v>0</v>
      </c>
    </row>
    <row r="389" spans="10:10">
      <c r="J389" s="2">
        <f>IFERROR(I389/H389*100,0)</f>
        <v>0</v>
      </c>
    </row>
    <row r="390" spans="10:10">
      <c r="J390" s="2">
        <f>IFERROR(I390/H390*100,0)</f>
        <v>0</v>
      </c>
    </row>
    <row r="391" spans="10:10">
      <c r="J391" s="2">
        <f>IFERROR(I391/H391*100,0)</f>
        <v>0</v>
      </c>
    </row>
    <row r="392" spans="10:10">
      <c r="J392" s="2">
        <f>IFERROR(I392/H392*100,0)</f>
        <v>0</v>
      </c>
    </row>
    <row r="393" spans="10:10">
      <c r="J393" s="2">
        <f>IFERROR(I393/H393*100,0)</f>
        <v>0</v>
      </c>
    </row>
    <row r="394" spans="10:10">
      <c r="J394" s="2">
        <f>IFERROR(I394/H394*100,0)</f>
        <v>0</v>
      </c>
    </row>
    <row r="395" spans="10:10">
      <c r="J395" s="2">
        <f>IFERROR(I395/H395*100,0)</f>
        <v>0</v>
      </c>
    </row>
    <row r="396" spans="10:10">
      <c r="J396" s="2">
        <f>IFERROR(I396/H396*100,0)</f>
        <v>0</v>
      </c>
    </row>
    <row r="397" spans="10:10">
      <c r="J397" s="2">
        <f>IFERROR(I397/H397*100,0)</f>
        <v>0</v>
      </c>
    </row>
    <row r="398" spans="10:10">
      <c r="J398" s="2">
        <f>IFERROR(I398/H398*100,0)</f>
        <v>0</v>
      </c>
    </row>
    <row r="399" spans="10:10">
      <c r="J399" s="2">
        <f>IFERROR(I399/H399*100,0)</f>
        <v>0</v>
      </c>
    </row>
    <row r="400" spans="10:10">
      <c r="J400" s="2">
        <f>IFERROR(I400/H400*100,0)</f>
        <v>0</v>
      </c>
    </row>
    <row r="401" spans="10:10">
      <c r="J401" s="2">
        <f>IFERROR(I401/H401*100,0)</f>
        <v>0</v>
      </c>
    </row>
    <row r="402" spans="10:10">
      <c r="J402" s="2">
        <f>IFERROR(I402/H402*100,0)</f>
        <v>0</v>
      </c>
    </row>
    <row r="403" spans="10:10">
      <c r="J403" s="2">
        <f>IFERROR(I403/H403*100,0)</f>
        <v>0</v>
      </c>
    </row>
    <row r="404" spans="10:10">
      <c r="J404" s="2">
        <f>IFERROR(I404/H404*100,0)</f>
        <v>0</v>
      </c>
    </row>
    <row r="405" spans="10:10">
      <c r="J405" s="2">
        <f>IFERROR(I405/H405*100,0)</f>
        <v>0</v>
      </c>
    </row>
    <row r="406" spans="10:10">
      <c r="J406" s="2">
        <f>IFERROR(I406/H406*100,0)</f>
        <v>0</v>
      </c>
    </row>
    <row r="407" spans="10:10">
      <c r="J407" s="2">
        <f>IFERROR(I407/H407*100,0)</f>
        <v>0</v>
      </c>
    </row>
    <row r="408" spans="10:10">
      <c r="J408" s="2">
        <f>IFERROR(I408/H408*100,0)</f>
        <v>0</v>
      </c>
    </row>
    <row r="409" spans="10:10">
      <c r="J409" s="2">
        <f>IFERROR(I409/H409*100,0)</f>
        <v>0</v>
      </c>
    </row>
    <row r="410" spans="10:10">
      <c r="J410" s="2">
        <f>IFERROR(I410/H410*100,0)</f>
        <v>0</v>
      </c>
    </row>
    <row r="411" spans="10:10">
      <c r="J411" s="2">
        <f>IFERROR(I411/H411*100,0)</f>
        <v>0</v>
      </c>
    </row>
    <row r="412" spans="10:10">
      <c r="J412" s="2">
        <f>IFERROR(I412/H412*100,0)</f>
        <v>0</v>
      </c>
    </row>
    <row r="413" spans="10:10">
      <c r="J413" s="2">
        <f>IFERROR(I413/H413*100,0)</f>
        <v>0</v>
      </c>
    </row>
    <row r="414" spans="10:10">
      <c r="J414" s="2">
        <f>IFERROR(I414/H414*100,0)</f>
        <v>0</v>
      </c>
    </row>
    <row r="415" spans="10:10">
      <c r="J415" s="2">
        <f>IFERROR(I415/H415*100,0)</f>
        <v>0</v>
      </c>
    </row>
    <row r="416" spans="10:10">
      <c r="J416" s="2">
        <f>IFERROR(I416/H416*100,0)</f>
        <v>0</v>
      </c>
    </row>
    <row r="417" spans="10:10">
      <c r="J417" s="2">
        <f>IFERROR(I417/H417*100,0)</f>
        <v>0</v>
      </c>
    </row>
    <row r="418" spans="10:10">
      <c r="J418" s="2">
        <f>IFERROR(I418/H418*100,0)</f>
        <v>0</v>
      </c>
    </row>
    <row r="419" spans="10:10">
      <c r="J419" s="2">
        <f>IFERROR(I419/H419*100,0)</f>
        <v>0</v>
      </c>
    </row>
    <row r="420" spans="10:10">
      <c r="J420" s="2">
        <f>IFERROR(I420/H420*100,0)</f>
        <v>0</v>
      </c>
    </row>
    <row r="421" spans="10:10">
      <c r="J421" s="2">
        <f>IFERROR(I421/H421*100,0)</f>
        <v>0</v>
      </c>
    </row>
    <row r="422" spans="10:10">
      <c r="J422" s="2">
        <f>IFERROR(I422/H422*100,0)</f>
        <v>0</v>
      </c>
    </row>
    <row r="423" spans="10:10">
      <c r="J423" s="2">
        <f>IFERROR(I423/H423*100,0)</f>
        <v>0</v>
      </c>
    </row>
    <row r="424" spans="10:10">
      <c r="J424" s="2">
        <f>IFERROR(I424/H424*100,0)</f>
        <v>0</v>
      </c>
    </row>
    <row r="425" spans="10:10">
      <c r="J425" s="2">
        <f>IFERROR(I425/H425*100,0)</f>
        <v>0</v>
      </c>
    </row>
    <row r="426" spans="10:10">
      <c r="J426" s="2">
        <f>IFERROR(I426/H426*100,0)</f>
        <v>0</v>
      </c>
    </row>
    <row r="427" spans="10:10">
      <c r="J427" s="2">
        <f>IFERROR(I427/H427*100,0)</f>
        <v>0</v>
      </c>
    </row>
    <row r="428" spans="10:10">
      <c r="J428" s="2">
        <f>IFERROR(I428/H428*100,0)</f>
        <v>0</v>
      </c>
    </row>
    <row r="429" spans="10:10">
      <c r="J429" s="2">
        <f>IFERROR(I429/H429*100,0)</f>
        <v>0</v>
      </c>
    </row>
    <row r="430" spans="10:10">
      <c r="J430" s="2">
        <f>IFERROR(I430/H430*100,0)</f>
        <v>0</v>
      </c>
    </row>
    <row r="431" spans="10:10">
      <c r="J431" s="2">
        <f>IFERROR(I431/H431*100,0)</f>
        <v>0</v>
      </c>
    </row>
    <row r="432" spans="10:10">
      <c r="J432" s="2">
        <f>IFERROR(I432/H432*100,0)</f>
        <v>0</v>
      </c>
    </row>
    <row r="433" spans="10:10">
      <c r="J433" s="2">
        <f>IFERROR(I433/H433*100,0)</f>
        <v>0</v>
      </c>
    </row>
    <row r="434" spans="10:10">
      <c r="J434" s="2">
        <f>IFERROR(I434/H434*100,0)</f>
        <v>0</v>
      </c>
    </row>
    <row r="435" spans="10:10">
      <c r="J435" s="2">
        <f>IFERROR(I435/H435*100,0)</f>
        <v>0</v>
      </c>
    </row>
    <row r="436" spans="10:10">
      <c r="J436" s="2">
        <f>IFERROR(I436/H436*100,0)</f>
        <v>0</v>
      </c>
    </row>
    <row r="437" spans="10:10">
      <c r="J437" s="2">
        <f>IFERROR(I437/H437*100,0)</f>
        <v>0</v>
      </c>
    </row>
    <row r="438" spans="10:10">
      <c r="J438" s="2">
        <f>IFERROR(I438/H438*100,0)</f>
        <v>0</v>
      </c>
    </row>
    <row r="439" spans="10:10">
      <c r="J439" s="2">
        <f>IFERROR(I439/H439*100,0)</f>
        <v>0</v>
      </c>
    </row>
    <row r="440" spans="10:10">
      <c r="J440" s="2">
        <f>IFERROR(I440/H440*100,0)</f>
        <v>0</v>
      </c>
    </row>
    <row r="441" spans="10:10">
      <c r="J441" s="2">
        <f>IFERROR(I441/H441*100,0)</f>
        <v>0</v>
      </c>
    </row>
    <row r="442" spans="10:10">
      <c r="J442" s="2">
        <f>IFERROR(I442/H442*100,0)</f>
        <v>0</v>
      </c>
    </row>
    <row r="443" spans="10:10">
      <c r="J443" s="2">
        <f>IFERROR(I443/H443*100,0)</f>
        <v>0</v>
      </c>
    </row>
    <row r="444" spans="10:10">
      <c r="J444" s="2">
        <f>IFERROR(I444/H444*100,0)</f>
        <v>0</v>
      </c>
    </row>
    <row r="445" spans="10:10">
      <c r="J445" s="2">
        <f>IFERROR(I445/H445*100,0)</f>
        <v>0</v>
      </c>
    </row>
    <row r="446" spans="10:10">
      <c r="J446" s="2">
        <f>IFERROR(I446/H446*100,0)</f>
        <v>0</v>
      </c>
    </row>
    <row r="447" spans="10:10">
      <c r="J447" s="2">
        <f>IFERROR(I447/H447*100,0)</f>
        <v>0</v>
      </c>
    </row>
    <row r="448" spans="10:10">
      <c r="J448" s="2">
        <f>IFERROR(I448/H448*100,0)</f>
        <v>0</v>
      </c>
    </row>
    <row r="449" spans="10:10">
      <c r="J449" s="2">
        <f>IFERROR(I449/H449*100,0)</f>
        <v>0</v>
      </c>
    </row>
    <row r="450" spans="10:10">
      <c r="J450" s="2">
        <f>IFERROR(I450/H450*100,0)</f>
        <v>0</v>
      </c>
    </row>
    <row r="451" spans="10:10">
      <c r="J451" s="2">
        <f>IFERROR(I451/H451*100,0)</f>
        <v>0</v>
      </c>
    </row>
    <row r="452" spans="10:10">
      <c r="J452" s="2">
        <f>IFERROR(I452/H452*100,0)</f>
        <v>0</v>
      </c>
    </row>
    <row r="453" spans="10:10">
      <c r="J453" s="2">
        <f>IFERROR(I453/H453*100,0)</f>
        <v>0</v>
      </c>
    </row>
    <row r="454" spans="10:10">
      <c r="J454" s="2">
        <f>IFERROR(I454/H454*100,0)</f>
        <v>0</v>
      </c>
    </row>
    <row r="455" spans="10:10">
      <c r="J455" s="2">
        <f>IFERROR(I455/H455*100,0)</f>
        <v>0</v>
      </c>
    </row>
    <row r="456" spans="10:10">
      <c r="J456" s="2">
        <f>IFERROR(I456/H456*100,0)</f>
        <v>0</v>
      </c>
    </row>
    <row r="457" spans="10:10">
      <c r="J457" s="2">
        <f>IFERROR(I457/H457*100,0)</f>
        <v>0</v>
      </c>
    </row>
    <row r="458" spans="10:10">
      <c r="J458" s="2">
        <f>IFERROR(I458/H458*100,0)</f>
        <v>0</v>
      </c>
    </row>
    <row r="459" spans="10:10">
      <c r="J459" s="2">
        <f>IFERROR(I459/H459*100,0)</f>
        <v>0</v>
      </c>
    </row>
    <row r="460" spans="10:10">
      <c r="J460" s="2">
        <f>IFERROR(I460/H460*100,0)</f>
        <v>0</v>
      </c>
    </row>
    <row r="461" spans="10:10">
      <c r="J461" s="2">
        <f>IFERROR(I461/H461*100,0)</f>
        <v>0</v>
      </c>
    </row>
    <row r="462" spans="10:10">
      <c r="J462" s="2">
        <f>IFERROR(I462/H462*100,0)</f>
        <v>0</v>
      </c>
    </row>
    <row r="463" spans="10:10">
      <c r="J463" s="2">
        <f>IFERROR(I463/H463*100,0)</f>
        <v>0</v>
      </c>
    </row>
    <row r="464" spans="10:10">
      <c r="J464" s="2">
        <f>IFERROR(I464/H464*100,0)</f>
        <v>0</v>
      </c>
    </row>
    <row r="465" spans="10:10">
      <c r="J465" s="2">
        <f>IFERROR(I465/H465*100,0)</f>
        <v>0</v>
      </c>
    </row>
    <row r="466" spans="10:10">
      <c r="J466" s="2">
        <f>IFERROR(I466/H466*100,0)</f>
        <v>0</v>
      </c>
    </row>
    <row r="467" spans="10:10">
      <c r="J467" s="2">
        <f>IFERROR(I467/H467*100,0)</f>
        <v>0</v>
      </c>
    </row>
    <row r="468" spans="10:10">
      <c r="J468" s="2">
        <f>IFERROR(I468/H468*100,0)</f>
        <v>0</v>
      </c>
    </row>
    <row r="469" spans="10:10">
      <c r="J469" s="2">
        <f>IFERROR(I469/H469*100,0)</f>
        <v>0</v>
      </c>
    </row>
    <row r="470" spans="10:10">
      <c r="J470" s="2">
        <f>IFERROR(I470/H470*100,0)</f>
        <v>0</v>
      </c>
    </row>
    <row r="471" spans="10:10">
      <c r="J471" s="2">
        <f>IFERROR(I471/H471*100,0)</f>
        <v>0</v>
      </c>
    </row>
    <row r="472" spans="10:10">
      <c r="J472" s="2">
        <f>IFERROR(I472/H472*100,0)</f>
        <v>0</v>
      </c>
    </row>
    <row r="473" spans="10:10">
      <c r="J473" s="2">
        <f>IFERROR(I473/H473*100,0)</f>
        <v>0</v>
      </c>
    </row>
    <row r="474" spans="10:10">
      <c r="J474" s="2">
        <f>IFERROR(I474/H474*100,0)</f>
        <v>0</v>
      </c>
    </row>
    <row r="475" spans="10:10">
      <c r="J475" s="2">
        <f>IFERROR(I475/H475*100,0)</f>
        <v>0</v>
      </c>
    </row>
    <row r="476" spans="10:10">
      <c r="J476" s="2">
        <f>IFERROR(I476/H476*100,0)</f>
        <v>0</v>
      </c>
    </row>
    <row r="477" spans="10:10">
      <c r="J477" s="2">
        <f>IFERROR(I477/H477*100,0)</f>
        <v>0</v>
      </c>
    </row>
    <row r="478" spans="10:10">
      <c r="J478" s="2">
        <f>IFERROR(I478/H478*100,0)</f>
        <v>0</v>
      </c>
    </row>
    <row r="479" spans="10:10">
      <c r="J479" s="2">
        <f>IFERROR(I479/H479*100,0)</f>
        <v>0</v>
      </c>
    </row>
    <row r="480" spans="10:10">
      <c r="J480" s="2">
        <f>IFERROR(I480/H480*100,0)</f>
        <v>0</v>
      </c>
    </row>
    <row r="481" spans="10:10">
      <c r="J481" s="2">
        <f>IFERROR(I481/H481*100,0)</f>
        <v>0</v>
      </c>
    </row>
    <row r="482" spans="10:10">
      <c r="J482" s="2">
        <f>IFERROR(I482/H482*100,0)</f>
        <v>0</v>
      </c>
    </row>
    <row r="483" spans="10:10">
      <c r="J483" s="2">
        <f>IFERROR(I483/H483*100,0)</f>
        <v>0</v>
      </c>
    </row>
    <row r="484" spans="10:10">
      <c r="J484" s="2">
        <f>IFERROR(I484/H484*100,0)</f>
        <v>0</v>
      </c>
    </row>
    <row r="485" spans="10:10">
      <c r="J485" s="2">
        <f>IFERROR(I485/H485*100,0)</f>
        <v>0</v>
      </c>
    </row>
    <row r="486" spans="10:10">
      <c r="J486" s="2">
        <f>IFERROR(I486/H486*100,0)</f>
        <v>0</v>
      </c>
    </row>
    <row r="487" spans="10:10">
      <c r="J487" s="2">
        <f>IFERROR(I487/H487*100,0)</f>
        <v>0</v>
      </c>
    </row>
    <row r="488" spans="10:10">
      <c r="J488" s="2">
        <f>IFERROR(I488/H488*100,0)</f>
        <v>0</v>
      </c>
    </row>
    <row r="489" spans="10:10">
      <c r="J489" s="2">
        <f>IFERROR(I489/H489*100,0)</f>
        <v>0</v>
      </c>
    </row>
    <row r="490" spans="10:10">
      <c r="J490" s="2">
        <f>IFERROR(I490/H490*100,0)</f>
        <v>0</v>
      </c>
    </row>
    <row r="491" spans="10:10">
      <c r="J491" s="2">
        <f>IFERROR(I491/H491*100,0)</f>
        <v>0</v>
      </c>
    </row>
    <row r="492" spans="10:10">
      <c r="J492" s="2">
        <f>IFERROR(I492/H492*100,0)</f>
        <v>0</v>
      </c>
    </row>
    <row r="493" spans="10:10">
      <c r="J493" s="2">
        <f>IFERROR(I493/H493*100,0)</f>
        <v>0</v>
      </c>
    </row>
    <row r="494" spans="10:10">
      <c r="J494" s="2">
        <f>IFERROR(I494/H494*100,0)</f>
        <v>0</v>
      </c>
    </row>
    <row r="495" spans="10:10">
      <c r="J495" s="2">
        <f>IFERROR(I495/H495*100,0)</f>
        <v>0</v>
      </c>
    </row>
    <row r="496" spans="10:10">
      <c r="J496" s="2">
        <f>IFERROR(I496/H496*100,0)</f>
        <v>0</v>
      </c>
    </row>
    <row r="497" spans="10:10">
      <c r="J497" s="2">
        <f>IFERROR(I497/H497*100,0)</f>
        <v>0</v>
      </c>
    </row>
    <row r="498" spans="10:10">
      <c r="J498" s="2">
        <f>IFERROR(I498/H498*100,0)</f>
        <v>0</v>
      </c>
    </row>
    <row r="499" spans="10:10">
      <c r="J499" s="2">
        <f>IFERROR(I499/H499*100,0)</f>
        <v>0</v>
      </c>
    </row>
    <row r="500" spans="10:10">
      <c r="J500" s="2">
        <f>IFERROR(I500/H500*100,0)</f>
        <v>0</v>
      </c>
    </row>
    <row r="501" spans="10:10">
      <c r="J501" s="2">
        <f>IFERROR(I501/H501*100,0)</f>
        <v>0</v>
      </c>
    </row>
    <row r="502" spans="10:10">
      <c r="J502" s="2">
        <f>IFERROR(I502/H502*100,0)</f>
        <v>0</v>
      </c>
    </row>
    <row r="503" spans="10:10">
      <c r="J503" s="2">
        <f>IFERROR(I503/H503*100,0)</f>
        <v>0</v>
      </c>
    </row>
    <row r="504" spans="10:10">
      <c r="J504" s="2">
        <f>IFERROR(I504/H504*100,0)</f>
        <v>0</v>
      </c>
    </row>
    <row r="505" spans="10:10">
      <c r="J505" s="2">
        <f>IFERROR(I505/H505*100,0)</f>
        <v>0</v>
      </c>
    </row>
    <row r="506" spans="10:10">
      <c r="J506" s="2">
        <f>IFERROR(I506/H506*100,0)</f>
        <v>0</v>
      </c>
    </row>
    <row r="507" spans="10:10">
      <c r="J507" s="2">
        <f>IFERROR(I507/H507*100,0)</f>
        <v>0</v>
      </c>
    </row>
    <row r="508" spans="10:10">
      <c r="J508" s="2">
        <f>IFERROR(I508/H508*100,0)</f>
        <v>0</v>
      </c>
    </row>
    <row r="509" spans="10:10">
      <c r="J509" s="2">
        <f>IFERROR(I509/H509*100,0)</f>
        <v>0</v>
      </c>
    </row>
    <row r="510" spans="10:10">
      <c r="J510" s="2">
        <f>IFERROR(I510/H510*100,0)</f>
        <v>0</v>
      </c>
    </row>
    <row r="511" spans="10:10">
      <c r="J511" s="2">
        <f>IFERROR(I511/H511*100,0)</f>
        <v>0</v>
      </c>
    </row>
    <row r="512" spans="10:10">
      <c r="J512" s="2">
        <f>IFERROR(I512/H512*100,0)</f>
        <v>0</v>
      </c>
    </row>
    <row r="513" spans="10:10">
      <c r="J513" s="2">
        <f>IFERROR(I513/H513*100,0)</f>
        <v>0</v>
      </c>
    </row>
    <row r="514" spans="10:10">
      <c r="J514" s="2">
        <f>IFERROR(I514/H514*100,0)</f>
        <v>0</v>
      </c>
    </row>
    <row r="515" spans="10:10">
      <c r="J515" s="2">
        <f>IFERROR(I515/H515*100,0)</f>
        <v>0</v>
      </c>
    </row>
    <row r="516" spans="10:10">
      <c r="J516" s="2">
        <f>IFERROR(I516/H516*100,0)</f>
        <v>0</v>
      </c>
    </row>
    <row r="517" spans="10:10">
      <c r="J517" s="2">
        <f>IFERROR(I517/H517*100,0)</f>
        <v>0</v>
      </c>
    </row>
    <row r="518" spans="10:10">
      <c r="J518" s="2">
        <f>IFERROR(I518/H518*100,0)</f>
        <v>0</v>
      </c>
    </row>
    <row r="519" spans="10:10">
      <c r="J519" s="2">
        <f>IFERROR(I519/H519*100,0)</f>
        <v>0</v>
      </c>
    </row>
    <row r="520" spans="10:10">
      <c r="J520" s="2">
        <f>IFERROR(I520/H520*100,0)</f>
        <v>0</v>
      </c>
    </row>
    <row r="521" spans="10:10">
      <c r="J521" s="2">
        <f>IFERROR(I521/H521*100,0)</f>
        <v>0</v>
      </c>
    </row>
    <row r="522" spans="10:10">
      <c r="J522" s="2">
        <f>IFERROR(I522/H522*100,0)</f>
        <v>0</v>
      </c>
    </row>
    <row r="523" spans="10:10">
      <c r="J523" s="2">
        <f>IFERROR(I523/H523*100,0)</f>
        <v>0</v>
      </c>
    </row>
    <row r="524" spans="10:10">
      <c r="J524" s="2">
        <f>IFERROR(I524/H524*100,0)</f>
        <v>0</v>
      </c>
    </row>
    <row r="525" spans="10:10">
      <c r="J525" s="2">
        <f>IFERROR(I525/H525*100,0)</f>
        <v>0</v>
      </c>
    </row>
    <row r="526" spans="10:10">
      <c r="J526" s="2">
        <f>IFERROR(I526/H526*100,0)</f>
        <v>0</v>
      </c>
    </row>
    <row r="527" spans="10:10">
      <c r="J527" s="2">
        <f>IFERROR(I527/H527*100,0)</f>
        <v>0</v>
      </c>
    </row>
    <row r="528" spans="10:10">
      <c r="J528" s="2">
        <f>IFERROR(I528/H528*100,0)</f>
        <v>0</v>
      </c>
    </row>
    <row r="529" spans="10:10">
      <c r="J529" s="2">
        <f>IFERROR(I529/H529*100,0)</f>
        <v>0</v>
      </c>
    </row>
    <row r="530" spans="10:10">
      <c r="J530" s="2">
        <f>IFERROR(I530/H530*100,0)</f>
        <v>0</v>
      </c>
    </row>
    <row r="531" spans="10:10">
      <c r="J531" s="2">
        <f>IFERROR(I531/H531*100,0)</f>
        <v>0</v>
      </c>
    </row>
    <row r="532" spans="10:10">
      <c r="J532" s="2">
        <f>IFERROR(I532/H532*100,0)</f>
        <v>0</v>
      </c>
    </row>
    <row r="533" spans="10:10">
      <c r="J533" s="2">
        <f>IFERROR(I533/H533*100,0)</f>
        <v>0</v>
      </c>
    </row>
    <row r="534" spans="10:10">
      <c r="J534" s="2">
        <f>IFERROR(I534/H534*100,0)</f>
        <v>0</v>
      </c>
    </row>
    <row r="535" spans="10:10">
      <c r="J535" s="2">
        <f>IFERROR(I535/H535*100,0)</f>
        <v>0</v>
      </c>
    </row>
    <row r="536" spans="10:10">
      <c r="J536" s="2">
        <f>IFERROR(I536/H536*100,0)</f>
        <v>0</v>
      </c>
    </row>
    <row r="537" spans="10:10">
      <c r="J537" s="2">
        <f>IFERROR(I537/H537*100,0)</f>
        <v>0</v>
      </c>
    </row>
    <row r="538" spans="10:10">
      <c r="J538" s="2">
        <f>IFERROR(I538/H538*100,0)</f>
        <v>0</v>
      </c>
    </row>
    <row r="539" spans="10:10">
      <c r="J539" s="2">
        <f>IFERROR(I539/H539*100,0)</f>
        <v>0</v>
      </c>
    </row>
    <row r="540" spans="10:10">
      <c r="J540" s="2">
        <f>IFERROR(I540/H540*100,0)</f>
        <v>0</v>
      </c>
    </row>
    <row r="541" spans="10:10">
      <c r="J541" s="2">
        <f>IFERROR(I541/H541*100,0)</f>
        <v>0</v>
      </c>
    </row>
    <row r="542" spans="10:10">
      <c r="J542" s="2">
        <f>IFERROR(I542/H542*100,0)</f>
        <v>0</v>
      </c>
    </row>
    <row r="543" spans="10:10">
      <c r="J543" s="2">
        <f>IFERROR(I543/H543*100,0)</f>
        <v>0</v>
      </c>
    </row>
    <row r="544" spans="10:10">
      <c r="J544" s="2">
        <f>IFERROR(I544/H544*100,0)</f>
        <v>0</v>
      </c>
    </row>
    <row r="545" spans="10:10">
      <c r="J545" s="2">
        <f>IFERROR(I545/H545*100,0)</f>
        <v>0</v>
      </c>
    </row>
    <row r="546" spans="10:10">
      <c r="J546" s="2">
        <f>IFERROR(I546/H546*100,0)</f>
        <v>0</v>
      </c>
    </row>
    <row r="547" spans="10:10">
      <c r="J547" s="2">
        <f>IFERROR(I547/H547*100,0)</f>
        <v>0</v>
      </c>
    </row>
    <row r="548" spans="10:10">
      <c r="J548" s="2">
        <f>IFERROR(I548/H548*100,0)</f>
        <v>0</v>
      </c>
    </row>
    <row r="549" spans="10:10">
      <c r="J549" s="2">
        <f>IFERROR(I549/H549*100,0)</f>
        <v>0</v>
      </c>
    </row>
    <row r="550" spans="10:10">
      <c r="J550" s="2">
        <f>IFERROR(I550/H550*100,0)</f>
        <v>0</v>
      </c>
    </row>
    <row r="551" spans="10:10">
      <c r="J551" s="2">
        <f>IFERROR(I551/H551*100,0)</f>
        <v>0</v>
      </c>
    </row>
    <row r="552" spans="10:10">
      <c r="J552" s="2">
        <f>IFERROR(I552/H552*100,0)</f>
        <v>0</v>
      </c>
    </row>
    <row r="553" spans="10:10">
      <c r="J553" s="2">
        <f>IFERROR(I553/H553*100,0)</f>
        <v>0</v>
      </c>
    </row>
    <row r="554" spans="10:10">
      <c r="J554" s="2">
        <f>IFERROR(I554/H554*100,0)</f>
        <v>0</v>
      </c>
    </row>
    <row r="555" spans="10:10">
      <c r="J555" s="2">
        <f>IFERROR(I555/H555*100,0)</f>
        <v>0</v>
      </c>
    </row>
    <row r="556" spans="10:10">
      <c r="J556" s="2">
        <f>IFERROR(I556/H556*100,0)</f>
        <v>0</v>
      </c>
    </row>
    <row r="557" spans="10:10">
      <c r="J557" s="2">
        <f>IFERROR(I557/H557*100,0)</f>
        <v>0</v>
      </c>
    </row>
    <row r="558" spans="10:10">
      <c r="J558" s="2">
        <f>IFERROR(I558/H558*100,0)</f>
        <v>0</v>
      </c>
    </row>
    <row r="559" spans="10:10">
      <c r="J559" s="2">
        <f>IFERROR(I559/H559*100,0)</f>
        <v>0</v>
      </c>
    </row>
    <row r="560" spans="10:10">
      <c r="J560" s="2">
        <f>IFERROR(I560/H560*100,0)</f>
        <v>0</v>
      </c>
    </row>
    <row r="561" spans="10:10">
      <c r="J561" s="2">
        <f>IFERROR(I561/H561*100,0)</f>
        <v>0</v>
      </c>
    </row>
    <row r="562" spans="10:10">
      <c r="J562" s="2">
        <f>IFERROR(I562/H562*100,0)</f>
        <v>0</v>
      </c>
    </row>
    <row r="563" spans="10:10">
      <c r="J563" s="2">
        <f>IFERROR(I563/H563*100,0)</f>
        <v>0</v>
      </c>
    </row>
    <row r="564" spans="10:10">
      <c r="J564" s="2">
        <f>IFERROR(I564/H564*100,0)</f>
        <v>0</v>
      </c>
    </row>
    <row r="565" spans="10:10">
      <c r="J565" s="2">
        <f>IFERROR(I565/H565*100,0)</f>
        <v>0</v>
      </c>
    </row>
    <row r="566" spans="10:10">
      <c r="J566" s="2">
        <f>IFERROR(I566/H566*100,0)</f>
        <v>0</v>
      </c>
    </row>
    <row r="567" spans="10:10">
      <c r="J567" s="2">
        <f>IFERROR(I567/H567*100,0)</f>
        <v>0</v>
      </c>
    </row>
    <row r="568" spans="10:10">
      <c r="J568" s="2">
        <f>IFERROR(I568/H568*100,0)</f>
        <v>0</v>
      </c>
    </row>
    <row r="569" spans="10:10">
      <c r="J569" s="2">
        <f>IFERROR(I569/H569*100,0)</f>
        <v>0</v>
      </c>
    </row>
    <row r="570" spans="10:10">
      <c r="J570" s="2">
        <f>IFERROR(I570/H570*100,0)</f>
        <v>0</v>
      </c>
    </row>
    <row r="571" spans="10:10">
      <c r="J571" s="2">
        <f>IFERROR(I571/H571*100,0)</f>
        <v>0</v>
      </c>
    </row>
    <row r="572" spans="10:10">
      <c r="J572" s="2">
        <f>IFERROR(I572/H572*100,0)</f>
        <v>0</v>
      </c>
    </row>
    <row r="573" spans="10:10">
      <c r="J573" s="2">
        <f>IFERROR(I573/H573*100,0)</f>
        <v>0</v>
      </c>
    </row>
    <row r="574" spans="10:10">
      <c r="J574" s="2">
        <f>IFERROR(I574/H574*100,0)</f>
        <v>0</v>
      </c>
    </row>
    <row r="575" spans="10:10">
      <c r="J575" s="2">
        <f>IFERROR(I575/H575*100,0)</f>
        <v>0</v>
      </c>
    </row>
    <row r="576" spans="10:10">
      <c r="J576" s="2">
        <f>IFERROR(I576/H576*100,0)</f>
        <v>0</v>
      </c>
    </row>
    <row r="577" spans="10:10">
      <c r="J577" s="2">
        <f>IFERROR(I577/H577*100,0)</f>
        <v>0</v>
      </c>
    </row>
    <row r="578" spans="10:10">
      <c r="J578" s="2">
        <f>IFERROR(I578/H578*100,0)</f>
        <v>0</v>
      </c>
    </row>
    <row r="579" spans="10:10">
      <c r="J579" s="2">
        <f>IFERROR(I579/H579*100,0)</f>
        <v>0</v>
      </c>
    </row>
    <row r="580" spans="10:10">
      <c r="J580" s="2">
        <f>IFERROR(I580/H580*100,0)</f>
        <v>0</v>
      </c>
    </row>
    <row r="581" spans="10:10">
      <c r="J581" s="2">
        <f>IFERROR(I581/H581*100,0)</f>
        <v>0</v>
      </c>
    </row>
    <row r="582" spans="10:10">
      <c r="J582" s="2">
        <f>IFERROR(I582/H582*100,0)</f>
        <v>0</v>
      </c>
    </row>
    <row r="583" spans="10:10">
      <c r="J583" s="2">
        <f>IFERROR(I583/H583*100,0)</f>
        <v>0</v>
      </c>
    </row>
    <row r="584" spans="10:10">
      <c r="J584" s="2">
        <f>IFERROR(I584/H584*100,0)</f>
        <v>0</v>
      </c>
    </row>
    <row r="585" spans="10:10">
      <c r="J585" s="2">
        <f>IFERROR(I585/H585*100,0)</f>
        <v>0</v>
      </c>
    </row>
    <row r="586" spans="10:10">
      <c r="J586" s="2">
        <f>IFERROR(I586/H586*100,0)</f>
        <v>0</v>
      </c>
    </row>
    <row r="587" spans="10:10">
      <c r="J587" s="2">
        <f>IFERROR(I587/H587*100,0)</f>
        <v>0</v>
      </c>
    </row>
    <row r="588" spans="10:10">
      <c r="J588" s="2">
        <f>IFERROR(I588/H588*100,0)</f>
        <v>0</v>
      </c>
    </row>
    <row r="589" spans="10:10">
      <c r="J589" s="2">
        <f>IFERROR(I589/H589*100,0)</f>
        <v>0</v>
      </c>
    </row>
    <row r="590" spans="10:10">
      <c r="J590" s="2">
        <f>IFERROR(I590/H590*100,0)</f>
        <v>0</v>
      </c>
    </row>
    <row r="591" spans="10:10">
      <c r="J591" s="2">
        <f>IFERROR(I591/H591*100,0)</f>
        <v>0</v>
      </c>
    </row>
    <row r="592" spans="10:10">
      <c r="J592" s="2">
        <f>IFERROR(I592/H592*100,0)</f>
        <v>0</v>
      </c>
    </row>
    <row r="593" spans="10:10">
      <c r="J593" s="2">
        <f>IFERROR(I593/H593*100,0)</f>
        <v>0</v>
      </c>
    </row>
    <row r="594" spans="10:10">
      <c r="J594" s="2">
        <f>IFERROR(I594/H594*100,0)</f>
        <v>0</v>
      </c>
    </row>
    <row r="595" spans="10:10">
      <c r="J595" s="2">
        <f>IFERROR(I595/H595*100,0)</f>
        <v>0</v>
      </c>
    </row>
    <row r="596" spans="10:10">
      <c r="J596" s="2">
        <f>IFERROR(I596/H596*100,0)</f>
        <v>0</v>
      </c>
    </row>
    <row r="597" spans="10:10">
      <c r="J597" s="2">
        <f>IFERROR(I597/H597*100,0)</f>
        <v>0</v>
      </c>
    </row>
    <row r="598" spans="10:10">
      <c r="J598" s="2">
        <f>IFERROR(I598/H598*100,0)</f>
        <v>0</v>
      </c>
    </row>
    <row r="599" spans="10:10">
      <c r="J599" s="2">
        <f>IFERROR(I599/H599*100,0)</f>
        <v>0</v>
      </c>
    </row>
    <row r="600" spans="10:10">
      <c r="J600" s="2">
        <f>IFERROR(I600/H600*100,0)</f>
        <v>0</v>
      </c>
    </row>
    <row r="601" spans="10:10">
      <c r="J601" s="2">
        <f>IFERROR(I601/H601*100,0)</f>
        <v>0</v>
      </c>
    </row>
    <row r="602" spans="10:10">
      <c r="J602" s="2">
        <f>IFERROR(I602/H602*100,0)</f>
        <v>0</v>
      </c>
    </row>
    <row r="603" spans="10:10">
      <c r="J603" s="2">
        <f>IFERROR(I603/H603*100,0)</f>
        <v>0</v>
      </c>
    </row>
    <row r="604" spans="10:10">
      <c r="J604" s="2">
        <f>IFERROR(I604/H604*100,0)</f>
        <v>0</v>
      </c>
    </row>
    <row r="605" spans="10:10">
      <c r="J605" s="2">
        <f>IFERROR(I605/H605*100,0)</f>
        <v>0</v>
      </c>
    </row>
    <row r="606" spans="10:10">
      <c r="J606" s="2">
        <f>IFERROR(I606/H606*100,0)</f>
        <v>0</v>
      </c>
    </row>
    <row r="607" spans="10:10">
      <c r="J607" s="2">
        <f>IFERROR(I607/H607*100,0)</f>
        <v>0</v>
      </c>
    </row>
    <row r="608" spans="10:10">
      <c r="J608" s="2">
        <f>IFERROR(I608/H608*100,0)</f>
        <v>0</v>
      </c>
    </row>
    <row r="609" spans="10:10">
      <c r="J609" s="2">
        <f>IFERROR(I609/H609*100,0)</f>
        <v>0</v>
      </c>
    </row>
    <row r="610" spans="10:10">
      <c r="J610" s="2">
        <f>IFERROR(I610/H610*100,0)</f>
        <v>0</v>
      </c>
    </row>
    <row r="611" spans="10:10">
      <c r="J611" s="2">
        <f>IFERROR(I611/H611*100,0)</f>
        <v>0</v>
      </c>
    </row>
    <row r="612" spans="10:10">
      <c r="J612" s="2">
        <f>IFERROR(I612/H612*100,0)</f>
        <v>0</v>
      </c>
    </row>
    <row r="613" spans="10:10">
      <c r="J613" s="2">
        <f>IFERROR(I613/H613*100,0)</f>
        <v>0</v>
      </c>
    </row>
    <row r="614" spans="10:10">
      <c r="J614" s="2">
        <f>IFERROR(I614/H614*100,0)</f>
        <v>0</v>
      </c>
    </row>
    <row r="615" spans="10:10">
      <c r="J615" s="2">
        <f>IFERROR(I615/H615*100,0)</f>
        <v>0</v>
      </c>
    </row>
    <row r="616" spans="10:10">
      <c r="J616" s="2">
        <f>IFERROR(I616/H616*100,0)</f>
        <v>0</v>
      </c>
    </row>
    <row r="617" spans="10:10">
      <c r="J617" s="2">
        <f>IFERROR(I617/H617*100,0)</f>
        <v>0</v>
      </c>
    </row>
    <row r="618" spans="10:10">
      <c r="J618" s="2">
        <f>IFERROR(I618/H618*100,0)</f>
        <v>0</v>
      </c>
    </row>
    <row r="619" spans="10:10">
      <c r="J619" s="2">
        <f>IFERROR(I619/H619*100,0)</f>
        <v>0</v>
      </c>
    </row>
    <row r="620" spans="10:10">
      <c r="J620" s="2">
        <f>IFERROR(I620/H620*100,0)</f>
        <v>0</v>
      </c>
    </row>
    <row r="621" spans="10:10">
      <c r="J621" s="2">
        <f>IFERROR(I621/H621*100,0)</f>
        <v>0</v>
      </c>
    </row>
    <row r="622" spans="10:10">
      <c r="J622" s="2">
        <f>IFERROR(I622/H622*100,0)</f>
        <v>0</v>
      </c>
    </row>
    <row r="623" spans="10:10">
      <c r="J623" s="2">
        <f>IFERROR(I623/H623*100,0)</f>
        <v>0</v>
      </c>
    </row>
    <row r="624" spans="10:10">
      <c r="J624" s="2">
        <f>IFERROR(I624/H624*100,0)</f>
        <v>0</v>
      </c>
    </row>
    <row r="625" spans="10:10">
      <c r="J625" s="2">
        <f>IFERROR(I625/H625*100,0)</f>
        <v>0</v>
      </c>
    </row>
    <row r="626" spans="10:10">
      <c r="J626" s="2">
        <f>IFERROR(I626/H626*100,0)</f>
        <v>0</v>
      </c>
    </row>
    <row r="627" spans="10:10">
      <c r="J627" s="2">
        <f>IFERROR(I627/H627*100,0)</f>
        <v>0</v>
      </c>
    </row>
    <row r="628" spans="10:10">
      <c r="J628" s="2">
        <f>IFERROR(I628/H628*100,0)</f>
        <v>0</v>
      </c>
    </row>
    <row r="629" spans="10:10">
      <c r="J629" s="2">
        <f>IFERROR(I629/H629*100,0)</f>
        <v>0</v>
      </c>
    </row>
    <row r="630" spans="10:10">
      <c r="J630" s="2">
        <f>IFERROR(I630/H630*100,0)</f>
        <v>0</v>
      </c>
    </row>
    <row r="631" spans="10:10">
      <c r="J631" s="2">
        <f>IFERROR(I631/H631*100,0)</f>
        <v>0</v>
      </c>
    </row>
    <row r="632" spans="10:10">
      <c r="J632" s="2">
        <f>IFERROR(I632/H632*100,0)</f>
        <v>0</v>
      </c>
    </row>
    <row r="633" spans="10:10">
      <c r="J633" s="2">
        <f>IFERROR(I633/H633*100,0)</f>
        <v>0</v>
      </c>
    </row>
    <row r="634" spans="10:10">
      <c r="J634" s="2">
        <f>IFERROR(I634/H634*100,0)</f>
        <v>0</v>
      </c>
    </row>
    <row r="635" spans="10:10">
      <c r="J635" s="2">
        <f>IFERROR(I635/H635*100,0)</f>
        <v>0</v>
      </c>
    </row>
    <row r="636" spans="10:10">
      <c r="J636" s="2">
        <f>IFERROR(I636/H636*100,0)</f>
        <v>0</v>
      </c>
    </row>
    <row r="637" spans="10:10">
      <c r="J637" s="2">
        <f>IFERROR(I637/H637*100,0)</f>
        <v>0</v>
      </c>
    </row>
    <row r="638" spans="10:10">
      <c r="J638" s="2">
        <f>IFERROR(I638/H638*100,0)</f>
        <v>0</v>
      </c>
    </row>
    <row r="639" spans="10:10">
      <c r="J639" s="2">
        <f>IFERROR(I639/H639*100,0)</f>
        <v>0</v>
      </c>
    </row>
    <row r="640" spans="10:10">
      <c r="J640" s="2">
        <f>IFERROR(I640/H640*100,0)</f>
        <v>0</v>
      </c>
    </row>
    <row r="641" spans="10:10">
      <c r="J641" s="2">
        <f>IFERROR(I641/H641*100,0)</f>
        <v>0</v>
      </c>
    </row>
    <row r="642" spans="10:10">
      <c r="J642" s="2">
        <f>IFERROR(I642/H642*100,0)</f>
        <v>0</v>
      </c>
    </row>
    <row r="643" spans="10:10">
      <c r="J643" s="2">
        <f>IFERROR(I643/H643*100,0)</f>
        <v>0</v>
      </c>
    </row>
    <row r="644" spans="10:10">
      <c r="J644" s="2">
        <f>IFERROR(I644/H644*100,0)</f>
        <v>0</v>
      </c>
    </row>
    <row r="645" spans="10:10">
      <c r="J645" s="2">
        <f>IFERROR(I645/H645*100,0)</f>
        <v>0</v>
      </c>
    </row>
    <row r="646" spans="10:10">
      <c r="J646" s="2">
        <f>IFERROR(I646/H646*100,0)</f>
        <v>0</v>
      </c>
    </row>
    <row r="647" spans="10:10">
      <c r="J647" s="2">
        <f>IFERROR(I647/H647*100,0)</f>
        <v>0</v>
      </c>
    </row>
    <row r="648" spans="10:10">
      <c r="J648" s="2">
        <f>IFERROR(I648/H648*100,0)</f>
        <v>0</v>
      </c>
    </row>
    <row r="649" spans="10:10">
      <c r="J649" s="2">
        <f>IFERROR(I649/H649*100,0)</f>
        <v>0</v>
      </c>
    </row>
    <row r="650" spans="10:10">
      <c r="J650" s="2">
        <f>IFERROR(I650/H650*100,0)</f>
        <v>0</v>
      </c>
    </row>
    <row r="651" spans="10:10">
      <c r="J651" s="2">
        <f>IFERROR(I651/H651*100,0)</f>
        <v>0</v>
      </c>
    </row>
    <row r="652" spans="10:10">
      <c r="J652" s="2">
        <f>IFERROR(I652/H652*100,0)</f>
        <v>0</v>
      </c>
    </row>
    <row r="653" spans="10:10">
      <c r="J653" s="2">
        <f>IFERROR(I653/H653*100,0)</f>
        <v>0</v>
      </c>
    </row>
    <row r="654" spans="10:10">
      <c r="J654" s="2">
        <f>IFERROR(I654/H654*100,0)</f>
        <v>0</v>
      </c>
    </row>
    <row r="655" spans="10:10">
      <c r="J655" s="2">
        <f>IFERROR(I655/H655*100,0)</f>
        <v>0</v>
      </c>
    </row>
    <row r="656" spans="10:10">
      <c r="J656" s="2">
        <f>IFERROR(I656/H656*100,0)</f>
        <v>0</v>
      </c>
    </row>
    <row r="657" spans="10:10">
      <c r="J657" s="2">
        <f>IFERROR(I657/H657*100,0)</f>
        <v>0</v>
      </c>
    </row>
    <row r="658" spans="10:10">
      <c r="J658" s="2">
        <f>IFERROR(I658/H658*100,0)</f>
        <v>0</v>
      </c>
    </row>
    <row r="659" spans="10:10">
      <c r="J659" s="2">
        <f>IFERROR(I659/H659*100,0)</f>
        <v>0</v>
      </c>
    </row>
    <row r="660" spans="10:10">
      <c r="J660" s="2">
        <f>IFERROR(I660/H660*100,0)</f>
        <v>0</v>
      </c>
    </row>
    <row r="661" spans="10:10">
      <c r="J661" s="2">
        <f>IFERROR(I661/H661*100,0)</f>
        <v>0</v>
      </c>
    </row>
    <row r="662" spans="10:10">
      <c r="J662" s="2">
        <f>IFERROR(I662/H662*100,0)</f>
        <v>0</v>
      </c>
    </row>
    <row r="663" spans="10:10">
      <c r="J663" s="2">
        <f>IFERROR(I663/H663*100,0)</f>
        <v>0</v>
      </c>
    </row>
    <row r="664" spans="10:10">
      <c r="J664" s="2">
        <f>IFERROR(I664/H664*100,0)</f>
        <v>0</v>
      </c>
    </row>
    <row r="665" spans="10:10">
      <c r="J665" s="2">
        <f>IFERROR(I665/H665*100,0)</f>
        <v>0</v>
      </c>
    </row>
    <row r="666" spans="10:10">
      <c r="J666" s="2">
        <f>IFERROR(I666/H666*100,0)</f>
        <v>0</v>
      </c>
    </row>
    <row r="667" spans="10:10">
      <c r="J667" s="2">
        <f>IFERROR(I667/H667*100,0)</f>
        <v>0</v>
      </c>
    </row>
    <row r="668" spans="10:10">
      <c r="J668" s="2">
        <f>IFERROR(I668/H668*100,0)</f>
        <v>0</v>
      </c>
    </row>
    <row r="669" spans="10:10">
      <c r="J669" s="2">
        <f>IFERROR(I669/H669*100,0)</f>
        <v>0</v>
      </c>
    </row>
    <row r="670" spans="10:10">
      <c r="J670" s="2">
        <f>IFERROR(I670/H670*100,0)</f>
        <v>0</v>
      </c>
    </row>
    <row r="671" spans="10:10">
      <c r="J671" s="2">
        <f>IFERROR(I671/H671*100,0)</f>
        <v>0</v>
      </c>
    </row>
    <row r="672" spans="10:10">
      <c r="J672" s="2">
        <f>IFERROR(I672/H672*100,0)</f>
        <v>0</v>
      </c>
    </row>
    <row r="673" spans="10:10">
      <c r="J673" s="2">
        <f>IFERROR(I673/H673*100,0)</f>
        <v>0</v>
      </c>
    </row>
    <row r="674" spans="10:10">
      <c r="J674" s="2">
        <f>IFERROR(I674/H674*100,0)</f>
        <v>0</v>
      </c>
    </row>
    <row r="675" spans="10:10">
      <c r="J675" s="2">
        <f>IFERROR(I675/H675*100,0)</f>
        <v>0</v>
      </c>
    </row>
    <row r="676" spans="10:10">
      <c r="J676" s="2">
        <f>IFERROR(I676/H676*100,0)</f>
        <v>0</v>
      </c>
    </row>
    <row r="677" spans="10:10">
      <c r="J677" s="2">
        <f>IFERROR(I677/H677*100,0)</f>
        <v>0</v>
      </c>
    </row>
    <row r="678" spans="10:10">
      <c r="J678" s="2">
        <f>IFERROR(I678/H678*100,0)</f>
        <v>0</v>
      </c>
    </row>
    <row r="679" spans="10:10">
      <c r="J679" s="2">
        <f>IFERROR(I679/H679*100,0)</f>
        <v>0</v>
      </c>
    </row>
    <row r="680" spans="10:10">
      <c r="J680" s="2">
        <f>IFERROR(I680/H680*100,0)</f>
        <v>0</v>
      </c>
    </row>
    <row r="681" spans="10:10">
      <c r="J681" s="2">
        <f>IFERROR(I681/H681*100,0)</f>
        <v>0</v>
      </c>
    </row>
    <row r="682" spans="10:10">
      <c r="J682" s="2">
        <f>IFERROR(I682/H682*100,0)</f>
        <v>0</v>
      </c>
    </row>
    <row r="683" spans="10:10">
      <c r="J683" s="2">
        <f>IFERROR(I683/H683*100,0)</f>
        <v>0</v>
      </c>
    </row>
    <row r="684" spans="10:10">
      <c r="J684" s="2">
        <f>IFERROR(I684/H684*100,0)</f>
        <v>0</v>
      </c>
    </row>
    <row r="685" spans="10:10">
      <c r="J685" s="2">
        <f>IFERROR(I685/H685*100,0)</f>
        <v>0</v>
      </c>
    </row>
    <row r="686" spans="10:10">
      <c r="J686" s="2">
        <f>IFERROR(I686/H686*100,0)</f>
        <v>0</v>
      </c>
    </row>
    <row r="687" spans="10:10">
      <c r="J687" s="2">
        <f>IFERROR(I687/H687*100,0)</f>
        <v>0</v>
      </c>
    </row>
    <row r="688" spans="10:10">
      <c r="J688" s="2">
        <f>IFERROR(I688/H688*100,0)</f>
        <v>0</v>
      </c>
    </row>
    <row r="689" spans="10:10">
      <c r="J689" s="2">
        <f>IFERROR(I689/H689*100,0)</f>
        <v>0</v>
      </c>
    </row>
    <row r="690" spans="10:10">
      <c r="J690" s="2">
        <f>IFERROR(I690/H690*100,0)</f>
        <v>0</v>
      </c>
    </row>
    <row r="691" spans="10:10">
      <c r="J691" s="2">
        <f>IFERROR(I691/H691*100,0)</f>
        <v>0</v>
      </c>
    </row>
    <row r="692" spans="10:10">
      <c r="J692" s="2">
        <f>IFERROR(I692/H692*100,0)</f>
        <v>0</v>
      </c>
    </row>
    <row r="693" spans="10:10">
      <c r="J693" s="2">
        <f>IFERROR(I693/H693*100,0)</f>
        <v>0</v>
      </c>
    </row>
    <row r="694" spans="10:10">
      <c r="J694" s="2">
        <f>IFERROR(I694/H694*100,0)</f>
        <v>0</v>
      </c>
    </row>
    <row r="695" spans="10:10">
      <c r="J695" s="2">
        <f>IFERROR(I695/H695*100,0)</f>
        <v>0</v>
      </c>
    </row>
    <row r="696" spans="10:10">
      <c r="J696" s="2">
        <f>IFERROR(I696/H696*100,0)</f>
        <v>0</v>
      </c>
    </row>
    <row r="697" spans="10:10">
      <c r="J697" s="2">
        <f>IFERROR(I697/H697*100,0)</f>
        <v>0</v>
      </c>
    </row>
    <row r="698" spans="10:10">
      <c r="J698" s="2">
        <f>IFERROR(I698/H698*100,0)</f>
        <v>0</v>
      </c>
    </row>
    <row r="699" spans="10:10">
      <c r="J699" s="2">
        <f>IFERROR(I699/H699*100,0)</f>
        <v>0</v>
      </c>
    </row>
    <row r="700" spans="10:10">
      <c r="J700" s="2">
        <f>IFERROR(I700/H700*100,0)</f>
        <v>0</v>
      </c>
    </row>
    <row r="701" spans="10:10">
      <c r="J701" s="2">
        <f>IFERROR(I701/H701*100,0)</f>
        <v>0</v>
      </c>
    </row>
    <row r="702" spans="10:10">
      <c r="J702" s="2">
        <f>IFERROR(I702/H702*100,0)</f>
        <v>0</v>
      </c>
    </row>
    <row r="703" spans="10:10">
      <c r="J703" s="2">
        <f>IFERROR(I703/H703*100,0)</f>
        <v>0</v>
      </c>
    </row>
    <row r="704" spans="10:10">
      <c r="J704" s="2">
        <f>IFERROR(I704/H704*100,0)</f>
        <v>0</v>
      </c>
    </row>
    <row r="705" spans="10:10">
      <c r="J705" s="2">
        <f>IFERROR(I705/H705*100,0)</f>
        <v>0</v>
      </c>
    </row>
    <row r="706" spans="10:10">
      <c r="J706" s="2">
        <f>IFERROR(I706/H706*100,0)</f>
        <v>0</v>
      </c>
    </row>
    <row r="707" spans="10:10">
      <c r="J707" s="2">
        <f>IFERROR(I707/H707*100,0)</f>
        <v>0</v>
      </c>
    </row>
    <row r="708" spans="10:10">
      <c r="J708" s="2">
        <f>IFERROR(I708/H708*100,0)</f>
        <v>0</v>
      </c>
    </row>
    <row r="709" spans="10:10">
      <c r="J709" s="2">
        <f>IFERROR(I709/H709*100,0)</f>
        <v>0</v>
      </c>
    </row>
    <row r="710" spans="10:10">
      <c r="J710" s="2">
        <f>IFERROR(I710/H710*100,0)</f>
        <v>0</v>
      </c>
    </row>
    <row r="711" spans="10:10">
      <c r="J711" s="2">
        <f>IFERROR(I711/H711*100,0)</f>
        <v>0</v>
      </c>
    </row>
    <row r="712" spans="10:10">
      <c r="J712" s="2">
        <f>IFERROR(I712/H712*100,0)</f>
        <v>0</v>
      </c>
    </row>
    <row r="713" spans="10:10">
      <c r="J713" s="2">
        <f>IFERROR(I713/H713*100,0)</f>
        <v>0</v>
      </c>
    </row>
    <row r="714" spans="10:10">
      <c r="J714" s="2">
        <f>IFERROR(I714/H714*100,0)</f>
        <v>0</v>
      </c>
    </row>
    <row r="715" spans="10:10">
      <c r="J715" s="2">
        <f>IFERROR(I715/H715*100,0)</f>
        <v>0</v>
      </c>
    </row>
    <row r="716" spans="10:10">
      <c r="J716" s="2">
        <f>IFERROR(I716/H716*100,0)</f>
        <v>0</v>
      </c>
    </row>
    <row r="717" spans="10:10">
      <c r="J717" s="2">
        <f>IFERROR(I717/H717*100,0)</f>
        <v>0</v>
      </c>
    </row>
    <row r="718" spans="10:10">
      <c r="J718" s="2">
        <f>IFERROR(I718/H718*100,0)</f>
        <v>0</v>
      </c>
    </row>
    <row r="719" spans="10:10">
      <c r="J719" s="2">
        <f>IFERROR(I719/H719*100,0)</f>
        <v>0</v>
      </c>
    </row>
    <row r="720" spans="10:10">
      <c r="J720" s="2">
        <f>IFERROR(I720/H720*100,0)</f>
        <v>0</v>
      </c>
    </row>
    <row r="721" spans="10:10">
      <c r="J721" s="2">
        <f>IFERROR(I721/H721*100,0)</f>
        <v>0</v>
      </c>
    </row>
    <row r="722" spans="10:10">
      <c r="J722" s="2">
        <f>IFERROR(I722/H722*100,0)</f>
        <v>0</v>
      </c>
    </row>
    <row r="723" spans="10:10">
      <c r="J723" s="2">
        <f>IFERROR(I723/H723*100,0)</f>
        <v>0</v>
      </c>
    </row>
    <row r="724" spans="10:10">
      <c r="J724" s="2">
        <f>IFERROR(I724/H724*100,0)</f>
        <v>0</v>
      </c>
    </row>
    <row r="725" spans="10:10">
      <c r="J725" s="2">
        <f>IFERROR(I725/H725*100,0)</f>
        <v>0</v>
      </c>
    </row>
    <row r="726" spans="10:10">
      <c r="J726" s="2">
        <f>IFERROR(I726/H726*100,0)</f>
        <v>0</v>
      </c>
    </row>
    <row r="727" spans="10:10">
      <c r="J727" s="2">
        <f>IFERROR(I727/H727*100,0)</f>
        <v>0</v>
      </c>
    </row>
    <row r="728" spans="10:10">
      <c r="J728" s="2">
        <f>IFERROR(I728/H728*100,0)</f>
        <v>0</v>
      </c>
    </row>
    <row r="729" spans="10:10">
      <c r="J729" s="2">
        <f>IFERROR(I729/H729*100,0)</f>
        <v>0</v>
      </c>
    </row>
    <row r="730" spans="10:10">
      <c r="J730" s="2">
        <f>IFERROR(I730/H730*100,0)</f>
        <v>0</v>
      </c>
    </row>
    <row r="731" spans="10:10">
      <c r="J731" s="2">
        <f>IFERROR(I731/H731*100,0)</f>
        <v>0</v>
      </c>
    </row>
    <row r="732" spans="10:10">
      <c r="J732" s="2">
        <f>IFERROR(I732/H732*100,0)</f>
        <v>0</v>
      </c>
    </row>
    <row r="733" spans="10:10">
      <c r="J733" s="2">
        <f>IFERROR(I733/H733*100,0)</f>
        <v>0</v>
      </c>
    </row>
    <row r="734" spans="10:10">
      <c r="J734" s="2">
        <f>IFERROR(I734/H734*100,0)</f>
        <v>0</v>
      </c>
    </row>
    <row r="735" spans="10:10">
      <c r="J735" s="2">
        <f>IFERROR(I735/H735*100,0)</f>
        <v>0</v>
      </c>
    </row>
    <row r="736" spans="10:10">
      <c r="J736" s="2">
        <f>IFERROR(I736/H736*100,0)</f>
        <v>0</v>
      </c>
    </row>
    <row r="737" spans="10:10">
      <c r="J737" s="2">
        <f>IFERROR(I737/H737*100,0)</f>
        <v>0</v>
      </c>
    </row>
    <row r="738" spans="10:10">
      <c r="J738" s="2">
        <f>IFERROR(I738/H738*100,0)</f>
        <v>0</v>
      </c>
    </row>
    <row r="739" spans="10:10">
      <c r="J739" s="2">
        <f>IFERROR(I739/H739*100,0)</f>
        <v>0</v>
      </c>
    </row>
    <row r="740" spans="10:10">
      <c r="J740" s="2">
        <f>IFERROR(I740/H740*100,0)</f>
        <v>0</v>
      </c>
    </row>
    <row r="741" spans="10:10">
      <c r="J741" s="2">
        <f>IFERROR(I741/H741*100,0)</f>
        <v>0</v>
      </c>
    </row>
    <row r="742" spans="10:10">
      <c r="J742" s="2">
        <f>IFERROR(I742/H742*100,0)</f>
        <v>0</v>
      </c>
    </row>
    <row r="743" spans="10:10">
      <c r="J743" s="2">
        <f>IFERROR(I743/H743*100,0)</f>
        <v>0</v>
      </c>
    </row>
    <row r="744" spans="10:10">
      <c r="J744" s="2">
        <f>IFERROR(I744/H744*100,0)</f>
        <v>0</v>
      </c>
    </row>
    <row r="745" spans="10:10">
      <c r="J745" s="2">
        <f>IFERROR(I745/H745*100,0)</f>
        <v>0</v>
      </c>
    </row>
    <row r="746" spans="10:10">
      <c r="J746" s="2">
        <f>IFERROR(I746/H746*100,0)</f>
        <v>0</v>
      </c>
    </row>
    <row r="747" spans="10:10">
      <c r="J747" s="2">
        <f>IFERROR(I747/H747*100,0)</f>
        <v>0</v>
      </c>
    </row>
    <row r="748" spans="10:10">
      <c r="J748" s="2">
        <f>IFERROR(I748/H748*100,0)</f>
        <v>0</v>
      </c>
    </row>
    <row r="749" spans="10:10">
      <c r="J749" s="2">
        <f>IFERROR(I749/H749*100,0)</f>
        <v>0</v>
      </c>
    </row>
    <row r="750" spans="10:10">
      <c r="J750" s="2">
        <f>IFERROR(I750/H750*100,0)</f>
        <v>0</v>
      </c>
    </row>
    <row r="751" spans="10:10">
      <c r="J751" s="2">
        <f>IFERROR(I751/H751*100,0)</f>
        <v>0</v>
      </c>
    </row>
    <row r="752" spans="10:10">
      <c r="J752" s="2">
        <f>IFERROR(I752/H752*100,0)</f>
        <v>0</v>
      </c>
    </row>
    <row r="753" spans="10:10">
      <c r="J753" s="2">
        <f>IFERROR(I753/H753*100,0)</f>
        <v>0</v>
      </c>
    </row>
    <row r="754" spans="10:10">
      <c r="J754" s="2">
        <f>IFERROR(I754/H754*100,0)</f>
        <v>0</v>
      </c>
    </row>
    <row r="755" spans="10:10">
      <c r="J755" s="2">
        <f>IFERROR(I755/H755*100,0)</f>
        <v>0</v>
      </c>
    </row>
    <row r="756" spans="10:10">
      <c r="J756" s="2">
        <f>IFERROR(I756/H756*100,0)</f>
        <v>0</v>
      </c>
    </row>
    <row r="757" spans="10:10">
      <c r="J757" s="2">
        <f>IFERROR(I757/H757*100,0)</f>
        <v>0</v>
      </c>
    </row>
    <row r="758" spans="10:10">
      <c r="J758" s="2">
        <f>IFERROR(I758/H758*100,0)</f>
        <v>0</v>
      </c>
    </row>
    <row r="759" spans="10:10">
      <c r="J759" s="2">
        <f>IFERROR(I759/H759*100,0)</f>
        <v>0</v>
      </c>
    </row>
    <row r="760" spans="10:10">
      <c r="J760" s="2">
        <f>IFERROR(I760/H760*100,0)</f>
        <v>0</v>
      </c>
    </row>
    <row r="761" spans="10:10">
      <c r="J761" s="2">
        <f>IFERROR(I761/H761*100,0)</f>
        <v>0</v>
      </c>
    </row>
    <row r="762" spans="10:10">
      <c r="J762" s="2">
        <f>IFERROR(I762/H762*100,0)</f>
        <v>0</v>
      </c>
    </row>
    <row r="763" spans="10:10">
      <c r="J763" s="2">
        <f>IFERROR(I763/H763*100,0)</f>
        <v>0</v>
      </c>
    </row>
    <row r="764" spans="10:10">
      <c r="J764" s="2">
        <f>IFERROR(I764/H764*100,0)</f>
        <v>0</v>
      </c>
    </row>
    <row r="765" spans="10:10">
      <c r="J765" s="2">
        <f>IFERROR(I765/H765*100,0)</f>
        <v>0</v>
      </c>
    </row>
    <row r="766" spans="10:10">
      <c r="J766" s="2">
        <f>IFERROR(I766/H766*100,0)</f>
        <v>0</v>
      </c>
    </row>
    <row r="767" spans="10:10">
      <c r="J767" s="2">
        <f>IFERROR(I767/H767*100,0)</f>
        <v>0</v>
      </c>
    </row>
    <row r="768" spans="10:10">
      <c r="J768" s="2">
        <f>IFERROR(I768/H768*100,0)</f>
        <v>0</v>
      </c>
    </row>
    <row r="769" spans="10:10">
      <c r="J769" s="2">
        <f>IFERROR(I769/H769*100,0)</f>
        <v>0</v>
      </c>
    </row>
    <row r="770" spans="10:10">
      <c r="J770" s="2">
        <f>IFERROR(I770/H770*100,0)</f>
        <v>0</v>
      </c>
    </row>
    <row r="771" spans="10:10">
      <c r="J771" s="2">
        <f>IFERROR(I771/H771*100,0)</f>
        <v>0</v>
      </c>
    </row>
    <row r="772" spans="10:10">
      <c r="J772" s="2">
        <f>IFERROR(I772/H772*100,0)</f>
        <v>0</v>
      </c>
    </row>
    <row r="773" spans="10:10">
      <c r="J773" s="2">
        <f>IFERROR(I773/H773*100,0)</f>
        <v>0</v>
      </c>
    </row>
    <row r="774" spans="10:10">
      <c r="J774" s="2">
        <f>IFERROR(I774/H774*100,0)</f>
        <v>0</v>
      </c>
    </row>
    <row r="775" spans="10:10">
      <c r="J775" s="2">
        <f>IFERROR(I775/H775*100,0)</f>
        <v>0</v>
      </c>
    </row>
    <row r="776" spans="10:10">
      <c r="J776" s="2">
        <f>IFERROR(I776/H776*100,0)</f>
        <v>0</v>
      </c>
    </row>
    <row r="777" spans="10:10">
      <c r="J777" s="2">
        <f>IFERROR(I777/H777*100,0)</f>
        <v>0</v>
      </c>
    </row>
    <row r="778" spans="10:10">
      <c r="J778" s="2">
        <f>IFERROR(I778/H778*100,0)</f>
        <v>0</v>
      </c>
    </row>
    <row r="779" spans="10:10">
      <c r="J779" s="2">
        <f>IFERROR(I779/H779*100,0)</f>
        <v>0</v>
      </c>
    </row>
    <row r="780" spans="10:10">
      <c r="J780" s="2">
        <f>IFERROR(I780/H780*100,0)</f>
        <v>0</v>
      </c>
    </row>
    <row r="781" spans="10:10">
      <c r="J781" s="2">
        <f>IFERROR(I781/H781*100,0)</f>
        <v>0</v>
      </c>
    </row>
    <row r="782" spans="10:10">
      <c r="J782" s="2">
        <f>IFERROR(I782/H782*100,0)</f>
        <v>0</v>
      </c>
    </row>
    <row r="783" spans="10:10">
      <c r="J783" s="2">
        <f>IFERROR(I783/H783*100,0)</f>
        <v>0</v>
      </c>
    </row>
    <row r="784" spans="10:10">
      <c r="J784" s="2">
        <f>IFERROR(I784/H784*100,0)</f>
        <v>0</v>
      </c>
    </row>
    <row r="785" spans="10:10">
      <c r="J785" s="2">
        <f>IFERROR(I785/H785*100,0)</f>
        <v>0</v>
      </c>
    </row>
    <row r="786" spans="10:10">
      <c r="J786" s="2">
        <f>IFERROR(I786/H786*100,0)</f>
        <v>0</v>
      </c>
    </row>
    <row r="787" spans="10:10">
      <c r="J787" s="2">
        <f>IFERROR(I787/H787*100,0)</f>
        <v>0</v>
      </c>
    </row>
    <row r="788" spans="10:10">
      <c r="J788" s="2">
        <f>IFERROR(I788/H788*100,0)</f>
        <v>0</v>
      </c>
    </row>
    <row r="789" spans="10:10">
      <c r="J789" s="2">
        <f>IFERROR(I789/H789*100,0)</f>
        <v>0</v>
      </c>
    </row>
    <row r="790" spans="10:10">
      <c r="J790" s="2">
        <f>IFERROR(I790/H790*100,0)</f>
        <v>0</v>
      </c>
    </row>
    <row r="791" spans="10:10">
      <c r="J791" s="2">
        <f>IFERROR(I791/H791*100,0)</f>
        <v>0</v>
      </c>
    </row>
    <row r="792" spans="10:10">
      <c r="J792" s="2">
        <f>IFERROR(I792/H792*100,0)</f>
        <v>0</v>
      </c>
    </row>
    <row r="793" spans="10:10">
      <c r="J793" s="2">
        <f>IFERROR(I793/H793*100,0)</f>
        <v>0</v>
      </c>
    </row>
    <row r="794" spans="10:10">
      <c r="J794" s="2">
        <f>IFERROR(I794/H794*100,0)</f>
        <v>0</v>
      </c>
    </row>
    <row r="795" spans="10:10">
      <c r="J795" s="2">
        <f>IFERROR(I795/H795*100,0)</f>
        <v>0</v>
      </c>
    </row>
    <row r="796" spans="10:10">
      <c r="J796" s="2">
        <f>IFERROR(I796/H796*100,0)</f>
        <v>0</v>
      </c>
    </row>
    <row r="797" spans="10:10">
      <c r="J797" s="2">
        <f>IFERROR(I797/H797*100,0)</f>
        <v>0</v>
      </c>
    </row>
    <row r="798" spans="10:10">
      <c r="J798" s="2">
        <f>IFERROR(I798/H798*100,0)</f>
        <v>0</v>
      </c>
    </row>
    <row r="799" spans="10:10">
      <c r="J799" s="2">
        <f>IFERROR(I799/H799*100,0)</f>
        <v>0</v>
      </c>
    </row>
    <row r="800" spans="10:10">
      <c r="J800" s="2">
        <f>IFERROR(I800/H800*100,0)</f>
        <v>0</v>
      </c>
    </row>
    <row r="801" spans="10:10">
      <c r="J801" s="2">
        <f>IFERROR(I801/H801*100,0)</f>
        <v>0</v>
      </c>
    </row>
    <row r="802" spans="10:10">
      <c r="J802" s="2">
        <f>IFERROR(I802/H802*100,0)</f>
        <v>0</v>
      </c>
    </row>
    <row r="803" spans="10:10">
      <c r="J803" s="2">
        <f>IFERROR(I803/H803*100,0)</f>
        <v>0</v>
      </c>
    </row>
    <row r="804" spans="10:10">
      <c r="J804" s="2">
        <f>IFERROR(I804/H804*100,0)</f>
        <v>0</v>
      </c>
    </row>
    <row r="805" spans="10:10">
      <c r="J805" s="2">
        <f>IFERROR(I805/H805*100,0)</f>
        <v>0</v>
      </c>
    </row>
    <row r="806" spans="10:10">
      <c r="J806" s="2">
        <f>IFERROR(I806/H806*100,0)</f>
        <v>0</v>
      </c>
    </row>
    <row r="807" spans="10:10">
      <c r="J807" s="2">
        <f>IFERROR(I807/H807*100,0)</f>
        <v>0</v>
      </c>
    </row>
    <row r="808" spans="10:10">
      <c r="J808" s="2">
        <f>IFERROR(I808/H808*100,0)</f>
        <v>0</v>
      </c>
    </row>
    <row r="809" spans="10:10">
      <c r="J809" s="2">
        <f>IFERROR(I809/H809*100,0)</f>
        <v>0</v>
      </c>
    </row>
    <row r="810" spans="10:10">
      <c r="J810" s="2">
        <f>IFERROR(I810/H810*100,0)</f>
        <v>0</v>
      </c>
    </row>
    <row r="811" spans="10:10">
      <c r="J811" s="2">
        <f>IFERROR(I811/H811*100,0)</f>
        <v>0</v>
      </c>
    </row>
    <row r="812" spans="10:10">
      <c r="J812" s="2">
        <f>IFERROR(I812/H812*100,0)</f>
        <v>0</v>
      </c>
    </row>
    <row r="813" spans="10:10">
      <c r="J813" s="2">
        <f>IFERROR(I813/H813*100,0)</f>
        <v>0</v>
      </c>
    </row>
    <row r="814" spans="10:10">
      <c r="J814" s="2">
        <f>IFERROR(I814/H814*100,0)</f>
        <v>0</v>
      </c>
    </row>
    <row r="815" spans="10:10">
      <c r="J815" s="2">
        <f>IFERROR(I815/H815*100,0)</f>
        <v>0</v>
      </c>
    </row>
    <row r="816" spans="10:10">
      <c r="J816" s="2">
        <f>IFERROR(I816/H816*100,0)</f>
        <v>0</v>
      </c>
    </row>
    <row r="817" spans="10:10">
      <c r="J817" s="2">
        <f>IFERROR(I817/H817*100,0)</f>
        <v>0</v>
      </c>
    </row>
    <row r="818" spans="10:10">
      <c r="J818" s="2">
        <f>IFERROR(I818/H818*100,0)</f>
        <v>0</v>
      </c>
    </row>
    <row r="819" spans="10:10">
      <c r="J819" s="2">
        <f>IFERROR(I819/H819*100,0)</f>
        <v>0</v>
      </c>
    </row>
    <row r="820" spans="10:10">
      <c r="J820" s="2">
        <f>IFERROR(I820/H820*100,0)</f>
        <v>0</v>
      </c>
    </row>
    <row r="821" spans="10:10">
      <c r="J821" s="2">
        <f>IFERROR(I821/H821*100,0)</f>
        <v>0</v>
      </c>
    </row>
    <row r="822" spans="10:10">
      <c r="J822" s="2">
        <f>IFERROR(I822/H822*100,0)</f>
        <v>0</v>
      </c>
    </row>
    <row r="823" spans="10:10">
      <c r="J823" s="2">
        <f>IFERROR(I823/H823*100,0)</f>
        <v>0</v>
      </c>
    </row>
    <row r="824" spans="10:10">
      <c r="J824" s="2">
        <f>IFERROR(I824/H824*100,0)</f>
        <v>0</v>
      </c>
    </row>
    <row r="825" spans="10:10">
      <c r="J825" s="2">
        <f>IFERROR(I825/H825*100,0)</f>
        <v>0</v>
      </c>
    </row>
    <row r="826" spans="10:10">
      <c r="J826" s="2">
        <f>IFERROR(I826/H826*100,0)</f>
        <v>0</v>
      </c>
    </row>
    <row r="827" spans="10:10">
      <c r="J827" s="2">
        <f>IFERROR(I827/H827*100,0)</f>
        <v>0</v>
      </c>
    </row>
    <row r="828" spans="10:10">
      <c r="J828" s="2">
        <f>IFERROR(I828/H828*100,0)</f>
        <v>0</v>
      </c>
    </row>
    <row r="829" spans="10:10">
      <c r="J829" s="2">
        <f>IFERROR(I829/H829*100,0)</f>
        <v>0</v>
      </c>
    </row>
    <row r="830" spans="10:10">
      <c r="J830" s="2">
        <f>IFERROR(I830/H830*100,0)</f>
        <v>0</v>
      </c>
    </row>
    <row r="831" spans="10:10">
      <c r="J831" s="2">
        <f>IFERROR(I831/H831*100,0)</f>
        <v>0</v>
      </c>
    </row>
    <row r="832" spans="10:10">
      <c r="J832" s="2">
        <f>IFERROR(I832/H832*100,0)</f>
        <v>0</v>
      </c>
    </row>
    <row r="833" spans="10:10">
      <c r="J833" s="2">
        <f>IFERROR(I833/H833*100,0)</f>
        <v>0</v>
      </c>
    </row>
    <row r="834" spans="10:10">
      <c r="J834" s="2">
        <f>IFERROR(I834/H834*100,0)</f>
        <v>0</v>
      </c>
    </row>
    <row r="835" spans="10:10">
      <c r="J835" s="2">
        <f>IFERROR(I835/H835*100,0)</f>
        <v>0</v>
      </c>
    </row>
    <row r="836" spans="10:10">
      <c r="J836" s="2">
        <f>IFERROR(I836/H836*100,0)</f>
        <v>0</v>
      </c>
    </row>
    <row r="837" spans="10:10">
      <c r="J837" s="2">
        <f>IFERROR(I837/H837*100,0)</f>
        <v>0</v>
      </c>
    </row>
    <row r="838" spans="10:10">
      <c r="J838" s="2">
        <f>IFERROR(I838/H838*100,0)</f>
        <v>0</v>
      </c>
    </row>
    <row r="839" spans="10:10">
      <c r="J839" s="2">
        <f>IFERROR(I839/H839*100,0)</f>
        <v>0</v>
      </c>
    </row>
    <row r="840" spans="10:10">
      <c r="J840" s="2">
        <f>IFERROR(I840/H840*100,0)</f>
        <v>0</v>
      </c>
    </row>
    <row r="841" spans="10:10">
      <c r="J841" s="2">
        <f>IFERROR(I841/H841*100,0)</f>
        <v>0</v>
      </c>
    </row>
    <row r="842" spans="10:10">
      <c r="J842" s="2">
        <f>IFERROR(I842/H842*100,0)</f>
        <v>0</v>
      </c>
    </row>
    <row r="843" spans="10:10">
      <c r="J843" s="2">
        <f>IFERROR(I843/H843*100,0)</f>
        <v>0</v>
      </c>
    </row>
    <row r="844" spans="10:10">
      <c r="J844" s="2">
        <f>IFERROR(I844/H844*100,0)</f>
        <v>0</v>
      </c>
    </row>
    <row r="845" spans="10:10">
      <c r="J845" s="2">
        <f>IFERROR(I845/H845*100,0)</f>
        <v>0</v>
      </c>
    </row>
    <row r="846" spans="10:10">
      <c r="J846" s="2">
        <f>IFERROR(I846/H846*100,0)</f>
        <v>0</v>
      </c>
    </row>
    <row r="847" spans="10:10">
      <c r="J847" s="2">
        <f>IFERROR(I847/H847*100,0)</f>
        <v>0</v>
      </c>
    </row>
    <row r="848" spans="10:10">
      <c r="J848" s="2">
        <f>IFERROR(I848/H848*100,0)</f>
        <v>0</v>
      </c>
    </row>
    <row r="849" spans="10:10">
      <c r="J849" s="2">
        <f>IFERROR(I849/H849*100,0)</f>
        <v>0</v>
      </c>
    </row>
    <row r="850" spans="10:10">
      <c r="J850" s="2">
        <f>IFERROR(I850/H850*100,0)</f>
        <v>0</v>
      </c>
    </row>
    <row r="851" spans="10:10">
      <c r="J851" s="2">
        <f>IFERROR(I851/H851*100,0)</f>
        <v>0</v>
      </c>
    </row>
    <row r="852" spans="10:10">
      <c r="J852" s="2">
        <f>IFERROR(I852/H852*100,0)</f>
        <v>0</v>
      </c>
    </row>
    <row r="853" spans="10:10">
      <c r="J853" s="2">
        <f>IFERROR(I853/H853*100,0)</f>
        <v>0</v>
      </c>
    </row>
    <row r="854" spans="10:10">
      <c r="J854" s="2">
        <f>IFERROR(I854/H854*100,0)</f>
        <v>0</v>
      </c>
    </row>
    <row r="855" spans="10:10">
      <c r="J855" s="2">
        <f>IFERROR(I855/H855*100,0)</f>
        <v>0</v>
      </c>
    </row>
    <row r="856" spans="10:10">
      <c r="J856" s="2">
        <f>IFERROR(I856/H856*100,0)</f>
        <v>0</v>
      </c>
    </row>
    <row r="857" spans="10:10">
      <c r="J857" s="2">
        <f>IFERROR(I857/H857*100,0)</f>
        <v>0</v>
      </c>
    </row>
    <row r="858" spans="10:10">
      <c r="J858" s="2">
        <f>IFERROR(I858/H858*100,0)</f>
        <v>0</v>
      </c>
    </row>
    <row r="859" spans="10:10">
      <c r="J859" s="2">
        <f>IFERROR(I859/H859*100,0)</f>
        <v>0</v>
      </c>
    </row>
    <row r="860" spans="10:10">
      <c r="J860" s="2">
        <f>IFERROR(I860/H860*100,0)</f>
        <v>0</v>
      </c>
    </row>
    <row r="861" spans="10:10">
      <c r="J861" s="2">
        <f>IFERROR(I861/H861*100,0)</f>
        <v>0</v>
      </c>
    </row>
    <row r="862" spans="10:10">
      <c r="J862" s="2">
        <f>IFERROR(I862/H862*100,0)</f>
        <v>0</v>
      </c>
    </row>
    <row r="863" spans="10:10">
      <c r="J863" s="2">
        <f>IFERROR(I863/H863*100,0)</f>
        <v>0</v>
      </c>
    </row>
    <row r="864" spans="10:10">
      <c r="J864" s="2">
        <f>IFERROR(I864/H864*100,0)</f>
        <v>0</v>
      </c>
    </row>
    <row r="865" spans="10:10">
      <c r="J865" s="2">
        <f>IFERROR(I865/H865*100,0)</f>
        <v>0</v>
      </c>
    </row>
    <row r="866" spans="10:10">
      <c r="J866" s="2">
        <f>IFERROR(I866/H866*100,0)</f>
        <v>0</v>
      </c>
    </row>
    <row r="867" spans="10:10">
      <c r="J867" s="2">
        <f>IFERROR(I867/H867*100,0)</f>
        <v>0</v>
      </c>
    </row>
    <row r="868" spans="10:10">
      <c r="J868" s="2">
        <f>IFERROR(I868/H868*100,0)</f>
        <v>0</v>
      </c>
    </row>
    <row r="869" spans="10:10">
      <c r="J869" s="2">
        <f>IFERROR(I869/H869*100,0)</f>
        <v>0</v>
      </c>
    </row>
    <row r="870" spans="10:10">
      <c r="J870" s="2">
        <f>IFERROR(I870/H870*100,0)</f>
        <v>0</v>
      </c>
    </row>
    <row r="871" spans="10:10">
      <c r="J871" s="2">
        <f>IFERROR(I871/H871*100,0)</f>
        <v>0</v>
      </c>
    </row>
    <row r="872" spans="10:10">
      <c r="J872" s="2">
        <f>IFERROR(I872/H872*100,0)</f>
        <v>0</v>
      </c>
    </row>
    <row r="873" spans="10:10">
      <c r="J873" s="2">
        <f>IFERROR(I873/H873*100,0)</f>
        <v>0</v>
      </c>
    </row>
    <row r="874" spans="10:10">
      <c r="J874" s="2">
        <f>IFERROR(I874/H874*100,0)</f>
        <v>0</v>
      </c>
    </row>
    <row r="875" spans="10:10">
      <c r="J875" s="2">
        <f>IFERROR(I875/H875*100,0)</f>
        <v>0</v>
      </c>
    </row>
    <row r="876" spans="10:10">
      <c r="J876" s="2">
        <f>IFERROR(I876/H876*100,0)</f>
        <v>0</v>
      </c>
    </row>
    <row r="877" spans="10:10">
      <c r="J877" s="2">
        <f>IFERROR(I877/H877*100,0)</f>
        <v>0</v>
      </c>
    </row>
    <row r="878" spans="10:10">
      <c r="J878" s="2">
        <f>IFERROR(I878/H878*100,0)</f>
        <v>0</v>
      </c>
    </row>
    <row r="879" spans="10:10">
      <c r="J879" s="2">
        <f>IFERROR(I879/H879*100,0)</f>
        <v>0</v>
      </c>
    </row>
    <row r="880" spans="10:10">
      <c r="J880" s="2">
        <f>IFERROR(I880/H880*100,0)</f>
        <v>0</v>
      </c>
    </row>
    <row r="881" spans="10:10">
      <c r="J881" s="2">
        <f>IFERROR(I881/H881*100,0)</f>
        <v>0</v>
      </c>
    </row>
    <row r="882" spans="10:10">
      <c r="J882" s="2">
        <f>IFERROR(I882/H882*100,0)</f>
        <v>0</v>
      </c>
    </row>
    <row r="883" spans="10:10">
      <c r="J883" s="2">
        <f>IFERROR(I883/H883*100,0)</f>
        <v>0</v>
      </c>
    </row>
    <row r="884" spans="10:10">
      <c r="J884" s="2">
        <f>IFERROR(I884/H884*100,0)</f>
        <v>0</v>
      </c>
    </row>
    <row r="885" spans="10:10">
      <c r="J885" s="2">
        <f>IFERROR(I885/H885*100,0)</f>
        <v>0</v>
      </c>
    </row>
    <row r="886" spans="10:10">
      <c r="J886" s="2">
        <f>IFERROR(I886/H886*100,0)</f>
        <v>0</v>
      </c>
    </row>
    <row r="887" spans="10:10">
      <c r="J887" s="2">
        <f>IFERROR(I887/H887*100,0)</f>
        <v>0</v>
      </c>
    </row>
    <row r="888" spans="10:10">
      <c r="J888" s="2">
        <f>IFERROR(I888/H888*100,0)</f>
        <v>0</v>
      </c>
    </row>
    <row r="889" spans="10:10">
      <c r="J889" s="2">
        <f>IFERROR(I889/H889*100,0)</f>
        <v>0</v>
      </c>
    </row>
    <row r="890" spans="10:10">
      <c r="J890" s="2">
        <f>IFERROR(I890/H890*100,0)</f>
        <v>0</v>
      </c>
    </row>
    <row r="891" spans="10:10">
      <c r="J891" s="2">
        <f>IFERROR(I891/H891*100,0)</f>
        <v>0</v>
      </c>
    </row>
    <row r="892" spans="10:10">
      <c r="J892" s="2">
        <f>IFERROR(I892/H892*100,0)</f>
        <v>0</v>
      </c>
    </row>
    <row r="893" spans="10:10">
      <c r="J893" s="2">
        <f>IFERROR(I893/H893*100,0)</f>
        <v>0</v>
      </c>
    </row>
    <row r="894" spans="10:10">
      <c r="J894" s="2">
        <f>IFERROR(I894/H894*100,0)</f>
        <v>0</v>
      </c>
    </row>
    <row r="895" spans="10:10">
      <c r="J895" s="2">
        <f>IFERROR(I895/H895*100,0)</f>
        <v>0</v>
      </c>
    </row>
    <row r="896" spans="10:10">
      <c r="J896" s="2">
        <f>IFERROR(I896/H896*100,0)</f>
        <v>0</v>
      </c>
    </row>
    <row r="897" spans="10:10">
      <c r="J897" s="2">
        <f>IFERROR(I897/H897*100,0)</f>
        <v>0</v>
      </c>
    </row>
    <row r="898" spans="10:10">
      <c r="J898" s="2">
        <f>IFERROR(I898/H898*100,0)</f>
        <v>0</v>
      </c>
    </row>
    <row r="899" spans="10:10">
      <c r="J899" s="2">
        <f>IFERROR(I899/H899*100,0)</f>
        <v>0</v>
      </c>
    </row>
    <row r="900" spans="10:10">
      <c r="J900" s="2">
        <f>IFERROR(I900/H900*100,0)</f>
        <v>0</v>
      </c>
    </row>
    <row r="901" spans="10:10">
      <c r="J901" s="2">
        <f>IFERROR(I901/H901*100,0)</f>
        <v>0</v>
      </c>
    </row>
    <row r="902" spans="10:10">
      <c r="J902" s="2">
        <f>IFERROR(I902/H902*100,0)</f>
        <v>0</v>
      </c>
    </row>
    <row r="903" spans="10:10">
      <c r="J903" s="2">
        <f>IFERROR(I903/H903*100,0)</f>
        <v>0</v>
      </c>
    </row>
    <row r="904" spans="10:10">
      <c r="J904" s="2">
        <f>IFERROR(I904/H904*100,0)</f>
        <v>0</v>
      </c>
    </row>
    <row r="905" spans="10:10">
      <c r="J905" s="2">
        <f>IFERROR(I905/H905*100,0)</f>
        <v>0</v>
      </c>
    </row>
    <row r="906" spans="10:10">
      <c r="J906" s="2">
        <f>IFERROR(I906/H906*100,0)</f>
        <v>0</v>
      </c>
    </row>
    <row r="907" spans="10:10">
      <c r="J907" s="2">
        <f>IFERROR(I907/H907*100,0)</f>
        <v>0</v>
      </c>
    </row>
    <row r="908" spans="10:10">
      <c r="J908" s="2">
        <f>IFERROR(I908/H908*100,0)</f>
        <v>0</v>
      </c>
    </row>
    <row r="909" spans="10:10">
      <c r="J909" s="2">
        <f>IFERROR(I909/H909*100,0)</f>
        <v>0</v>
      </c>
    </row>
    <row r="910" spans="10:10">
      <c r="J910" s="2">
        <f>IFERROR(I910/H910*100,0)</f>
        <v>0</v>
      </c>
    </row>
    <row r="911" spans="10:10">
      <c r="J911" s="2">
        <f>IFERROR(I911/H911*100,0)</f>
        <v>0</v>
      </c>
    </row>
    <row r="912" spans="10:10">
      <c r="J912" s="2">
        <f>IFERROR(I912/H912*100,0)</f>
        <v>0</v>
      </c>
    </row>
    <row r="913" spans="10:10">
      <c r="J913" s="2">
        <f>IFERROR(I913/H913*100,0)</f>
        <v>0</v>
      </c>
    </row>
    <row r="914" spans="10:10">
      <c r="J914" s="2">
        <f>IFERROR(I914/H914*100,0)</f>
        <v>0</v>
      </c>
    </row>
    <row r="915" spans="10:10">
      <c r="J915" s="2">
        <f>IFERROR(I915/H915*100,0)</f>
        <v>0</v>
      </c>
    </row>
    <row r="916" spans="10:10">
      <c r="J916" s="2">
        <f>IFERROR(I916/H916*100,0)</f>
        <v>0</v>
      </c>
    </row>
    <row r="917" spans="10:10">
      <c r="J917" s="2">
        <f>IFERROR(I917/H917*100,0)</f>
        <v>0</v>
      </c>
    </row>
    <row r="918" spans="10:10">
      <c r="J918" s="2">
        <f>IFERROR(I918/H918*100,0)</f>
        <v>0</v>
      </c>
    </row>
    <row r="919" spans="10:10">
      <c r="J919" s="2">
        <f>IFERROR(I919/H919*100,0)</f>
        <v>0</v>
      </c>
    </row>
    <row r="920" spans="10:10">
      <c r="J920" s="2">
        <f>IFERROR(I920/H920*100,0)</f>
        <v>0</v>
      </c>
    </row>
    <row r="921" spans="10:10">
      <c r="J921" s="2">
        <f>IFERROR(I921/H921*100,0)</f>
        <v>0</v>
      </c>
    </row>
    <row r="922" spans="10:10">
      <c r="J922" s="2">
        <f>IFERROR(I922/H922*100,0)</f>
        <v>0</v>
      </c>
    </row>
    <row r="923" spans="10:10">
      <c r="J923" s="2">
        <f>IFERROR(I923/H923*100,0)</f>
        <v>0</v>
      </c>
    </row>
    <row r="924" spans="10:10">
      <c r="J924" s="2">
        <f>IFERROR(I924/H924*100,0)</f>
        <v>0</v>
      </c>
    </row>
    <row r="925" spans="10:10">
      <c r="J925" s="2">
        <f>IFERROR(I925/H925*100,0)</f>
        <v>0</v>
      </c>
    </row>
    <row r="926" spans="10:10">
      <c r="J926" s="2">
        <f>IFERROR(I926/H926*100,0)</f>
        <v>0</v>
      </c>
    </row>
    <row r="927" spans="10:10">
      <c r="J927" s="2">
        <f>IFERROR(I927/H927*100,0)</f>
        <v>0</v>
      </c>
    </row>
    <row r="928" spans="10:10">
      <c r="J928" s="2">
        <f>IFERROR(I928/H928*100,0)</f>
        <v>0</v>
      </c>
    </row>
    <row r="929" spans="10:10">
      <c r="J929" s="2">
        <f>IFERROR(I929/H929*100,0)</f>
        <v>0</v>
      </c>
    </row>
    <row r="930" spans="10:10">
      <c r="J930" s="2">
        <f>IFERROR(I930/H930*100,0)</f>
        <v>0</v>
      </c>
    </row>
    <row r="931" spans="10:10">
      <c r="J931" s="2">
        <f>IFERROR(I931/H931*100,0)</f>
        <v>0</v>
      </c>
    </row>
    <row r="932" spans="10:10">
      <c r="J932" s="2">
        <f>IFERROR(I932/H932*100,0)</f>
        <v>0</v>
      </c>
    </row>
    <row r="933" spans="10:10">
      <c r="J933" s="2">
        <f>IFERROR(I933/H933*100,0)</f>
        <v>0</v>
      </c>
    </row>
    <row r="934" spans="10:10">
      <c r="J934" s="2">
        <f>IFERROR(I934/H934*100,0)</f>
        <v>0</v>
      </c>
    </row>
    <row r="935" spans="10:10">
      <c r="J935" s="2">
        <f>IFERROR(I935/H935*100,0)</f>
        <v>0</v>
      </c>
    </row>
    <row r="936" spans="10:10">
      <c r="J936" s="2">
        <f>IFERROR(I936/H936*100,0)</f>
        <v>0</v>
      </c>
    </row>
    <row r="937" spans="10:10">
      <c r="J937" s="2">
        <f>IFERROR(I937/H937*100,0)</f>
        <v>0</v>
      </c>
    </row>
    <row r="938" spans="10:10">
      <c r="J938" s="2">
        <f>IFERROR(I938/H938*100,0)</f>
        <v>0</v>
      </c>
    </row>
    <row r="939" spans="10:10">
      <c r="J939" s="2">
        <f>IFERROR(I939/H939*100,0)</f>
        <v>0</v>
      </c>
    </row>
    <row r="940" spans="10:10">
      <c r="J940" s="2">
        <f>IFERROR(I940/H940*100,0)</f>
        <v>0</v>
      </c>
    </row>
    <row r="941" spans="10:10">
      <c r="J941" s="2">
        <f>IFERROR(I941/H941*100,0)</f>
        <v>0</v>
      </c>
    </row>
    <row r="942" spans="10:10">
      <c r="J942" s="2">
        <f>IFERROR(I942/H942*100,0)</f>
        <v>0</v>
      </c>
    </row>
    <row r="943" spans="10:10">
      <c r="J943" s="2">
        <f>IFERROR(I943/H943*100,0)</f>
        <v>0</v>
      </c>
    </row>
    <row r="944" spans="10:10">
      <c r="J944" s="2">
        <f>IFERROR(I944/H944*100,0)</f>
        <v>0</v>
      </c>
    </row>
    <row r="945" spans="10:10">
      <c r="J945" s="2">
        <f>IFERROR(I945/H945*100,0)</f>
        <v>0</v>
      </c>
    </row>
    <row r="946" spans="10:10">
      <c r="J946" s="2">
        <f>IFERROR(I946/H946*100,0)</f>
        <v>0</v>
      </c>
    </row>
    <row r="947" spans="10:10">
      <c r="J947" s="2">
        <f>IFERROR(I947/H947*100,0)</f>
        <v>0</v>
      </c>
    </row>
    <row r="948" spans="10:10">
      <c r="J948" s="2">
        <f>IFERROR(I948/H948*100,0)</f>
        <v>0</v>
      </c>
    </row>
    <row r="949" spans="10:10">
      <c r="J949" s="2">
        <f>IFERROR(I949/H949*100,0)</f>
        <v>0</v>
      </c>
    </row>
    <row r="950" spans="10:10">
      <c r="J950" s="2">
        <f>IFERROR(I950/H950*100,0)</f>
        <v>0</v>
      </c>
    </row>
    <row r="951" spans="10:10">
      <c r="J951" s="2">
        <f>IFERROR(I951/H951*100,0)</f>
        <v>0</v>
      </c>
    </row>
    <row r="952" spans="10:10">
      <c r="J952" s="2">
        <f>IFERROR(I952/H952*100,0)</f>
        <v>0</v>
      </c>
    </row>
    <row r="953" spans="10:10">
      <c r="J953" s="2">
        <f>IFERROR(I953/H953*100,0)</f>
        <v>0</v>
      </c>
    </row>
    <row r="954" spans="10:10">
      <c r="J954" s="2">
        <f>IFERROR(I954/H954*100,0)</f>
        <v>0</v>
      </c>
    </row>
    <row r="955" spans="10:10">
      <c r="J955" s="2">
        <f>IFERROR(I955/H955*100,0)</f>
        <v>0</v>
      </c>
    </row>
    <row r="956" spans="10:10">
      <c r="J956" s="2">
        <f>IFERROR(I956/H956*100,0)</f>
        <v>0</v>
      </c>
    </row>
    <row r="957" spans="10:10">
      <c r="J957" s="2">
        <f>IFERROR(I957/H957*100,0)</f>
        <v>0</v>
      </c>
    </row>
    <row r="958" spans="10:10">
      <c r="J958" s="2">
        <f>IFERROR(I958/H958*100,0)</f>
        <v>0</v>
      </c>
    </row>
    <row r="959" spans="10:10">
      <c r="J959" s="2">
        <f>IFERROR(I959/H959*100,0)</f>
        <v>0</v>
      </c>
    </row>
    <row r="960" spans="10:10">
      <c r="J960" s="2">
        <f>IFERROR(I960/H960*100,0)</f>
        <v>0</v>
      </c>
    </row>
    <row r="961" spans="10:10">
      <c r="J961" s="2">
        <f>IFERROR(I961/H961*100,0)</f>
        <v>0</v>
      </c>
    </row>
    <row r="962" spans="10:10">
      <c r="J962" s="2">
        <f>IFERROR(I962/H962*100,0)</f>
        <v>0</v>
      </c>
    </row>
    <row r="963" spans="10:10">
      <c r="J963" s="2">
        <f>IFERROR(I963/H963*100,0)</f>
        <v>0</v>
      </c>
    </row>
    <row r="964" spans="10:10">
      <c r="J964" s="2">
        <f>IFERROR(I964/H964*100,0)</f>
        <v>0</v>
      </c>
    </row>
    <row r="965" spans="10:10">
      <c r="J965" s="2">
        <f>IFERROR(I965/H965*100,0)</f>
        <v>0</v>
      </c>
    </row>
    <row r="966" spans="10:10">
      <c r="J966" s="2">
        <f>IFERROR(I966/H966*100,0)</f>
        <v>0</v>
      </c>
    </row>
    <row r="967" spans="10:10">
      <c r="J967" s="2">
        <f>IFERROR(I967/H967*100,0)</f>
        <v>0</v>
      </c>
    </row>
    <row r="968" spans="10:10">
      <c r="J968" s="2">
        <f>IFERROR(I968/H968*100,0)</f>
        <v>0</v>
      </c>
    </row>
    <row r="969" spans="10:10">
      <c r="J969" s="2">
        <f>IFERROR(I969/H969*100,0)</f>
        <v>0</v>
      </c>
    </row>
    <row r="970" spans="10:10">
      <c r="J970" s="2">
        <f>IFERROR(I970/H970*100,0)</f>
        <v>0</v>
      </c>
    </row>
    <row r="971" spans="10:10">
      <c r="J971" s="2">
        <f>IFERROR(I971/H971*100,0)</f>
        <v>0</v>
      </c>
    </row>
    <row r="972" spans="10:10">
      <c r="J972" s="2">
        <f>IFERROR(I972/H972*100,0)</f>
        <v>0</v>
      </c>
    </row>
    <row r="973" spans="10:10">
      <c r="J973" s="2">
        <f>IFERROR(I973/H973*100,0)</f>
        <v>0</v>
      </c>
    </row>
    <row r="974" spans="10:10">
      <c r="J974" s="2">
        <f>IFERROR(I974/H974*100,0)</f>
        <v>0</v>
      </c>
    </row>
    <row r="975" spans="10:10">
      <c r="J975" s="2">
        <f>IFERROR(I975/H975*100,0)</f>
        <v>0</v>
      </c>
    </row>
    <row r="976" spans="10:10">
      <c r="J976" s="2">
        <f>IFERROR(I976/H976*100,0)</f>
        <v>0</v>
      </c>
    </row>
    <row r="977" spans="10:10">
      <c r="J977" s="2">
        <f>IFERROR(I977/H977*100,0)</f>
        <v>0</v>
      </c>
    </row>
    <row r="978" spans="10:10">
      <c r="J978" s="2">
        <f>IFERROR(I978/H978*100,0)</f>
        <v>0</v>
      </c>
    </row>
    <row r="979" spans="10:10">
      <c r="J979" s="2">
        <f>IFERROR(I979/H979*100,0)</f>
        <v>0</v>
      </c>
    </row>
    <row r="980" spans="10:10">
      <c r="J980" s="2">
        <f>IFERROR(I980/H980*100,0)</f>
        <v>0</v>
      </c>
    </row>
    <row r="981" spans="10:10">
      <c r="J981" s="2">
        <f>IFERROR(I981/H981*100,0)</f>
        <v>0</v>
      </c>
    </row>
    <row r="982" spans="10:10">
      <c r="J982" s="2">
        <f>IFERROR(I982/H982*100,0)</f>
        <v>0</v>
      </c>
    </row>
    <row r="983" spans="10:10">
      <c r="J983" s="2">
        <f>IFERROR(I983/H983*100,0)</f>
        <v>0</v>
      </c>
    </row>
    <row r="984" spans="10:10">
      <c r="J984" s="2">
        <f>IFERROR(I984/H984*100,0)</f>
        <v>0</v>
      </c>
    </row>
    <row r="985" spans="10:10">
      <c r="J985" s="2">
        <f>IFERROR(I985/H985*100,0)</f>
        <v>0</v>
      </c>
    </row>
    <row r="986" spans="10:10">
      <c r="J986" s="2">
        <f>IFERROR(I986/H986*100,0)</f>
        <v>0</v>
      </c>
    </row>
    <row r="987" spans="10:10">
      <c r="J987" s="2">
        <f>IFERROR(I987/H987*100,0)</f>
        <v>0</v>
      </c>
    </row>
    <row r="988" spans="10:10">
      <c r="J988" s="2">
        <f>IFERROR(I988/H988*100,0)</f>
        <v>0</v>
      </c>
    </row>
    <row r="989" spans="10:10">
      <c r="J989" s="2">
        <f>IFERROR(I989/H989*100,0)</f>
        <v>0</v>
      </c>
    </row>
    <row r="990" spans="10:10">
      <c r="J990" s="2">
        <f>IFERROR(I990/H990*100,0)</f>
        <v>0</v>
      </c>
    </row>
    <row r="991" spans="10:10">
      <c r="J991" s="2">
        <f>IFERROR(I991/H991*100,0)</f>
        <v>0</v>
      </c>
    </row>
    <row r="992" spans="10:10">
      <c r="J992" s="2">
        <f>IFERROR(I992/H992*100,0)</f>
        <v>0</v>
      </c>
    </row>
    <row r="993" spans="10:10">
      <c r="J993" s="2">
        <f>IFERROR(I993/H993*100,0)</f>
        <v>0</v>
      </c>
    </row>
    <row r="994" spans="10:10">
      <c r="J994" s="2">
        <f>IFERROR(I994/H994*100,0)</f>
        <v>0</v>
      </c>
    </row>
    <row r="995" spans="10:10">
      <c r="J995" s="2">
        <f>IFERROR(I995/H995*100,0)</f>
        <v>0</v>
      </c>
    </row>
    <row r="996" spans="10:10">
      <c r="J996" s="2">
        <f>IFERROR(I996/H996*100,0)</f>
        <v>0</v>
      </c>
    </row>
    <row r="997" spans="10:10">
      <c r="J997" s="2">
        <f>IFERROR(I997/H997*100,0)</f>
        <v>0</v>
      </c>
    </row>
    <row r="998" spans="10:10">
      <c r="J998" s="2">
        <f>IFERROR(I998/H998*100,0)</f>
        <v>0</v>
      </c>
    </row>
    <row r="999" spans="10:10">
      <c r="J999" s="2">
        <f>IFERROR(I999/H999*100,0)</f>
        <v>0</v>
      </c>
    </row>
    <row r="1000" spans="10:10">
      <c r="J1000" s="2">
        <f>IFERROR(I1000/H1000*100,0)</f>
        <v>0</v>
      </c>
    </row>
    <row r="1001" spans="10:10">
      <c r="J1001" s="2">
        <f>IFERROR(I1001/H1001*100,0)</f>
        <v>0</v>
      </c>
    </row>
    <row r="1002" spans="10:10">
      <c r="J1002" s="2">
        <f>IFERROR(I1002/H1002*100,0)</f>
        <v>0</v>
      </c>
    </row>
    <row r="1003" spans="10:10">
      <c r="J1003" s="2">
        <f>IFERROR(I1003/H1003*100,0)</f>
        <v>0</v>
      </c>
    </row>
  </sheetData>
  <mergeCells count="2">
    <mergeCell ref="A1:O1"/>
    <mergeCell ref="A2:O2"/>
  </mergeCells>
  <dataValidations count="2">
    <dataValidation type="list" allowBlank="1" showInputMessage="1" showErrorMessage="1" sqref="F4:F100003">
      <formula1>L_Loc</formula1>
    </dataValidation>
    <dataValidation type="list" allowBlank="1" showInputMessage="1" showErrorMessage="1" sqref="O4:O100003">
      <formula1>L_Status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tabColor rgb="FF64748B"/>
    <pageSetUpPr fitToPage="1"/>
  </sheetPr>
  <dimension ref="A1:R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1.7109375" style="1" customWidth="1"/>
    <col min="3" max="4" width="9.7109375" style="1" customWidth="1"/>
    <col min="5" max="5" width="13.7109375" style="1" customWidth="1"/>
    <col min="6" max="7" width="12.7109375" style="1" customWidth="1"/>
    <col min="8" max="8" width="10.7109375" style="1" customWidth="1"/>
    <col min="9" max="9" width="14.7109375" style="1" customWidth="1"/>
    <col min="10" max="10" width="13.7109375" style="1" customWidth="1"/>
    <col min="11" max="11" width="17.7109375" style="1" customWidth="1"/>
    <col min="12" max="13" width="10.7109375" style="1" customWidth="1"/>
    <col min="14" max="14" width="14.7109375" style="1" customWidth="1"/>
    <col min="15" max="15" width="17.7109375" style="1" customWidth="1"/>
    <col min="16" max="16" width="9.7109375" style="1" customWidth="1"/>
  </cols>
  <sheetData>
    <row r="1" spans="1:18" ht="22" customHeight="1">
      <c r="A1" s="3" t="s">
        <v>717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4" t="s">
        <v>139</v>
      </c>
    </row>
    <row r="2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>
      <c r="A3" s="1" t="s">
        <v>124</v>
      </c>
      <c r="B3" s="1" t="s">
        <v>772</v>
      </c>
      <c r="C3" s="1" t="s">
        <v>126</v>
      </c>
      <c r="D3" s="1" t="s">
        <v>127</v>
      </c>
      <c r="E3" s="1" t="s">
        <v>773</v>
      </c>
      <c r="F3" s="1" t="s">
        <v>774</v>
      </c>
      <c r="G3" s="1" t="s">
        <v>129</v>
      </c>
      <c r="H3" s="1" t="s">
        <v>130</v>
      </c>
      <c r="I3" s="1" t="s">
        <v>775</v>
      </c>
      <c r="J3" s="1" t="s">
        <v>209</v>
      </c>
      <c r="K3" s="1" t="s">
        <v>776</v>
      </c>
      <c r="L3" s="1" t="s">
        <v>777</v>
      </c>
      <c r="M3" s="1" t="s">
        <v>778</v>
      </c>
      <c r="N3" s="1" t="s">
        <v>779</v>
      </c>
      <c r="O3" s="1" t="s">
        <v>780</v>
      </c>
      <c r="P3" s="1" t="s">
        <v>288</v>
      </c>
    </row>
    <row r="4" spans="1:18">
      <c r="A4" s="1">
        <v>1</v>
      </c>
      <c r="B4" s="1" t="s">
        <v>718</v>
      </c>
      <c r="C4" s="5">
        <v>46031</v>
      </c>
      <c r="D4" s="1" t="s">
        <v>3</v>
      </c>
      <c r="E4" s="6" t="s">
        <v>45</v>
      </c>
      <c r="F4" s="6" t="s">
        <v>719</v>
      </c>
      <c r="G4" s="1" t="s">
        <v>39</v>
      </c>
      <c r="H4" s="1" t="s">
        <v>87</v>
      </c>
      <c r="I4" s="1" t="s">
        <v>41</v>
      </c>
      <c r="J4" s="1" t="s">
        <v>22</v>
      </c>
      <c r="K4" s="1" t="s">
        <v>49</v>
      </c>
      <c r="L4" s="1">
        <v>7</v>
      </c>
      <c r="M4" s="1">
        <v>1</v>
      </c>
      <c r="N4" s="1">
        <v>7</v>
      </c>
      <c r="O4" s="1">
        <v>4</v>
      </c>
      <c r="P4" s="1" t="s">
        <v>236</v>
      </c>
    </row>
    <row r="5" spans="1:18">
      <c r="A5" s="1">
        <v>2</v>
      </c>
      <c r="B5" s="1" t="s">
        <v>720</v>
      </c>
      <c r="C5" s="5">
        <v>46042</v>
      </c>
      <c r="D5" s="1" t="s">
        <v>3</v>
      </c>
      <c r="E5" s="6" t="s">
        <v>4</v>
      </c>
      <c r="F5" s="6" t="s">
        <v>721</v>
      </c>
      <c r="G5" s="1" t="s">
        <v>46</v>
      </c>
      <c r="H5" s="1" t="s">
        <v>35</v>
      </c>
      <c r="I5" s="1" t="s">
        <v>22</v>
      </c>
      <c r="J5" s="1" t="s">
        <v>7</v>
      </c>
      <c r="K5" s="1" t="s">
        <v>38</v>
      </c>
      <c r="L5" s="1">
        <v>2</v>
      </c>
      <c r="M5" s="1">
        <v>1</v>
      </c>
      <c r="N5" s="1">
        <v>6</v>
      </c>
      <c r="O5" s="1">
        <v>5</v>
      </c>
      <c r="P5" s="1" t="s">
        <v>222</v>
      </c>
    </row>
    <row r="6" spans="1:18">
      <c r="A6" s="1">
        <v>3</v>
      </c>
      <c r="B6" s="1" t="s">
        <v>722</v>
      </c>
      <c r="C6" s="5">
        <v>46026</v>
      </c>
      <c r="D6" s="1" t="s">
        <v>3</v>
      </c>
      <c r="E6" s="6" t="s">
        <v>26</v>
      </c>
      <c r="F6" s="6" t="s">
        <v>723</v>
      </c>
      <c r="G6" s="1" t="s">
        <v>92</v>
      </c>
      <c r="H6" s="1" t="s">
        <v>21</v>
      </c>
      <c r="I6" s="1" t="s">
        <v>7</v>
      </c>
      <c r="J6" s="1" t="s">
        <v>32</v>
      </c>
      <c r="K6" s="1" t="s">
        <v>16</v>
      </c>
      <c r="L6" s="1">
        <v>3</v>
      </c>
      <c r="M6" s="1">
        <v>1</v>
      </c>
      <c r="N6" s="1">
        <v>7</v>
      </c>
      <c r="O6" s="1">
        <v>3</v>
      </c>
      <c r="P6" s="1" t="s">
        <v>222</v>
      </c>
    </row>
    <row r="7" spans="1:18">
      <c r="A7" s="1">
        <v>4</v>
      </c>
      <c r="B7" s="1" t="s">
        <v>724</v>
      </c>
      <c r="C7" s="5">
        <v>46037</v>
      </c>
      <c r="D7" s="1" t="s">
        <v>3</v>
      </c>
      <c r="E7" s="6" t="s">
        <v>57</v>
      </c>
      <c r="F7" s="6" t="s">
        <v>725</v>
      </c>
      <c r="G7" s="1" t="s">
        <v>27</v>
      </c>
      <c r="H7" s="1" t="s">
        <v>6</v>
      </c>
      <c r="I7" s="1" t="s">
        <v>70</v>
      </c>
      <c r="J7" s="1" t="s">
        <v>68</v>
      </c>
      <c r="K7" s="1" t="s">
        <v>38</v>
      </c>
      <c r="L7" s="1">
        <v>4</v>
      </c>
      <c r="M7" s="1">
        <v>8</v>
      </c>
      <c r="N7" s="1">
        <v>0</v>
      </c>
      <c r="O7" s="1">
        <v>8</v>
      </c>
      <c r="P7" s="1" t="s">
        <v>222</v>
      </c>
    </row>
    <row r="8" spans="1:18">
      <c r="A8" s="1">
        <v>5</v>
      </c>
      <c r="B8" s="1" t="s">
        <v>726</v>
      </c>
      <c r="C8" s="5">
        <v>46047</v>
      </c>
      <c r="D8" s="1" t="s">
        <v>3</v>
      </c>
      <c r="E8" s="6" t="s">
        <v>30</v>
      </c>
      <c r="F8" s="6" t="s">
        <v>725</v>
      </c>
      <c r="G8" s="1" t="s">
        <v>13</v>
      </c>
      <c r="H8" s="1" t="s">
        <v>80</v>
      </c>
      <c r="I8" s="1" t="s">
        <v>22</v>
      </c>
      <c r="J8" s="1" t="s">
        <v>7</v>
      </c>
      <c r="K8" s="1" t="s">
        <v>57</v>
      </c>
      <c r="L8" s="1">
        <v>8</v>
      </c>
      <c r="M8" s="1">
        <v>5</v>
      </c>
      <c r="N8" s="1">
        <v>0</v>
      </c>
      <c r="O8" s="1">
        <v>1</v>
      </c>
      <c r="P8" s="1" t="s">
        <v>222</v>
      </c>
    </row>
    <row r="9" spans="1:18">
      <c r="A9" s="1">
        <v>6</v>
      </c>
      <c r="B9" s="1" t="s">
        <v>727</v>
      </c>
      <c r="C9" s="5">
        <v>46056</v>
      </c>
      <c r="D9" s="1" t="s">
        <v>19</v>
      </c>
      <c r="E9" s="6" t="s">
        <v>64</v>
      </c>
      <c r="F9" s="6" t="s">
        <v>725</v>
      </c>
      <c r="G9" s="1" t="s">
        <v>50</v>
      </c>
      <c r="H9" s="1" t="s">
        <v>14</v>
      </c>
      <c r="I9" s="1" t="s">
        <v>22</v>
      </c>
      <c r="J9" s="1" t="s">
        <v>62</v>
      </c>
      <c r="K9" s="1" t="s">
        <v>4</v>
      </c>
      <c r="L9" s="1">
        <v>5</v>
      </c>
      <c r="M9" s="1">
        <v>4</v>
      </c>
      <c r="N9" s="1">
        <v>0</v>
      </c>
      <c r="O9" s="1">
        <v>5</v>
      </c>
      <c r="P9" s="1" t="s">
        <v>222</v>
      </c>
    </row>
    <row r="10" spans="1:18">
      <c r="A10" s="1">
        <v>7</v>
      </c>
      <c r="B10" s="1" t="s">
        <v>728</v>
      </c>
      <c r="C10" s="5">
        <v>46075</v>
      </c>
      <c r="D10" s="1" t="s">
        <v>19</v>
      </c>
      <c r="E10" s="6" t="s">
        <v>91</v>
      </c>
      <c r="F10" s="6" t="s">
        <v>719</v>
      </c>
      <c r="G10" s="1" t="s">
        <v>89</v>
      </c>
      <c r="H10" s="1" t="s">
        <v>40</v>
      </c>
      <c r="I10" s="1" t="s">
        <v>104</v>
      </c>
      <c r="J10" s="1" t="s">
        <v>78</v>
      </c>
      <c r="K10" s="1" t="s">
        <v>49</v>
      </c>
      <c r="L10" s="1">
        <v>7</v>
      </c>
      <c r="M10" s="1">
        <v>7</v>
      </c>
      <c r="N10" s="1">
        <v>0</v>
      </c>
      <c r="O10" s="1">
        <v>0</v>
      </c>
      <c r="P10" s="1" t="s">
        <v>226</v>
      </c>
    </row>
    <row r="11" spans="1:18">
      <c r="A11" s="1">
        <v>8</v>
      </c>
      <c r="B11" s="1" t="s">
        <v>729</v>
      </c>
      <c r="C11" s="5">
        <v>46068</v>
      </c>
      <c r="D11" s="1" t="s">
        <v>19</v>
      </c>
      <c r="E11" s="6" t="s">
        <v>61</v>
      </c>
      <c r="F11" s="6" t="s">
        <v>730</v>
      </c>
      <c r="G11" s="1" t="s">
        <v>39</v>
      </c>
      <c r="H11" s="1" t="s">
        <v>77</v>
      </c>
      <c r="I11" s="1" t="s">
        <v>28</v>
      </c>
      <c r="J11" s="1" t="s">
        <v>62</v>
      </c>
      <c r="K11" s="1" t="s">
        <v>45</v>
      </c>
      <c r="L11" s="1">
        <v>7</v>
      </c>
      <c r="M11" s="1">
        <v>5</v>
      </c>
      <c r="N11" s="1">
        <v>5</v>
      </c>
      <c r="O11" s="1">
        <v>8</v>
      </c>
      <c r="P11" s="1" t="s">
        <v>236</v>
      </c>
    </row>
    <row r="12" spans="1:18">
      <c r="A12" s="1">
        <v>9</v>
      </c>
      <c r="B12" s="1" t="s">
        <v>731</v>
      </c>
      <c r="C12" s="5">
        <v>46080</v>
      </c>
      <c r="D12" s="1" t="s">
        <v>19</v>
      </c>
      <c r="E12" s="6" t="s">
        <v>26</v>
      </c>
      <c r="F12" s="6" t="s">
        <v>725</v>
      </c>
      <c r="G12" s="1" t="s">
        <v>27</v>
      </c>
      <c r="H12" s="1" t="s">
        <v>14</v>
      </c>
      <c r="I12" s="1" t="s">
        <v>28</v>
      </c>
      <c r="J12" s="1" t="s">
        <v>93</v>
      </c>
      <c r="K12" s="1" t="s">
        <v>20</v>
      </c>
      <c r="L12" s="1">
        <v>0</v>
      </c>
      <c r="M12" s="1">
        <v>4</v>
      </c>
      <c r="N12" s="1">
        <v>3</v>
      </c>
      <c r="O12" s="1">
        <v>3</v>
      </c>
      <c r="P12" s="1" t="s">
        <v>226</v>
      </c>
    </row>
    <row r="13" spans="1:18">
      <c r="A13" s="1">
        <v>10</v>
      </c>
      <c r="B13" s="1" t="s">
        <v>732</v>
      </c>
      <c r="C13" s="5">
        <v>46087</v>
      </c>
      <c r="D13" s="1" t="s">
        <v>44</v>
      </c>
      <c r="E13" s="6" t="s">
        <v>91</v>
      </c>
      <c r="F13" s="6" t="s">
        <v>725</v>
      </c>
      <c r="G13" s="1" t="s">
        <v>92</v>
      </c>
      <c r="H13" s="1" t="s">
        <v>21</v>
      </c>
      <c r="I13" s="1" t="s">
        <v>15</v>
      </c>
      <c r="J13" s="1" t="s">
        <v>15</v>
      </c>
      <c r="K13" s="1" t="s">
        <v>61</v>
      </c>
      <c r="L13" s="1">
        <v>7</v>
      </c>
      <c r="M13" s="1">
        <v>8</v>
      </c>
      <c r="N13" s="1">
        <v>0</v>
      </c>
      <c r="O13" s="1">
        <v>5</v>
      </c>
      <c r="P13" s="1" t="s">
        <v>222</v>
      </c>
    </row>
    <row r="14" spans="1:18">
      <c r="A14" s="1">
        <v>11</v>
      </c>
      <c r="B14" s="1" t="s">
        <v>733</v>
      </c>
      <c r="C14" s="5">
        <v>46086</v>
      </c>
      <c r="D14" s="1" t="s">
        <v>44</v>
      </c>
      <c r="E14" s="6" t="s">
        <v>49</v>
      </c>
      <c r="F14" s="6" t="s">
        <v>721</v>
      </c>
      <c r="G14" s="1" t="s">
        <v>5</v>
      </c>
      <c r="H14" s="1" t="s">
        <v>21</v>
      </c>
      <c r="I14" s="1" t="s">
        <v>78</v>
      </c>
      <c r="J14" s="1" t="s">
        <v>22</v>
      </c>
      <c r="K14" s="1" t="s">
        <v>12</v>
      </c>
      <c r="L14" s="1">
        <v>3</v>
      </c>
      <c r="M14" s="1">
        <v>6</v>
      </c>
      <c r="N14" s="1">
        <v>5</v>
      </c>
      <c r="O14" s="1">
        <v>4</v>
      </c>
      <c r="P14" s="1" t="s">
        <v>222</v>
      </c>
    </row>
    <row r="15" spans="1:18">
      <c r="A15" s="1">
        <v>12</v>
      </c>
      <c r="B15" s="1" t="s">
        <v>734</v>
      </c>
      <c r="C15" s="5">
        <v>46087</v>
      </c>
      <c r="D15" s="1" t="s">
        <v>44</v>
      </c>
      <c r="E15" s="6" t="s">
        <v>4</v>
      </c>
      <c r="F15" s="6" t="s">
        <v>730</v>
      </c>
      <c r="G15" s="1" t="s">
        <v>92</v>
      </c>
      <c r="H15" s="1" t="s">
        <v>51</v>
      </c>
      <c r="I15" s="1" t="s">
        <v>32</v>
      </c>
      <c r="J15" s="1" t="s">
        <v>78</v>
      </c>
      <c r="K15" s="1" t="s">
        <v>12</v>
      </c>
      <c r="L15" s="1">
        <v>1</v>
      </c>
      <c r="M15" s="1">
        <v>1</v>
      </c>
      <c r="N15" s="1">
        <v>8</v>
      </c>
      <c r="O15" s="1">
        <v>5</v>
      </c>
      <c r="P15" s="1" t="s">
        <v>236</v>
      </c>
    </row>
    <row r="16" spans="1:18">
      <c r="A16" s="1">
        <v>13</v>
      </c>
      <c r="B16" s="1" t="s">
        <v>735</v>
      </c>
      <c r="C16" s="5">
        <v>46120</v>
      </c>
      <c r="D16" s="1" t="s">
        <v>53</v>
      </c>
      <c r="E16" s="6" t="s">
        <v>12</v>
      </c>
      <c r="F16" s="6" t="s">
        <v>719</v>
      </c>
      <c r="G16" s="1" t="s">
        <v>5</v>
      </c>
      <c r="H16" s="1" t="s">
        <v>6</v>
      </c>
      <c r="I16" s="1" t="s">
        <v>68</v>
      </c>
      <c r="J16" s="1" t="s">
        <v>32</v>
      </c>
      <c r="K16" s="1" t="s">
        <v>38</v>
      </c>
      <c r="L16" s="1">
        <v>3</v>
      </c>
      <c r="M16" s="1">
        <v>5</v>
      </c>
      <c r="N16" s="1">
        <v>1</v>
      </c>
      <c r="O16" s="1">
        <v>0</v>
      </c>
      <c r="P16" s="1" t="s">
        <v>222</v>
      </c>
    </row>
    <row r="17" spans="1:16">
      <c r="A17" s="1">
        <v>14</v>
      </c>
      <c r="B17" s="1" t="s">
        <v>736</v>
      </c>
      <c r="C17" s="5">
        <v>46137</v>
      </c>
      <c r="D17" s="1" t="s">
        <v>53</v>
      </c>
      <c r="E17" s="6" t="s">
        <v>57</v>
      </c>
      <c r="F17" s="6" t="s">
        <v>725</v>
      </c>
      <c r="G17" s="1" t="s">
        <v>58</v>
      </c>
      <c r="H17" s="1" t="s">
        <v>95</v>
      </c>
      <c r="I17" s="1" t="s">
        <v>15</v>
      </c>
      <c r="J17" s="1" t="s">
        <v>104</v>
      </c>
      <c r="K17" s="1" t="s">
        <v>54</v>
      </c>
      <c r="L17" s="1">
        <v>5</v>
      </c>
      <c r="M17" s="1">
        <v>4</v>
      </c>
      <c r="N17" s="1">
        <v>0</v>
      </c>
      <c r="O17" s="1">
        <v>6</v>
      </c>
      <c r="P17" s="1" t="s">
        <v>236</v>
      </c>
    </row>
    <row r="18" spans="1:16">
      <c r="A18" s="1">
        <v>15</v>
      </c>
      <c r="B18" s="1" t="s">
        <v>737</v>
      </c>
      <c r="C18" s="5">
        <v>46122</v>
      </c>
      <c r="D18" s="1" t="s">
        <v>53</v>
      </c>
      <c r="E18" s="6" t="s">
        <v>30</v>
      </c>
      <c r="F18" s="6" t="s">
        <v>725</v>
      </c>
      <c r="G18" s="1" t="s">
        <v>39</v>
      </c>
      <c r="H18" s="1" t="s">
        <v>95</v>
      </c>
      <c r="I18" s="1" t="s">
        <v>78</v>
      </c>
      <c r="J18" s="1" t="s">
        <v>93</v>
      </c>
      <c r="K18" s="1" t="s">
        <v>26</v>
      </c>
      <c r="L18" s="1">
        <v>3</v>
      </c>
      <c r="M18" s="1">
        <v>0</v>
      </c>
      <c r="N18" s="1">
        <v>1</v>
      </c>
      <c r="O18" s="1">
        <v>0</v>
      </c>
      <c r="P18" s="1" t="s">
        <v>222</v>
      </c>
    </row>
    <row r="19" spans="1:16">
      <c r="A19" s="1">
        <v>16</v>
      </c>
      <c r="B19" s="1" t="s">
        <v>738</v>
      </c>
      <c r="C19" s="5">
        <v>46136</v>
      </c>
      <c r="D19" s="1" t="s">
        <v>53</v>
      </c>
      <c r="E19" s="6" t="s">
        <v>4</v>
      </c>
      <c r="F19" s="6" t="s">
        <v>739</v>
      </c>
      <c r="G19" s="1" t="s">
        <v>58</v>
      </c>
      <c r="H19" s="1" t="s">
        <v>95</v>
      </c>
      <c r="I19" s="1" t="s">
        <v>66</v>
      </c>
      <c r="J19" s="1" t="s">
        <v>22</v>
      </c>
      <c r="K19" s="1" t="s">
        <v>12</v>
      </c>
      <c r="L19" s="1">
        <v>0</v>
      </c>
      <c r="M19" s="1">
        <v>3</v>
      </c>
      <c r="N19" s="1">
        <v>2</v>
      </c>
      <c r="O19" s="1">
        <v>7</v>
      </c>
      <c r="P19" s="1" t="s">
        <v>222</v>
      </c>
    </row>
    <row r="20" spans="1:16">
      <c r="A20" s="1">
        <v>17</v>
      </c>
      <c r="B20" s="1" t="s">
        <v>740</v>
      </c>
      <c r="C20" s="5">
        <v>46163</v>
      </c>
      <c r="D20" s="1" t="s">
        <v>60</v>
      </c>
      <c r="E20" s="6" t="s">
        <v>20</v>
      </c>
      <c r="F20" s="6" t="s">
        <v>723</v>
      </c>
      <c r="G20" s="1" t="s">
        <v>65</v>
      </c>
      <c r="H20" s="1" t="s">
        <v>95</v>
      </c>
      <c r="I20" s="1" t="s">
        <v>7</v>
      </c>
      <c r="J20" s="1" t="s">
        <v>32</v>
      </c>
      <c r="K20" s="1" t="s">
        <v>91</v>
      </c>
      <c r="L20" s="1">
        <v>8</v>
      </c>
      <c r="M20" s="1">
        <v>6</v>
      </c>
      <c r="N20" s="1">
        <v>2</v>
      </c>
      <c r="O20" s="1">
        <v>0</v>
      </c>
      <c r="P20" s="1" t="s">
        <v>222</v>
      </c>
    </row>
    <row r="21" spans="1:16">
      <c r="A21" s="1">
        <v>18</v>
      </c>
      <c r="B21" s="1" t="s">
        <v>741</v>
      </c>
      <c r="C21" s="5">
        <v>46192</v>
      </c>
      <c r="D21" s="1" t="s">
        <v>73</v>
      </c>
      <c r="E21" s="6" t="s">
        <v>12</v>
      </c>
      <c r="F21" s="6" t="s">
        <v>730</v>
      </c>
      <c r="G21" s="1" t="s">
        <v>39</v>
      </c>
      <c r="H21" s="1" t="s">
        <v>21</v>
      </c>
      <c r="I21" s="1" t="s">
        <v>41</v>
      </c>
      <c r="J21" s="1" t="s">
        <v>36</v>
      </c>
      <c r="K21" s="1" t="s">
        <v>91</v>
      </c>
      <c r="L21" s="1">
        <v>5</v>
      </c>
      <c r="M21" s="1">
        <v>5</v>
      </c>
      <c r="N21" s="1">
        <v>4</v>
      </c>
      <c r="O21" s="1">
        <v>7</v>
      </c>
      <c r="P21" s="1" t="s">
        <v>226</v>
      </c>
    </row>
    <row r="22" spans="1:16">
      <c r="A22" s="1">
        <v>19</v>
      </c>
      <c r="B22" s="1" t="s">
        <v>742</v>
      </c>
      <c r="C22" s="5">
        <v>46184</v>
      </c>
      <c r="D22" s="1" t="s">
        <v>73</v>
      </c>
      <c r="E22" s="6" t="s">
        <v>57</v>
      </c>
      <c r="F22" s="6" t="s">
        <v>739</v>
      </c>
      <c r="G22" s="1" t="s">
        <v>46</v>
      </c>
      <c r="H22" s="1" t="s">
        <v>35</v>
      </c>
      <c r="I22" s="1" t="s">
        <v>104</v>
      </c>
      <c r="J22" s="1" t="s">
        <v>32</v>
      </c>
      <c r="K22" s="1" t="s">
        <v>4</v>
      </c>
      <c r="L22" s="1">
        <v>2</v>
      </c>
      <c r="M22" s="1">
        <v>5</v>
      </c>
      <c r="N22" s="1">
        <v>6</v>
      </c>
      <c r="O22" s="1">
        <v>7</v>
      </c>
      <c r="P22" s="1" t="s">
        <v>222</v>
      </c>
    </row>
    <row r="23" spans="1:16">
      <c r="A23" s="1">
        <v>20</v>
      </c>
      <c r="B23" s="1" t="s">
        <v>743</v>
      </c>
      <c r="C23" s="5">
        <v>46185</v>
      </c>
      <c r="D23" s="1" t="s">
        <v>73</v>
      </c>
      <c r="E23" s="6" t="s">
        <v>61</v>
      </c>
      <c r="F23" s="6" t="s">
        <v>725</v>
      </c>
      <c r="G23" s="1" t="s">
        <v>50</v>
      </c>
      <c r="H23" s="1" t="s">
        <v>82</v>
      </c>
      <c r="I23" s="1" t="s">
        <v>78</v>
      </c>
      <c r="J23" s="1" t="s">
        <v>41</v>
      </c>
      <c r="K23" s="1" t="s">
        <v>20</v>
      </c>
      <c r="L23" s="1">
        <v>1</v>
      </c>
      <c r="M23" s="1">
        <v>4</v>
      </c>
      <c r="N23" s="1">
        <v>3</v>
      </c>
      <c r="O23" s="1">
        <v>4</v>
      </c>
      <c r="P23" s="1" t="s">
        <v>222</v>
      </c>
    </row>
    <row r="24" spans="1:16">
      <c r="A24" s="1">
        <v>21</v>
      </c>
      <c r="B24" s="1" t="s">
        <v>744</v>
      </c>
      <c r="C24" s="5">
        <v>46188</v>
      </c>
      <c r="D24" s="1" t="s">
        <v>73</v>
      </c>
      <c r="E24" s="6" t="s">
        <v>61</v>
      </c>
      <c r="F24" s="6" t="s">
        <v>719</v>
      </c>
      <c r="G24" s="1" t="s">
        <v>5</v>
      </c>
      <c r="H24" s="1" t="s">
        <v>21</v>
      </c>
      <c r="I24" s="1" t="s">
        <v>15</v>
      </c>
      <c r="J24" s="1" t="s">
        <v>15</v>
      </c>
      <c r="K24" s="1" t="s">
        <v>38</v>
      </c>
      <c r="L24" s="1">
        <v>8</v>
      </c>
      <c r="M24" s="1">
        <v>5</v>
      </c>
      <c r="N24" s="1">
        <v>2</v>
      </c>
      <c r="O24" s="1">
        <v>8</v>
      </c>
      <c r="P24" s="1" t="s">
        <v>236</v>
      </c>
    </row>
    <row r="25" spans="1:16">
      <c r="A25" s="1">
        <v>22</v>
      </c>
      <c r="B25" s="1" t="s">
        <v>745</v>
      </c>
      <c r="C25" s="5">
        <v>46178</v>
      </c>
      <c r="D25" s="1" t="s">
        <v>73</v>
      </c>
      <c r="E25" s="6" t="s">
        <v>49</v>
      </c>
      <c r="F25" s="6" t="s">
        <v>730</v>
      </c>
      <c r="G25" s="1" t="s">
        <v>92</v>
      </c>
      <c r="H25" s="1" t="s">
        <v>31</v>
      </c>
      <c r="I25" s="1" t="s">
        <v>7</v>
      </c>
      <c r="J25" s="1" t="s">
        <v>22</v>
      </c>
      <c r="K25" s="1" t="s">
        <v>38</v>
      </c>
      <c r="L25" s="1">
        <v>0</v>
      </c>
      <c r="M25" s="1">
        <v>6</v>
      </c>
      <c r="N25" s="1">
        <v>2</v>
      </c>
      <c r="O25" s="1">
        <v>8</v>
      </c>
      <c r="P25" s="1" t="s">
        <v>226</v>
      </c>
    </row>
    <row r="26" spans="1:16">
      <c r="A26" s="1">
        <v>23</v>
      </c>
      <c r="B26" s="1" t="s">
        <v>746</v>
      </c>
      <c r="C26" s="5">
        <v>46183</v>
      </c>
      <c r="D26" s="1" t="s">
        <v>73</v>
      </c>
      <c r="E26" s="6" t="s">
        <v>54</v>
      </c>
      <c r="F26" s="6" t="s">
        <v>725</v>
      </c>
      <c r="G26" s="1" t="s">
        <v>89</v>
      </c>
      <c r="H26" s="1" t="s">
        <v>77</v>
      </c>
      <c r="I26" s="1" t="s">
        <v>22</v>
      </c>
      <c r="J26" s="1" t="s">
        <v>22</v>
      </c>
      <c r="K26" s="1" t="s">
        <v>57</v>
      </c>
      <c r="L26" s="1">
        <v>5</v>
      </c>
      <c r="M26" s="1">
        <v>8</v>
      </c>
      <c r="N26" s="1">
        <v>2</v>
      </c>
      <c r="O26" s="1">
        <v>1</v>
      </c>
      <c r="P26" s="1" t="s">
        <v>222</v>
      </c>
    </row>
    <row r="27" spans="1:16">
      <c r="A27" s="1">
        <v>24</v>
      </c>
      <c r="B27" s="1" t="s">
        <v>747</v>
      </c>
      <c r="C27" s="5">
        <v>46215</v>
      </c>
      <c r="D27" s="1" t="s">
        <v>76</v>
      </c>
      <c r="E27" s="6" t="s">
        <v>91</v>
      </c>
      <c r="F27" s="6" t="s">
        <v>723</v>
      </c>
      <c r="G27" s="1" t="s">
        <v>46</v>
      </c>
      <c r="H27" s="1" t="s">
        <v>82</v>
      </c>
      <c r="I27" s="1" t="s">
        <v>68</v>
      </c>
      <c r="J27" s="1" t="s">
        <v>36</v>
      </c>
      <c r="K27" s="1" t="s">
        <v>38</v>
      </c>
      <c r="L27" s="1">
        <v>7</v>
      </c>
      <c r="M27" s="1">
        <v>1</v>
      </c>
      <c r="N27" s="1">
        <v>0</v>
      </c>
      <c r="O27" s="1">
        <v>7</v>
      </c>
      <c r="P27" s="1" t="s">
        <v>222</v>
      </c>
    </row>
    <row r="28" spans="1:16">
      <c r="A28" s="1">
        <v>25</v>
      </c>
      <c r="B28" s="1" t="s">
        <v>748</v>
      </c>
      <c r="C28" s="5">
        <v>46209</v>
      </c>
      <c r="D28" s="1" t="s">
        <v>76</v>
      </c>
      <c r="E28" s="6" t="s">
        <v>49</v>
      </c>
      <c r="F28" s="6" t="s">
        <v>723</v>
      </c>
      <c r="G28" s="1" t="s">
        <v>5</v>
      </c>
      <c r="H28" s="1" t="s">
        <v>21</v>
      </c>
      <c r="I28" s="1" t="s">
        <v>15</v>
      </c>
      <c r="J28" s="1" t="s">
        <v>7</v>
      </c>
      <c r="K28" s="1" t="s">
        <v>38</v>
      </c>
      <c r="L28" s="1">
        <v>3</v>
      </c>
      <c r="M28" s="1">
        <v>7</v>
      </c>
      <c r="N28" s="1">
        <v>0</v>
      </c>
      <c r="O28" s="1">
        <v>1</v>
      </c>
      <c r="P28" s="1" t="s">
        <v>222</v>
      </c>
    </row>
    <row r="29" spans="1:16">
      <c r="A29" s="1">
        <v>26</v>
      </c>
      <c r="B29" s="1" t="s">
        <v>749</v>
      </c>
      <c r="C29" s="5">
        <v>46215</v>
      </c>
      <c r="D29" s="1" t="s">
        <v>76</v>
      </c>
      <c r="E29" s="6" t="s">
        <v>26</v>
      </c>
      <c r="F29" s="6" t="s">
        <v>719</v>
      </c>
      <c r="G29" s="1" t="s">
        <v>58</v>
      </c>
      <c r="H29" s="1" t="s">
        <v>51</v>
      </c>
      <c r="I29" s="1" t="s">
        <v>36</v>
      </c>
      <c r="J29" s="1" t="s">
        <v>7</v>
      </c>
      <c r="K29" s="1" t="s">
        <v>54</v>
      </c>
      <c r="L29" s="1">
        <v>6</v>
      </c>
      <c r="M29" s="1">
        <v>0</v>
      </c>
      <c r="N29" s="1">
        <v>4</v>
      </c>
      <c r="O29" s="1">
        <v>0</v>
      </c>
      <c r="P29" s="1" t="s">
        <v>236</v>
      </c>
    </row>
    <row r="30" spans="1:16">
      <c r="A30" s="1">
        <v>27</v>
      </c>
      <c r="B30" s="1" t="s">
        <v>750</v>
      </c>
      <c r="C30" s="5">
        <v>46237</v>
      </c>
      <c r="D30" s="1" t="s">
        <v>86</v>
      </c>
      <c r="E30" s="6" t="s">
        <v>16</v>
      </c>
      <c r="F30" s="6" t="s">
        <v>721</v>
      </c>
      <c r="G30" s="1" t="s">
        <v>13</v>
      </c>
      <c r="H30" s="1" t="s">
        <v>77</v>
      </c>
      <c r="I30" s="1" t="s">
        <v>68</v>
      </c>
      <c r="J30" s="1" t="s">
        <v>22</v>
      </c>
      <c r="K30" s="1" t="s">
        <v>38</v>
      </c>
      <c r="L30" s="1">
        <v>7</v>
      </c>
      <c r="M30" s="1">
        <v>0</v>
      </c>
      <c r="N30" s="1">
        <v>0</v>
      </c>
      <c r="O30" s="1">
        <v>4</v>
      </c>
      <c r="P30" s="1" t="s">
        <v>226</v>
      </c>
    </row>
    <row r="31" spans="1:16">
      <c r="A31" s="1">
        <v>28</v>
      </c>
      <c r="B31" s="1" t="s">
        <v>751</v>
      </c>
      <c r="C31" s="5">
        <v>46244</v>
      </c>
      <c r="D31" s="1" t="s">
        <v>86</v>
      </c>
      <c r="E31" s="6" t="s">
        <v>61</v>
      </c>
      <c r="F31" s="6" t="s">
        <v>725</v>
      </c>
      <c r="G31" s="1" t="s">
        <v>5</v>
      </c>
      <c r="H31" s="1" t="s">
        <v>87</v>
      </c>
      <c r="I31" s="1" t="s">
        <v>78</v>
      </c>
      <c r="J31" s="1" t="s">
        <v>70</v>
      </c>
      <c r="K31" s="1" t="s">
        <v>91</v>
      </c>
      <c r="L31" s="1">
        <v>8</v>
      </c>
      <c r="M31" s="1">
        <v>1</v>
      </c>
      <c r="N31" s="1">
        <v>8</v>
      </c>
      <c r="O31" s="1">
        <v>1</v>
      </c>
      <c r="P31" s="1" t="s">
        <v>222</v>
      </c>
    </row>
    <row r="32" spans="1:16">
      <c r="A32" s="1">
        <v>29</v>
      </c>
      <c r="B32" s="1" t="s">
        <v>752</v>
      </c>
      <c r="C32" s="5">
        <v>46239</v>
      </c>
      <c r="D32" s="1" t="s">
        <v>86</v>
      </c>
      <c r="E32" s="6" t="s">
        <v>49</v>
      </c>
      <c r="F32" s="6" t="s">
        <v>730</v>
      </c>
      <c r="G32" s="1" t="s">
        <v>39</v>
      </c>
      <c r="H32" s="1" t="s">
        <v>31</v>
      </c>
      <c r="I32" s="1" t="s">
        <v>36</v>
      </c>
      <c r="J32" s="1" t="s">
        <v>104</v>
      </c>
      <c r="K32" s="1" t="s">
        <v>64</v>
      </c>
      <c r="L32" s="1">
        <v>4</v>
      </c>
      <c r="M32" s="1">
        <v>1</v>
      </c>
      <c r="N32" s="1">
        <v>3</v>
      </c>
      <c r="O32" s="1">
        <v>3</v>
      </c>
      <c r="P32" s="1" t="s">
        <v>236</v>
      </c>
    </row>
    <row r="33" spans="1:16">
      <c r="A33" s="1">
        <v>30</v>
      </c>
      <c r="B33" s="1" t="s">
        <v>753</v>
      </c>
      <c r="C33" s="5">
        <v>46237</v>
      </c>
      <c r="D33" s="1" t="s">
        <v>86</v>
      </c>
      <c r="E33" s="6" t="s">
        <v>61</v>
      </c>
      <c r="F33" s="6" t="s">
        <v>721</v>
      </c>
      <c r="G33" s="1" t="s">
        <v>27</v>
      </c>
      <c r="H33" s="1" t="s">
        <v>31</v>
      </c>
      <c r="I33" s="1" t="s">
        <v>32</v>
      </c>
      <c r="J33" s="1" t="s">
        <v>66</v>
      </c>
      <c r="K33" s="1" t="s">
        <v>61</v>
      </c>
      <c r="L33" s="1">
        <v>5</v>
      </c>
      <c r="M33" s="1">
        <v>1</v>
      </c>
      <c r="N33" s="1">
        <v>4</v>
      </c>
      <c r="O33" s="1">
        <v>2</v>
      </c>
      <c r="P33" s="1" t="s">
        <v>226</v>
      </c>
    </row>
    <row r="34" spans="1:16">
      <c r="A34" s="1">
        <v>31</v>
      </c>
      <c r="B34" s="1" t="s">
        <v>754</v>
      </c>
      <c r="C34" s="5">
        <v>46243</v>
      </c>
      <c r="D34" s="1" t="s">
        <v>86</v>
      </c>
      <c r="E34" s="6" t="s">
        <v>49</v>
      </c>
      <c r="F34" s="6" t="s">
        <v>719</v>
      </c>
      <c r="G34" s="1" t="s">
        <v>89</v>
      </c>
      <c r="H34" s="1" t="s">
        <v>6</v>
      </c>
      <c r="I34" s="1" t="s">
        <v>68</v>
      </c>
      <c r="J34" s="1" t="s">
        <v>62</v>
      </c>
      <c r="K34" s="1" t="s">
        <v>4</v>
      </c>
      <c r="L34" s="1">
        <v>4</v>
      </c>
      <c r="M34" s="1">
        <v>7</v>
      </c>
      <c r="N34" s="1">
        <v>2</v>
      </c>
      <c r="O34" s="1">
        <v>2</v>
      </c>
      <c r="P34" s="1" t="s">
        <v>236</v>
      </c>
    </row>
    <row r="35" spans="1:16">
      <c r="A35" s="1">
        <v>32</v>
      </c>
      <c r="B35" s="1" t="s">
        <v>755</v>
      </c>
      <c r="C35" s="5">
        <v>46260</v>
      </c>
      <c r="D35" s="1" t="s">
        <v>86</v>
      </c>
      <c r="E35" s="6" t="s">
        <v>61</v>
      </c>
      <c r="F35" s="6" t="s">
        <v>723</v>
      </c>
      <c r="G35" s="1" t="s">
        <v>92</v>
      </c>
      <c r="H35" s="1" t="s">
        <v>87</v>
      </c>
      <c r="I35" s="1" t="s">
        <v>68</v>
      </c>
      <c r="J35" s="1" t="s">
        <v>70</v>
      </c>
      <c r="K35" s="1" t="s">
        <v>16</v>
      </c>
      <c r="L35" s="1">
        <v>7</v>
      </c>
      <c r="M35" s="1">
        <v>2</v>
      </c>
      <c r="N35" s="1">
        <v>1</v>
      </c>
      <c r="O35" s="1">
        <v>8</v>
      </c>
      <c r="P35" s="1" t="s">
        <v>226</v>
      </c>
    </row>
    <row r="36" spans="1:16">
      <c r="A36" s="1">
        <v>33</v>
      </c>
      <c r="B36" s="1" t="s">
        <v>756</v>
      </c>
      <c r="C36" s="5">
        <v>46237</v>
      </c>
      <c r="D36" s="1" t="s">
        <v>86</v>
      </c>
      <c r="E36" s="6" t="s">
        <v>54</v>
      </c>
      <c r="F36" s="6" t="s">
        <v>739</v>
      </c>
      <c r="G36" s="1" t="s">
        <v>46</v>
      </c>
      <c r="H36" s="1" t="s">
        <v>77</v>
      </c>
      <c r="I36" s="1" t="s">
        <v>70</v>
      </c>
      <c r="J36" s="1" t="s">
        <v>7</v>
      </c>
      <c r="K36" s="1" t="s">
        <v>12</v>
      </c>
      <c r="L36" s="1">
        <v>3</v>
      </c>
      <c r="M36" s="1">
        <v>0</v>
      </c>
      <c r="N36" s="1">
        <v>3</v>
      </c>
      <c r="O36" s="1">
        <v>0</v>
      </c>
      <c r="P36" s="1" t="s">
        <v>222</v>
      </c>
    </row>
    <row r="37" spans="1:16">
      <c r="A37" s="1">
        <v>34</v>
      </c>
      <c r="B37" s="1" t="s">
        <v>757</v>
      </c>
      <c r="C37" s="5">
        <v>46241</v>
      </c>
      <c r="D37" s="1" t="s">
        <v>86</v>
      </c>
      <c r="E37" s="6" t="s">
        <v>45</v>
      </c>
      <c r="F37" s="6" t="s">
        <v>739</v>
      </c>
      <c r="G37" s="1" t="s">
        <v>50</v>
      </c>
      <c r="H37" s="1" t="s">
        <v>31</v>
      </c>
      <c r="I37" s="1" t="s">
        <v>93</v>
      </c>
      <c r="J37" s="1" t="s">
        <v>32</v>
      </c>
      <c r="K37" s="1" t="s">
        <v>49</v>
      </c>
      <c r="L37" s="1">
        <v>8</v>
      </c>
      <c r="M37" s="1">
        <v>1</v>
      </c>
      <c r="N37" s="1">
        <v>7</v>
      </c>
      <c r="O37" s="1">
        <v>3</v>
      </c>
      <c r="P37" s="1" t="s">
        <v>222</v>
      </c>
    </row>
    <row r="38" spans="1:16">
      <c r="A38" s="1">
        <v>35</v>
      </c>
      <c r="B38" s="1" t="s">
        <v>758</v>
      </c>
      <c r="C38" s="5">
        <v>46243</v>
      </c>
      <c r="D38" s="1" t="s">
        <v>86</v>
      </c>
      <c r="E38" s="6" t="s">
        <v>49</v>
      </c>
      <c r="F38" s="6" t="s">
        <v>723</v>
      </c>
      <c r="G38" s="1" t="s">
        <v>27</v>
      </c>
      <c r="H38" s="1" t="s">
        <v>6</v>
      </c>
      <c r="I38" s="1" t="s">
        <v>36</v>
      </c>
      <c r="J38" s="1" t="s">
        <v>104</v>
      </c>
      <c r="K38" s="1" t="s">
        <v>20</v>
      </c>
      <c r="L38" s="1">
        <v>5</v>
      </c>
      <c r="M38" s="1">
        <v>2</v>
      </c>
      <c r="N38" s="1">
        <v>2</v>
      </c>
      <c r="O38" s="1">
        <v>5</v>
      </c>
      <c r="P38" s="1" t="s">
        <v>236</v>
      </c>
    </row>
    <row r="39" spans="1:16">
      <c r="A39" s="1">
        <v>36</v>
      </c>
      <c r="B39" s="1" t="s">
        <v>759</v>
      </c>
      <c r="C39" s="5">
        <v>46274</v>
      </c>
      <c r="D39" s="1" t="s">
        <v>102</v>
      </c>
      <c r="E39" s="6" t="s">
        <v>54</v>
      </c>
      <c r="F39" s="6" t="s">
        <v>723</v>
      </c>
      <c r="G39" s="1" t="s">
        <v>13</v>
      </c>
      <c r="H39" s="1" t="s">
        <v>35</v>
      </c>
      <c r="I39" s="1" t="s">
        <v>22</v>
      </c>
      <c r="J39" s="1" t="s">
        <v>15</v>
      </c>
      <c r="K39" s="1" t="s">
        <v>57</v>
      </c>
      <c r="L39" s="1">
        <v>5</v>
      </c>
      <c r="M39" s="1">
        <v>7</v>
      </c>
      <c r="N39" s="1">
        <v>7</v>
      </c>
      <c r="O39" s="1">
        <v>6</v>
      </c>
      <c r="P39" s="1" t="s">
        <v>236</v>
      </c>
    </row>
    <row r="40" spans="1:16">
      <c r="A40" s="1">
        <v>37</v>
      </c>
      <c r="B40" s="1" t="s">
        <v>760</v>
      </c>
      <c r="C40" s="5">
        <v>46278</v>
      </c>
      <c r="D40" s="1" t="s">
        <v>102</v>
      </c>
      <c r="E40" s="6" t="s">
        <v>12</v>
      </c>
      <c r="F40" s="6" t="s">
        <v>739</v>
      </c>
      <c r="G40" s="1" t="s">
        <v>27</v>
      </c>
      <c r="H40" s="1" t="s">
        <v>6</v>
      </c>
      <c r="I40" s="1" t="s">
        <v>7</v>
      </c>
      <c r="J40" s="1" t="s">
        <v>7</v>
      </c>
      <c r="K40" s="1" t="s">
        <v>49</v>
      </c>
      <c r="L40" s="1">
        <v>4</v>
      </c>
      <c r="M40" s="1">
        <v>3</v>
      </c>
      <c r="N40" s="1">
        <v>7</v>
      </c>
      <c r="O40" s="1">
        <v>1</v>
      </c>
      <c r="P40" s="1" t="s">
        <v>236</v>
      </c>
    </row>
    <row r="41" spans="1:16">
      <c r="A41" s="1">
        <v>38</v>
      </c>
      <c r="B41" s="1" t="s">
        <v>761</v>
      </c>
      <c r="C41" s="5">
        <v>46278</v>
      </c>
      <c r="D41" s="1" t="s">
        <v>102</v>
      </c>
      <c r="E41" s="6" t="s">
        <v>45</v>
      </c>
      <c r="F41" s="6" t="s">
        <v>730</v>
      </c>
      <c r="G41" s="1" t="s">
        <v>50</v>
      </c>
      <c r="H41" s="1" t="s">
        <v>6</v>
      </c>
      <c r="I41" s="1" t="s">
        <v>22</v>
      </c>
      <c r="J41" s="1" t="s">
        <v>28</v>
      </c>
      <c r="K41" s="1" t="s">
        <v>16</v>
      </c>
      <c r="L41" s="1">
        <v>7</v>
      </c>
      <c r="M41" s="1">
        <v>5</v>
      </c>
      <c r="N41" s="1">
        <v>0</v>
      </c>
      <c r="O41" s="1">
        <v>4</v>
      </c>
      <c r="P41" s="1" t="s">
        <v>222</v>
      </c>
    </row>
    <row r="42" spans="1:16">
      <c r="A42" s="1">
        <v>39</v>
      </c>
      <c r="B42" s="1" t="s">
        <v>762</v>
      </c>
      <c r="C42" s="5">
        <v>46281</v>
      </c>
      <c r="D42" s="1" t="s">
        <v>102</v>
      </c>
      <c r="E42" s="6" t="s">
        <v>4</v>
      </c>
      <c r="F42" s="6" t="s">
        <v>739</v>
      </c>
      <c r="G42" s="1" t="s">
        <v>58</v>
      </c>
      <c r="H42" s="1" t="s">
        <v>40</v>
      </c>
      <c r="I42" s="1" t="s">
        <v>22</v>
      </c>
      <c r="J42" s="1" t="s">
        <v>28</v>
      </c>
      <c r="K42" s="1" t="s">
        <v>4</v>
      </c>
      <c r="L42" s="1">
        <v>1</v>
      </c>
      <c r="M42" s="1">
        <v>0</v>
      </c>
      <c r="N42" s="1">
        <v>6</v>
      </c>
      <c r="O42" s="1">
        <v>4</v>
      </c>
      <c r="P42" s="1" t="s">
        <v>236</v>
      </c>
    </row>
    <row r="43" spans="1:16">
      <c r="A43" s="1">
        <v>40</v>
      </c>
      <c r="B43" s="1" t="s">
        <v>763</v>
      </c>
      <c r="C43" s="5">
        <v>46317</v>
      </c>
      <c r="D43" s="1" t="s">
        <v>106</v>
      </c>
      <c r="E43" s="6" t="s">
        <v>30</v>
      </c>
      <c r="F43" s="6" t="s">
        <v>723</v>
      </c>
      <c r="G43" s="1" t="s">
        <v>65</v>
      </c>
      <c r="H43" s="1" t="s">
        <v>82</v>
      </c>
      <c r="I43" s="1" t="s">
        <v>36</v>
      </c>
      <c r="J43" s="1" t="s">
        <v>7</v>
      </c>
      <c r="K43" s="1" t="s">
        <v>30</v>
      </c>
      <c r="L43" s="1">
        <v>1</v>
      </c>
      <c r="M43" s="1">
        <v>6</v>
      </c>
      <c r="N43" s="1">
        <v>4</v>
      </c>
      <c r="O43" s="1">
        <v>0</v>
      </c>
      <c r="P43" s="1" t="s">
        <v>222</v>
      </c>
    </row>
    <row r="44" spans="1:16">
      <c r="A44" s="1">
        <v>41</v>
      </c>
      <c r="B44" s="1" t="s">
        <v>764</v>
      </c>
      <c r="C44" s="5">
        <v>46302</v>
      </c>
      <c r="D44" s="1" t="s">
        <v>106</v>
      </c>
      <c r="E44" s="6" t="s">
        <v>20</v>
      </c>
      <c r="F44" s="6" t="s">
        <v>719</v>
      </c>
      <c r="G44" s="1" t="s">
        <v>65</v>
      </c>
      <c r="H44" s="1" t="s">
        <v>21</v>
      </c>
      <c r="I44" s="1" t="s">
        <v>93</v>
      </c>
      <c r="J44" s="1" t="s">
        <v>68</v>
      </c>
      <c r="K44" s="1" t="s">
        <v>49</v>
      </c>
      <c r="L44" s="1">
        <v>7</v>
      </c>
      <c r="M44" s="1">
        <v>8</v>
      </c>
      <c r="N44" s="1">
        <v>5</v>
      </c>
      <c r="O44" s="1">
        <v>1</v>
      </c>
      <c r="P44" s="1" t="s">
        <v>222</v>
      </c>
    </row>
    <row r="45" spans="1:16">
      <c r="A45" s="1">
        <v>42</v>
      </c>
      <c r="B45" s="1" t="s">
        <v>765</v>
      </c>
      <c r="C45" s="5">
        <v>46309</v>
      </c>
      <c r="D45" s="1" t="s">
        <v>106</v>
      </c>
      <c r="E45" s="6" t="s">
        <v>49</v>
      </c>
      <c r="F45" s="6" t="s">
        <v>719</v>
      </c>
      <c r="G45" s="1" t="s">
        <v>58</v>
      </c>
      <c r="H45" s="1" t="s">
        <v>40</v>
      </c>
      <c r="I45" s="1" t="s">
        <v>68</v>
      </c>
      <c r="J45" s="1" t="s">
        <v>15</v>
      </c>
      <c r="K45" s="1" t="s">
        <v>4</v>
      </c>
      <c r="L45" s="1">
        <v>5</v>
      </c>
      <c r="M45" s="1">
        <v>1</v>
      </c>
      <c r="N45" s="1">
        <v>8</v>
      </c>
      <c r="O45" s="1">
        <v>6</v>
      </c>
      <c r="P45" s="1" t="s">
        <v>222</v>
      </c>
    </row>
    <row r="46" spans="1:16">
      <c r="A46" s="1">
        <v>43</v>
      </c>
      <c r="B46" s="1" t="s">
        <v>766</v>
      </c>
      <c r="C46" s="5">
        <v>46297</v>
      </c>
      <c r="D46" s="1" t="s">
        <v>106</v>
      </c>
      <c r="E46" s="6" t="s">
        <v>38</v>
      </c>
      <c r="F46" s="6" t="s">
        <v>723</v>
      </c>
      <c r="G46" s="1" t="s">
        <v>89</v>
      </c>
      <c r="H46" s="1" t="s">
        <v>87</v>
      </c>
      <c r="I46" s="1" t="s">
        <v>62</v>
      </c>
      <c r="J46" s="1" t="s">
        <v>104</v>
      </c>
      <c r="K46" s="1" t="s">
        <v>49</v>
      </c>
      <c r="L46" s="1">
        <v>4</v>
      </c>
      <c r="M46" s="1">
        <v>5</v>
      </c>
      <c r="N46" s="1">
        <v>7</v>
      </c>
      <c r="O46" s="1">
        <v>5</v>
      </c>
      <c r="P46" s="1" t="s">
        <v>222</v>
      </c>
    </row>
    <row r="47" spans="1:16">
      <c r="A47" s="1">
        <v>44</v>
      </c>
      <c r="B47" s="1" t="s">
        <v>767</v>
      </c>
      <c r="C47" s="5">
        <v>46336</v>
      </c>
      <c r="D47" s="1" t="s">
        <v>111</v>
      </c>
      <c r="E47" s="6" t="s">
        <v>64</v>
      </c>
      <c r="F47" s="6" t="s">
        <v>739</v>
      </c>
      <c r="G47" s="1" t="s">
        <v>92</v>
      </c>
      <c r="H47" s="1" t="s">
        <v>80</v>
      </c>
      <c r="I47" s="1" t="s">
        <v>32</v>
      </c>
      <c r="J47" s="1" t="s">
        <v>41</v>
      </c>
      <c r="K47" s="1" t="s">
        <v>57</v>
      </c>
      <c r="L47" s="1">
        <v>0</v>
      </c>
      <c r="M47" s="1">
        <v>7</v>
      </c>
      <c r="N47" s="1">
        <v>4</v>
      </c>
      <c r="O47" s="1">
        <v>3</v>
      </c>
      <c r="P47" s="1" t="s">
        <v>236</v>
      </c>
    </row>
    <row r="48" spans="1:16">
      <c r="A48" s="1">
        <v>45</v>
      </c>
      <c r="B48" s="1" t="s">
        <v>768</v>
      </c>
      <c r="C48" s="5">
        <v>46333</v>
      </c>
      <c r="D48" s="1" t="s">
        <v>111</v>
      </c>
      <c r="E48" s="6" t="s">
        <v>49</v>
      </c>
      <c r="F48" s="6" t="s">
        <v>730</v>
      </c>
      <c r="G48" s="1" t="s">
        <v>50</v>
      </c>
      <c r="H48" s="1" t="s">
        <v>80</v>
      </c>
      <c r="I48" s="1" t="s">
        <v>15</v>
      </c>
      <c r="J48" s="1" t="s">
        <v>68</v>
      </c>
      <c r="K48" s="1" t="s">
        <v>64</v>
      </c>
      <c r="L48" s="1">
        <v>0</v>
      </c>
      <c r="M48" s="1">
        <v>7</v>
      </c>
      <c r="N48" s="1">
        <v>3</v>
      </c>
      <c r="O48" s="1">
        <v>8</v>
      </c>
      <c r="P48" s="1" t="s">
        <v>226</v>
      </c>
    </row>
    <row r="49" spans="1:16">
      <c r="A49" s="1">
        <v>46</v>
      </c>
      <c r="B49" s="1" t="s">
        <v>769</v>
      </c>
      <c r="C49" s="5">
        <v>46350</v>
      </c>
      <c r="D49" s="1" t="s">
        <v>111</v>
      </c>
      <c r="E49" s="6" t="s">
        <v>4</v>
      </c>
      <c r="F49" s="6" t="s">
        <v>725</v>
      </c>
      <c r="G49" s="1" t="s">
        <v>50</v>
      </c>
      <c r="H49" s="1" t="s">
        <v>35</v>
      </c>
      <c r="I49" s="1" t="s">
        <v>78</v>
      </c>
      <c r="J49" s="1" t="s">
        <v>66</v>
      </c>
      <c r="K49" s="1" t="s">
        <v>57</v>
      </c>
      <c r="L49" s="1">
        <v>0</v>
      </c>
      <c r="M49" s="1">
        <v>1</v>
      </c>
      <c r="N49" s="1">
        <v>8</v>
      </c>
      <c r="O49" s="1">
        <v>8</v>
      </c>
      <c r="P49" s="1" t="s">
        <v>236</v>
      </c>
    </row>
    <row r="50" spans="1:16">
      <c r="A50" s="1">
        <v>47</v>
      </c>
      <c r="B50" s="1" t="s">
        <v>770</v>
      </c>
      <c r="C50" s="5">
        <v>46334</v>
      </c>
      <c r="D50" s="1" t="s">
        <v>111</v>
      </c>
      <c r="E50" s="6" t="s">
        <v>57</v>
      </c>
      <c r="F50" s="6" t="s">
        <v>723</v>
      </c>
      <c r="G50" s="1" t="s">
        <v>27</v>
      </c>
      <c r="H50" s="1" t="s">
        <v>51</v>
      </c>
      <c r="I50" s="1" t="s">
        <v>15</v>
      </c>
      <c r="J50" s="1" t="s">
        <v>104</v>
      </c>
      <c r="K50" s="1" t="s">
        <v>4</v>
      </c>
      <c r="L50" s="1">
        <v>6</v>
      </c>
      <c r="M50" s="1">
        <v>0</v>
      </c>
      <c r="N50" s="1">
        <v>1</v>
      </c>
      <c r="O50" s="1">
        <v>3</v>
      </c>
      <c r="P50" s="1" t="s">
        <v>226</v>
      </c>
    </row>
    <row r="51" spans="1:16">
      <c r="A51" s="1">
        <v>48</v>
      </c>
      <c r="B51" s="1" t="s">
        <v>771</v>
      </c>
      <c r="C51" s="5">
        <v>46361</v>
      </c>
      <c r="D51" s="1" t="s">
        <v>122</v>
      </c>
      <c r="E51" s="6" t="s">
        <v>30</v>
      </c>
      <c r="F51" s="6" t="s">
        <v>739</v>
      </c>
      <c r="G51" s="1" t="s">
        <v>5</v>
      </c>
      <c r="H51" s="1" t="s">
        <v>35</v>
      </c>
      <c r="I51" s="1" t="s">
        <v>15</v>
      </c>
      <c r="J51" s="1" t="s">
        <v>93</v>
      </c>
      <c r="K51" s="1" t="s">
        <v>12</v>
      </c>
      <c r="L51" s="1">
        <v>7</v>
      </c>
      <c r="M51" s="1">
        <v>7</v>
      </c>
      <c r="N51" s="1">
        <v>3</v>
      </c>
      <c r="O51" s="1">
        <v>3</v>
      </c>
      <c r="P51" s="1" t="s">
        <v>226</v>
      </c>
    </row>
  </sheetData>
  <mergeCells count="2">
    <mergeCell ref="A1:P1"/>
    <mergeCell ref="A2:P2"/>
  </mergeCells>
  <dataValidations count="3">
    <dataValidation type="list" allowBlank="1" showInputMessage="1" showErrorMessage="1" sqref="G4:G100003">
      <formula1>L_Dept</formula1>
    </dataValidation>
    <dataValidation type="list" allowBlank="1" showInputMessage="1" showErrorMessage="1" sqref="H4:H100003">
      <formula1>L_Loc</formula1>
    </dataValidation>
    <dataValidation type="list" allowBlank="1" showInputMessage="1" showErrorMessage="1" sqref="P4:P100003">
      <formula1>L_Status</formula1>
    </dataValidation>
  </dataValidations>
  <hyperlinks>
    <hyperlink ref="R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tabColor rgb="FF64748B"/>
    <pageSetUpPr fitToPage="1"/>
  </sheetPr>
  <dimension ref="A1:R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1.7109375" style="1" customWidth="1"/>
    <col min="3" max="4" width="9.7109375" style="1" customWidth="1"/>
    <col min="5" max="5" width="13.7109375" style="1" customWidth="1"/>
    <col min="6" max="7" width="12.7109375" style="1" customWidth="1"/>
    <col min="8" max="8" width="10.7109375" style="1" customWidth="1"/>
    <col min="9" max="9" width="14.7109375" style="1" customWidth="1"/>
    <col min="10" max="10" width="13.7109375" style="1" customWidth="1"/>
    <col min="11" max="11" width="17.7109375" style="1" customWidth="1"/>
    <col min="12" max="13" width="10.7109375" style="1" customWidth="1"/>
    <col min="14" max="14" width="14.7109375" style="1" customWidth="1"/>
    <col min="15" max="15" width="17.7109375" style="1" customWidth="1"/>
    <col min="16" max="16" width="9.7109375" style="1" customWidth="1"/>
  </cols>
  <sheetData>
    <row r="1" spans="1:18" ht="22" customHeight="1">
      <c r="A1" s="3" t="s">
        <v>781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4" t="s">
        <v>139</v>
      </c>
    </row>
    <row r="2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>
      <c r="A3" s="1" t="s">
        <v>124</v>
      </c>
      <c r="B3" s="1" t="s">
        <v>772</v>
      </c>
      <c r="C3" s="1" t="s">
        <v>126</v>
      </c>
      <c r="D3" s="1" t="s">
        <v>127</v>
      </c>
      <c r="E3" s="1" t="s">
        <v>773</v>
      </c>
      <c r="F3" s="1" t="s">
        <v>774</v>
      </c>
      <c r="G3" s="1" t="s">
        <v>129</v>
      </c>
      <c r="H3" s="1" t="s">
        <v>130</v>
      </c>
      <c r="I3" s="1" t="s">
        <v>775</v>
      </c>
      <c r="J3" s="1" t="s">
        <v>209</v>
      </c>
      <c r="K3" s="1" t="s">
        <v>776</v>
      </c>
      <c r="L3" s="1" t="s">
        <v>777</v>
      </c>
      <c r="M3" s="1" t="s">
        <v>778</v>
      </c>
      <c r="N3" s="1" t="s">
        <v>779</v>
      </c>
      <c r="O3" s="1" t="s">
        <v>780</v>
      </c>
      <c r="P3" s="1" t="s">
        <v>288</v>
      </c>
    </row>
    <row r="4" spans="1:18">
      <c r="A4" s="1">
        <v>1</v>
      </c>
      <c r="B4" s="1" t="s">
        <v>782</v>
      </c>
      <c r="C4" s="5">
        <v>46037</v>
      </c>
      <c r="D4" s="1" t="s">
        <v>3</v>
      </c>
      <c r="E4" s="6" t="s">
        <v>54</v>
      </c>
      <c r="F4" s="6" t="s">
        <v>725</v>
      </c>
      <c r="G4" s="1" t="s">
        <v>27</v>
      </c>
      <c r="H4" s="1" t="s">
        <v>40</v>
      </c>
      <c r="I4" s="1" t="s">
        <v>32</v>
      </c>
      <c r="J4" s="1" t="s">
        <v>66</v>
      </c>
      <c r="K4" s="1" t="s">
        <v>91</v>
      </c>
      <c r="L4" s="1">
        <v>6</v>
      </c>
      <c r="M4" s="1">
        <v>8</v>
      </c>
      <c r="N4" s="1">
        <v>3</v>
      </c>
      <c r="O4" s="1">
        <v>8</v>
      </c>
      <c r="P4" s="1" t="s">
        <v>222</v>
      </c>
    </row>
    <row r="5" spans="1:18">
      <c r="A5" s="1">
        <v>2</v>
      </c>
      <c r="B5" s="1" t="s">
        <v>783</v>
      </c>
      <c r="C5" s="5">
        <v>46050</v>
      </c>
      <c r="D5" s="1" t="s">
        <v>3</v>
      </c>
      <c r="E5" s="6" t="s">
        <v>45</v>
      </c>
      <c r="F5" s="6" t="s">
        <v>739</v>
      </c>
      <c r="G5" s="1" t="s">
        <v>50</v>
      </c>
      <c r="H5" s="1" t="s">
        <v>95</v>
      </c>
      <c r="I5" s="1" t="s">
        <v>7</v>
      </c>
      <c r="J5" s="1" t="s">
        <v>28</v>
      </c>
      <c r="K5" s="1" t="s">
        <v>16</v>
      </c>
      <c r="L5" s="1">
        <v>4</v>
      </c>
      <c r="M5" s="1">
        <v>1</v>
      </c>
      <c r="N5" s="1">
        <v>7</v>
      </c>
      <c r="O5" s="1">
        <v>3</v>
      </c>
      <c r="P5" s="1" t="s">
        <v>226</v>
      </c>
    </row>
    <row r="6" spans="1:18">
      <c r="A6" s="1">
        <v>3</v>
      </c>
      <c r="B6" s="1" t="s">
        <v>784</v>
      </c>
      <c r="C6" s="5">
        <v>46039</v>
      </c>
      <c r="D6" s="1" t="s">
        <v>3</v>
      </c>
      <c r="E6" s="6" t="s">
        <v>64</v>
      </c>
      <c r="F6" s="6" t="s">
        <v>725</v>
      </c>
      <c r="G6" s="1" t="s">
        <v>46</v>
      </c>
      <c r="H6" s="1" t="s">
        <v>51</v>
      </c>
      <c r="I6" s="1" t="s">
        <v>7</v>
      </c>
      <c r="J6" s="1" t="s">
        <v>70</v>
      </c>
      <c r="K6" s="1" t="s">
        <v>61</v>
      </c>
      <c r="L6" s="1">
        <v>7</v>
      </c>
      <c r="M6" s="1">
        <v>3</v>
      </c>
      <c r="N6" s="1">
        <v>1</v>
      </c>
      <c r="O6" s="1">
        <v>6</v>
      </c>
      <c r="P6" s="1" t="s">
        <v>222</v>
      </c>
    </row>
    <row r="7" spans="1:18">
      <c r="A7" s="1">
        <v>4</v>
      </c>
      <c r="B7" s="1" t="s">
        <v>785</v>
      </c>
      <c r="C7" s="5">
        <v>46044</v>
      </c>
      <c r="D7" s="1" t="s">
        <v>3</v>
      </c>
      <c r="E7" s="6" t="s">
        <v>16</v>
      </c>
      <c r="F7" s="6" t="s">
        <v>739</v>
      </c>
      <c r="G7" s="1" t="s">
        <v>27</v>
      </c>
      <c r="H7" s="1" t="s">
        <v>87</v>
      </c>
      <c r="I7" s="1" t="s">
        <v>41</v>
      </c>
      <c r="J7" s="1" t="s">
        <v>41</v>
      </c>
      <c r="K7" s="1" t="s">
        <v>4</v>
      </c>
      <c r="L7" s="1">
        <v>4</v>
      </c>
      <c r="M7" s="1">
        <v>8</v>
      </c>
      <c r="N7" s="1">
        <v>5</v>
      </c>
      <c r="O7" s="1">
        <v>3</v>
      </c>
      <c r="P7" s="1" t="s">
        <v>226</v>
      </c>
    </row>
    <row r="8" spans="1:18">
      <c r="A8" s="1">
        <v>5</v>
      </c>
      <c r="B8" s="1" t="s">
        <v>786</v>
      </c>
      <c r="C8" s="5">
        <v>46048</v>
      </c>
      <c r="D8" s="1" t="s">
        <v>3</v>
      </c>
      <c r="E8" s="6" t="s">
        <v>45</v>
      </c>
      <c r="F8" s="6" t="s">
        <v>730</v>
      </c>
      <c r="G8" s="1" t="s">
        <v>50</v>
      </c>
      <c r="H8" s="1" t="s">
        <v>82</v>
      </c>
      <c r="I8" s="1" t="s">
        <v>32</v>
      </c>
      <c r="J8" s="1" t="s">
        <v>15</v>
      </c>
      <c r="K8" s="1" t="s">
        <v>61</v>
      </c>
      <c r="L8" s="1">
        <v>2</v>
      </c>
      <c r="M8" s="1">
        <v>2</v>
      </c>
      <c r="N8" s="1">
        <v>6</v>
      </c>
      <c r="O8" s="1">
        <v>3</v>
      </c>
      <c r="P8" s="1" t="s">
        <v>226</v>
      </c>
    </row>
    <row r="9" spans="1:18">
      <c r="A9" s="1">
        <v>6</v>
      </c>
      <c r="B9" s="1" t="s">
        <v>787</v>
      </c>
      <c r="C9" s="5">
        <v>46078</v>
      </c>
      <c r="D9" s="1" t="s">
        <v>19</v>
      </c>
      <c r="E9" s="6" t="s">
        <v>16</v>
      </c>
      <c r="F9" s="6" t="s">
        <v>730</v>
      </c>
      <c r="G9" s="1" t="s">
        <v>5</v>
      </c>
      <c r="H9" s="1" t="s">
        <v>95</v>
      </c>
      <c r="I9" s="1" t="s">
        <v>36</v>
      </c>
      <c r="J9" s="1" t="s">
        <v>15</v>
      </c>
      <c r="K9" s="1" t="s">
        <v>20</v>
      </c>
      <c r="L9" s="1">
        <v>6</v>
      </c>
      <c r="M9" s="1">
        <v>3</v>
      </c>
      <c r="N9" s="1">
        <v>3</v>
      </c>
      <c r="O9" s="1">
        <v>0</v>
      </c>
      <c r="P9" s="1" t="s">
        <v>222</v>
      </c>
    </row>
    <row r="10" spans="1:18">
      <c r="A10" s="1">
        <v>7</v>
      </c>
      <c r="B10" s="1" t="s">
        <v>788</v>
      </c>
      <c r="C10" s="5">
        <v>46060</v>
      </c>
      <c r="D10" s="1" t="s">
        <v>19</v>
      </c>
      <c r="E10" s="6" t="s">
        <v>30</v>
      </c>
      <c r="F10" s="6" t="s">
        <v>739</v>
      </c>
      <c r="G10" s="1" t="s">
        <v>5</v>
      </c>
      <c r="H10" s="1" t="s">
        <v>6</v>
      </c>
      <c r="I10" s="1" t="s">
        <v>62</v>
      </c>
      <c r="J10" s="1" t="s">
        <v>66</v>
      </c>
      <c r="K10" s="1" t="s">
        <v>16</v>
      </c>
      <c r="L10" s="1">
        <v>1</v>
      </c>
      <c r="M10" s="1">
        <v>8</v>
      </c>
      <c r="N10" s="1">
        <v>0</v>
      </c>
      <c r="O10" s="1">
        <v>6</v>
      </c>
      <c r="P10" s="1" t="s">
        <v>222</v>
      </c>
    </row>
    <row r="11" spans="1:18">
      <c r="A11" s="1">
        <v>8</v>
      </c>
      <c r="B11" s="1" t="s">
        <v>789</v>
      </c>
      <c r="C11" s="5">
        <v>46069</v>
      </c>
      <c r="D11" s="1" t="s">
        <v>19</v>
      </c>
      <c r="E11" s="6" t="s">
        <v>38</v>
      </c>
      <c r="F11" s="6" t="s">
        <v>725</v>
      </c>
      <c r="G11" s="1" t="s">
        <v>50</v>
      </c>
      <c r="H11" s="1" t="s">
        <v>51</v>
      </c>
      <c r="I11" s="1" t="s">
        <v>66</v>
      </c>
      <c r="J11" s="1" t="s">
        <v>22</v>
      </c>
      <c r="K11" s="1" t="s">
        <v>64</v>
      </c>
      <c r="L11" s="1">
        <v>3</v>
      </c>
      <c r="M11" s="1">
        <v>1</v>
      </c>
      <c r="N11" s="1">
        <v>5</v>
      </c>
      <c r="O11" s="1">
        <v>7</v>
      </c>
      <c r="P11" s="1" t="s">
        <v>222</v>
      </c>
    </row>
    <row r="12" spans="1:18">
      <c r="A12" s="1">
        <v>9</v>
      </c>
      <c r="B12" s="1" t="s">
        <v>790</v>
      </c>
      <c r="C12" s="5">
        <v>46100</v>
      </c>
      <c r="D12" s="1" t="s">
        <v>44</v>
      </c>
      <c r="E12" s="6" t="s">
        <v>30</v>
      </c>
      <c r="F12" s="6" t="s">
        <v>719</v>
      </c>
      <c r="G12" s="1" t="s">
        <v>50</v>
      </c>
      <c r="H12" s="1" t="s">
        <v>40</v>
      </c>
      <c r="I12" s="1" t="s">
        <v>78</v>
      </c>
      <c r="J12" s="1" t="s">
        <v>78</v>
      </c>
      <c r="K12" s="1" t="s">
        <v>4</v>
      </c>
      <c r="L12" s="1">
        <v>6</v>
      </c>
      <c r="M12" s="1">
        <v>4</v>
      </c>
      <c r="N12" s="1">
        <v>6</v>
      </c>
      <c r="O12" s="1">
        <v>0</v>
      </c>
      <c r="P12" s="1" t="s">
        <v>222</v>
      </c>
    </row>
    <row r="13" spans="1:18">
      <c r="A13" s="1">
        <v>10</v>
      </c>
      <c r="B13" s="1" t="s">
        <v>791</v>
      </c>
      <c r="C13" s="5">
        <v>46082</v>
      </c>
      <c r="D13" s="1" t="s">
        <v>44</v>
      </c>
      <c r="E13" s="6" t="s">
        <v>30</v>
      </c>
      <c r="F13" s="6" t="s">
        <v>721</v>
      </c>
      <c r="G13" s="1" t="s">
        <v>65</v>
      </c>
      <c r="H13" s="1" t="s">
        <v>31</v>
      </c>
      <c r="I13" s="1" t="s">
        <v>104</v>
      </c>
      <c r="J13" s="1" t="s">
        <v>32</v>
      </c>
      <c r="K13" s="1" t="s">
        <v>16</v>
      </c>
      <c r="L13" s="1">
        <v>2</v>
      </c>
      <c r="M13" s="1">
        <v>0</v>
      </c>
      <c r="N13" s="1">
        <v>8</v>
      </c>
      <c r="O13" s="1">
        <v>3</v>
      </c>
      <c r="P13" s="1" t="s">
        <v>222</v>
      </c>
    </row>
    <row r="14" spans="1:18">
      <c r="A14" s="1">
        <v>11</v>
      </c>
      <c r="B14" s="1" t="s">
        <v>792</v>
      </c>
      <c r="C14" s="5">
        <v>46089</v>
      </c>
      <c r="D14" s="1" t="s">
        <v>44</v>
      </c>
      <c r="E14" s="6" t="s">
        <v>45</v>
      </c>
      <c r="F14" s="6" t="s">
        <v>719</v>
      </c>
      <c r="G14" s="1" t="s">
        <v>92</v>
      </c>
      <c r="H14" s="1" t="s">
        <v>21</v>
      </c>
      <c r="I14" s="1" t="s">
        <v>28</v>
      </c>
      <c r="J14" s="1" t="s">
        <v>22</v>
      </c>
      <c r="K14" s="1" t="s">
        <v>38</v>
      </c>
      <c r="L14" s="1">
        <v>4</v>
      </c>
      <c r="M14" s="1">
        <v>2</v>
      </c>
      <c r="N14" s="1">
        <v>4</v>
      </c>
      <c r="O14" s="1">
        <v>2</v>
      </c>
      <c r="P14" s="1" t="s">
        <v>222</v>
      </c>
    </row>
    <row r="15" spans="1:18">
      <c r="A15" s="1">
        <v>12</v>
      </c>
      <c r="B15" s="1" t="s">
        <v>793</v>
      </c>
      <c r="C15" s="5">
        <v>46084</v>
      </c>
      <c r="D15" s="1" t="s">
        <v>44</v>
      </c>
      <c r="E15" s="6" t="s">
        <v>38</v>
      </c>
      <c r="F15" s="6" t="s">
        <v>719</v>
      </c>
      <c r="G15" s="1" t="s">
        <v>89</v>
      </c>
      <c r="H15" s="1" t="s">
        <v>82</v>
      </c>
      <c r="I15" s="1" t="s">
        <v>104</v>
      </c>
      <c r="J15" s="1" t="s">
        <v>22</v>
      </c>
      <c r="K15" s="1" t="s">
        <v>61</v>
      </c>
      <c r="L15" s="1">
        <v>2</v>
      </c>
      <c r="M15" s="1">
        <v>2</v>
      </c>
      <c r="N15" s="1">
        <v>2</v>
      </c>
      <c r="O15" s="1">
        <v>0</v>
      </c>
      <c r="P15" s="1" t="s">
        <v>222</v>
      </c>
    </row>
    <row r="16" spans="1:18">
      <c r="A16" s="1">
        <v>13</v>
      </c>
      <c r="B16" s="1" t="s">
        <v>794</v>
      </c>
      <c r="C16" s="5">
        <v>46131</v>
      </c>
      <c r="D16" s="1" t="s">
        <v>53</v>
      </c>
      <c r="E16" s="6" t="s">
        <v>64</v>
      </c>
      <c r="F16" s="6" t="s">
        <v>723</v>
      </c>
      <c r="G16" s="1" t="s">
        <v>92</v>
      </c>
      <c r="H16" s="1" t="s">
        <v>87</v>
      </c>
      <c r="I16" s="1" t="s">
        <v>36</v>
      </c>
      <c r="J16" s="1" t="s">
        <v>41</v>
      </c>
      <c r="K16" s="1" t="s">
        <v>54</v>
      </c>
      <c r="L16" s="1">
        <v>5</v>
      </c>
      <c r="M16" s="1">
        <v>5</v>
      </c>
      <c r="N16" s="1">
        <v>6</v>
      </c>
      <c r="O16" s="1">
        <v>0</v>
      </c>
      <c r="P16" s="1" t="s">
        <v>222</v>
      </c>
    </row>
    <row r="17" spans="1:16">
      <c r="A17" s="1">
        <v>14</v>
      </c>
      <c r="B17" s="1" t="s">
        <v>795</v>
      </c>
      <c r="C17" s="5">
        <v>46137</v>
      </c>
      <c r="D17" s="1" t="s">
        <v>53</v>
      </c>
      <c r="E17" s="6" t="s">
        <v>12</v>
      </c>
      <c r="F17" s="6" t="s">
        <v>725</v>
      </c>
      <c r="G17" s="1" t="s">
        <v>92</v>
      </c>
      <c r="H17" s="1" t="s">
        <v>40</v>
      </c>
      <c r="I17" s="1" t="s">
        <v>66</v>
      </c>
      <c r="J17" s="1" t="s">
        <v>32</v>
      </c>
      <c r="K17" s="1" t="s">
        <v>4</v>
      </c>
      <c r="L17" s="1">
        <v>7</v>
      </c>
      <c r="M17" s="1">
        <v>4</v>
      </c>
      <c r="N17" s="1">
        <v>6</v>
      </c>
      <c r="O17" s="1">
        <v>7</v>
      </c>
      <c r="P17" s="1" t="s">
        <v>222</v>
      </c>
    </row>
    <row r="18" spans="1:16">
      <c r="A18" s="1">
        <v>15</v>
      </c>
      <c r="B18" s="1" t="s">
        <v>796</v>
      </c>
      <c r="C18" s="5">
        <v>46139</v>
      </c>
      <c r="D18" s="1" t="s">
        <v>53</v>
      </c>
      <c r="E18" s="6" t="s">
        <v>20</v>
      </c>
      <c r="F18" s="6" t="s">
        <v>730</v>
      </c>
      <c r="G18" s="1" t="s">
        <v>89</v>
      </c>
      <c r="H18" s="1" t="s">
        <v>80</v>
      </c>
      <c r="I18" s="1" t="s">
        <v>22</v>
      </c>
      <c r="J18" s="1" t="s">
        <v>93</v>
      </c>
      <c r="K18" s="1" t="s">
        <v>91</v>
      </c>
      <c r="L18" s="1">
        <v>0</v>
      </c>
      <c r="M18" s="1">
        <v>6</v>
      </c>
      <c r="N18" s="1">
        <v>3</v>
      </c>
      <c r="O18" s="1">
        <v>1</v>
      </c>
      <c r="P18" s="1" t="s">
        <v>222</v>
      </c>
    </row>
    <row r="19" spans="1:16">
      <c r="A19" s="1">
        <v>16</v>
      </c>
      <c r="B19" s="1" t="s">
        <v>797</v>
      </c>
      <c r="C19" s="5">
        <v>46119</v>
      </c>
      <c r="D19" s="1" t="s">
        <v>53</v>
      </c>
      <c r="E19" s="6" t="s">
        <v>26</v>
      </c>
      <c r="F19" s="6" t="s">
        <v>719</v>
      </c>
      <c r="G19" s="1" t="s">
        <v>46</v>
      </c>
      <c r="H19" s="1" t="s">
        <v>87</v>
      </c>
      <c r="I19" s="1" t="s">
        <v>78</v>
      </c>
      <c r="J19" s="1" t="s">
        <v>78</v>
      </c>
      <c r="K19" s="1" t="s">
        <v>16</v>
      </c>
      <c r="L19" s="1">
        <v>0</v>
      </c>
      <c r="M19" s="1">
        <v>4</v>
      </c>
      <c r="N19" s="1">
        <v>0</v>
      </c>
      <c r="O19" s="1">
        <v>5</v>
      </c>
      <c r="P19" s="1" t="s">
        <v>222</v>
      </c>
    </row>
    <row r="20" spans="1:16">
      <c r="A20" s="1">
        <v>17</v>
      </c>
      <c r="B20" s="1" t="s">
        <v>798</v>
      </c>
      <c r="C20" s="5">
        <v>46170</v>
      </c>
      <c r="D20" s="1" t="s">
        <v>60</v>
      </c>
      <c r="E20" s="6" t="s">
        <v>57</v>
      </c>
      <c r="F20" s="6" t="s">
        <v>730</v>
      </c>
      <c r="G20" s="1" t="s">
        <v>27</v>
      </c>
      <c r="H20" s="1" t="s">
        <v>82</v>
      </c>
      <c r="I20" s="1" t="s">
        <v>32</v>
      </c>
      <c r="J20" s="1" t="s">
        <v>15</v>
      </c>
      <c r="K20" s="1" t="s">
        <v>30</v>
      </c>
      <c r="L20" s="1">
        <v>5</v>
      </c>
      <c r="M20" s="1">
        <v>3</v>
      </c>
      <c r="N20" s="1">
        <v>6</v>
      </c>
      <c r="O20" s="1">
        <v>0</v>
      </c>
      <c r="P20" s="1" t="s">
        <v>222</v>
      </c>
    </row>
    <row r="21" spans="1:16">
      <c r="A21" s="1">
        <v>18</v>
      </c>
      <c r="B21" s="1" t="s">
        <v>799</v>
      </c>
      <c r="C21" s="5">
        <v>46146</v>
      </c>
      <c r="D21" s="1" t="s">
        <v>60</v>
      </c>
      <c r="E21" s="6" t="s">
        <v>16</v>
      </c>
      <c r="F21" s="6" t="s">
        <v>739</v>
      </c>
      <c r="G21" s="1" t="s">
        <v>50</v>
      </c>
      <c r="H21" s="1" t="s">
        <v>35</v>
      </c>
      <c r="I21" s="1" t="s">
        <v>62</v>
      </c>
      <c r="J21" s="1" t="s">
        <v>15</v>
      </c>
      <c r="K21" s="1" t="s">
        <v>91</v>
      </c>
      <c r="L21" s="1">
        <v>1</v>
      </c>
      <c r="M21" s="1">
        <v>2</v>
      </c>
      <c r="N21" s="1">
        <v>5</v>
      </c>
      <c r="O21" s="1">
        <v>1</v>
      </c>
      <c r="P21" s="1" t="s">
        <v>222</v>
      </c>
    </row>
    <row r="22" spans="1:16">
      <c r="A22" s="1">
        <v>19</v>
      </c>
      <c r="B22" s="1" t="s">
        <v>800</v>
      </c>
      <c r="C22" s="5">
        <v>46160</v>
      </c>
      <c r="D22" s="1" t="s">
        <v>60</v>
      </c>
      <c r="E22" s="6" t="s">
        <v>57</v>
      </c>
      <c r="F22" s="6" t="s">
        <v>723</v>
      </c>
      <c r="G22" s="1" t="s">
        <v>46</v>
      </c>
      <c r="H22" s="1" t="s">
        <v>6</v>
      </c>
      <c r="I22" s="1" t="s">
        <v>104</v>
      </c>
      <c r="J22" s="1" t="s">
        <v>41</v>
      </c>
      <c r="K22" s="1" t="s">
        <v>91</v>
      </c>
      <c r="L22" s="1">
        <v>8</v>
      </c>
      <c r="M22" s="1">
        <v>1</v>
      </c>
      <c r="N22" s="1">
        <v>7</v>
      </c>
      <c r="O22" s="1">
        <v>0</v>
      </c>
      <c r="P22" s="1" t="s">
        <v>236</v>
      </c>
    </row>
    <row r="23" spans="1:16">
      <c r="A23" s="1">
        <v>20</v>
      </c>
      <c r="B23" s="1" t="s">
        <v>801</v>
      </c>
      <c r="C23" s="5">
        <v>46170</v>
      </c>
      <c r="D23" s="1" t="s">
        <v>60</v>
      </c>
      <c r="E23" s="6" t="s">
        <v>49</v>
      </c>
      <c r="F23" s="6" t="s">
        <v>730</v>
      </c>
      <c r="G23" s="1" t="s">
        <v>92</v>
      </c>
      <c r="H23" s="1" t="s">
        <v>51</v>
      </c>
      <c r="I23" s="1" t="s">
        <v>104</v>
      </c>
      <c r="J23" s="1" t="s">
        <v>7</v>
      </c>
      <c r="K23" s="1" t="s">
        <v>54</v>
      </c>
      <c r="L23" s="1">
        <v>3</v>
      </c>
      <c r="M23" s="1">
        <v>5</v>
      </c>
      <c r="N23" s="1">
        <v>7</v>
      </c>
      <c r="O23" s="1">
        <v>7</v>
      </c>
      <c r="P23" s="1" t="s">
        <v>236</v>
      </c>
    </row>
    <row r="24" spans="1:16">
      <c r="A24" s="1">
        <v>21</v>
      </c>
      <c r="B24" s="1" t="s">
        <v>802</v>
      </c>
      <c r="C24" s="5">
        <v>46145</v>
      </c>
      <c r="D24" s="1" t="s">
        <v>60</v>
      </c>
      <c r="E24" s="6" t="s">
        <v>20</v>
      </c>
      <c r="F24" s="6" t="s">
        <v>721</v>
      </c>
      <c r="G24" s="1" t="s">
        <v>92</v>
      </c>
      <c r="H24" s="1" t="s">
        <v>77</v>
      </c>
      <c r="I24" s="1" t="s">
        <v>32</v>
      </c>
      <c r="J24" s="1" t="s">
        <v>70</v>
      </c>
      <c r="K24" s="1" t="s">
        <v>4</v>
      </c>
      <c r="L24" s="1">
        <v>2</v>
      </c>
      <c r="M24" s="1">
        <v>7</v>
      </c>
      <c r="N24" s="1">
        <v>2</v>
      </c>
      <c r="O24" s="1">
        <v>8</v>
      </c>
      <c r="P24" s="1" t="s">
        <v>236</v>
      </c>
    </row>
    <row r="25" spans="1:16">
      <c r="A25" s="1">
        <v>22</v>
      </c>
      <c r="B25" s="1" t="s">
        <v>803</v>
      </c>
      <c r="C25" s="5">
        <v>46162</v>
      </c>
      <c r="D25" s="1" t="s">
        <v>60</v>
      </c>
      <c r="E25" s="6" t="s">
        <v>4</v>
      </c>
      <c r="F25" s="6" t="s">
        <v>719</v>
      </c>
      <c r="G25" s="1" t="s">
        <v>58</v>
      </c>
      <c r="H25" s="1" t="s">
        <v>35</v>
      </c>
      <c r="I25" s="1" t="s">
        <v>70</v>
      </c>
      <c r="J25" s="1" t="s">
        <v>28</v>
      </c>
      <c r="K25" s="1" t="s">
        <v>26</v>
      </c>
      <c r="L25" s="1">
        <v>1</v>
      </c>
      <c r="M25" s="1">
        <v>1</v>
      </c>
      <c r="N25" s="1">
        <v>8</v>
      </c>
      <c r="O25" s="1">
        <v>7</v>
      </c>
      <c r="P25" s="1" t="s">
        <v>222</v>
      </c>
    </row>
    <row r="26" spans="1:16">
      <c r="A26" s="1">
        <v>23</v>
      </c>
      <c r="B26" s="1" t="s">
        <v>804</v>
      </c>
      <c r="C26" s="5">
        <v>46182</v>
      </c>
      <c r="D26" s="1" t="s">
        <v>73</v>
      </c>
      <c r="E26" s="6" t="s">
        <v>20</v>
      </c>
      <c r="F26" s="6" t="s">
        <v>739</v>
      </c>
      <c r="G26" s="1" t="s">
        <v>92</v>
      </c>
      <c r="H26" s="1" t="s">
        <v>87</v>
      </c>
      <c r="I26" s="1" t="s">
        <v>70</v>
      </c>
      <c r="J26" s="1" t="s">
        <v>66</v>
      </c>
      <c r="K26" s="1" t="s">
        <v>54</v>
      </c>
      <c r="L26" s="1">
        <v>4</v>
      </c>
      <c r="M26" s="1">
        <v>3</v>
      </c>
      <c r="N26" s="1">
        <v>5</v>
      </c>
      <c r="O26" s="1">
        <v>4</v>
      </c>
      <c r="P26" s="1" t="s">
        <v>236</v>
      </c>
    </row>
    <row r="27" spans="1:16">
      <c r="A27" s="1">
        <v>24</v>
      </c>
      <c r="B27" s="1" t="s">
        <v>805</v>
      </c>
      <c r="C27" s="5">
        <v>46176</v>
      </c>
      <c r="D27" s="1" t="s">
        <v>73</v>
      </c>
      <c r="E27" s="6" t="s">
        <v>57</v>
      </c>
      <c r="F27" s="6" t="s">
        <v>739</v>
      </c>
      <c r="G27" s="1" t="s">
        <v>58</v>
      </c>
      <c r="H27" s="1" t="s">
        <v>21</v>
      </c>
      <c r="I27" s="1" t="s">
        <v>68</v>
      </c>
      <c r="J27" s="1" t="s">
        <v>104</v>
      </c>
      <c r="K27" s="1" t="s">
        <v>54</v>
      </c>
      <c r="L27" s="1">
        <v>3</v>
      </c>
      <c r="M27" s="1">
        <v>0</v>
      </c>
      <c r="N27" s="1">
        <v>5</v>
      </c>
      <c r="O27" s="1">
        <v>8</v>
      </c>
      <c r="P27" s="1" t="s">
        <v>226</v>
      </c>
    </row>
    <row r="28" spans="1:16">
      <c r="A28" s="1">
        <v>25</v>
      </c>
      <c r="B28" s="1" t="s">
        <v>806</v>
      </c>
      <c r="C28" s="5">
        <v>46178</v>
      </c>
      <c r="D28" s="1" t="s">
        <v>73</v>
      </c>
      <c r="E28" s="6" t="s">
        <v>20</v>
      </c>
      <c r="F28" s="6" t="s">
        <v>725</v>
      </c>
      <c r="G28" s="1" t="s">
        <v>5</v>
      </c>
      <c r="H28" s="1" t="s">
        <v>14</v>
      </c>
      <c r="I28" s="1" t="s">
        <v>41</v>
      </c>
      <c r="J28" s="1" t="s">
        <v>36</v>
      </c>
      <c r="K28" s="1" t="s">
        <v>49</v>
      </c>
      <c r="L28" s="1">
        <v>3</v>
      </c>
      <c r="M28" s="1">
        <v>1</v>
      </c>
      <c r="N28" s="1">
        <v>5</v>
      </c>
      <c r="O28" s="1">
        <v>2</v>
      </c>
      <c r="P28" s="1" t="s">
        <v>222</v>
      </c>
    </row>
    <row r="29" spans="1:16">
      <c r="A29" s="1">
        <v>26</v>
      </c>
      <c r="B29" s="1" t="s">
        <v>807</v>
      </c>
      <c r="C29" s="5">
        <v>46178</v>
      </c>
      <c r="D29" s="1" t="s">
        <v>73</v>
      </c>
      <c r="E29" s="6" t="s">
        <v>45</v>
      </c>
      <c r="F29" s="6" t="s">
        <v>721</v>
      </c>
      <c r="G29" s="1" t="s">
        <v>65</v>
      </c>
      <c r="H29" s="1" t="s">
        <v>6</v>
      </c>
      <c r="I29" s="1" t="s">
        <v>93</v>
      </c>
      <c r="J29" s="1" t="s">
        <v>41</v>
      </c>
      <c r="K29" s="1" t="s">
        <v>61</v>
      </c>
      <c r="L29" s="1">
        <v>5</v>
      </c>
      <c r="M29" s="1">
        <v>5</v>
      </c>
      <c r="N29" s="1">
        <v>8</v>
      </c>
      <c r="O29" s="1">
        <v>7</v>
      </c>
      <c r="P29" s="1" t="s">
        <v>222</v>
      </c>
    </row>
    <row r="30" spans="1:16">
      <c r="A30" s="1">
        <v>27</v>
      </c>
      <c r="B30" s="1" t="s">
        <v>808</v>
      </c>
      <c r="C30" s="5">
        <v>46174</v>
      </c>
      <c r="D30" s="1" t="s">
        <v>73</v>
      </c>
      <c r="E30" s="6" t="s">
        <v>12</v>
      </c>
      <c r="F30" s="6" t="s">
        <v>721</v>
      </c>
      <c r="G30" s="1" t="s">
        <v>89</v>
      </c>
      <c r="H30" s="1" t="s">
        <v>77</v>
      </c>
      <c r="I30" s="1" t="s">
        <v>68</v>
      </c>
      <c r="J30" s="1" t="s">
        <v>7</v>
      </c>
      <c r="K30" s="1" t="s">
        <v>64</v>
      </c>
      <c r="L30" s="1">
        <v>8</v>
      </c>
      <c r="M30" s="1">
        <v>6</v>
      </c>
      <c r="N30" s="1">
        <v>4</v>
      </c>
      <c r="O30" s="1">
        <v>5</v>
      </c>
      <c r="P30" s="1" t="s">
        <v>236</v>
      </c>
    </row>
    <row r="31" spans="1:16">
      <c r="A31" s="1">
        <v>28</v>
      </c>
      <c r="B31" s="1" t="s">
        <v>809</v>
      </c>
      <c r="C31" s="5">
        <v>46177</v>
      </c>
      <c r="D31" s="1" t="s">
        <v>73</v>
      </c>
      <c r="E31" s="6" t="s">
        <v>30</v>
      </c>
      <c r="F31" s="6" t="s">
        <v>730</v>
      </c>
      <c r="G31" s="1" t="s">
        <v>27</v>
      </c>
      <c r="H31" s="1" t="s">
        <v>80</v>
      </c>
      <c r="I31" s="1" t="s">
        <v>68</v>
      </c>
      <c r="J31" s="1" t="s">
        <v>28</v>
      </c>
      <c r="K31" s="1" t="s">
        <v>16</v>
      </c>
      <c r="L31" s="1">
        <v>2</v>
      </c>
      <c r="M31" s="1">
        <v>7</v>
      </c>
      <c r="N31" s="1">
        <v>0</v>
      </c>
      <c r="O31" s="1">
        <v>5</v>
      </c>
      <c r="P31" s="1" t="s">
        <v>222</v>
      </c>
    </row>
    <row r="32" spans="1:16">
      <c r="A32" s="1">
        <v>29</v>
      </c>
      <c r="B32" s="1" t="s">
        <v>810</v>
      </c>
      <c r="C32" s="5">
        <v>46185</v>
      </c>
      <c r="D32" s="1" t="s">
        <v>73</v>
      </c>
      <c r="E32" s="6" t="s">
        <v>54</v>
      </c>
      <c r="F32" s="6" t="s">
        <v>730</v>
      </c>
      <c r="G32" s="1" t="s">
        <v>89</v>
      </c>
      <c r="H32" s="1" t="s">
        <v>51</v>
      </c>
      <c r="I32" s="1" t="s">
        <v>15</v>
      </c>
      <c r="J32" s="1" t="s">
        <v>36</v>
      </c>
      <c r="K32" s="1" t="s">
        <v>91</v>
      </c>
      <c r="L32" s="1">
        <v>7</v>
      </c>
      <c r="M32" s="1">
        <v>8</v>
      </c>
      <c r="N32" s="1">
        <v>2</v>
      </c>
      <c r="O32" s="1">
        <v>2</v>
      </c>
      <c r="P32" s="1" t="s">
        <v>236</v>
      </c>
    </row>
    <row r="33" spans="1:16">
      <c r="A33" s="1">
        <v>30</v>
      </c>
      <c r="B33" s="1" t="s">
        <v>811</v>
      </c>
      <c r="C33" s="5">
        <v>46208</v>
      </c>
      <c r="D33" s="1" t="s">
        <v>76</v>
      </c>
      <c r="E33" s="6" t="s">
        <v>38</v>
      </c>
      <c r="F33" s="6" t="s">
        <v>721</v>
      </c>
      <c r="G33" s="1" t="s">
        <v>46</v>
      </c>
      <c r="H33" s="1" t="s">
        <v>95</v>
      </c>
      <c r="I33" s="1" t="s">
        <v>68</v>
      </c>
      <c r="J33" s="1" t="s">
        <v>28</v>
      </c>
      <c r="K33" s="1" t="s">
        <v>26</v>
      </c>
      <c r="L33" s="1">
        <v>4</v>
      </c>
      <c r="M33" s="1">
        <v>5</v>
      </c>
      <c r="N33" s="1">
        <v>0</v>
      </c>
      <c r="O33" s="1">
        <v>4</v>
      </c>
      <c r="P33" s="1" t="s">
        <v>236</v>
      </c>
    </row>
    <row r="34" spans="1:16">
      <c r="A34" s="1">
        <v>31</v>
      </c>
      <c r="B34" s="1" t="s">
        <v>812</v>
      </c>
      <c r="C34" s="5">
        <v>46219</v>
      </c>
      <c r="D34" s="1" t="s">
        <v>76</v>
      </c>
      <c r="E34" s="6" t="s">
        <v>57</v>
      </c>
      <c r="F34" s="6" t="s">
        <v>739</v>
      </c>
      <c r="G34" s="1" t="s">
        <v>13</v>
      </c>
      <c r="H34" s="1" t="s">
        <v>35</v>
      </c>
      <c r="I34" s="1" t="s">
        <v>22</v>
      </c>
      <c r="J34" s="1" t="s">
        <v>15</v>
      </c>
      <c r="K34" s="1" t="s">
        <v>30</v>
      </c>
      <c r="L34" s="1">
        <v>0</v>
      </c>
      <c r="M34" s="1">
        <v>6</v>
      </c>
      <c r="N34" s="1">
        <v>2</v>
      </c>
      <c r="O34" s="1">
        <v>8</v>
      </c>
      <c r="P34" s="1" t="s">
        <v>222</v>
      </c>
    </row>
    <row r="35" spans="1:16">
      <c r="A35" s="1">
        <v>32</v>
      </c>
      <c r="B35" s="1" t="s">
        <v>813</v>
      </c>
      <c r="C35" s="5">
        <v>46272</v>
      </c>
      <c r="D35" s="1" t="s">
        <v>102</v>
      </c>
      <c r="E35" s="6" t="s">
        <v>26</v>
      </c>
      <c r="F35" s="6" t="s">
        <v>723</v>
      </c>
      <c r="G35" s="1" t="s">
        <v>39</v>
      </c>
      <c r="H35" s="1" t="s">
        <v>31</v>
      </c>
      <c r="I35" s="1" t="s">
        <v>32</v>
      </c>
      <c r="J35" s="1" t="s">
        <v>70</v>
      </c>
      <c r="K35" s="1" t="s">
        <v>61</v>
      </c>
      <c r="L35" s="1">
        <v>7</v>
      </c>
      <c r="M35" s="1">
        <v>5</v>
      </c>
      <c r="N35" s="1">
        <v>5</v>
      </c>
      <c r="O35" s="1">
        <v>2</v>
      </c>
      <c r="P35" s="1" t="s">
        <v>226</v>
      </c>
    </row>
    <row r="36" spans="1:16">
      <c r="A36" s="1">
        <v>33</v>
      </c>
      <c r="B36" s="1" t="s">
        <v>814</v>
      </c>
      <c r="C36" s="5">
        <v>46271</v>
      </c>
      <c r="D36" s="1" t="s">
        <v>102</v>
      </c>
      <c r="E36" s="6" t="s">
        <v>45</v>
      </c>
      <c r="F36" s="6" t="s">
        <v>725</v>
      </c>
      <c r="G36" s="1" t="s">
        <v>89</v>
      </c>
      <c r="H36" s="1" t="s">
        <v>14</v>
      </c>
      <c r="I36" s="1" t="s">
        <v>70</v>
      </c>
      <c r="J36" s="1" t="s">
        <v>28</v>
      </c>
      <c r="K36" s="1" t="s">
        <v>26</v>
      </c>
      <c r="L36" s="1">
        <v>2</v>
      </c>
      <c r="M36" s="1">
        <v>4</v>
      </c>
      <c r="N36" s="1">
        <v>0</v>
      </c>
      <c r="O36" s="1">
        <v>4</v>
      </c>
      <c r="P36" s="1" t="s">
        <v>226</v>
      </c>
    </row>
    <row r="37" spans="1:16">
      <c r="A37" s="1">
        <v>34</v>
      </c>
      <c r="B37" s="1" t="s">
        <v>815</v>
      </c>
      <c r="C37" s="5">
        <v>46278</v>
      </c>
      <c r="D37" s="1" t="s">
        <v>102</v>
      </c>
      <c r="E37" s="6" t="s">
        <v>54</v>
      </c>
      <c r="F37" s="6" t="s">
        <v>719</v>
      </c>
      <c r="G37" s="1" t="s">
        <v>65</v>
      </c>
      <c r="H37" s="1" t="s">
        <v>14</v>
      </c>
      <c r="I37" s="1" t="s">
        <v>36</v>
      </c>
      <c r="J37" s="1" t="s">
        <v>7</v>
      </c>
      <c r="K37" s="1" t="s">
        <v>26</v>
      </c>
      <c r="L37" s="1">
        <v>1</v>
      </c>
      <c r="M37" s="1">
        <v>8</v>
      </c>
      <c r="N37" s="1">
        <v>4</v>
      </c>
      <c r="O37" s="1">
        <v>0</v>
      </c>
      <c r="P37" s="1" t="s">
        <v>236</v>
      </c>
    </row>
    <row r="38" spans="1:16">
      <c r="A38" s="1">
        <v>35</v>
      </c>
      <c r="B38" s="1" t="s">
        <v>816</v>
      </c>
      <c r="C38" s="5">
        <v>46302</v>
      </c>
      <c r="D38" s="1" t="s">
        <v>106</v>
      </c>
      <c r="E38" s="6" t="s">
        <v>49</v>
      </c>
      <c r="F38" s="6" t="s">
        <v>730</v>
      </c>
      <c r="G38" s="1" t="s">
        <v>13</v>
      </c>
      <c r="H38" s="1" t="s">
        <v>77</v>
      </c>
      <c r="I38" s="1" t="s">
        <v>7</v>
      </c>
      <c r="J38" s="1" t="s">
        <v>104</v>
      </c>
      <c r="K38" s="1" t="s">
        <v>57</v>
      </c>
      <c r="L38" s="1">
        <v>7</v>
      </c>
      <c r="M38" s="1">
        <v>1</v>
      </c>
      <c r="N38" s="1">
        <v>2</v>
      </c>
      <c r="O38" s="1">
        <v>2</v>
      </c>
      <c r="P38" s="1" t="s">
        <v>226</v>
      </c>
    </row>
    <row r="39" spans="1:16">
      <c r="A39" s="1">
        <v>36</v>
      </c>
      <c r="B39" s="1" t="s">
        <v>817</v>
      </c>
      <c r="C39" s="5">
        <v>46297</v>
      </c>
      <c r="D39" s="1" t="s">
        <v>106</v>
      </c>
      <c r="E39" s="6" t="s">
        <v>30</v>
      </c>
      <c r="F39" s="6" t="s">
        <v>719</v>
      </c>
      <c r="G39" s="1" t="s">
        <v>50</v>
      </c>
      <c r="H39" s="1" t="s">
        <v>77</v>
      </c>
      <c r="I39" s="1" t="s">
        <v>22</v>
      </c>
      <c r="J39" s="1" t="s">
        <v>28</v>
      </c>
      <c r="K39" s="1" t="s">
        <v>61</v>
      </c>
      <c r="L39" s="1">
        <v>5</v>
      </c>
      <c r="M39" s="1">
        <v>5</v>
      </c>
      <c r="N39" s="1">
        <v>3</v>
      </c>
      <c r="O39" s="1">
        <v>2</v>
      </c>
      <c r="P39" s="1" t="s">
        <v>222</v>
      </c>
    </row>
    <row r="40" spans="1:16">
      <c r="A40" s="1">
        <v>37</v>
      </c>
      <c r="B40" s="1" t="s">
        <v>818</v>
      </c>
      <c r="C40" s="5">
        <v>46304</v>
      </c>
      <c r="D40" s="1" t="s">
        <v>106</v>
      </c>
      <c r="E40" s="6" t="s">
        <v>54</v>
      </c>
      <c r="F40" s="6" t="s">
        <v>725</v>
      </c>
      <c r="G40" s="1" t="s">
        <v>92</v>
      </c>
      <c r="H40" s="1" t="s">
        <v>40</v>
      </c>
      <c r="I40" s="1" t="s">
        <v>66</v>
      </c>
      <c r="J40" s="1" t="s">
        <v>15</v>
      </c>
      <c r="K40" s="1" t="s">
        <v>12</v>
      </c>
      <c r="L40" s="1">
        <v>0</v>
      </c>
      <c r="M40" s="1">
        <v>6</v>
      </c>
      <c r="N40" s="1">
        <v>5</v>
      </c>
      <c r="O40" s="1">
        <v>1</v>
      </c>
      <c r="P40" s="1" t="s">
        <v>226</v>
      </c>
    </row>
    <row r="41" spans="1:16">
      <c r="A41" s="1">
        <v>38</v>
      </c>
      <c r="B41" s="1" t="s">
        <v>819</v>
      </c>
      <c r="C41" s="5">
        <v>46310</v>
      </c>
      <c r="D41" s="1" t="s">
        <v>106</v>
      </c>
      <c r="E41" s="6" t="s">
        <v>49</v>
      </c>
      <c r="F41" s="6" t="s">
        <v>725</v>
      </c>
      <c r="G41" s="1" t="s">
        <v>39</v>
      </c>
      <c r="H41" s="1" t="s">
        <v>77</v>
      </c>
      <c r="I41" s="1" t="s">
        <v>93</v>
      </c>
      <c r="J41" s="1" t="s">
        <v>68</v>
      </c>
      <c r="K41" s="1" t="s">
        <v>4</v>
      </c>
      <c r="L41" s="1">
        <v>3</v>
      </c>
      <c r="M41" s="1">
        <v>2</v>
      </c>
      <c r="N41" s="1">
        <v>2</v>
      </c>
      <c r="O41" s="1">
        <v>4</v>
      </c>
      <c r="P41" s="1" t="s">
        <v>236</v>
      </c>
    </row>
    <row r="42" spans="1:16">
      <c r="A42" s="1">
        <v>39</v>
      </c>
      <c r="B42" s="1" t="s">
        <v>820</v>
      </c>
      <c r="C42" s="5">
        <v>46332</v>
      </c>
      <c r="D42" s="1" t="s">
        <v>111</v>
      </c>
      <c r="E42" s="6" t="s">
        <v>12</v>
      </c>
      <c r="F42" s="6" t="s">
        <v>723</v>
      </c>
      <c r="G42" s="1" t="s">
        <v>89</v>
      </c>
      <c r="H42" s="1" t="s">
        <v>40</v>
      </c>
      <c r="I42" s="1" t="s">
        <v>28</v>
      </c>
      <c r="J42" s="1" t="s">
        <v>28</v>
      </c>
      <c r="K42" s="1" t="s">
        <v>26</v>
      </c>
      <c r="L42" s="1">
        <v>6</v>
      </c>
      <c r="M42" s="1">
        <v>3</v>
      </c>
      <c r="N42" s="1">
        <v>3</v>
      </c>
      <c r="O42" s="1">
        <v>6</v>
      </c>
      <c r="P42" s="1" t="s">
        <v>222</v>
      </c>
    </row>
    <row r="43" spans="1:16">
      <c r="A43" s="1">
        <v>40</v>
      </c>
      <c r="B43" s="1" t="s">
        <v>821</v>
      </c>
      <c r="C43" s="5">
        <v>46353</v>
      </c>
      <c r="D43" s="1" t="s">
        <v>111</v>
      </c>
      <c r="E43" s="6" t="s">
        <v>12</v>
      </c>
      <c r="F43" s="6" t="s">
        <v>725</v>
      </c>
      <c r="G43" s="1" t="s">
        <v>13</v>
      </c>
      <c r="H43" s="1" t="s">
        <v>31</v>
      </c>
      <c r="I43" s="1" t="s">
        <v>7</v>
      </c>
      <c r="J43" s="1" t="s">
        <v>93</v>
      </c>
      <c r="K43" s="1" t="s">
        <v>16</v>
      </c>
      <c r="L43" s="1">
        <v>4</v>
      </c>
      <c r="M43" s="1">
        <v>5</v>
      </c>
      <c r="N43" s="1">
        <v>0</v>
      </c>
      <c r="O43" s="1">
        <v>3</v>
      </c>
      <c r="P43" s="1" t="s">
        <v>236</v>
      </c>
    </row>
    <row r="44" spans="1:16">
      <c r="A44" s="1">
        <v>41</v>
      </c>
      <c r="B44" s="1" t="s">
        <v>822</v>
      </c>
      <c r="C44" s="5">
        <v>46338</v>
      </c>
      <c r="D44" s="1" t="s">
        <v>111</v>
      </c>
      <c r="E44" s="6" t="s">
        <v>20</v>
      </c>
      <c r="F44" s="6" t="s">
        <v>721</v>
      </c>
      <c r="G44" s="1" t="s">
        <v>5</v>
      </c>
      <c r="H44" s="1" t="s">
        <v>40</v>
      </c>
      <c r="I44" s="1" t="s">
        <v>36</v>
      </c>
      <c r="J44" s="1" t="s">
        <v>78</v>
      </c>
      <c r="K44" s="1" t="s">
        <v>91</v>
      </c>
      <c r="L44" s="1">
        <v>5</v>
      </c>
      <c r="M44" s="1">
        <v>3</v>
      </c>
      <c r="N44" s="1">
        <v>3</v>
      </c>
      <c r="O44" s="1">
        <v>1</v>
      </c>
      <c r="P44" s="1" t="s">
        <v>236</v>
      </c>
    </row>
    <row r="45" spans="1:16">
      <c r="A45" s="1">
        <v>42</v>
      </c>
      <c r="B45" s="1" t="s">
        <v>823</v>
      </c>
      <c r="C45" s="5">
        <v>46335</v>
      </c>
      <c r="D45" s="1" t="s">
        <v>111</v>
      </c>
      <c r="E45" s="6" t="s">
        <v>49</v>
      </c>
      <c r="F45" s="6" t="s">
        <v>730</v>
      </c>
      <c r="G45" s="1" t="s">
        <v>13</v>
      </c>
      <c r="H45" s="1" t="s">
        <v>6</v>
      </c>
      <c r="I45" s="1" t="s">
        <v>78</v>
      </c>
      <c r="J45" s="1" t="s">
        <v>78</v>
      </c>
      <c r="K45" s="1" t="s">
        <v>4</v>
      </c>
      <c r="L45" s="1">
        <v>8</v>
      </c>
      <c r="M45" s="1">
        <v>5</v>
      </c>
      <c r="N45" s="1">
        <v>1</v>
      </c>
      <c r="O45" s="1">
        <v>3</v>
      </c>
      <c r="P45" s="1" t="s">
        <v>236</v>
      </c>
    </row>
    <row r="46" spans="1:16">
      <c r="A46" s="1">
        <v>43</v>
      </c>
      <c r="B46" s="1" t="s">
        <v>824</v>
      </c>
      <c r="C46" s="5">
        <v>46354</v>
      </c>
      <c r="D46" s="1" t="s">
        <v>111</v>
      </c>
      <c r="E46" s="6" t="s">
        <v>45</v>
      </c>
      <c r="F46" s="6" t="s">
        <v>719</v>
      </c>
      <c r="G46" s="1" t="s">
        <v>58</v>
      </c>
      <c r="H46" s="1" t="s">
        <v>6</v>
      </c>
      <c r="I46" s="1" t="s">
        <v>28</v>
      </c>
      <c r="J46" s="1" t="s">
        <v>68</v>
      </c>
      <c r="K46" s="1" t="s">
        <v>61</v>
      </c>
      <c r="L46" s="1">
        <v>1</v>
      </c>
      <c r="M46" s="1">
        <v>5</v>
      </c>
      <c r="N46" s="1">
        <v>1</v>
      </c>
      <c r="O46" s="1">
        <v>0</v>
      </c>
      <c r="P46" s="1" t="s">
        <v>226</v>
      </c>
    </row>
    <row r="47" spans="1:16">
      <c r="A47" s="1">
        <v>44</v>
      </c>
      <c r="B47" s="1" t="s">
        <v>825</v>
      </c>
      <c r="C47" s="5">
        <v>46334</v>
      </c>
      <c r="D47" s="1" t="s">
        <v>111</v>
      </c>
      <c r="E47" s="6" t="s">
        <v>30</v>
      </c>
      <c r="F47" s="6" t="s">
        <v>739</v>
      </c>
      <c r="G47" s="1" t="s">
        <v>46</v>
      </c>
      <c r="H47" s="1" t="s">
        <v>51</v>
      </c>
      <c r="I47" s="1" t="s">
        <v>93</v>
      </c>
      <c r="J47" s="1" t="s">
        <v>68</v>
      </c>
      <c r="K47" s="1" t="s">
        <v>61</v>
      </c>
      <c r="L47" s="1">
        <v>5</v>
      </c>
      <c r="M47" s="1">
        <v>5</v>
      </c>
      <c r="N47" s="1">
        <v>0</v>
      </c>
      <c r="O47" s="1">
        <v>6</v>
      </c>
      <c r="P47" s="1" t="s">
        <v>236</v>
      </c>
    </row>
    <row r="48" spans="1:16">
      <c r="A48" s="1">
        <v>45</v>
      </c>
      <c r="B48" s="1" t="s">
        <v>826</v>
      </c>
      <c r="C48" s="5">
        <v>46370</v>
      </c>
      <c r="D48" s="1" t="s">
        <v>122</v>
      </c>
      <c r="E48" s="6" t="s">
        <v>4</v>
      </c>
      <c r="F48" s="6" t="s">
        <v>723</v>
      </c>
      <c r="G48" s="1" t="s">
        <v>46</v>
      </c>
      <c r="H48" s="1" t="s">
        <v>14</v>
      </c>
      <c r="I48" s="1" t="s">
        <v>68</v>
      </c>
      <c r="J48" s="1" t="s">
        <v>36</v>
      </c>
      <c r="K48" s="1" t="s">
        <v>61</v>
      </c>
      <c r="L48" s="1">
        <v>8</v>
      </c>
      <c r="M48" s="1">
        <v>5</v>
      </c>
      <c r="N48" s="1">
        <v>7</v>
      </c>
      <c r="O48" s="1">
        <v>5</v>
      </c>
      <c r="P48" s="1" t="s">
        <v>222</v>
      </c>
    </row>
    <row r="49" spans="1:16">
      <c r="A49" s="1">
        <v>46</v>
      </c>
      <c r="B49" s="1" t="s">
        <v>827</v>
      </c>
      <c r="C49" s="5">
        <v>46372</v>
      </c>
      <c r="D49" s="1" t="s">
        <v>122</v>
      </c>
      <c r="E49" s="6" t="s">
        <v>12</v>
      </c>
      <c r="F49" s="6" t="s">
        <v>730</v>
      </c>
      <c r="G49" s="1" t="s">
        <v>89</v>
      </c>
      <c r="H49" s="1" t="s">
        <v>21</v>
      </c>
      <c r="I49" s="1" t="s">
        <v>66</v>
      </c>
      <c r="J49" s="1" t="s">
        <v>62</v>
      </c>
      <c r="K49" s="1" t="s">
        <v>30</v>
      </c>
      <c r="L49" s="1">
        <v>3</v>
      </c>
      <c r="M49" s="1">
        <v>5</v>
      </c>
      <c r="N49" s="1">
        <v>3</v>
      </c>
      <c r="O49" s="1">
        <v>2</v>
      </c>
      <c r="P49" s="1" t="s">
        <v>222</v>
      </c>
    </row>
    <row r="50" spans="1:16">
      <c r="A50" s="1">
        <v>47</v>
      </c>
      <c r="B50" s="1" t="s">
        <v>828</v>
      </c>
      <c r="C50" s="5">
        <v>46374</v>
      </c>
      <c r="D50" s="1" t="s">
        <v>122</v>
      </c>
      <c r="E50" s="6" t="s">
        <v>4</v>
      </c>
      <c r="F50" s="6" t="s">
        <v>721</v>
      </c>
      <c r="G50" s="1" t="s">
        <v>5</v>
      </c>
      <c r="H50" s="1" t="s">
        <v>51</v>
      </c>
      <c r="I50" s="1" t="s">
        <v>22</v>
      </c>
      <c r="J50" s="1" t="s">
        <v>22</v>
      </c>
      <c r="K50" s="1" t="s">
        <v>61</v>
      </c>
      <c r="L50" s="1">
        <v>4</v>
      </c>
      <c r="M50" s="1">
        <v>0</v>
      </c>
      <c r="N50" s="1">
        <v>7</v>
      </c>
      <c r="O50" s="1">
        <v>1</v>
      </c>
      <c r="P50" s="1" t="s">
        <v>226</v>
      </c>
    </row>
    <row r="51" spans="1:16">
      <c r="A51" s="1">
        <v>48</v>
      </c>
      <c r="B51" s="1" t="s">
        <v>829</v>
      </c>
      <c r="C51" s="5">
        <v>46378</v>
      </c>
      <c r="D51" s="1" t="s">
        <v>122</v>
      </c>
      <c r="E51" s="6" t="s">
        <v>64</v>
      </c>
      <c r="F51" s="6" t="s">
        <v>730</v>
      </c>
      <c r="G51" s="1" t="s">
        <v>65</v>
      </c>
      <c r="H51" s="1" t="s">
        <v>82</v>
      </c>
      <c r="I51" s="1" t="s">
        <v>22</v>
      </c>
      <c r="J51" s="1" t="s">
        <v>36</v>
      </c>
      <c r="K51" s="1" t="s">
        <v>61</v>
      </c>
      <c r="L51" s="1">
        <v>3</v>
      </c>
      <c r="M51" s="1">
        <v>8</v>
      </c>
      <c r="N51" s="1">
        <v>8</v>
      </c>
      <c r="O51" s="1">
        <v>7</v>
      </c>
      <c r="P51" s="1" t="s">
        <v>222</v>
      </c>
    </row>
  </sheetData>
  <mergeCells count="2">
    <mergeCell ref="A1:P1"/>
    <mergeCell ref="A2:P2"/>
  </mergeCells>
  <dataValidations count="3">
    <dataValidation type="list" allowBlank="1" showInputMessage="1" showErrorMessage="1" sqref="G4:G100003">
      <formula1>L_Dept</formula1>
    </dataValidation>
    <dataValidation type="list" allowBlank="1" showInputMessage="1" showErrorMessage="1" sqref="H4:H100003">
      <formula1>L_Loc</formula1>
    </dataValidation>
    <dataValidation type="list" allowBlank="1" showInputMessage="1" showErrorMessage="1" sqref="P4:P100003">
      <formula1>L_Status</formula1>
    </dataValidation>
  </dataValidations>
  <hyperlinks>
    <hyperlink ref="R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>
    <tabColor rgb="FF64748B"/>
    <pageSetUpPr fitToPage="1"/>
  </sheetPr>
  <dimension ref="A1:P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0.7109375" style="1" customWidth="1"/>
    <col min="3" max="4" width="9.7109375" style="1" customWidth="1"/>
    <col min="5" max="6" width="12.7109375" style="1" customWidth="1"/>
    <col min="7" max="7" width="10.7109375" style="1" customWidth="1"/>
    <col min="8" max="8" width="12.7109375" style="1" customWidth="1"/>
    <col min="9" max="9" width="16.7109375" style="1" customWidth="1"/>
    <col min="10" max="10" width="19.7109375" style="1" customWidth="1"/>
    <col min="11" max="12" width="16.7109375" style="1" customWidth="1"/>
    <col min="13" max="13" width="13.7109375" style="2" customWidth="1"/>
    <col min="14" max="14" width="9.7109375" style="1" customWidth="1"/>
  </cols>
  <sheetData>
    <row r="1" spans="1:16" ht="22" customHeight="1">
      <c r="A1" s="3" t="s">
        <v>830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4" t="s">
        <v>139</v>
      </c>
    </row>
    <row r="2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>
      <c r="A3" s="1" t="s">
        <v>124</v>
      </c>
      <c r="B3" s="1" t="s">
        <v>883</v>
      </c>
      <c r="C3" s="1" t="s">
        <v>126</v>
      </c>
      <c r="D3" s="1" t="s">
        <v>127</v>
      </c>
      <c r="E3" s="1" t="s">
        <v>884</v>
      </c>
      <c r="F3" s="1" t="s">
        <v>129</v>
      </c>
      <c r="G3" s="1" t="s">
        <v>130</v>
      </c>
      <c r="H3" s="1" t="s">
        <v>885</v>
      </c>
      <c r="I3" s="1" t="s">
        <v>135</v>
      </c>
      <c r="J3" s="1" t="s">
        <v>886</v>
      </c>
      <c r="K3" s="1" t="s">
        <v>887</v>
      </c>
      <c r="L3" s="1" t="s">
        <v>575</v>
      </c>
      <c r="M3" s="2" t="s">
        <v>576</v>
      </c>
      <c r="N3" s="1" t="s">
        <v>288</v>
      </c>
    </row>
    <row r="4" spans="1:16">
      <c r="A4" s="1">
        <v>1</v>
      </c>
      <c r="B4" s="1" t="s">
        <v>831</v>
      </c>
      <c r="C4" s="5">
        <v>46031</v>
      </c>
      <c r="D4" s="1" t="s">
        <v>3</v>
      </c>
      <c r="E4" s="6" t="s">
        <v>832</v>
      </c>
      <c r="F4" s="6" t="s">
        <v>13</v>
      </c>
      <c r="G4" s="1" t="s">
        <v>77</v>
      </c>
      <c r="H4" s="1" t="s">
        <v>36</v>
      </c>
      <c r="I4" s="1">
        <v>99</v>
      </c>
      <c r="J4" s="1">
        <v>4</v>
      </c>
      <c r="K4" s="1">
        <v>3</v>
      </c>
      <c r="L4" s="1">
        <v>2</v>
      </c>
      <c r="M4" s="2">
        <f>IFERROR(L4/K4*100,0)</f>
        <v>0</v>
      </c>
      <c r="N4" s="1" t="s">
        <v>222</v>
      </c>
    </row>
    <row r="5" spans="1:16">
      <c r="A5" s="1">
        <v>2</v>
      </c>
      <c r="B5" s="1" t="s">
        <v>833</v>
      </c>
      <c r="C5" s="5">
        <v>46046</v>
      </c>
      <c r="D5" s="1" t="s">
        <v>3</v>
      </c>
      <c r="E5" s="6" t="s">
        <v>832</v>
      </c>
      <c r="F5" s="6" t="s">
        <v>65</v>
      </c>
      <c r="G5" s="1" t="s">
        <v>82</v>
      </c>
      <c r="H5" s="1" t="s">
        <v>68</v>
      </c>
      <c r="I5" s="1">
        <v>24</v>
      </c>
      <c r="J5" s="1">
        <v>2</v>
      </c>
      <c r="K5" s="1">
        <v>5</v>
      </c>
      <c r="L5" s="1">
        <v>7</v>
      </c>
      <c r="M5" s="2">
        <f>IFERROR(L5/K5*100,0)</f>
        <v>0</v>
      </c>
      <c r="N5" s="1" t="s">
        <v>222</v>
      </c>
    </row>
    <row r="6" spans="1:16">
      <c r="A6" s="1">
        <v>3</v>
      </c>
      <c r="B6" s="1" t="s">
        <v>834</v>
      </c>
      <c r="C6" s="5">
        <v>46023</v>
      </c>
      <c r="D6" s="1" t="s">
        <v>3</v>
      </c>
      <c r="E6" s="6" t="s">
        <v>835</v>
      </c>
      <c r="F6" s="6" t="s">
        <v>5</v>
      </c>
      <c r="G6" s="1" t="s">
        <v>6</v>
      </c>
      <c r="H6" s="1" t="s">
        <v>66</v>
      </c>
      <c r="I6" s="1">
        <v>19</v>
      </c>
      <c r="J6" s="1">
        <v>5</v>
      </c>
      <c r="K6" s="1">
        <v>5</v>
      </c>
      <c r="L6" s="1">
        <v>1</v>
      </c>
      <c r="M6" s="2">
        <f>IFERROR(L6/K6*100,0)</f>
        <v>0</v>
      </c>
      <c r="N6" s="1" t="s">
        <v>222</v>
      </c>
    </row>
    <row r="7" spans="1:16">
      <c r="A7" s="1">
        <v>4</v>
      </c>
      <c r="B7" s="1" t="s">
        <v>836</v>
      </c>
      <c r="C7" s="5">
        <v>46038</v>
      </c>
      <c r="D7" s="1" t="s">
        <v>3</v>
      </c>
      <c r="E7" s="6" t="s">
        <v>837</v>
      </c>
      <c r="F7" s="6" t="s">
        <v>50</v>
      </c>
      <c r="G7" s="1" t="s">
        <v>14</v>
      </c>
      <c r="H7" s="1" t="s">
        <v>68</v>
      </c>
      <c r="I7" s="1">
        <v>120</v>
      </c>
      <c r="J7" s="1">
        <v>7</v>
      </c>
      <c r="K7" s="1">
        <v>7</v>
      </c>
      <c r="L7" s="1">
        <v>8</v>
      </c>
      <c r="M7" s="2">
        <f>IFERROR(L7/K7*100,0)</f>
        <v>0</v>
      </c>
      <c r="N7" s="1" t="s">
        <v>222</v>
      </c>
    </row>
    <row r="8" spans="1:16">
      <c r="A8" s="1">
        <v>5</v>
      </c>
      <c r="B8" s="1" t="s">
        <v>838</v>
      </c>
      <c r="C8" s="5">
        <v>46060</v>
      </c>
      <c r="D8" s="1" t="s">
        <v>19</v>
      </c>
      <c r="E8" s="6" t="s">
        <v>832</v>
      </c>
      <c r="F8" s="6" t="s">
        <v>50</v>
      </c>
      <c r="G8" s="1" t="s">
        <v>35</v>
      </c>
      <c r="H8" s="1" t="s">
        <v>15</v>
      </c>
      <c r="I8" s="1">
        <v>114</v>
      </c>
      <c r="J8" s="1">
        <v>0</v>
      </c>
      <c r="K8" s="1">
        <v>2</v>
      </c>
      <c r="L8" s="1">
        <v>6</v>
      </c>
      <c r="M8" s="2">
        <f>IFERROR(L8/K8*100,0)</f>
        <v>0</v>
      </c>
      <c r="N8" s="1" t="s">
        <v>654</v>
      </c>
    </row>
    <row r="9" spans="1:16">
      <c r="A9" s="1">
        <v>6</v>
      </c>
      <c r="B9" s="1" t="s">
        <v>839</v>
      </c>
      <c r="C9" s="5">
        <v>46081</v>
      </c>
      <c r="D9" s="1" t="s">
        <v>19</v>
      </c>
      <c r="E9" s="6" t="s">
        <v>840</v>
      </c>
      <c r="F9" s="6" t="s">
        <v>92</v>
      </c>
      <c r="G9" s="1" t="s">
        <v>82</v>
      </c>
      <c r="H9" s="1" t="s">
        <v>41</v>
      </c>
      <c r="I9" s="1">
        <v>66</v>
      </c>
      <c r="J9" s="1">
        <v>4</v>
      </c>
      <c r="K9" s="1">
        <v>3</v>
      </c>
      <c r="L9" s="1">
        <v>2</v>
      </c>
      <c r="M9" s="2">
        <f>IFERROR(L9/K9*100,0)</f>
        <v>0</v>
      </c>
      <c r="N9" s="1" t="s">
        <v>654</v>
      </c>
    </row>
    <row r="10" spans="1:16">
      <c r="A10" s="1">
        <v>7</v>
      </c>
      <c r="B10" s="1" t="s">
        <v>841</v>
      </c>
      <c r="C10" s="5">
        <v>46072</v>
      </c>
      <c r="D10" s="1" t="s">
        <v>19</v>
      </c>
      <c r="E10" s="6" t="s">
        <v>840</v>
      </c>
      <c r="F10" s="6" t="s">
        <v>58</v>
      </c>
      <c r="G10" s="1" t="s">
        <v>14</v>
      </c>
      <c r="H10" s="1" t="s">
        <v>7</v>
      </c>
      <c r="I10" s="1">
        <v>68</v>
      </c>
      <c r="J10" s="1">
        <v>0</v>
      </c>
      <c r="K10" s="1">
        <v>7</v>
      </c>
      <c r="L10" s="1">
        <v>1</v>
      </c>
      <c r="M10" s="2">
        <f>IFERROR(L10/K10*100,0)</f>
        <v>0</v>
      </c>
      <c r="N10" s="1" t="s">
        <v>222</v>
      </c>
    </row>
    <row r="11" spans="1:16">
      <c r="A11" s="1">
        <v>8</v>
      </c>
      <c r="B11" s="1" t="s">
        <v>842</v>
      </c>
      <c r="C11" s="5">
        <v>46062</v>
      </c>
      <c r="D11" s="1" t="s">
        <v>19</v>
      </c>
      <c r="E11" s="6" t="s">
        <v>832</v>
      </c>
      <c r="F11" s="6" t="s">
        <v>92</v>
      </c>
      <c r="G11" s="1" t="s">
        <v>6</v>
      </c>
      <c r="H11" s="1" t="s">
        <v>70</v>
      </c>
      <c r="I11" s="1">
        <v>28</v>
      </c>
      <c r="J11" s="1">
        <v>4</v>
      </c>
      <c r="K11" s="1">
        <v>6</v>
      </c>
      <c r="L11" s="1">
        <v>2</v>
      </c>
      <c r="M11" s="2">
        <f>IFERROR(L11/K11*100,0)</f>
        <v>0</v>
      </c>
      <c r="N11" s="1" t="s">
        <v>222</v>
      </c>
    </row>
    <row r="12" spans="1:16">
      <c r="A12" s="1">
        <v>9</v>
      </c>
      <c r="B12" s="1" t="s">
        <v>843</v>
      </c>
      <c r="C12" s="5">
        <v>46058</v>
      </c>
      <c r="D12" s="1" t="s">
        <v>19</v>
      </c>
      <c r="E12" s="6" t="s">
        <v>832</v>
      </c>
      <c r="F12" s="6" t="s">
        <v>58</v>
      </c>
      <c r="G12" s="1" t="s">
        <v>35</v>
      </c>
      <c r="H12" s="1" t="s">
        <v>62</v>
      </c>
      <c r="I12" s="1">
        <v>57</v>
      </c>
      <c r="J12" s="1">
        <v>0</v>
      </c>
      <c r="K12" s="1">
        <v>3</v>
      </c>
      <c r="L12" s="1">
        <v>4</v>
      </c>
      <c r="M12" s="2">
        <f>IFERROR(L12/K12*100,0)</f>
        <v>0</v>
      </c>
      <c r="N12" s="1" t="s">
        <v>222</v>
      </c>
    </row>
    <row r="13" spans="1:16">
      <c r="A13" s="1">
        <v>10</v>
      </c>
      <c r="B13" s="1" t="s">
        <v>844</v>
      </c>
      <c r="C13" s="5">
        <v>46061</v>
      </c>
      <c r="D13" s="1" t="s">
        <v>19</v>
      </c>
      <c r="E13" s="6" t="s">
        <v>837</v>
      </c>
      <c r="F13" s="6" t="s">
        <v>65</v>
      </c>
      <c r="G13" s="1" t="s">
        <v>40</v>
      </c>
      <c r="H13" s="1" t="s">
        <v>104</v>
      </c>
      <c r="I13" s="1">
        <v>102</v>
      </c>
      <c r="J13" s="1">
        <v>6</v>
      </c>
      <c r="K13" s="1">
        <v>6</v>
      </c>
      <c r="L13" s="1">
        <v>8</v>
      </c>
      <c r="M13" s="2">
        <f>IFERROR(L13/K13*100,0)</f>
        <v>0</v>
      </c>
      <c r="N13" s="1" t="s">
        <v>222</v>
      </c>
    </row>
    <row r="14" spans="1:16">
      <c r="A14" s="1">
        <v>11</v>
      </c>
      <c r="B14" s="1" t="s">
        <v>845</v>
      </c>
      <c r="C14" s="5">
        <v>46065</v>
      </c>
      <c r="D14" s="1" t="s">
        <v>19</v>
      </c>
      <c r="E14" s="6" t="s">
        <v>832</v>
      </c>
      <c r="F14" s="6" t="s">
        <v>39</v>
      </c>
      <c r="G14" s="1" t="s">
        <v>77</v>
      </c>
      <c r="H14" s="1" t="s">
        <v>36</v>
      </c>
      <c r="I14" s="1">
        <v>69</v>
      </c>
      <c r="J14" s="1">
        <v>8</v>
      </c>
      <c r="K14" s="1">
        <v>0</v>
      </c>
      <c r="L14" s="1">
        <v>4</v>
      </c>
      <c r="M14" s="2">
        <f>IFERROR(L14/K14*100,0)</f>
        <v>0</v>
      </c>
      <c r="N14" s="1" t="s">
        <v>222</v>
      </c>
    </row>
    <row r="15" spans="1:16">
      <c r="A15" s="1">
        <v>12</v>
      </c>
      <c r="B15" s="1" t="s">
        <v>846</v>
      </c>
      <c r="C15" s="5">
        <v>46106</v>
      </c>
      <c r="D15" s="1" t="s">
        <v>44</v>
      </c>
      <c r="E15" s="6" t="s">
        <v>832</v>
      </c>
      <c r="F15" s="6" t="s">
        <v>27</v>
      </c>
      <c r="G15" s="1" t="s">
        <v>40</v>
      </c>
      <c r="H15" s="1" t="s">
        <v>66</v>
      </c>
      <c r="I15" s="1">
        <v>73</v>
      </c>
      <c r="J15" s="1">
        <v>1</v>
      </c>
      <c r="K15" s="1">
        <v>2</v>
      </c>
      <c r="L15" s="1">
        <v>4</v>
      </c>
      <c r="M15" s="2">
        <f>IFERROR(L15/K15*100,0)</f>
        <v>0</v>
      </c>
      <c r="N15" s="1" t="s">
        <v>222</v>
      </c>
    </row>
    <row r="16" spans="1:16">
      <c r="A16" s="1">
        <v>13</v>
      </c>
      <c r="B16" s="1" t="s">
        <v>847</v>
      </c>
      <c r="C16" s="5">
        <v>46096</v>
      </c>
      <c r="D16" s="1" t="s">
        <v>44</v>
      </c>
      <c r="E16" s="6" t="s">
        <v>840</v>
      </c>
      <c r="F16" s="6" t="s">
        <v>58</v>
      </c>
      <c r="G16" s="1" t="s">
        <v>40</v>
      </c>
      <c r="H16" s="1" t="s">
        <v>70</v>
      </c>
      <c r="I16" s="1">
        <v>96</v>
      </c>
      <c r="J16" s="1">
        <v>7</v>
      </c>
      <c r="K16" s="1">
        <v>6</v>
      </c>
      <c r="L16" s="1">
        <v>1</v>
      </c>
      <c r="M16" s="2">
        <f>IFERROR(L16/K16*100,0)</f>
        <v>0</v>
      </c>
      <c r="N16" s="1" t="s">
        <v>654</v>
      </c>
    </row>
    <row r="17" spans="1:14">
      <c r="A17" s="1">
        <v>14</v>
      </c>
      <c r="B17" s="1" t="s">
        <v>848</v>
      </c>
      <c r="C17" s="5">
        <v>46082</v>
      </c>
      <c r="D17" s="1" t="s">
        <v>44</v>
      </c>
      <c r="E17" s="6" t="s">
        <v>835</v>
      </c>
      <c r="F17" s="6" t="s">
        <v>89</v>
      </c>
      <c r="G17" s="1" t="s">
        <v>14</v>
      </c>
      <c r="H17" s="1" t="s">
        <v>36</v>
      </c>
      <c r="I17" s="1">
        <v>96</v>
      </c>
      <c r="J17" s="1">
        <v>4</v>
      </c>
      <c r="K17" s="1">
        <v>6</v>
      </c>
      <c r="L17" s="1">
        <v>4</v>
      </c>
      <c r="M17" s="2">
        <f>IFERROR(L17/K17*100,0)</f>
        <v>0</v>
      </c>
      <c r="N17" s="1" t="s">
        <v>222</v>
      </c>
    </row>
    <row r="18" spans="1:14">
      <c r="A18" s="1">
        <v>15</v>
      </c>
      <c r="B18" s="1" t="s">
        <v>849</v>
      </c>
      <c r="C18" s="5">
        <v>46103</v>
      </c>
      <c r="D18" s="1" t="s">
        <v>44</v>
      </c>
      <c r="E18" s="6" t="s">
        <v>835</v>
      </c>
      <c r="F18" s="6" t="s">
        <v>5</v>
      </c>
      <c r="G18" s="1" t="s">
        <v>40</v>
      </c>
      <c r="H18" s="1" t="s">
        <v>15</v>
      </c>
      <c r="I18" s="1">
        <v>44</v>
      </c>
      <c r="J18" s="1">
        <v>7</v>
      </c>
      <c r="K18" s="1">
        <v>3</v>
      </c>
      <c r="L18" s="1">
        <v>2</v>
      </c>
      <c r="M18" s="2">
        <f>IFERROR(L18/K18*100,0)</f>
        <v>0</v>
      </c>
      <c r="N18" s="1" t="s">
        <v>654</v>
      </c>
    </row>
    <row r="19" spans="1:14">
      <c r="A19" s="1">
        <v>16</v>
      </c>
      <c r="B19" s="1" t="s">
        <v>850</v>
      </c>
      <c r="C19" s="5">
        <v>46101</v>
      </c>
      <c r="D19" s="1" t="s">
        <v>44</v>
      </c>
      <c r="E19" s="6" t="s">
        <v>832</v>
      </c>
      <c r="F19" s="6" t="s">
        <v>50</v>
      </c>
      <c r="G19" s="1" t="s">
        <v>82</v>
      </c>
      <c r="H19" s="1" t="s">
        <v>104</v>
      </c>
      <c r="I19" s="1">
        <v>89</v>
      </c>
      <c r="J19" s="1">
        <v>8</v>
      </c>
      <c r="K19" s="1">
        <v>4</v>
      </c>
      <c r="L19" s="1">
        <v>5</v>
      </c>
      <c r="M19" s="2">
        <f>IFERROR(L19/K19*100,0)</f>
        <v>0</v>
      </c>
      <c r="N19" s="1" t="s">
        <v>222</v>
      </c>
    </row>
    <row r="20" spans="1:14">
      <c r="A20" s="1">
        <v>17</v>
      </c>
      <c r="B20" s="1" t="s">
        <v>851</v>
      </c>
      <c r="C20" s="5">
        <v>46082</v>
      </c>
      <c r="D20" s="1" t="s">
        <v>44</v>
      </c>
      <c r="E20" s="6" t="s">
        <v>840</v>
      </c>
      <c r="F20" s="6" t="s">
        <v>89</v>
      </c>
      <c r="G20" s="1" t="s">
        <v>95</v>
      </c>
      <c r="H20" s="1" t="s">
        <v>15</v>
      </c>
      <c r="I20" s="1">
        <v>85</v>
      </c>
      <c r="J20" s="1">
        <v>8</v>
      </c>
      <c r="K20" s="1">
        <v>6</v>
      </c>
      <c r="L20" s="1">
        <v>8</v>
      </c>
      <c r="M20" s="2">
        <f>IFERROR(L20/K20*100,0)</f>
        <v>0</v>
      </c>
      <c r="N20" s="1" t="s">
        <v>222</v>
      </c>
    </row>
    <row r="21" spans="1:14">
      <c r="A21" s="1">
        <v>18</v>
      </c>
      <c r="B21" s="1" t="s">
        <v>852</v>
      </c>
      <c r="C21" s="5">
        <v>46085</v>
      </c>
      <c r="D21" s="1" t="s">
        <v>44</v>
      </c>
      <c r="E21" s="6" t="s">
        <v>837</v>
      </c>
      <c r="F21" s="6" t="s">
        <v>5</v>
      </c>
      <c r="G21" s="1" t="s">
        <v>35</v>
      </c>
      <c r="H21" s="1" t="s">
        <v>66</v>
      </c>
      <c r="I21" s="1">
        <v>120</v>
      </c>
      <c r="J21" s="1">
        <v>0</v>
      </c>
      <c r="K21" s="1">
        <v>7</v>
      </c>
      <c r="L21" s="1">
        <v>4</v>
      </c>
      <c r="M21" s="2">
        <f>IFERROR(L21/K21*100,0)</f>
        <v>0</v>
      </c>
      <c r="N21" s="1" t="s">
        <v>654</v>
      </c>
    </row>
    <row r="22" spans="1:14">
      <c r="A22" s="1">
        <v>19</v>
      </c>
      <c r="B22" s="1" t="s">
        <v>853</v>
      </c>
      <c r="C22" s="5">
        <v>46137</v>
      </c>
      <c r="D22" s="1" t="s">
        <v>53</v>
      </c>
      <c r="E22" s="6" t="s">
        <v>832</v>
      </c>
      <c r="F22" s="6" t="s">
        <v>58</v>
      </c>
      <c r="G22" s="1" t="s">
        <v>95</v>
      </c>
      <c r="H22" s="1" t="s">
        <v>22</v>
      </c>
      <c r="I22" s="1">
        <v>114</v>
      </c>
      <c r="J22" s="1">
        <v>1</v>
      </c>
      <c r="K22" s="1">
        <v>2</v>
      </c>
      <c r="L22" s="1">
        <v>7</v>
      </c>
      <c r="M22" s="2">
        <f>IFERROR(L22/K22*100,0)</f>
        <v>0</v>
      </c>
      <c r="N22" s="1" t="s">
        <v>222</v>
      </c>
    </row>
    <row r="23" spans="1:14">
      <c r="A23" s="1">
        <v>20</v>
      </c>
      <c r="B23" s="1" t="s">
        <v>854</v>
      </c>
      <c r="C23" s="5">
        <v>46124</v>
      </c>
      <c r="D23" s="1" t="s">
        <v>53</v>
      </c>
      <c r="E23" s="6" t="s">
        <v>837</v>
      </c>
      <c r="F23" s="6" t="s">
        <v>65</v>
      </c>
      <c r="G23" s="1" t="s">
        <v>6</v>
      </c>
      <c r="H23" s="1" t="s">
        <v>62</v>
      </c>
      <c r="I23" s="1">
        <v>22</v>
      </c>
      <c r="J23" s="1">
        <v>3</v>
      </c>
      <c r="K23" s="1">
        <v>4</v>
      </c>
      <c r="L23" s="1">
        <v>3</v>
      </c>
      <c r="M23" s="2">
        <f>IFERROR(L23/K23*100,0)</f>
        <v>0</v>
      </c>
      <c r="N23" s="1" t="s">
        <v>654</v>
      </c>
    </row>
    <row r="24" spans="1:14">
      <c r="A24" s="1">
        <v>21</v>
      </c>
      <c r="B24" s="1" t="s">
        <v>855</v>
      </c>
      <c r="C24" s="5">
        <v>46118</v>
      </c>
      <c r="D24" s="1" t="s">
        <v>53</v>
      </c>
      <c r="E24" s="6" t="s">
        <v>837</v>
      </c>
      <c r="F24" s="6" t="s">
        <v>65</v>
      </c>
      <c r="G24" s="1" t="s">
        <v>95</v>
      </c>
      <c r="H24" s="1" t="s">
        <v>66</v>
      </c>
      <c r="I24" s="1">
        <v>59</v>
      </c>
      <c r="J24" s="1">
        <v>2</v>
      </c>
      <c r="K24" s="1">
        <v>5</v>
      </c>
      <c r="L24" s="1">
        <v>6</v>
      </c>
      <c r="M24" s="2">
        <f>IFERROR(L24/K24*100,0)</f>
        <v>0</v>
      </c>
      <c r="N24" s="1" t="s">
        <v>222</v>
      </c>
    </row>
    <row r="25" spans="1:14">
      <c r="A25" s="1">
        <v>22</v>
      </c>
      <c r="B25" s="1" t="s">
        <v>856</v>
      </c>
      <c r="C25" s="5">
        <v>46123</v>
      </c>
      <c r="D25" s="1" t="s">
        <v>53</v>
      </c>
      <c r="E25" s="6" t="s">
        <v>837</v>
      </c>
      <c r="F25" s="6" t="s">
        <v>65</v>
      </c>
      <c r="G25" s="1" t="s">
        <v>77</v>
      </c>
      <c r="H25" s="1" t="s">
        <v>70</v>
      </c>
      <c r="I25" s="1">
        <v>119</v>
      </c>
      <c r="J25" s="1">
        <v>4</v>
      </c>
      <c r="K25" s="1">
        <v>7</v>
      </c>
      <c r="L25" s="1">
        <v>1</v>
      </c>
      <c r="M25" s="2">
        <f>IFERROR(L25/K25*100,0)</f>
        <v>0</v>
      </c>
      <c r="N25" s="1" t="s">
        <v>222</v>
      </c>
    </row>
    <row r="26" spans="1:14">
      <c r="A26" s="1">
        <v>23</v>
      </c>
      <c r="B26" s="1" t="s">
        <v>857</v>
      </c>
      <c r="C26" s="5">
        <v>46114</v>
      </c>
      <c r="D26" s="1" t="s">
        <v>53</v>
      </c>
      <c r="E26" s="6" t="s">
        <v>832</v>
      </c>
      <c r="F26" s="6" t="s">
        <v>50</v>
      </c>
      <c r="G26" s="1" t="s">
        <v>31</v>
      </c>
      <c r="H26" s="1" t="s">
        <v>28</v>
      </c>
      <c r="I26" s="1">
        <v>106</v>
      </c>
      <c r="J26" s="1">
        <v>1</v>
      </c>
      <c r="K26" s="1">
        <v>1</v>
      </c>
      <c r="L26" s="1">
        <v>1</v>
      </c>
      <c r="M26" s="2">
        <f>IFERROR(L26/K26*100,0)</f>
        <v>0</v>
      </c>
      <c r="N26" s="1" t="s">
        <v>222</v>
      </c>
    </row>
    <row r="27" spans="1:14">
      <c r="A27" s="1">
        <v>24</v>
      </c>
      <c r="B27" s="1" t="s">
        <v>858</v>
      </c>
      <c r="C27" s="5">
        <v>46113</v>
      </c>
      <c r="D27" s="1" t="s">
        <v>53</v>
      </c>
      <c r="E27" s="6" t="s">
        <v>832</v>
      </c>
      <c r="F27" s="6" t="s">
        <v>13</v>
      </c>
      <c r="G27" s="1" t="s">
        <v>82</v>
      </c>
      <c r="H27" s="1" t="s">
        <v>93</v>
      </c>
      <c r="I27" s="1">
        <v>56</v>
      </c>
      <c r="J27" s="1">
        <v>7</v>
      </c>
      <c r="K27" s="1">
        <v>2</v>
      </c>
      <c r="L27" s="1">
        <v>8</v>
      </c>
      <c r="M27" s="2">
        <f>IFERROR(L27/K27*100,0)</f>
        <v>0</v>
      </c>
      <c r="N27" s="1" t="s">
        <v>222</v>
      </c>
    </row>
    <row r="28" spans="1:14">
      <c r="A28" s="1">
        <v>25</v>
      </c>
      <c r="B28" s="1" t="s">
        <v>859</v>
      </c>
      <c r="C28" s="5">
        <v>46162</v>
      </c>
      <c r="D28" s="1" t="s">
        <v>60</v>
      </c>
      <c r="E28" s="6" t="s">
        <v>832</v>
      </c>
      <c r="F28" s="6" t="s">
        <v>92</v>
      </c>
      <c r="G28" s="1" t="s">
        <v>95</v>
      </c>
      <c r="H28" s="1" t="s">
        <v>7</v>
      </c>
      <c r="I28" s="1">
        <v>58</v>
      </c>
      <c r="J28" s="1">
        <v>4</v>
      </c>
      <c r="K28" s="1">
        <v>6</v>
      </c>
      <c r="L28" s="1">
        <v>7</v>
      </c>
      <c r="M28" s="2">
        <f>IFERROR(L28/K28*100,0)</f>
        <v>0</v>
      </c>
      <c r="N28" s="1" t="s">
        <v>222</v>
      </c>
    </row>
    <row r="29" spans="1:14">
      <c r="A29" s="1">
        <v>26</v>
      </c>
      <c r="B29" s="1" t="s">
        <v>860</v>
      </c>
      <c r="C29" s="5">
        <v>46168</v>
      </c>
      <c r="D29" s="1" t="s">
        <v>60</v>
      </c>
      <c r="E29" s="6" t="s">
        <v>837</v>
      </c>
      <c r="F29" s="6" t="s">
        <v>46</v>
      </c>
      <c r="G29" s="1" t="s">
        <v>35</v>
      </c>
      <c r="H29" s="1" t="s">
        <v>104</v>
      </c>
      <c r="I29" s="1">
        <v>117</v>
      </c>
      <c r="J29" s="1">
        <v>6</v>
      </c>
      <c r="K29" s="1">
        <v>7</v>
      </c>
      <c r="L29" s="1">
        <v>5</v>
      </c>
      <c r="M29" s="2">
        <f>IFERROR(L29/K29*100,0)</f>
        <v>0</v>
      </c>
      <c r="N29" s="1" t="s">
        <v>654</v>
      </c>
    </row>
    <row r="30" spans="1:14">
      <c r="A30" s="1">
        <v>27</v>
      </c>
      <c r="B30" s="1" t="s">
        <v>861</v>
      </c>
      <c r="C30" s="5">
        <v>46191</v>
      </c>
      <c r="D30" s="1" t="s">
        <v>73</v>
      </c>
      <c r="E30" s="6" t="s">
        <v>832</v>
      </c>
      <c r="F30" s="6" t="s">
        <v>58</v>
      </c>
      <c r="G30" s="1" t="s">
        <v>31</v>
      </c>
      <c r="H30" s="1" t="s">
        <v>32</v>
      </c>
      <c r="I30" s="1">
        <v>82</v>
      </c>
      <c r="J30" s="1">
        <v>8</v>
      </c>
      <c r="K30" s="1">
        <v>4</v>
      </c>
      <c r="L30" s="1">
        <v>5</v>
      </c>
      <c r="M30" s="2">
        <f>IFERROR(L30/K30*100,0)</f>
        <v>0</v>
      </c>
      <c r="N30" s="1" t="s">
        <v>654</v>
      </c>
    </row>
    <row r="31" spans="1:14">
      <c r="A31" s="1">
        <v>28</v>
      </c>
      <c r="B31" s="1" t="s">
        <v>862</v>
      </c>
      <c r="C31" s="5">
        <v>46189</v>
      </c>
      <c r="D31" s="1" t="s">
        <v>73</v>
      </c>
      <c r="E31" s="6" t="s">
        <v>837</v>
      </c>
      <c r="F31" s="6" t="s">
        <v>39</v>
      </c>
      <c r="G31" s="1" t="s">
        <v>35</v>
      </c>
      <c r="H31" s="1" t="s">
        <v>104</v>
      </c>
      <c r="I31" s="1">
        <v>112</v>
      </c>
      <c r="J31" s="1">
        <v>5</v>
      </c>
      <c r="K31" s="1">
        <v>7</v>
      </c>
      <c r="L31" s="1">
        <v>3</v>
      </c>
      <c r="M31" s="2">
        <f>IFERROR(L31/K31*100,0)</f>
        <v>0</v>
      </c>
      <c r="N31" s="1" t="s">
        <v>222</v>
      </c>
    </row>
    <row r="32" spans="1:14">
      <c r="A32" s="1">
        <v>29</v>
      </c>
      <c r="B32" s="1" t="s">
        <v>863</v>
      </c>
      <c r="C32" s="5">
        <v>46180</v>
      </c>
      <c r="D32" s="1" t="s">
        <v>73</v>
      </c>
      <c r="E32" s="6" t="s">
        <v>837</v>
      </c>
      <c r="F32" s="6" t="s">
        <v>50</v>
      </c>
      <c r="G32" s="1" t="s">
        <v>77</v>
      </c>
      <c r="H32" s="1" t="s">
        <v>68</v>
      </c>
      <c r="I32" s="1">
        <v>74</v>
      </c>
      <c r="J32" s="1">
        <v>3</v>
      </c>
      <c r="K32" s="1">
        <v>6</v>
      </c>
      <c r="L32" s="1">
        <v>5</v>
      </c>
      <c r="M32" s="2">
        <f>IFERROR(L32/K32*100,0)</f>
        <v>0</v>
      </c>
      <c r="N32" s="1" t="s">
        <v>654</v>
      </c>
    </row>
    <row r="33" spans="1:14">
      <c r="A33" s="1">
        <v>30</v>
      </c>
      <c r="B33" s="1" t="s">
        <v>864</v>
      </c>
      <c r="C33" s="5">
        <v>46189</v>
      </c>
      <c r="D33" s="1" t="s">
        <v>73</v>
      </c>
      <c r="E33" s="6" t="s">
        <v>837</v>
      </c>
      <c r="F33" s="6" t="s">
        <v>13</v>
      </c>
      <c r="G33" s="1" t="s">
        <v>95</v>
      </c>
      <c r="H33" s="1" t="s">
        <v>28</v>
      </c>
      <c r="I33" s="1">
        <v>43</v>
      </c>
      <c r="J33" s="1">
        <v>2</v>
      </c>
      <c r="K33" s="1">
        <v>1</v>
      </c>
      <c r="L33" s="1">
        <v>4</v>
      </c>
      <c r="M33" s="2">
        <f>IFERROR(L33/K33*100,0)</f>
        <v>0</v>
      </c>
      <c r="N33" s="1" t="s">
        <v>654</v>
      </c>
    </row>
    <row r="34" spans="1:14">
      <c r="A34" s="1">
        <v>31</v>
      </c>
      <c r="B34" s="1" t="s">
        <v>865</v>
      </c>
      <c r="C34" s="5">
        <v>46177</v>
      </c>
      <c r="D34" s="1" t="s">
        <v>73</v>
      </c>
      <c r="E34" s="6" t="s">
        <v>835</v>
      </c>
      <c r="F34" s="6" t="s">
        <v>65</v>
      </c>
      <c r="G34" s="1" t="s">
        <v>82</v>
      </c>
      <c r="H34" s="1" t="s">
        <v>15</v>
      </c>
      <c r="I34" s="1">
        <v>89</v>
      </c>
      <c r="J34" s="1">
        <v>6</v>
      </c>
      <c r="K34" s="1">
        <v>1</v>
      </c>
      <c r="L34" s="1">
        <v>2</v>
      </c>
      <c r="M34" s="2">
        <f>IFERROR(L34/K34*100,0)</f>
        <v>0</v>
      </c>
      <c r="N34" s="1" t="s">
        <v>222</v>
      </c>
    </row>
    <row r="35" spans="1:14">
      <c r="A35" s="1">
        <v>32</v>
      </c>
      <c r="B35" s="1" t="s">
        <v>866</v>
      </c>
      <c r="C35" s="5">
        <v>46180</v>
      </c>
      <c r="D35" s="1" t="s">
        <v>73</v>
      </c>
      <c r="E35" s="6" t="s">
        <v>832</v>
      </c>
      <c r="F35" s="6" t="s">
        <v>39</v>
      </c>
      <c r="G35" s="1" t="s">
        <v>14</v>
      </c>
      <c r="H35" s="1" t="s">
        <v>36</v>
      </c>
      <c r="I35" s="1">
        <v>41</v>
      </c>
      <c r="J35" s="1">
        <v>0</v>
      </c>
      <c r="K35" s="1">
        <v>0</v>
      </c>
      <c r="L35" s="1">
        <v>3</v>
      </c>
      <c r="M35" s="2">
        <f>IFERROR(L35/K35*100,0)</f>
        <v>0</v>
      </c>
      <c r="N35" s="1" t="s">
        <v>654</v>
      </c>
    </row>
    <row r="36" spans="1:14">
      <c r="A36" s="1">
        <v>33</v>
      </c>
      <c r="B36" s="1" t="s">
        <v>867</v>
      </c>
      <c r="C36" s="5">
        <v>46221</v>
      </c>
      <c r="D36" s="1" t="s">
        <v>76</v>
      </c>
      <c r="E36" s="6" t="s">
        <v>835</v>
      </c>
      <c r="F36" s="6" t="s">
        <v>5</v>
      </c>
      <c r="G36" s="1" t="s">
        <v>82</v>
      </c>
      <c r="H36" s="1" t="s">
        <v>62</v>
      </c>
      <c r="I36" s="1">
        <v>83</v>
      </c>
      <c r="J36" s="1">
        <v>0</v>
      </c>
      <c r="K36" s="1">
        <v>5</v>
      </c>
      <c r="L36" s="1">
        <v>4</v>
      </c>
      <c r="M36" s="2">
        <f>IFERROR(L36/K36*100,0)</f>
        <v>0</v>
      </c>
      <c r="N36" s="1" t="s">
        <v>222</v>
      </c>
    </row>
    <row r="37" spans="1:14">
      <c r="A37" s="1">
        <v>34</v>
      </c>
      <c r="B37" s="1" t="s">
        <v>868</v>
      </c>
      <c r="C37" s="5">
        <v>46210</v>
      </c>
      <c r="D37" s="1" t="s">
        <v>76</v>
      </c>
      <c r="E37" s="6" t="s">
        <v>837</v>
      </c>
      <c r="F37" s="6" t="s">
        <v>13</v>
      </c>
      <c r="G37" s="1" t="s">
        <v>21</v>
      </c>
      <c r="H37" s="1" t="s">
        <v>62</v>
      </c>
      <c r="I37" s="1">
        <v>51</v>
      </c>
      <c r="J37" s="1">
        <v>8</v>
      </c>
      <c r="K37" s="1">
        <v>2</v>
      </c>
      <c r="L37" s="1">
        <v>1</v>
      </c>
      <c r="M37" s="2">
        <f>IFERROR(L37/K37*100,0)</f>
        <v>0</v>
      </c>
      <c r="N37" s="1" t="s">
        <v>222</v>
      </c>
    </row>
    <row r="38" spans="1:14">
      <c r="A38" s="1">
        <v>35</v>
      </c>
      <c r="B38" s="1" t="s">
        <v>869</v>
      </c>
      <c r="C38" s="5">
        <v>46220</v>
      </c>
      <c r="D38" s="1" t="s">
        <v>76</v>
      </c>
      <c r="E38" s="6" t="s">
        <v>835</v>
      </c>
      <c r="F38" s="6" t="s">
        <v>89</v>
      </c>
      <c r="G38" s="1" t="s">
        <v>95</v>
      </c>
      <c r="H38" s="1" t="s">
        <v>22</v>
      </c>
      <c r="I38" s="1">
        <v>76</v>
      </c>
      <c r="J38" s="1">
        <v>2</v>
      </c>
      <c r="K38" s="1">
        <v>8</v>
      </c>
      <c r="L38" s="1">
        <v>8</v>
      </c>
      <c r="M38" s="2">
        <f>IFERROR(L38/K38*100,0)</f>
        <v>0</v>
      </c>
      <c r="N38" s="1" t="s">
        <v>222</v>
      </c>
    </row>
    <row r="39" spans="1:14">
      <c r="A39" s="1">
        <v>36</v>
      </c>
      <c r="B39" s="1" t="s">
        <v>870</v>
      </c>
      <c r="C39" s="5">
        <v>46204</v>
      </c>
      <c r="D39" s="1" t="s">
        <v>76</v>
      </c>
      <c r="E39" s="6" t="s">
        <v>835</v>
      </c>
      <c r="F39" s="6" t="s">
        <v>50</v>
      </c>
      <c r="G39" s="1" t="s">
        <v>31</v>
      </c>
      <c r="H39" s="1" t="s">
        <v>70</v>
      </c>
      <c r="I39" s="1">
        <v>27</v>
      </c>
      <c r="J39" s="1">
        <v>3</v>
      </c>
      <c r="K39" s="1">
        <v>2</v>
      </c>
      <c r="L39" s="1">
        <v>4</v>
      </c>
      <c r="M39" s="2">
        <f>IFERROR(L39/K39*100,0)</f>
        <v>0</v>
      </c>
      <c r="N39" s="1" t="s">
        <v>222</v>
      </c>
    </row>
    <row r="40" spans="1:14">
      <c r="A40" s="1">
        <v>37</v>
      </c>
      <c r="B40" s="1" t="s">
        <v>871</v>
      </c>
      <c r="C40" s="5">
        <v>46213</v>
      </c>
      <c r="D40" s="1" t="s">
        <v>76</v>
      </c>
      <c r="E40" s="6" t="s">
        <v>835</v>
      </c>
      <c r="F40" s="6" t="s">
        <v>65</v>
      </c>
      <c r="G40" s="1" t="s">
        <v>51</v>
      </c>
      <c r="H40" s="1" t="s">
        <v>7</v>
      </c>
      <c r="I40" s="1">
        <v>31</v>
      </c>
      <c r="J40" s="1">
        <v>8</v>
      </c>
      <c r="K40" s="1">
        <v>4</v>
      </c>
      <c r="L40" s="1">
        <v>0</v>
      </c>
      <c r="M40" s="2">
        <f>IFERROR(L40/K40*100,0)</f>
        <v>0</v>
      </c>
      <c r="N40" s="1" t="s">
        <v>222</v>
      </c>
    </row>
    <row r="41" spans="1:14">
      <c r="A41" s="1">
        <v>38</v>
      </c>
      <c r="B41" s="1" t="s">
        <v>872</v>
      </c>
      <c r="C41" s="5">
        <v>46244</v>
      </c>
      <c r="D41" s="1" t="s">
        <v>86</v>
      </c>
      <c r="E41" s="6" t="s">
        <v>832</v>
      </c>
      <c r="F41" s="6" t="s">
        <v>58</v>
      </c>
      <c r="G41" s="1" t="s">
        <v>77</v>
      </c>
      <c r="H41" s="1" t="s">
        <v>15</v>
      </c>
      <c r="I41" s="1">
        <v>25</v>
      </c>
      <c r="J41" s="1">
        <v>8</v>
      </c>
      <c r="K41" s="1">
        <v>7</v>
      </c>
      <c r="L41" s="1">
        <v>6</v>
      </c>
      <c r="M41" s="2">
        <f>IFERROR(L41/K41*100,0)</f>
        <v>0</v>
      </c>
      <c r="N41" s="1" t="s">
        <v>222</v>
      </c>
    </row>
    <row r="42" spans="1:14">
      <c r="A42" s="1">
        <v>39</v>
      </c>
      <c r="B42" s="1" t="s">
        <v>873</v>
      </c>
      <c r="C42" s="5">
        <v>46250</v>
      </c>
      <c r="D42" s="1" t="s">
        <v>86</v>
      </c>
      <c r="E42" s="6" t="s">
        <v>840</v>
      </c>
      <c r="F42" s="6" t="s">
        <v>50</v>
      </c>
      <c r="G42" s="1" t="s">
        <v>21</v>
      </c>
      <c r="H42" s="1" t="s">
        <v>68</v>
      </c>
      <c r="I42" s="1">
        <v>101</v>
      </c>
      <c r="J42" s="1">
        <v>1</v>
      </c>
      <c r="K42" s="1">
        <v>2</v>
      </c>
      <c r="L42" s="1">
        <v>1</v>
      </c>
      <c r="M42" s="2">
        <f>IFERROR(L42/K42*100,0)</f>
        <v>0</v>
      </c>
      <c r="N42" s="1" t="s">
        <v>222</v>
      </c>
    </row>
    <row r="43" spans="1:14">
      <c r="A43" s="1">
        <v>40</v>
      </c>
      <c r="B43" s="1" t="s">
        <v>874</v>
      </c>
      <c r="C43" s="5">
        <v>46249</v>
      </c>
      <c r="D43" s="1" t="s">
        <v>86</v>
      </c>
      <c r="E43" s="6" t="s">
        <v>840</v>
      </c>
      <c r="F43" s="6" t="s">
        <v>92</v>
      </c>
      <c r="G43" s="1" t="s">
        <v>77</v>
      </c>
      <c r="H43" s="1" t="s">
        <v>36</v>
      </c>
      <c r="I43" s="1">
        <v>76</v>
      </c>
      <c r="J43" s="1">
        <v>2</v>
      </c>
      <c r="K43" s="1">
        <v>3</v>
      </c>
      <c r="L43" s="1">
        <v>0</v>
      </c>
      <c r="M43" s="2">
        <f>IFERROR(L43/K43*100,0)</f>
        <v>0</v>
      </c>
      <c r="N43" s="1" t="s">
        <v>222</v>
      </c>
    </row>
    <row r="44" spans="1:14">
      <c r="A44" s="1">
        <v>41</v>
      </c>
      <c r="B44" s="1" t="s">
        <v>875</v>
      </c>
      <c r="C44" s="5">
        <v>46254</v>
      </c>
      <c r="D44" s="1" t="s">
        <v>86</v>
      </c>
      <c r="E44" s="6" t="s">
        <v>835</v>
      </c>
      <c r="F44" s="6" t="s">
        <v>50</v>
      </c>
      <c r="G44" s="1" t="s">
        <v>87</v>
      </c>
      <c r="H44" s="1" t="s">
        <v>68</v>
      </c>
      <c r="I44" s="1">
        <v>28</v>
      </c>
      <c r="J44" s="1">
        <v>6</v>
      </c>
      <c r="K44" s="1">
        <v>6</v>
      </c>
      <c r="L44" s="1">
        <v>0</v>
      </c>
      <c r="M44" s="2">
        <f>IFERROR(L44/K44*100,0)</f>
        <v>0</v>
      </c>
      <c r="N44" s="1" t="s">
        <v>222</v>
      </c>
    </row>
    <row r="45" spans="1:14">
      <c r="A45" s="1">
        <v>42</v>
      </c>
      <c r="B45" s="1" t="s">
        <v>876</v>
      </c>
      <c r="C45" s="5">
        <v>46250</v>
      </c>
      <c r="D45" s="1" t="s">
        <v>86</v>
      </c>
      <c r="E45" s="6" t="s">
        <v>840</v>
      </c>
      <c r="F45" s="6" t="s">
        <v>58</v>
      </c>
      <c r="G45" s="1" t="s">
        <v>21</v>
      </c>
      <c r="H45" s="1" t="s">
        <v>7</v>
      </c>
      <c r="I45" s="1">
        <v>105</v>
      </c>
      <c r="J45" s="1">
        <v>6</v>
      </c>
      <c r="K45" s="1">
        <v>4</v>
      </c>
      <c r="L45" s="1">
        <v>2</v>
      </c>
      <c r="M45" s="2">
        <f>IFERROR(L45/K45*100,0)</f>
        <v>0</v>
      </c>
      <c r="N45" s="1" t="s">
        <v>222</v>
      </c>
    </row>
    <row r="46" spans="1:14">
      <c r="A46" s="1">
        <v>43</v>
      </c>
      <c r="B46" s="1" t="s">
        <v>877</v>
      </c>
      <c r="C46" s="5">
        <v>46267</v>
      </c>
      <c r="D46" s="1" t="s">
        <v>102</v>
      </c>
      <c r="E46" s="6" t="s">
        <v>835</v>
      </c>
      <c r="F46" s="6" t="s">
        <v>50</v>
      </c>
      <c r="G46" s="1" t="s">
        <v>82</v>
      </c>
      <c r="H46" s="1" t="s">
        <v>93</v>
      </c>
      <c r="I46" s="1">
        <v>84</v>
      </c>
      <c r="J46" s="1">
        <v>2</v>
      </c>
      <c r="K46" s="1">
        <v>6</v>
      </c>
      <c r="L46" s="1">
        <v>5</v>
      </c>
      <c r="M46" s="2">
        <f>IFERROR(L46/K46*100,0)</f>
        <v>0</v>
      </c>
      <c r="N46" s="1" t="s">
        <v>222</v>
      </c>
    </row>
    <row r="47" spans="1:14">
      <c r="A47" s="1">
        <v>44</v>
      </c>
      <c r="B47" s="1" t="s">
        <v>878</v>
      </c>
      <c r="C47" s="5">
        <v>46274</v>
      </c>
      <c r="D47" s="1" t="s">
        <v>102</v>
      </c>
      <c r="E47" s="6" t="s">
        <v>832</v>
      </c>
      <c r="F47" s="6" t="s">
        <v>5</v>
      </c>
      <c r="G47" s="1" t="s">
        <v>35</v>
      </c>
      <c r="H47" s="1" t="s">
        <v>41</v>
      </c>
      <c r="I47" s="1">
        <v>88</v>
      </c>
      <c r="J47" s="1">
        <v>5</v>
      </c>
      <c r="K47" s="1">
        <v>3</v>
      </c>
      <c r="L47" s="1">
        <v>6</v>
      </c>
      <c r="M47" s="2">
        <f>IFERROR(L47/K47*100,0)</f>
        <v>0</v>
      </c>
      <c r="N47" s="1" t="s">
        <v>222</v>
      </c>
    </row>
    <row r="48" spans="1:14">
      <c r="A48" s="1">
        <v>45</v>
      </c>
      <c r="B48" s="1" t="s">
        <v>879</v>
      </c>
      <c r="C48" s="5">
        <v>46267</v>
      </c>
      <c r="D48" s="1" t="s">
        <v>102</v>
      </c>
      <c r="E48" s="6" t="s">
        <v>835</v>
      </c>
      <c r="F48" s="6" t="s">
        <v>89</v>
      </c>
      <c r="G48" s="1" t="s">
        <v>21</v>
      </c>
      <c r="H48" s="1" t="s">
        <v>32</v>
      </c>
      <c r="I48" s="1">
        <v>95</v>
      </c>
      <c r="J48" s="1">
        <v>4</v>
      </c>
      <c r="K48" s="1">
        <v>0</v>
      </c>
      <c r="L48" s="1">
        <v>0</v>
      </c>
      <c r="M48" s="2">
        <f>IFERROR(L48/K48*100,0)</f>
        <v>0</v>
      </c>
      <c r="N48" s="1" t="s">
        <v>222</v>
      </c>
    </row>
    <row r="49" spans="1:14">
      <c r="A49" s="1">
        <v>46</v>
      </c>
      <c r="B49" s="1" t="s">
        <v>880</v>
      </c>
      <c r="C49" s="5">
        <v>46318</v>
      </c>
      <c r="D49" s="1" t="s">
        <v>106</v>
      </c>
      <c r="E49" s="6" t="s">
        <v>835</v>
      </c>
      <c r="F49" s="6" t="s">
        <v>50</v>
      </c>
      <c r="G49" s="1" t="s">
        <v>31</v>
      </c>
      <c r="H49" s="1" t="s">
        <v>32</v>
      </c>
      <c r="I49" s="1">
        <v>59</v>
      </c>
      <c r="J49" s="1">
        <v>1</v>
      </c>
      <c r="K49" s="1">
        <v>2</v>
      </c>
      <c r="L49" s="1">
        <v>1</v>
      </c>
      <c r="M49" s="2">
        <f>IFERROR(L49/K49*100,0)</f>
        <v>0</v>
      </c>
      <c r="N49" s="1" t="s">
        <v>654</v>
      </c>
    </row>
    <row r="50" spans="1:14">
      <c r="A50" s="1">
        <v>47</v>
      </c>
      <c r="B50" s="1" t="s">
        <v>881</v>
      </c>
      <c r="C50" s="5">
        <v>46350</v>
      </c>
      <c r="D50" s="1" t="s">
        <v>111</v>
      </c>
      <c r="E50" s="6" t="s">
        <v>832</v>
      </c>
      <c r="F50" s="6" t="s">
        <v>50</v>
      </c>
      <c r="G50" s="1" t="s">
        <v>95</v>
      </c>
      <c r="H50" s="1" t="s">
        <v>70</v>
      </c>
      <c r="I50" s="1">
        <v>24</v>
      </c>
      <c r="J50" s="1">
        <v>8</v>
      </c>
      <c r="K50" s="1">
        <v>4</v>
      </c>
      <c r="L50" s="1">
        <v>5</v>
      </c>
      <c r="M50" s="2">
        <f>IFERROR(L50/K50*100,0)</f>
        <v>0</v>
      </c>
      <c r="N50" s="1" t="s">
        <v>654</v>
      </c>
    </row>
    <row r="51" spans="1:14">
      <c r="A51" s="1">
        <v>48</v>
      </c>
      <c r="B51" s="1" t="s">
        <v>882</v>
      </c>
      <c r="C51" s="5">
        <v>46346</v>
      </c>
      <c r="D51" s="1" t="s">
        <v>111</v>
      </c>
      <c r="E51" s="6" t="s">
        <v>837</v>
      </c>
      <c r="F51" s="6" t="s">
        <v>46</v>
      </c>
      <c r="G51" s="1" t="s">
        <v>77</v>
      </c>
      <c r="H51" s="1" t="s">
        <v>68</v>
      </c>
      <c r="I51" s="1">
        <v>21</v>
      </c>
      <c r="J51" s="1">
        <v>5</v>
      </c>
      <c r="K51" s="1">
        <v>4</v>
      </c>
      <c r="L51" s="1">
        <v>6</v>
      </c>
      <c r="M51" s="2">
        <f>IFERROR(L51/K51*100,0)</f>
        <v>0</v>
      </c>
      <c r="N51" s="1" t="s">
        <v>222</v>
      </c>
    </row>
    <row r="52" spans="1:14">
      <c r="M52" s="2">
        <f>IFERROR(L52/K52*100,0)</f>
        <v>0</v>
      </c>
    </row>
    <row r="53" spans="1:14">
      <c r="M53" s="2">
        <f>IFERROR(L53/K53*100,0)</f>
        <v>0</v>
      </c>
    </row>
    <row r="54" spans="1:14">
      <c r="M54" s="2">
        <f>IFERROR(L54/K54*100,0)</f>
        <v>0</v>
      </c>
    </row>
    <row r="55" spans="1:14">
      <c r="M55" s="2">
        <f>IFERROR(L55/K55*100,0)</f>
        <v>0</v>
      </c>
    </row>
    <row r="56" spans="1:14">
      <c r="M56" s="2">
        <f>IFERROR(L56/K56*100,0)</f>
        <v>0</v>
      </c>
    </row>
    <row r="57" spans="1:14">
      <c r="M57" s="2">
        <f>IFERROR(L57/K57*100,0)</f>
        <v>0</v>
      </c>
    </row>
    <row r="58" spans="1:14">
      <c r="M58" s="2">
        <f>IFERROR(L58/K58*100,0)</f>
        <v>0</v>
      </c>
    </row>
    <row r="59" spans="1:14">
      <c r="M59" s="2">
        <f>IFERROR(L59/K59*100,0)</f>
        <v>0</v>
      </c>
    </row>
    <row r="60" spans="1:14">
      <c r="M60" s="2">
        <f>IFERROR(L60/K60*100,0)</f>
        <v>0</v>
      </c>
    </row>
    <row r="61" spans="1:14">
      <c r="M61" s="2">
        <f>IFERROR(L61/K61*100,0)</f>
        <v>0</v>
      </c>
    </row>
    <row r="62" spans="1:14">
      <c r="M62" s="2">
        <f>IFERROR(L62/K62*100,0)</f>
        <v>0</v>
      </c>
    </row>
    <row r="63" spans="1:14">
      <c r="M63" s="2">
        <f>IFERROR(L63/K63*100,0)</f>
        <v>0</v>
      </c>
    </row>
    <row r="64" spans="1:14">
      <c r="M64" s="2">
        <f>IFERROR(L64/K64*100,0)</f>
        <v>0</v>
      </c>
    </row>
    <row r="65" spans="13:13">
      <c r="M65" s="2">
        <f>IFERROR(L65/K65*100,0)</f>
        <v>0</v>
      </c>
    </row>
    <row r="66" spans="13:13">
      <c r="M66" s="2">
        <f>IFERROR(L66/K66*100,0)</f>
        <v>0</v>
      </c>
    </row>
    <row r="67" spans="13:13">
      <c r="M67" s="2">
        <f>IFERROR(L67/K67*100,0)</f>
        <v>0</v>
      </c>
    </row>
    <row r="68" spans="13:13">
      <c r="M68" s="2">
        <f>IFERROR(L68/K68*100,0)</f>
        <v>0</v>
      </c>
    </row>
    <row r="69" spans="13:13">
      <c r="M69" s="2">
        <f>IFERROR(L69/K69*100,0)</f>
        <v>0</v>
      </c>
    </row>
    <row r="70" spans="13:13">
      <c r="M70" s="2">
        <f>IFERROR(L70/K70*100,0)</f>
        <v>0</v>
      </c>
    </row>
    <row r="71" spans="13:13">
      <c r="M71" s="2">
        <f>IFERROR(L71/K71*100,0)</f>
        <v>0</v>
      </c>
    </row>
    <row r="72" spans="13:13">
      <c r="M72" s="2">
        <f>IFERROR(L72/K72*100,0)</f>
        <v>0</v>
      </c>
    </row>
    <row r="73" spans="13:13">
      <c r="M73" s="2">
        <f>IFERROR(L73/K73*100,0)</f>
        <v>0</v>
      </c>
    </row>
    <row r="74" spans="13:13">
      <c r="M74" s="2">
        <f>IFERROR(L74/K74*100,0)</f>
        <v>0</v>
      </c>
    </row>
    <row r="75" spans="13:13">
      <c r="M75" s="2">
        <f>IFERROR(L75/K75*100,0)</f>
        <v>0</v>
      </c>
    </row>
    <row r="76" spans="13:13">
      <c r="M76" s="2">
        <f>IFERROR(L76/K76*100,0)</f>
        <v>0</v>
      </c>
    </row>
    <row r="77" spans="13:13">
      <c r="M77" s="2">
        <f>IFERROR(L77/K77*100,0)</f>
        <v>0</v>
      </c>
    </row>
    <row r="78" spans="13:13">
      <c r="M78" s="2">
        <f>IFERROR(L78/K78*100,0)</f>
        <v>0</v>
      </c>
    </row>
    <row r="79" spans="13:13">
      <c r="M79" s="2">
        <f>IFERROR(L79/K79*100,0)</f>
        <v>0</v>
      </c>
    </row>
    <row r="80" spans="13:13">
      <c r="M80" s="2">
        <f>IFERROR(L80/K80*100,0)</f>
        <v>0</v>
      </c>
    </row>
    <row r="81" spans="13:13">
      <c r="M81" s="2">
        <f>IFERROR(L81/K81*100,0)</f>
        <v>0</v>
      </c>
    </row>
    <row r="82" spans="13:13">
      <c r="M82" s="2">
        <f>IFERROR(L82/K82*100,0)</f>
        <v>0</v>
      </c>
    </row>
    <row r="83" spans="13:13">
      <c r="M83" s="2">
        <f>IFERROR(L83/K83*100,0)</f>
        <v>0</v>
      </c>
    </row>
    <row r="84" spans="13:13">
      <c r="M84" s="2">
        <f>IFERROR(L84/K84*100,0)</f>
        <v>0</v>
      </c>
    </row>
    <row r="85" spans="13:13">
      <c r="M85" s="2">
        <f>IFERROR(L85/K85*100,0)</f>
        <v>0</v>
      </c>
    </row>
    <row r="86" spans="13:13">
      <c r="M86" s="2">
        <f>IFERROR(L86/K86*100,0)</f>
        <v>0</v>
      </c>
    </row>
    <row r="87" spans="13:13">
      <c r="M87" s="2">
        <f>IFERROR(L87/K87*100,0)</f>
        <v>0</v>
      </c>
    </row>
    <row r="88" spans="13:13">
      <c r="M88" s="2">
        <f>IFERROR(L88/K88*100,0)</f>
        <v>0</v>
      </c>
    </row>
    <row r="89" spans="13:13">
      <c r="M89" s="2">
        <f>IFERROR(L89/K89*100,0)</f>
        <v>0</v>
      </c>
    </row>
    <row r="90" spans="13:13">
      <c r="M90" s="2">
        <f>IFERROR(L90/K90*100,0)</f>
        <v>0</v>
      </c>
    </row>
    <row r="91" spans="13:13">
      <c r="M91" s="2">
        <f>IFERROR(L91/K91*100,0)</f>
        <v>0</v>
      </c>
    </row>
    <row r="92" spans="13:13">
      <c r="M92" s="2">
        <f>IFERROR(L92/K92*100,0)</f>
        <v>0</v>
      </c>
    </row>
    <row r="93" spans="13:13">
      <c r="M93" s="2">
        <f>IFERROR(L93/K93*100,0)</f>
        <v>0</v>
      </c>
    </row>
    <row r="94" spans="13:13">
      <c r="M94" s="2">
        <f>IFERROR(L94/K94*100,0)</f>
        <v>0</v>
      </c>
    </row>
    <row r="95" spans="13:13">
      <c r="M95" s="2">
        <f>IFERROR(L95/K95*100,0)</f>
        <v>0</v>
      </c>
    </row>
    <row r="96" spans="13:13">
      <c r="M96" s="2">
        <f>IFERROR(L96/K96*100,0)</f>
        <v>0</v>
      </c>
    </row>
    <row r="97" spans="13:13">
      <c r="M97" s="2">
        <f>IFERROR(L97/K97*100,0)</f>
        <v>0</v>
      </c>
    </row>
    <row r="98" spans="13:13">
      <c r="M98" s="2">
        <f>IFERROR(L98/K98*100,0)</f>
        <v>0</v>
      </c>
    </row>
    <row r="99" spans="13:13">
      <c r="M99" s="2">
        <f>IFERROR(L99/K99*100,0)</f>
        <v>0</v>
      </c>
    </row>
    <row r="100" spans="13:13">
      <c r="M100" s="2">
        <f>IFERROR(L100/K100*100,0)</f>
        <v>0</v>
      </c>
    </row>
    <row r="101" spans="13:13">
      <c r="M101" s="2">
        <f>IFERROR(L101/K101*100,0)</f>
        <v>0</v>
      </c>
    </row>
    <row r="102" spans="13:13">
      <c r="M102" s="2">
        <f>IFERROR(L102/K102*100,0)</f>
        <v>0</v>
      </c>
    </row>
    <row r="103" spans="13:13">
      <c r="M103" s="2">
        <f>IFERROR(L103/K103*100,0)</f>
        <v>0</v>
      </c>
    </row>
    <row r="104" spans="13:13">
      <c r="M104" s="2">
        <f>IFERROR(L104/K104*100,0)</f>
        <v>0</v>
      </c>
    </row>
    <row r="105" spans="13:13">
      <c r="M105" s="2">
        <f>IFERROR(L105/K105*100,0)</f>
        <v>0</v>
      </c>
    </row>
    <row r="106" spans="13:13">
      <c r="M106" s="2">
        <f>IFERROR(L106/K106*100,0)</f>
        <v>0</v>
      </c>
    </row>
    <row r="107" spans="13:13">
      <c r="M107" s="2">
        <f>IFERROR(L107/K107*100,0)</f>
        <v>0</v>
      </c>
    </row>
    <row r="108" spans="13:13">
      <c r="M108" s="2">
        <f>IFERROR(L108/K108*100,0)</f>
        <v>0</v>
      </c>
    </row>
    <row r="109" spans="13:13">
      <c r="M109" s="2">
        <f>IFERROR(L109/K109*100,0)</f>
        <v>0</v>
      </c>
    </row>
    <row r="110" spans="13:13">
      <c r="M110" s="2">
        <f>IFERROR(L110/K110*100,0)</f>
        <v>0</v>
      </c>
    </row>
    <row r="111" spans="13:13">
      <c r="M111" s="2">
        <f>IFERROR(L111/K111*100,0)</f>
        <v>0</v>
      </c>
    </row>
    <row r="112" spans="13:13">
      <c r="M112" s="2">
        <f>IFERROR(L112/K112*100,0)</f>
        <v>0</v>
      </c>
    </row>
    <row r="113" spans="13:13">
      <c r="M113" s="2">
        <f>IFERROR(L113/K113*100,0)</f>
        <v>0</v>
      </c>
    </row>
    <row r="114" spans="13:13">
      <c r="M114" s="2">
        <f>IFERROR(L114/K114*100,0)</f>
        <v>0</v>
      </c>
    </row>
    <row r="115" spans="13:13">
      <c r="M115" s="2">
        <f>IFERROR(L115/K115*100,0)</f>
        <v>0</v>
      </c>
    </row>
    <row r="116" spans="13:13">
      <c r="M116" s="2">
        <f>IFERROR(L116/K116*100,0)</f>
        <v>0</v>
      </c>
    </row>
    <row r="117" spans="13:13">
      <c r="M117" s="2">
        <f>IFERROR(L117/K117*100,0)</f>
        <v>0</v>
      </c>
    </row>
    <row r="118" spans="13:13">
      <c r="M118" s="2">
        <f>IFERROR(L118/K118*100,0)</f>
        <v>0</v>
      </c>
    </row>
    <row r="119" spans="13:13">
      <c r="M119" s="2">
        <f>IFERROR(L119/K119*100,0)</f>
        <v>0</v>
      </c>
    </row>
    <row r="120" spans="13:13">
      <c r="M120" s="2">
        <f>IFERROR(L120/K120*100,0)</f>
        <v>0</v>
      </c>
    </row>
    <row r="121" spans="13:13">
      <c r="M121" s="2">
        <f>IFERROR(L121/K121*100,0)</f>
        <v>0</v>
      </c>
    </row>
    <row r="122" spans="13:13">
      <c r="M122" s="2">
        <f>IFERROR(L122/K122*100,0)</f>
        <v>0</v>
      </c>
    </row>
    <row r="123" spans="13:13">
      <c r="M123" s="2">
        <f>IFERROR(L123/K123*100,0)</f>
        <v>0</v>
      </c>
    </row>
    <row r="124" spans="13:13">
      <c r="M124" s="2">
        <f>IFERROR(L124/K124*100,0)</f>
        <v>0</v>
      </c>
    </row>
    <row r="125" spans="13:13">
      <c r="M125" s="2">
        <f>IFERROR(L125/K125*100,0)</f>
        <v>0</v>
      </c>
    </row>
    <row r="126" spans="13:13">
      <c r="M126" s="2">
        <f>IFERROR(L126/K126*100,0)</f>
        <v>0</v>
      </c>
    </row>
    <row r="127" spans="13:13">
      <c r="M127" s="2">
        <f>IFERROR(L127/K127*100,0)</f>
        <v>0</v>
      </c>
    </row>
    <row r="128" spans="13:13">
      <c r="M128" s="2">
        <f>IFERROR(L128/K128*100,0)</f>
        <v>0</v>
      </c>
    </row>
    <row r="129" spans="13:13">
      <c r="M129" s="2">
        <f>IFERROR(L129/K129*100,0)</f>
        <v>0</v>
      </c>
    </row>
    <row r="130" spans="13:13">
      <c r="M130" s="2">
        <f>IFERROR(L130/K130*100,0)</f>
        <v>0</v>
      </c>
    </row>
    <row r="131" spans="13:13">
      <c r="M131" s="2">
        <f>IFERROR(L131/K131*100,0)</f>
        <v>0</v>
      </c>
    </row>
    <row r="132" spans="13:13">
      <c r="M132" s="2">
        <f>IFERROR(L132/K132*100,0)</f>
        <v>0</v>
      </c>
    </row>
    <row r="133" spans="13:13">
      <c r="M133" s="2">
        <f>IFERROR(L133/K133*100,0)</f>
        <v>0</v>
      </c>
    </row>
    <row r="134" spans="13:13">
      <c r="M134" s="2">
        <f>IFERROR(L134/K134*100,0)</f>
        <v>0</v>
      </c>
    </row>
    <row r="135" spans="13:13">
      <c r="M135" s="2">
        <f>IFERROR(L135/K135*100,0)</f>
        <v>0</v>
      </c>
    </row>
    <row r="136" spans="13:13">
      <c r="M136" s="2">
        <f>IFERROR(L136/K136*100,0)</f>
        <v>0</v>
      </c>
    </row>
    <row r="137" spans="13:13">
      <c r="M137" s="2">
        <f>IFERROR(L137/K137*100,0)</f>
        <v>0</v>
      </c>
    </row>
    <row r="138" spans="13:13">
      <c r="M138" s="2">
        <f>IFERROR(L138/K138*100,0)</f>
        <v>0</v>
      </c>
    </row>
    <row r="139" spans="13:13">
      <c r="M139" s="2">
        <f>IFERROR(L139/K139*100,0)</f>
        <v>0</v>
      </c>
    </row>
    <row r="140" spans="13:13">
      <c r="M140" s="2">
        <f>IFERROR(L140/K140*100,0)</f>
        <v>0</v>
      </c>
    </row>
    <row r="141" spans="13:13">
      <c r="M141" s="2">
        <f>IFERROR(L141/K141*100,0)</f>
        <v>0</v>
      </c>
    </row>
    <row r="142" spans="13:13">
      <c r="M142" s="2">
        <f>IFERROR(L142/K142*100,0)</f>
        <v>0</v>
      </c>
    </row>
    <row r="143" spans="13:13">
      <c r="M143" s="2">
        <f>IFERROR(L143/K143*100,0)</f>
        <v>0</v>
      </c>
    </row>
    <row r="144" spans="13:13">
      <c r="M144" s="2">
        <f>IFERROR(L144/K144*100,0)</f>
        <v>0</v>
      </c>
    </row>
    <row r="145" spans="13:13">
      <c r="M145" s="2">
        <f>IFERROR(L145/K145*100,0)</f>
        <v>0</v>
      </c>
    </row>
    <row r="146" spans="13:13">
      <c r="M146" s="2">
        <f>IFERROR(L146/K146*100,0)</f>
        <v>0</v>
      </c>
    </row>
    <row r="147" spans="13:13">
      <c r="M147" s="2">
        <f>IFERROR(L147/K147*100,0)</f>
        <v>0</v>
      </c>
    </row>
    <row r="148" spans="13:13">
      <c r="M148" s="2">
        <f>IFERROR(L148/K148*100,0)</f>
        <v>0</v>
      </c>
    </row>
    <row r="149" spans="13:13">
      <c r="M149" s="2">
        <f>IFERROR(L149/K149*100,0)</f>
        <v>0</v>
      </c>
    </row>
    <row r="150" spans="13:13">
      <c r="M150" s="2">
        <f>IFERROR(L150/K150*100,0)</f>
        <v>0</v>
      </c>
    </row>
    <row r="151" spans="13:13">
      <c r="M151" s="2">
        <f>IFERROR(L151/K151*100,0)</f>
        <v>0</v>
      </c>
    </row>
    <row r="152" spans="13:13">
      <c r="M152" s="2">
        <f>IFERROR(L152/K152*100,0)</f>
        <v>0</v>
      </c>
    </row>
    <row r="153" spans="13:13">
      <c r="M153" s="2">
        <f>IFERROR(L153/K153*100,0)</f>
        <v>0</v>
      </c>
    </row>
    <row r="154" spans="13:13">
      <c r="M154" s="2">
        <f>IFERROR(L154/K154*100,0)</f>
        <v>0</v>
      </c>
    </row>
    <row r="155" spans="13:13">
      <c r="M155" s="2">
        <f>IFERROR(L155/K155*100,0)</f>
        <v>0</v>
      </c>
    </row>
    <row r="156" spans="13:13">
      <c r="M156" s="2">
        <f>IFERROR(L156/K156*100,0)</f>
        <v>0</v>
      </c>
    </row>
    <row r="157" spans="13:13">
      <c r="M157" s="2">
        <f>IFERROR(L157/K157*100,0)</f>
        <v>0</v>
      </c>
    </row>
    <row r="158" spans="13:13">
      <c r="M158" s="2">
        <f>IFERROR(L158/K158*100,0)</f>
        <v>0</v>
      </c>
    </row>
    <row r="159" spans="13:13">
      <c r="M159" s="2">
        <f>IFERROR(L159/K159*100,0)</f>
        <v>0</v>
      </c>
    </row>
    <row r="160" spans="13:13">
      <c r="M160" s="2">
        <f>IFERROR(L160/K160*100,0)</f>
        <v>0</v>
      </c>
    </row>
    <row r="161" spans="13:13">
      <c r="M161" s="2">
        <f>IFERROR(L161/K161*100,0)</f>
        <v>0</v>
      </c>
    </row>
    <row r="162" spans="13:13">
      <c r="M162" s="2">
        <f>IFERROR(L162/K162*100,0)</f>
        <v>0</v>
      </c>
    </row>
    <row r="163" spans="13:13">
      <c r="M163" s="2">
        <f>IFERROR(L163/K163*100,0)</f>
        <v>0</v>
      </c>
    </row>
    <row r="164" spans="13:13">
      <c r="M164" s="2">
        <f>IFERROR(L164/K164*100,0)</f>
        <v>0</v>
      </c>
    </row>
    <row r="165" spans="13:13">
      <c r="M165" s="2">
        <f>IFERROR(L165/K165*100,0)</f>
        <v>0</v>
      </c>
    </row>
    <row r="166" spans="13:13">
      <c r="M166" s="2">
        <f>IFERROR(L166/K166*100,0)</f>
        <v>0</v>
      </c>
    </row>
    <row r="167" spans="13:13">
      <c r="M167" s="2">
        <f>IFERROR(L167/K167*100,0)</f>
        <v>0</v>
      </c>
    </row>
    <row r="168" spans="13:13">
      <c r="M168" s="2">
        <f>IFERROR(L168/K168*100,0)</f>
        <v>0</v>
      </c>
    </row>
    <row r="169" spans="13:13">
      <c r="M169" s="2">
        <f>IFERROR(L169/K169*100,0)</f>
        <v>0</v>
      </c>
    </row>
    <row r="170" spans="13:13">
      <c r="M170" s="2">
        <f>IFERROR(L170/K170*100,0)</f>
        <v>0</v>
      </c>
    </row>
    <row r="171" spans="13:13">
      <c r="M171" s="2">
        <f>IFERROR(L171/K171*100,0)</f>
        <v>0</v>
      </c>
    </row>
    <row r="172" spans="13:13">
      <c r="M172" s="2">
        <f>IFERROR(L172/K172*100,0)</f>
        <v>0</v>
      </c>
    </row>
    <row r="173" spans="13:13">
      <c r="M173" s="2">
        <f>IFERROR(L173/K173*100,0)</f>
        <v>0</v>
      </c>
    </row>
    <row r="174" spans="13:13">
      <c r="M174" s="2">
        <f>IFERROR(L174/K174*100,0)</f>
        <v>0</v>
      </c>
    </row>
    <row r="175" spans="13:13">
      <c r="M175" s="2">
        <f>IFERROR(L175/K175*100,0)</f>
        <v>0</v>
      </c>
    </row>
    <row r="176" spans="13:13">
      <c r="M176" s="2">
        <f>IFERROR(L176/K176*100,0)</f>
        <v>0</v>
      </c>
    </row>
    <row r="177" spans="13:13">
      <c r="M177" s="2">
        <f>IFERROR(L177/K177*100,0)</f>
        <v>0</v>
      </c>
    </row>
    <row r="178" spans="13:13">
      <c r="M178" s="2">
        <f>IFERROR(L178/K178*100,0)</f>
        <v>0</v>
      </c>
    </row>
    <row r="179" spans="13:13">
      <c r="M179" s="2">
        <f>IFERROR(L179/K179*100,0)</f>
        <v>0</v>
      </c>
    </row>
    <row r="180" spans="13:13">
      <c r="M180" s="2">
        <f>IFERROR(L180/K180*100,0)</f>
        <v>0</v>
      </c>
    </row>
    <row r="181" spans="13:13">
      <c r="M181" s="2">
        <f>IFERROR(L181/K181*100,0)</f>
        <v>0</v>
      </c>
    </row>
    <row r="182" spans="13:13">
      <c r="M182" s="2">
        <f>IFERROR(L182/K182*100,0)</f>
        <v>0</v>
      </c>
    </row>
    <row r="183" spans="13:13">
      <c r="M183" s="2">
        <f>IFERROR(L183/K183*100,0)</f>
        <v>0</v>
      </c>
    </row>
    <row r="184" spans="13:13">
      <c r="M184" s="2">
        <f>IFERROR(L184/K184*100,0)</f>
        <v>0</v>
      </c>
    </row>
    <row r="185" spans="13:13">
      <c r="M185" s="2">
        <f>IFERROR(L185/K185*100,0)</f>
        <v>0</v>
      </c>
    </row>
    <row r="186" spans="13:13">
      <c r="M186" s="2">
        <f>IFERROR(L186/K186*100,0)</f>
        <v>0</v>
      </c>
    </row>
    <row r="187" spans="13:13">
      <c r="M187" s="2">
        <f>IFERROR(L187/K187*100,0)</f>
        <v>0</v>
      </c>
    </row>
    <row r="188" spans="13:13">
      <c r="M188" s="2">
        <f>IFERROR(L188/K188*100,0)</f>
        <v>0</v>
      </c>
    </row>
    <row r="189" spans="13:13">
      <c r="M189" s="2">
        <f>IFERROR(L189/K189*100,0)</f>
        <v>0</v>
      </c>
    </row>
    <row r="190" spans="13:13">
      <c r="M190" s="2">
        <f>IFERROR(L190/K190*100,0)</f>
        <v>0</v>
      </c>
    </row>
    <row r="191" spans="13:13">
      <c r="M191" s="2">
        <f>IFERROR(L191/K191*100,0)</f>
        <v>0</v>
      </c>
    </row>
    <row r="192" spans="13:13">
      <c r="M192" s="2">
        <f>IFERROR(L192/K192*100,0)</f>
        <v>0</v>
      </c>
    </row>
    <row r="193" spans="13:13">
      <c r="M193" s="2">
        <f>IFERROR(L193/K193*100,0)</f>
        <v>0</v>
      </c>
    </row>
    <row r="194" spans="13:13">
      <c r="M194" s="2">
        <f>IFERROR(L194/K194*100,0)</f>
        <v>0</v>
      </c>
    </row>
    <row r="195" spans="13:13">
      <c r="M195" s="2">
        <f>IFERROR(L195/K195*100,0)</f>
        <v>0</v>
      </c>
    </row>
    <row r="196" spans="13:13">
      <c r="M196" s="2">
        <f>IFERROR(L196/K196*100,0)</f>
        <v>0</v>
      </c>
    </row>
    <row r="197" spans="13:13">
      <c r="M197" s="2">
        <f>IFERROR(L197/K197*100,0)</f>
        <v>0</v>
      </c>
    </row>
    <row r="198" spans="13:13">
      <c r="M198" s="2">
        <f>IFERROR(L198/K198*100,0)</f>
        <v>0</v>
      </c>
    </row>
    <row r="199" spans="13:13">
      <c r="M199" s="2">
        <f>IFERROR(L199/K199*100,0)</f>
        <v>0</v>
      </c>
    </row>
    <row r="200" spans="13:13">
      <c r="M200" s="2">
        <f>IFERROR(L200/K200*100,0)</f>
        <v>0</v>
      </c>
    </row>
    <row r="201" spans="13:13">
      <c r="M201" s="2">
        <f>IFERROR(L201/K201*100,0)</f>
        <v>0</v>
      </c>
    </row>
    <row r="202" spans="13:13">
      <c r="M202" s="2">
        <f>IFERROR(L202/K202*100,0)</f>
        <v>0</v>
      </c>
    </row>
    <row r="203" spans="13:13">
      <c r="M203" s="2">
        <f>IFERROR(L203/K203*100,0)</f>
        <v>0</v>
      </c>
    </row>
    <row r="204" spans="13:13">
      <c r="M204" s="2">
        <f>IFERROR(L204/K204*100,0)</f>
        <v>0</v>
      </c>
    </row>
    <row r="205" spans="13:13">
      <c r="M205" s="2">
        <f>IFERROR(L205/K205*100,0)</f>
        <v>0</v>
      </c>
    </row>
    <row r="206" spans="13:13">
      <c r="M206" s="2">
        <f>IFERROR(L206/K206*100,0)</f>
        <v>0</v>
      </c>
    </row>
    <row r="207" spans="13:13">
      <c r="M207" s="2">
        <f>IFERROR(L207/K207*100,0)</f>
        <v>0</v>
      </c>
    </row>
    <row r="208" spans="13:13">
      <c r="M208" s="2">
        <f>IFERROR(L208/K208*100,0)</f>
        <v>0</v>
      </c>
    </row>
    <row r="209" spans="13:13">
      <c r="M209" s="2">
        <f>IFERROR(L209/K209*100,0)</f>
        <v>0</v>
      </c>
    </row>
    <row r="210" spans="13:13">
      <c r="M210" s="2">
        <f>IFERROR(L210/K210*100,0)</f>
        <v>0</v>
      </c>
    </row>
    <row r="211" spans="13:13">
      <c r="M211" s="2">
        <f>IFERROR(L211/K211*100,0)</f>
        <v>0</v>
      </c>
    </row>
    <row r="212" spans="13:13">
      <c r="M212" s="2">
        <f>IFERROR(L212/K212*100,0)</f>
        <v>0</v>
      </c>
    </row>
    <row r="213" spans="13:13">
      <c r="M213" s="2">
        <f>IFERROR(L213/K213*100,0)</f>
        <v>0</v>
      </c>
    </row>
    <row r="214" spans="13:13">
      <c r="M214" s="2">
        <f>IFERROR(L214/K214*100,0)</f>
        <v>0</v>
      </c>
    </row>
    <row r="215" spans="13:13">
      <c r="M215" s="2">
        <f>IFERROR(L215/K215*100,0)</f>
        <v>0</v>
      </c>
    </row>
    <row r="216" spans="13:13">
      <c r="M216" s="2">
        <f>IFERROR(L216/K216*100,0)</f>
        <v>0</v>
      </c>
    </row>
    <row r="217" spans="13:13">
      <c r="M217" s="2">
        <f>IFERROR(L217/K217*100,0)</f>
        <v>0</v>
      </c>
    </row>
    <row r="218" spans="13:13">
      <c r="M218" s="2">
        <f>IFERROR(L218/K218*100,0)</f>
        <v>0</v>
      </c>
    </row>
    <row r="219" spans="13:13">
      <c r="M219" s="2">
        <f>IFERROR(L219/K219*100,0)</f>
        <v>0</v>
      </c>
    </row>
    <row r="220" spans="13:13">
      <c r="M220" s="2">
        <f>IFERROR(L220/K220*100,0)</f>
        <v>0</v>
      </c>
    </row>
    <row r="221" spans="13:13">
      <c r="M221" s="2">
        <f>IFERROR(L221/K221*100,0)</f>
        <v>0</v>
      </c>
    </row>
    <row r="222" spans="13:13">
      <c r="M222" s="2">
        <f>IFERROR(L222/K222*100,0)</f>
        <v>0</v>
      </c>
    </row>
    <row r="223" spans="13:13">
      <c r="M223" s="2">
        <f>IFERROR(L223/K223*100,0)</f>
        <v>0</v>
      </c>
    </row>
    <row r="224" spans="13:13">
      <c r="M224" s="2">
        <f>IFERROR(L224/K224*100,0)</f>
        <v>0</v>
      </c>
    </row>
    <row r="225" spans="13:13">
      <c r="M225" s="2">
        <f>IFERROR(L225/K225*100,0)</f>
        <v>0</v>
      </c>
    </row>
    <row r="226" spans="13:13">
      <c r="M226" s="2">
        <f>IFERROR(L226/K226*100,0)</f>
        <v>0</v>
      </c>
    </row>
    <row r="227" spans="13:13">
      <c r="M227" s="2">
        <f>IFERROR(L227/K227*100,0)</f>
        <v>0</v>
      </c>
    </row>
    <row r="228" spans="13:13">
      <c r="M228" s="2">
        <f>IFERROR(L228/K228*100,0)</f>
        <v>0</v>
      </c>
    </row>
    <row r="229" spans="13:13">
      <c r="M229" s="2">
        <f>IFERROR(L229/K229*100,0)</f>
        <v>0</v>
      </c>
    </row>
    <row r="230" spans="13:13">
      <c r="M230" s="2">
        <f>IFERROR(L230/K230*100,0)</f>
        <v>0</v>
      </c>
    </row>
    <row r="231" spans="13:13">
      <c r="M231" s="2">
        <f>IFERROR(L231/K231*100,0)</f>
        <v>0</v>
      </c>
    </row>
    <row r="232" spans="13:13">
      <c r="M232" s="2">
        <f>IFERROR(L232/K232*100,0)</f>
        <v>0</v>
      </c>
    </row>
    <row r="233" spans="13:13">
      <c r="M233" s="2">
        <f>IFERROR(L233/K233*100,0)</f>
        <v>0</v>
      </c>
    </row>
    <row r="234" spans="13:13">
      <c r="M234" s="2">
        <f>IFERROR(L234/K234*100,0)</f>
        <v>0</v>
      </c>
    </row>
    <row r="235" spans="13:13">
      <c r="M235" s="2">
        <f>IFERROR(L235/K235*100,0)</f>
        <v>0</v>
      </c>
    </row>
    <row r="236" spans="13:13">
      <c r="M236" s="2">
        <f>IFERROR(L236/K236*100,0)</f>
        <v>0</v>
      </c>
    </row>
    <row r="237" spans="13:13">
      <c r="M237" s="2">
        <f>IFERROR(L237/K237*100,0)</f>
        <v>0</v>
      </c>
    </row>
    <row r="238" spans="13:13">
      <c r="M238" s="2">
        <f>IFERROR(L238/K238*100,0)</f>
        <v>0</v>
      </c>
    </row>
    <row r="239" spans="13:13">
      <c r="M239" s="2">
        <f>IFERROR(L239/K239*100,0)</f>
        <v>0</v>
      </c>
    </row>
    <row r="240" spans="13:13">
      <c r="M240" s="2">
        <f>IFERROR(L240/K240*100,0)</f>
        <v>0</v>
      </c>
    </row>
    <row r="241" spans="13:13">
      <c r="M241" s="2">
        <f>IFERROR(L241/K241*100,0)</f>
        <v>0</v>
      </c>
    </row>
    <row r="242" spans="13:13">
      <c r="M242" s="2">
        <f>IFERROR(L242/K242*100,0)</f>
        <v>0</v>
      </c>
    </row>
    <row r="243" spans="13:13">
      <c r="M243" s="2">
        <f>IFERROR(L243/K243*100,0)</f>
        <v>0</v>
      </c>
    </row>
    <row r="244" spans="13:13">
      <c r="M244" s="2">
        <f>IFERROR(L244/K244*100,0)</f>
        <v>0</v>
      </c>
    </row>
    <row r="245" spans="13:13">
      <c r="M245" s="2">
        <f>IFERROR(L245/K245*100,0)</f>
        <v>0</v>
      </c>
    </row>
    <row r="246" spans="13:13">
      <c r="M246" s="2">
        <f>IFERROR(L246/K246*100,0)</f>
        <v>0</v>
      </c>
    </row>
    <row r="247" spans="13:13">
      <c r="M247" s="2">
        <f>IFERROR(L247/K247*100,0)</f>
        <v>0</v>
      </c>
    </row>
    <row r="248" spans="13:13">
      <c r="M248" s="2">
        <f>IFERROR(L248/K248*100,0)</f>
        <v>0</v>
      </c>
    </row>
    <row r="249" spans="13:13">
      <c r="M249" s="2">
        <f>IFERROR(L249/K249*100,0)</f>
        <v>0</v>
      </c>
    </row>
    <row r="250" spans="13:13">
      <c r="M250" s="2">
        <f>IFERROR(L250/K250*100,0)</f>
        <v>0</v>
      </c>
    </row>
    <row r="251" spans="13:13">
      <c r="M251" s="2">
        <f>IFERROR(L251/K251*100,0)</f>
        <v>0</v>
      </c>
    </row>
    <row r="252" spans="13:13">
      <c r="M252" s="2">
        <f>IFERROR(L252/K252*100,0)</f>
        <v>0</v>
      </c>
    </row>
    <row r="253" spans="13:13">
      <c r="M253" s="2">
        <f>IFERROR(L253/K253*100,0)</f>
        <v>0</v>
      </c>
    </row>
    <row r="254" spans="13:13">
      <c r="M254" s="2">
        <f>IFERROR(L254/K254*100,0)</f>
        <v>0</v>
      </c>
    </row>
    <row r="255" spans="13:13">
      <c r="M255" s="2">
        <f>IFERROR(L255/K255*100,0)</f>
        <v>0</v>
      </c>
    </row>
    <row r="256" spans="13:13">
      <c r="M256" s="2">
        <f>IFERROR(L256/K256*100,0)</f>
        <v>0</v>
      </c>
    </row>
    <row r="257" spans="13:13">
      <c r="M257" s="2">
        <f>IFERROR(L257/K257*100,0)</f>
        <v>0</v>
      </c>
    </row>
    <row r="258" spans="13:13">
      <c r="M258" s="2">
        <f>IFERROR(L258/K258*100,0)</f>
        <v>0</v>
      </c>
    </row>
    <row r="259" spans="13:13">
      <c r="M259" s="2">
        <f>IFERROR(L259/K259*100,0)</f>
        <v>0</v>
      </c>
    </row>
    <row r="260" spans="13:13">
      <c r="M260" s="2">
        <f>IFERROR(L260/K260*100,0)</f>
        <v>0</v>
      </c>
    </row>
    <row r="261" spans="13:13">
      <c r="M261" s="2">
        <f>IFERROR(L261/K261*100,0)</f>
        <v>0</v>
      </c>
    </row>
    <row r="262" spans="13:13">
      <c r="M262" s="2">
        <f>IFERROR(L262/K262*100,0)</f>
        <v>0</v>
      </c>
    </row>
    <row r="263" spans="13:13">
      <c r="M263" s="2">
        <f>IFERROR(L263/K263*100,0)</f>
        <v>0</v>
      </c>
    </row>
    <row r="264" spans="13:13">
      <c r="M264" s="2">
        <f>IFERROR(L264/K264*100,0)</f>
        <v>0</v>
      </c>
    </row>
    <row r="265" spans="13:13">
      <c r="M265" s="2">
        <f>IFERROR(L265/K265*100,0)</f>
        <v>0</v>
      </c>
    </row>
    <row r="266" spans="13:13">
      <c r="M266" s="2">
        <f>IFERROR(L266/K266*100,0)</f>
        <v>0</v>
      </c>
    </row>
    <row r="267" spans="13:13">
      <c r="M267" s="2">
        <f>IFERROR(L267/K267*100,0)</f>
        <v>0</v>
      </c>
    </row>
    <row r="268" spans="13:13">
      <c r="M268" s="2">
        <f>IFERROR(L268/K268*100,0)</f>
        <v>0</v>
      </c>
    </row>
    <row r="269" spans="13:13">
      <c r="M269" s="2">
        <f>IFERROR(L269/K269*100,0)</f>
        <v>0</v>
      </c>
    </row>
    <row r="270" spans="13:13">
      <c r="M270" s="2">
        <f>IFERROR(L270/K270*100,0)</f>
        <v>0</v>
      </c>
    </row>
    <row r="271" spans="13:13">
      <c r="M271" s="2">
        <f>IFERROR(L271/K271*100,0)</f>
        <v>0</v>
      </c>
    </row>
    <row r="272" spans="13:13">
      <c r="M272" s="2">
        <f>IFERROR(L272/K272*100,0)</f>
        <v>0</v>
      </c>
    </row>
    <row r="273" spans="13:13">
      <c r="M273" s="2">
        <f>IFERROR(L273/K273*100,0)</f>
        <v>0</v>
      </c>
    </row>
    <row r="274" spans="13:13">
      <c r="M274" s="2">
        <f>IFERROR(L274/K274*100,0)</f>
        <v>0</v>
      </c>
    </row>
    <row r="275" spans="13:13">
      <c r="M275" s="2">
        <f>IFERROR(L275/K275*100,0)</f>
        <v>0</v>
      </c>
    </row>
    <row r="276" spans="13:13">
      <c r="M276" s="2">
        <f>IFERROR(L276/K276*100,0)</f>
        <v>0</v>
      </c>
    </row>
    <row r="277" spans="13:13">
      <c r="M277" s="2">
        <f>IFERROR(L277/K277*100,0)</f>
        <v>0</v>
      </c>
    </row>
    <row r="278" spans="13:13">
      <c r="M278" s="2">
        <f>IFERROR(L278/K278*100,0)</f>
        <v>0</v>
      </c>
    </row>
    <row r="279" spans="13:13">
      <c r="M279" s="2">
        <f>IFERROR(L279/K279*100,0)</f>
        <v>0</v>
      </c>
    </row>
    <row r="280" spans="13:13">
      <c r="M280" s="2">
        <f>IFERROR(L280/K280*100,0)</f>
        <v>0</v>
      </c>
    </row>
    <row r="281" spans="13:13">
      <c r="M281" s="2">
        <f>IFERROR(L281/K281*100,0)</f>
        <v>0</v>
      </c>
    </row>
    <row r="282" spans="13:13">
      <c r="M282" s="2">
        <f>IFERROR(L282/K282*100,0)</f>
        <v>0</v>
      </c>
    </row>
    <row r="283" spans="13:13">
      <c r="M283" s="2">
        <f>IFERROR(L283/K283*100,0)</f>
        <v>0</v>
      </c>
    </row>
    <row r="284" spans="13:13">
      <c r="M284" s="2">
        <f>IFERROR(L284/K284*100,0)</f>
        <v>0</v>
      </c>
    </row>
    <row r="285" spans="13:13">
      <c r="M285" s="2">
        <f>IFERROR(L285/K285*100,0)</f>
        <v>0</v>
      </c>
    </row>
    <row r="286" spans="13:13">
      <c r="M286" s="2">
        <f>IFERROR(L286/K286*100,0)</f>
        <v>0</v>
      </c>
    </row>
    <row r="287" spans="13:13">
      <c r="M287" s="2">
        <f>IFERROR(L287/K287*100,0)</f>
        <v>0</v>
      </c>
    </row>
    <row r="288" spans="13:13">
      <c r="M288" s="2">
        <f>IFERROR(L288/K288*100,0)</f>
        <v>0</v>
      </c>
    </row>
    <row r="289" spans="13:13">
      <c r="M289" s="2">
        <f>IFERROR(L289/K289*100,0)</f>
        <v>0</v>
      </c>
    </row>
    <row r="290" spans="13:13">
      <c r="M290" s="2">
        <f>IFERROR(L290/K290*100,0)</f>
        <v>0</v>
      </c>
    </row>
    <row r="291" spans="13:13">
      <c r="M291" s="2">
        <f>IFERROR(L291/K291*100,0)</f>
        <v>0</v>
      </c>
    </row>
    <row r="292" spans="13:13">
      <c r="M292" s="2">
        <f>IFERROR(L292/K292*100,0)</f>
        <v>0</v>
      </c>
    </row>
    <row r="293" spans="13:13">
      <c r="M293" s="2">
        <f>IFERROR(L293/K293*100,0)</f>
        <v>0</v>
      </c>
    </row>
    <row r="294" spans="13:13">
      <c r="M294" s="2">
        <f>IFERROR(L294/K294*100,0)</f>
        <v>0</v>
      </c>
    </row>
    <row r="295" spans="13:13">
      <c r="M295" s="2">
        <f>IFERROR(L295/K295*100,0)</f>
        <v>0</v>
      </c>
    </row>
    <row r="296" spans="13:13">
      <c r="M296" s="2">
        <f>IFERROR(L296/K296*100,0)</f>
        <v>0</v>
      </c>
    </row>
    <row r="297" spans="13:13">
      <c r="M297" s="2">
        <f>IFERROR(L297/K297*100,0)</f>
        <v>0</v>
      </c>
    </row>
    <row r="298" spans="13:13">
      <c r="M298" s="2">
        <f>IFERROR(L298/K298*100,0)</f>
        <v>0</v>
      </c>
    </row>
    <row r="299" spans="13:13">
      <c r="M299" s="2">
        <f>IFERROR(L299/K299*100,0)</f>
        <v>0</v>
      </c>
    </row>
    <row r="300" spans="13:13">
      <c r="M300" s="2">
        <f>IFERROR(L300/K300*100,0)</f>
        <v>0</v>
      </c>
    </row>
    <row r="301" spans="13:13">
      <c r="M301" s="2">
        <f>IFERROR(L301/K301*100,0)</f>
        <v>0</v>
      </c>
    </row>
    <row r="302" spans="13:13">
      <c r="M302" s="2">
        <f>IFERROR(L302/K302*100,0)</f>
        <v>0</v>
      </c>
    </row>
    <row r="303" spans="13:13">
      <c r="M303" s="2">
        <f>IFERROR(L303/K303*100,0)</f>
        <v>0</v>
      </c>
    </row>
    <row r="304" spans="13:13">
      <c r="M304" s="2">
        <f>IFERROR(L304/K304*100,0)</f>
        <v>0</v>
      </c>
    </row>
    <row r="305" spans="13:13">
      <c r="M305" s="2">
        <f>IFERROR(L305/K305*100,0)</f>
        <v>0</v>
      </c>
    </row>
    <row r="306" spans="13:13">
      <c r="M306" s="2">
        <f>IFERROR(L306/K306*100,0)</f>
        <v>0</v>
      </c>
    </row>
    <row r="307" spans="13:13">
      <c r="M307" s="2">
        <f>IFERROR(L307/K307*100,0)</f>
        <v>0</v>
      </c>
    </row>
    <row r="308" spans="13:13">
      <c r="M308" s="2">
        <f>IFERROR(L308/K308*100,0)</f>
        <v>0</v>
      </c>
    </row>
    <row r="309" spans="13:13">
      <c r="M309" s="2">
        <f>IFERROR(L309/K309*100,0)</f>
        <v>0</v>
      </c>
    </row>
    <row r="310" spans="13:13">
      <c r="M310" s="2">
        <f>IFERROR(L310/K310*100,0)</f>
        <v>0</v>
      </c>
    </row>
    <row r="311" spans="13:13">
      <c r="M311" s="2">
        <f>IFERROR(L311/K311*100,0)</f>
        <v>0</v>
      </c>
    </row>
    <row r="312" spans="13:13">
      <c r="M312" s="2">
        <f>IFERROR(L312/K312*100,0)</f>
        <v>0</v>
      </c>
    </row>
    <row r="313" spans="13:13">
      <c r="M313" s="2">
        <f>IFERROR(L313/K313*100,0)</f>
        <v>0</v>
      </c>
    </row>
    <row r="314" spans="13:13">
      <c r="M314" s="2">
        <f>IFERROR(L314/K314*100,0)</f>
        <v>0</v>
      </c>
    </row>
    <row r="315" spans="13:13">
      <c r="M315" s="2">
        <f>IFERROR(L315/K315*100,0)</f>
        <v>0</v>
      </c>
    </row>
    <row r="316" spans="13:13">
      <c r="M316" s="2">
        <f>IFERROR(L316/K316*100,0)</f>
        <v>0</v>
      </c>
    </row>
    <row r="317" spans="13:13">
      <c r="M317" s="2">
        <f>IFERROR(L317/K317*100,0)</f>
        <v>0</v>
      </c>
    </row>
    <row r="318" spans="13:13">
      <c r="M318" s="2">
        <f>IFERROR(L318/K318*100,0)</f>
        <v>0</v>
      </c>
    </row>
    <row r="319" spans="13:13">
      <c r="M319" s="2">
        <f>IFERROR(L319/K319*100,0)</f>
        <v>0</v>
      </c>
    </row>
    <row r="320" spans="13:13">
      <c r="M320" s="2">
        <f>IFERROR(L320/K320*100,0)</f>
        <v>0</v>
      </c>
    </row>
    <row r="321" spans="13:13">
      <c r="M321" s="2">
        <f>IFERROR(L321/K321*100,0)</f>
        <v>0</v>
      </c>
    </row>
    <row r="322" spans="13:13">
      <c r="M322" s="2">
        <f>IFERROR(L322/K322*100,0)</f>
        <v>0</v>
      </c>
    </row>
    <row r="323" spans="13:13">
      <c r="M323" s="2">
        <f>IFERROR(L323/K323*100,0)</f>
        <v>0</v>
      </c>
    </row>
    <row r="324" spans="13:13">
      <c r="M324" s="2">
        <f>IFERROR(L324/K324*100,0)</f>
        <v>0</v>
      </c>
    </row>
    <row r="325" spans="13:13">
      <c r="M325" s="2">
        <f>IFERROR(L325/K325*100,0)</f>
        <v>0</v>
      </c>
    </row>
    <row r="326" spans="13:13">
      <c r="M326" s="2">
        <f>IFERROR(L326/K326*100,0)</f>
        <v>0</v>
      </c>
    </row>
    <row r="327" spans="13:13">
      <c r="M327" s="2">
        <f>IFERROR(L327/K327*100,0)</f>
        <v>0</v>
      </c>
    </row>
    <row r="328" spans="13:13">
      <c r="M328" s="2">
        <f>IFERROR(L328/K328*100,0)</f>
        <v>0</v>
      </c>
    </row>
    <row r="329" spans="13:13">
      <c r="M329" s="2">
        <f>IFERROR(L329/K329*100,0)</f>
        <v>0</v>
      </c>
    </row>
    <row r="330" spans="13:13">
      <c r="M330" s="2">
        <f>IFERROR(L330/K330*100,0)</f>
        <v>0</v>
      </c>
    </row>
    <row r="331" spans="13:13">
      <c r="M331" s="2">
        <f>IFERROR(L331/K331*100,0)</f>
        <v>0</v>
      </c>
    </row>
    <row r="332" spans="13:13">
      <c r="M332" s="2">
        <f>IFERROR(L332/K332*100,0)</f>
        <v>0</v>
      </c>
    </row>
    <row r="333" spans="13:13">
      <c r="M333" s="2">
        <f>IFERROR(L333/K333*100,0)</f>
        <v>0</v>
      </c>
    </row>
    <row r="334" spans="13:13">
      <c r="M334" s="2">
        <f>IFERROR(L334/K334*100,0)</f>
        <v>0</v>
      </c>
    </row>
    <row r="335" spans="13:13">
      <c r="M335" s="2">
        <f>IFERROR(L335/K335*100,0)</f>
        <v>0</v>
      </c>
    </row>
    <row r="336" spans="13:13">
      <c r="M336" s="2">
        <f>IFERROR(L336/K336*100,0)</f>
        <v>0</v>
      </c>
    </row>
    <row r="337" spans="13:13">
      <c r="M337" s="2">
        <f>IFERROR(L337/K337*100,0)</f>
        <v>0</v>
      </c>
    </row>
    <row r="338" spans="13:13">
      <c r="M338" s="2">
        <f>IFERROR(L338/K338*100,0)</f>
        <v>0</v>
      </c>
    </row>
    <row r="339" spans="13:13">
      <c r="M339" s="2">
        <f>IFERROR(L339/K339*100,0)</f>
        <v>0</v>
      </c>
    </row>
    <row r="340" spans="13:13">
      <c r="M340" s="2">
        <f>IFERROR(L340/K340*100,0)</f>
        <v>0</v>
      </c>
    </row>
    <row r="341" spans="13:13">
      <c r="M341" s="2">
        <f>IFERROR(L341/K341*100,0)</f>
        <v>0</v>
      </c>
    </row>
    <row r="342" spans="13:13">
      <c r="M342" s="2">
        <f>IFERROR(L342/K342*100,0)</f>
        <v>0</v>
      </c>
    </row>
    <row r="343" spans="13:13">
      <c r="M343" s="2">
        <f>IFERROR(L343/K343*100,0)</f>
        <v>0</v>
      </c>
    </row>
    <row r="344" spans="13:13">
      <c r="M344" s="2">
        <f>IFERROR(L344/K344*100,0)</f>
        <v>0</v>
      </c>
    </row>
    <row r="345" spans="13:13">
      <c r="M345" s="2">
        <f>IFERROR(L345/K345*100,0)</f>
        <v>0</v>
      </c>
    </row>
    <row r="346" spans="13:13">
      <c r="M346" s="2">
        <f>IFERROR(L346/K346*100,0)</f>
        <v>0</v>
      </c>
    </row>
    <row r="347" spans="13:13">
      <c r="M347" s="2">
        <f>IFERROR(L347/K347*100,0)</f>
        <v>0</v>
      </c>
    </row>
    <row r="348" spans="13:13">
      <c r="M348" s="2">
        <f>IFERROR(L348/K348*100,0)</f>
        <v>0</v>
      </c>
    </row>
    <row r="349" spans="13:13">
      <c r="M349" s="2">
        <f>IFERROR(L349/K349*100,0)</f>
        <v>0</v>
      </c>
    </row>
    <row r="350" spans="13:13">
      <c r="M350" s="2">
        <f>IFERROR(L350/K350*100,0)</f>
        <v>0</v>
      </c>
    </row>
    <row r="351" spans="13:13">
      <c r="M351" s="2">
        <f>IFERROR(L351/K351*100,0)</f>
        <v>0</v>
      </c>
    </row>
    <row r="352" spans="13:13">
      <c r="M352" s="2">
        <f>IFERROR(L352/K352*100,0)</f>
        <v>0</v>
      </c>
    </row>
    <row r="353" spans="13:13">
      <c r="M353" s="2">
        <f>IFERROR(L353/K353*100,0)</f>
        <v>0</v>
      </c>
    </row>
    <row r="354" spans="13:13">
      <c r="M354" s="2">
        <f>IFERROR(L354/K354*100,0)</f>
        <v>0</v>
      </c>
    </row>
    <row r="355" spans="13:13">
      <c r="M355" s="2">
        <f>IFERROR(L355/K355*100,0)</f>
        <v>0</v>
      </c>
    </row>
    <row r="356" spans="13:13">
      <c r="M356" s="2">
        <f>IFERROR(L356/K356*100,0)</f>
        <v>0</v>
      </c>
    </row>
    <row r="357" spans="13:13">
      <c r="M357" s="2">
        <f>IFERROR(L357/K357*100,0)</f>
        <v>0</v>
      </c>
    </row>
    <row r="358" spans="13:13">
      <c r="M358" s="2">
        <f>IFERROR(L358/K358*100,0)</f>
        <v>0</v>
      </c>
    </row>
    <row r="359" spans="13:13">
      <c r="M359" s="2">
        <f>IFERROR(L359/K359*100,0)</f>
        <v>0</v>
      </c>
    </row>
    <row r="360" spans="13:13">
      <c r="M360" s="2">
        <f>IFERROR(L360/K360*100,0)</f>
        <v>0</v>
      </c>
    </row>
    <row r="361" spans="13:13">
      <c r="M361" s="2">
        <f>IFERROR(L361/K361*100,0)</f>
        <v>0</v>
      </c>
    </row>
    <row r="362" spans="13:13">
      <c r="M362" s="2">
        <f>IFERROR(L362/K362*100,0)</f>
        <v>0</v>
      </c>
    </row>
    <row r="363" spans="13:13">
      <c r="M363" s="2">
        <f>IFERROR(L363/K363*100,0)</f>
        <v>0</v>
      </c>
    </row>
    <row r="364" spans="13:13">
      <c r="M364" s="2">
        <f>IFERROR(L364/K364*100,0)</f>
        <v>0</v>
      </c>
    </row>
    <row r="365" spans="13:13">
      <c r="M365" s="2">
        <f>IFERROR(L365/K365*100,0)</f>
        <v>0</v>
      </c>
    </row>
    <row r="366" spans="13:13">
      <c r="M366" s="2">
        <f>IFERROR(L366/K366*100,0)</f>
        <v>0</v>
      </c>
    </row>
    <row r="367" spans="13:13">
      <c r="M367" s="2">
        <f>IFERROR(L367/K367*100,0)</f>
        <v>0</v>
      </c>
    </row>
    <row r="368" spans="13:13">
      <c r="M368" s="2">
        <f>IFERROR(L368/K368*100,0)</f>
        <v>0</v>
      </c>
    </row>
    <row r="369" spans="13:13">
      <c r="M369" s="2">
        <f>IFERROR(L369/K369*100,0)</f>
        <v>0</v>
      </c>
    </row>
    <row r="370" spans="13:13">
      <c r="M370" s="2">
        <f>IFERROR(L370/K370*100,0)</f>
        <v>0</v>
      </c>
    </row>
    <row r="371" spans="13:13">
      <c r="M371" s="2">
        <f>IFERROR(L371/K371*100,0)</f>
        <v>0</v>
      </c>
    </row>
    <row r="372" spans="13:13">
      <c r="M372" s="2">
        <f>IFERROR(L372/K372*100,0)</f>
        <v>0</v>
      </c>
    </row>
    <row r="373" spans="13:13">
      <c r="M373" s="2">
        <f>IFERROR(L373/K373*100,0)</f>
        <v>0</v>
      </c>
    </row>
    <row r="374" spans="13:13">
      <c r="M374" s="2">
        <f>IFERROR(L374/K374*100,0)</f>
        <v>0</v>
      </c>
    </row>
    <row r="375" spans="13:13">
      <c r="M375" s="2">
        <f>IFERROR(L375/K375*100,0)</f>
        <v>0</v>
      </c>
    </row>
    <row r="376" spans="13:13">
      <c r="M376" s="2">
        <f>IFERROR(L376/K376*100,0)</f>
        <v>0</v>
      </c>
    </row>
    <row r="377" spans="13:13">
      <c r="M377" s="2">
        <f>IFERROR(L377/K377*100,0)</f>
        <v>0</v>
      </c>
    </row>
    <row r="378" spans="13:13">
      <c r="M378" s="2">
        <f>IFERROR(L378/K378*100,0)</f>
        <v>0</v>
      </c>
    </row>
    <row r="379" spans="13:13">
      <c r="M379" s="2">
        <f>IFERROR(L379/K379*100,0)</f>
        <v>0</v>
      </c>
    </row>
    <row r="380" spans="13:13">
      <c r="M380" s="2">
        <f>IFERROR(L380/K380*100,0)</f>
        <v>0</v>
      </c>
    </row>
    <row r="381" spans="13:13">
      <c r="M381" s="2">
        <f>IFERROR(L381/K381*100,0)</f>
        <v>0</v>
      </c>
    </row>
    <row r="382" spans="13:13">
      <c r="M382" s="2">
        <f>IFERROR(L382/K382*100,0)</f>
        <v>0</v>
      </c>
    </row>
    <row r="383" spans="13:13">
      <c r="M383" s="2">
        <f>IFERROR(L383/K383*100,0)</f>
        <v>0</v>
      </c>
    </row>
    <row r="384" spans="13:13">
      <c r="M384" s="2">
        <f>IFERROR(L384/K384*100,0)</f>
        <v>0</v>
      </c>
    </row>
    <row r="385" spans="13:13">
      <c r="M385" s="2">
        <f>IFERROR(L385/K385*100,0)</f>
        <v>0</v>
      </c>
    </row>
    <row r="386" spans="13:13">
      <c r="M386" s="2">
        <f>IFERROR(L386/K386*100,0)</f>
        <v>0</v>
      </c>
    </row>
    <row r="387" spans="13:13">
      <c r="M387" s="2">
        <f>IFERROR(L387/K387*100,0)</f>
        <v>0</v>
      </c>
    </row>
    <row r="388" spans="13:13">
      <c r="M388" s="2">
        <f>IFERROR(L388/K388*100,0)</f>
        <v>0</v>
      </c>
    </row>
    <row r="389" spans="13:13">
      <c r="M389" s="2">
        <f>IFERROR(L389/K389*100,0)</f>
        <v>0</v>
      </c>
    </row>
    <row r="390" spans="13:13">
      <c r="M390" s="2">
        <f>IFERROR(L390/K390*100,0)</f>
        <v>0</v>
      </c>
    </row>
    <row r="391" spans="13:13">
      <c r="M391" s="2">
        <f>IFERROR(L391/K391*100,0)</f>
        <v>0</v>
      </c>
    </row>
    <row r="392" spans="13:13">
      <c r="M392" s="2">
        <f>IFERROR(L392/K392*100,0)</f>
        <v>0</v>
      </c>
    </row>
    <row r="393" spans="13:13">
      <c r="M393" s="2">
        <f>IFERROR(L393/K393*100,0)</f>
        <v>0</v>
      </c>
    </row>
    <row r="394" spans="13:13">
      <c r="M394" s="2">
        <f>IFERROR(L394/K394*100,0)</f>
        <v>0</v>
      </c>
    </row>
    <row r="395" spans="13:13">
      <c r="M395" s="2">
        <f>IFERROR(L395/K395*100,0)</f>
        <v>0</v>
      </c>
    </row>
    <row r="396" spans="13:13">
      <c r="M396" s="2">
        <f>IFERROR(L396/K396*100,0)</f>
        <v>0</v>
      </c>
    </row>
    <row r="397" spans="13:13">
      <c r="M397" s="2">
        <f>IFERROR(L397/K397*100,0)</f>
        <v>0</v>
      </c>
    </row>
    <row r="398" spans="13:13">
      <c r="M398" s="2">
        <f>IFERROR(L398/K398*100,0)</f>
        <v>0</v>
      </c>
    </row>
    <row r="399" spans="13:13">
      <c r="M399" s="2">
        <f>IFERROR(L399/K399*100,0)</f>
        <v>0</v>
      </c>
    </row>
    <row r="400" spans="13:13">
      <c r="M400" s="2">
        <f>IFERROR(L400/K400*100,0)</f>
        <v>0</v>
      </c>
    </row>
    <row r="401" spans="13:13">
      <c r="M401" s="2">
        <f>IFERROR(L401/K401*100,0)</f>
        <v>0</v>
      </c>
    </row>
    <row r="402" spans="13:13">
      <c r="M402" s="2">
        <f>IFERROR(L402/K402*100,0)</f>
        <v>0</v>
      </c>
    </row>
    <row r="403" spans="13:13">
      <c r="M403" s="2">
        <f>IFERROR(L403/K403*100,0)</f>
        <v>0</v>
      </c>
    </row>
    <row r="404" spans="13:13">
      <c r="M404" s="2">
        <f>IFERROR(L404/K404*100,0)</f>
        <v>0</v>
      </c>
    </row>
    <row r="405" spans="13:13">
      <c r="M405" s="2">
        <f>IFERROR(L405/K405*100,0)</f>
        <v>0</v>
      </c>
    </row>
    <row r="406" spans="13:13">
      <c r="M406" s="2">
        <f>IFERROR(L406/K406*100,0)</f>
        <v>0</v>
      </c>
    </row>
    <row r="407" spans="13:13">
      <c r="M407" s="2">
        <f>IFERROR(L407/K407*100,0)</f>
        <v>0</v>
      </c>
    </row>
    <row r="408" spans="13:13">
      <c r="M408" s="2">
        <f>IFERROR(L408/K408*100,0)</f>
        <v>0</v>
      </c>
    </row>
    <row r="409" spans="13:13">
      <c r="M409" s="2">
        <f>IFERROR(L409/K409*100,0)</f>
        <v>0</v>
      </c>
    </row>
    <row r="410" spans="13:13">
      <c r="M410" s="2">
        <f>IFERROR(L410/K410*100,0)</f>
        <v>0</v>
      </c>
    </row>
    <row r="411" spans="13:13">
      <c r="M411" s="2">
        <f>IFERROR(L411/K411*100,0)</f>
        <v>0</v>
      </c>
    </row>
    <row r="412" spans="13:13">
      <c r="M412" s="2">
        <f>IFERROR(L412/K412*100,0)</f>
        <v>0</v>
      </c>
    </row>
    <row r="413" spans="13:13">
      <c r="M413" s="2">
        <f>IFERROR(L413/K413*100,0)</f>
        <v>0</v>
      </c>
    </row>
    <row r="414" spans="13:13">
      <c r="M414" s="2">
        <f>IFERROR(L414/K414*100,0)</f>
        <v>0</v>
      </c>
    </row>
    <row r="415" spans="13:13">
      <c r="M415" s="2">
        <f>IFERROR(L415/K415*100,0)</f>
        <v>0</v>
      </c>
    </row>
    <row r="416" spans="13:13">
      <c r="M416" s="2">
        <f>IFERROR(L416/K416*100,0)</f>
        <v>0</v>
      </c>
    </row>
    <row r="417" spans="13:13">
      <c r="M417" s="2">
        <f>IFERROR(L417/K417*100,0)</f>
        <v>0</v>
      </c>
    </row>
    <row r="418" spans="13:13">
      <c r="M418" s="2">
        <f>IFERROR(L418/K418*100,0)</f>
        <v>0</v>
      </c>
    </row>
    <row r="419" spans="13:13">
      <c r="M419" s="2">
        <f>IFERROR(L419/K419*100,0)</f>
        <v>0</v>
      </c>
    </row>
    <row r="420" spans="13:13">
      <c r="M420" s="2">
        <f>IFERROR(L420/K420*100,0)</f>
        <v>0</v>
      </c>
    </row>
    <row r="421" spans="13:13">
      <c r="M421" s="2">
        <f>IFERROR(L421/K421*100,0)</f>
        <v>0</v>
      </c>
    </row>
    <row r="422" spans="13:13">
      <c r="M422" s="2">
        <f>IFERROR(L422/K422*100,0)</f>
        <v>0</v>
      </c>
    </row>
    <row r="423" spans="13:13">
      <c r="M423" s="2">
        <f>IFERROR(L423/K423*100,0)</f>
        <v>0</v>
      </c>
    </row>
    <row r="424" spans="13:13">
      <c r="M424" s="2">
        <f>IFERROR(L424/K424*100,0)</f>
        <v>0</v>
      </c>
    </row>
    <row r="425" spans="13:13">
      <c r="M425" s="2">
        <f>IFERROR(L425/K425*100,0)</f>
        <v>0</v>
      </c>
    </row>
    <row r="426" spans="13:13">
      <c r="M426" s="2">
        <f>IFERROR(L426/K426*100,0)</f>
        <v>0</v>
      </c>
    </row>
    <row r="427" spans="13:13">
      <c r="M427" s="2">
        <f>IFERROR(L427/K427*100,0)</f>
        <v>0</v>
      </c>
    </row>
    <row r="428" spans="13:13">
      <c r="M428" s="2">
        <f>IFERROR(L428/K428*100,0)</f>
        <v>0</v>
      </c>
    </row>
    <row r="429" spans="13:13">
      <c r="M429" s="2">
        <f>IFERROR(L429/K429*100,0)</f>
        <v>0</v>
      </c>
    </row>
    <row r="430" spans="13:13">
      <c r="M430" s="2">
        <f>IFERROR(L430/K430*100,0)</f>
        <v>0</v>
      </c>
    </row>
    <row r="431" spans="13:13">
      <c r="M431" s="2">
        <f>IFERROR(L431/K431*100,0)</f>
        <v>0</v>
      </c>
    </row>
    <row r="432" spans="13:13">
      <c r="M432" s="2">
        <f>IFERROR(L432/K432*100,0)</f>
        <v>0</v>
      </c>
    </row>
    <row r="433" spans="13:13">
      <c r="M433" s="2">
        <f>IFERROR(L433/K433*100,0)</f>
        <v>0</v>
      </c>
    </row>
    <row r="434" spans="13:13">
      <c r="M434" s="2">
        <f>IFERROR(L434/K434*100,0)</f>
        <v>0</v>
      </c>
    </row>
    <row r="435" spans="13:13">
      <c r="M435" s="2">
        <f>IFERROR(L435/K435*100,0)</f>
        <v>0</v>
      </c>
    </row>
    <row r="436" spans="13:13">
      <c r="M436" s="2">
        <f>IFERROR(L436/K436*100,0)</f>
        <v>0</v>
      </c>
    </row>
    <row r="437" spans="13:13">
      <c r="M437" s="2">
        <f>IFERROR(L437/K437*100,0)</f>
        <v>0</v>
      </c>
    </row>
    <row r="438" spans="13:13">
      <c r="M438" s="2">
        <f>IFERROR(L438/K438*100,0)</f>
        <v>0</v>
      </c>
    </row>
    <row r="439" spans="13:13">
      <c r="M439" s="2">
        <f>IFERROR(L439/K439*100,0)</f>
        <v>0</v>
      </c>
    </row>
    <row r="440" spans="13:13">
      <c r="M440" s="2">
        <f>IFERROR(L440/K440*100,0)</f>
        <v>0</v>
      </c>
    </row>
    <row r="441" spans="13:13">
      <c r="M441" s="2">
        <f>IFERROR(L441/K441*100,0)</f>
        <v>0</v>
      </c>
    </row>
    <row r="442" spans="13:13">
      <c r="M442" s="2">
        <f>IFERROR(L442/K442*100,0)</f>
        <v>0</v>
      </c>
    </row>
    <row r="443" spans="13:13">
      <c r="M443" s="2">
        <f>IFERROR(L443/K443*100,0)</f>
        <v>0</v>
      </c>
    </row>
    <row r="444" spans="13:13">
      <c r="M444" s="2">
        <f>IFERROR(L444/K444*100,0)</f>
        <v>0</v>
      </c>
    </row>
    <row r="445" spans="13:13">
      <c r="M445" s="2">
        <f>IFERROR(L445/K445*100,0)</f>
        <v>0</v>
      </c>
    </row>
    <row r="446" spans="13:13">
      <c r="M446" s="2">
        <f>IFERROR(L446/K446*100,0)</f>
        <v>0</v>
      </c>
    </row>
    <row r="447" spans="13:13">
      <c r="M447" s="2">
        <f>IFERROR(L447/K447*100,0)</f>
        <v>0</v>
      </c>
    </row>
    <row r="448" spans="13:13">
      <c r="M448" s="2">
        <f>IFERROR(L448/K448*100,0)</f>
        <v>0</v>
      </c>
    </row>
    <row r="449" spans="13:13">
      <c r="M449" s="2">
        <f>IFERROR(L449/K449*100,0)</f>
        <v>0</v>
      </c>
    </row>
    <row r="450" spans="13:13">
      <c r="M450" s="2">
        <f>IFERROR(L450/K450*100,0)</f>
        <v>0</v>
      </c>
    </row>
    <row r="451" spans="13:13">
      <c r="M451" s="2">
        <f>IFERROR(L451/K451*100,0)</f>
        <v>0</v>
      </c>
    </row>
    <row r="452" spans="13:13">
      <c r="M452" s="2">
        <f>IFERROR(L452/K452*100,0)</f>
        <v>0</v>
      </c>
    </row>
    <row r="453" spans="13:13">
      <c r="M453" s="2">
        <f>IFERROR(L453/K453*100,0)</f>
        <v>0</v>
      </c>
    </row>
    <row r="454" spans="13:13">
      <c r="M454" s="2">
        <f>IFERROR(L454/K454*100,0)</f>
        <v>0</v>
      </c>
    </row>
    <row r="455" spans="13:13">
      <c r="M455" s="2">
        <f>IFERROR(L455/K455*100,0)</f>
        <v>0</v>
      </c>
    </row>
    <row r="456" spans="13:13">
      <c r="M456" s="2">
        <f>IFERROR(L456/K456*100,0)</f>
        <v>0</v>
      </c>
    </row>
    <row r="457" spans="13:13">
      <c r="M457" s="2">
        <f>IFERROR(L457/K457*100,0)</f>
        <v>0</v>
      </c>
    </row>
    <row r="458" spans="13:13">
      <c r="M458" s="2">
        <f>IFERROR(L458/K458*100,0)</f>
        <v>0</v>
      </c>
    </row>
    <row r="459" spans="13:13">
      <c r="M459" s="2">
        <f>IFERROR(L459/K459*100,0)</f>
        <v>0</v>
      </c>
    </row>
    <row r="460" spans="13:13">
      <c r="M460" s="2">
        <f>IFERROR(L460/K460*100,0)</f>
        <v>0</v>
      </c>
    </row>
    <row r="461" spans="13:13">
      <c r="M461" s="2">
        <f>IFERROR(L461/K461*100,0)</f>
        <v>0</v>
      </c>
    </row>
    <row r="462" spans="13:13">
      <c r="M462" s="2">
        <f>IFERROR(L462/K462*100,0)</f>
        <v>0</v>
      </c>
    </row>
    <row r="463" spans="13:13">
      <c r="M463" s="2">
        <f>IFERROR(L463/K463*100,0)</f>
        <v>0</v>
      </c>
    </row>
    <row r="464" spans="13:13">
      <c r="M464" s="2">
        <f>IFERROR(L464/K464*100,0)</f>
        <v>0</v>
      </c>
    </row>
    <row r="465" spans="13:13">
      <c r="M465" s="2">
        <f>IFERROR(L465/K465*100,0)</f>
        <v>0</v>
      </c>
    </row>
    <row r="466" spans="13:13">
      <c r="M466" s="2">
        <f>IFERROR(L466/K466*100,0)</f>
        <v>0</v>
      </c>
    </row>
    <row r="467" spans="13:13">
      <c r="M467" s="2">
        <f>IFERROR(L467/K467*100,0)</f>
        <v>0</v>
      </c>
    </row>
    <row r="468" spans="13:13">
      <c r="M468" s="2">
        <f>IFERROR(L468/K468*100,0)</f>
        <v>0</v>
      </c>
    </row>
    <row r="469" spans="13:13">
      <c r="M469" s="2">
        <f>IFERROR(L469/K469*100,0)</f>
        <v>0</v>
      </c>
    </row>
    <row r="470" spans="13:13">
      <c r="M470" s="2">
        <f>IFERROR(L470/K470*100,0)</f>
        <v>0</v>
      </c>
    </row>
    <row r="471" spans="13:13">
      <c r="M471" s="2">
        <f>IFERROR(L471/K471*100,0)</f>
        <v>0</v>
      </c>
    </row>
    <row r="472" spans="13:13">
      <c r="M472" s="2">
        <f>IFERROR(L472/K472*100,0)</f>
        <v>0</v>
      </c>
    </row>
    <row r="473" spans="13:13">
      <c r="M473" s="2">
        <f>IFERROR(L473/K473*100,0)</f>
        <v>0</v>
      </c>
    </row>
    <row r="474" spans="13:13">
      <c r="M474" s="2">
        <f>IFERROR(L474/K474*100,0)</f>
        <v>0</v>
      </c>
    </row>
    <row r="475" spans="13:13">
      <c r="M475" s="2">
        <f>IFERROR(L475/K475*100,0)</f>
        <v>0</v>
      </c>
    </row>
    <row r="476" spans="13:13">
      <c r="M476" s="2">
        <f>IFERROR(L476/K476*100,0)</f>
        <v>0</v>
      </c>
    </row>
    <row r="477" spans="13:13">
      <c r="M477" s="2">
        <f>IFERROR(L477/K477*100,0)</f>
        <v>0</v>
      </c>
    </row>
    <row r="478" spans="13:13">
      <c r="M478" s="2">
        <f>IFERROR(L478/K478*100,0)</f>
        <v>0</v>
      </c>
    </row>
    <row r="479" spans="13:13">
      <c r="M479" s="2">
        <f>IFERROR(L479/K479*100,0)</f>
        <v>0</v>
      </c>
    </row>
    <row r="480" spans="13:13">
      <c r="M480" s="2">
        <f>IFERROR(L480/K480*100,0)</f>
        <v>0</v>
      </c>
    </row>
    <row r="481" spans="13:13">
      <c r="M481" s="2">
        <f>IFERROR(L481/K481*100,0)</f>
        <v>0</v>
      </c>
    </row>
    <row r="482" spans="13:13">
      <c r="M482" s="2">
        <f>IFERROR(L482/K482*100,0)</f>
        <v>0</v>
      </c>
    </row>
    <row r="483" spans="13:13">
      <c r="M483" s="2">
        <f>IFERROR(L483/K483*100,0)</f>
        <v>0</v>
      </c>
    </row>
    <row r="484" spans="13:13">
      <c r="M484" s="2">
        <f>IFERROR(L484/K484*100,0)</f>
        <v>0</v>
      </c>
    </row>
    <row r="485" spans="13:13">
      <c r="M485" s="2">
        <f>IFERROR(L485/K485*100,0)</f>
        <v>0</v>
      </c>
    </row>
    <row r="486" spans="13:13">
      <c r="M486" s="2">
        <f>IFERROR(L486/K486*100,0)</f>
        <v>0</v>
      </c>
    </row>
    <row r="487" spans="13:13">
      <c r="M487" s="2">
        <f>IFERROR(L487/K487*100,0)</f>
        <v>0</v>
      </c>
    </row>
    <row r="488" spans="13:13">
      <c r="M488" s="2">
        <f>IFERROR(L488/K488*100,0)</f>
        <v>0</v>
      </c>
    </row>
    <row r="489" spans="13:13">
      <c r="M489" s="2">
        <f>IFERROR(L489/K489*100,0)</f>
        <v>0</v>
      </c>
    </row>
    <row r="490" spans="13:13">
      <c r="M490" s="2">
        <f>IFERROR(L490/K490*100,0)</f>
        <v>0</v>
      </c>
    </row>
    <row r="491" spans="13:13">
      <c r="M491" s="2">
        <f>IFERROR(L491/K491*100,0)</f>
        <v>0</v>
      </c>
    </row>
    <row r="492" spans="13:13">
      <c r="M492" s="2">
        <f>IFERROR(L492/K492*100,0)</f>
        <v>0</v>
      </c>
    </row>
    <row r="493" spans="13:13">
      <c r="M493" s="2">
        <f>IFERROR(L493/K493*100,0)</f>
        <v>0</v>
      </c>
    </row>
    <row r="494" spans="13:13">
      <c r="M494" s="2">
        <f>IFERROR(L494/K494*100,0)</f>
        <v>0</v>
      </c>
    </row>
    <row r="495" spans="13:13">
      <c r="M495" s="2">
        <f>IFERROR(L495/K495*100,0)</f>
        <v>0</v>
      </c>
    </row>
    <row r="496" spans="13:13">
      <c r="M496" s="2">
        <f>IFERROR(L496/K496*100,0)</f>
        <v>0</v>
      </c>
    </row>
    <row r="497" spans="13:13">
      <c r="M497" s="2">
        <f>IFERROR(L497/K497*100,0)</f>
        <v>0</v>
      </c>
    </row>
    <row r="498" spans="13:13">
      <c r="M498" s="2">
        <f>IFERROR(L498/K498*100,0)</f>
        <v>0</v>
      </c>
    </row>
    <row r="499" spans="13:13">
      <c r="M499" s="2">
        <f>IFERROR(L499/K499*100,0)</f>
        <v>0</v>
      </c>
    </row>
    <row r="500" spans="13:13">
      <c r="M500" s="2">
        <f>IFERROR(L500/K500*100,0)</f>
        <v>0</v>
      </c>
    </row>
    <row r="501" spans="13:13">
      <c r="M501" s="2">
        <f>IFERROR(L501/K501*100,0)</f>
        <v>0</v>
      </c>
    </row>
    <row r="502" spans="13:13">
      <c r="M502" s="2">
        <f>IFERROR(L502/K502*100,0)</f>
        <v>0</v>
      </c>
    </row>
    <row r="503" spans="13:13">
      <c r="M503" s="2">
        <f>IFERROR(L503/K503*100,0)</f>
        <v>0</v>
      </c>
    </row>
    <row r="504" spans="13:13">
      <c r="M504" s="2">
        <f>IFERROR(L504/K504*100,0)</f>
        <v>0</v>
      </c>
    </row>
    <row r="505" spans="13:13">
      <c r="M505" s="2">
        <f>IFERROR(L505/K505*100,0)</f>
        <v>0</v>
      </c>
    </row>
    <row r="506" spans="13:13">
      <c r="M506" s="2">
        <f>IFERROR(L506/K506*100,0)</f>
        <v>0</v>
      </c>
    </row>
    <row r="507" spans="13:13">
      <c r="M507" s="2">
        <f>IFERROR(L507/K507*100,0)</f>
        <v>0</v>
      </c>
    </row>
    <row r="508" spans="13:13">
      <c r="M508" s="2">
        <f>IFERROR(L508/K508*100,0)</f>
        <v>0</v>
      </c>
    </row>
    <row r="509" spans="13:13">
      <c r="M509" s="2">
        <f>IFERROR(L509/K509*100,0)</f>
        <v>0</v>
      </c>
    </row>
    <row r="510" spans="13:13">
      <c r="M510" s="2">
        <f>IFERROR(L510/K510*100,0)</f>
        <v>0</v>
      </c>
    </row>
    <row r="511" spans="13:13">
      <c r="M511" s="2">
        <f>IFERROR(L511/K511*100,0)</f>
        <v>0</v>
      </c>
    </row>
    <row r="512" spans="13:13">
      <c r="M512" s="2">
        <f>IFERROR(L512/K512*100,0)</f>
        <v>0</v>
      </c>
    </row>
    <row r="513" spans="13:13">
      <c r="M513" s="2">
        <f>IFERROR(L513/K513*100,0)</f>
        <v>0</v>
      </c>
    </row>
    <row r="514" spans="13:13">
      <c r="M514" s="2">
        <f>IFERROR(L514/K514*100,0)</f>
        <v>0</v>
      </c>
    </row>
    <row r="515" spans="13:13">
      <c r="M515" s="2">
        <f>IFERROR(L515/K515*100,0)</f>
        <v>0</v>
      </c>
    </row>
    <row r="516" spans="13:13">
      <c r="M516" s="2">
        <f>IFERROR(L516/K516*100,0)</f>
        <v>0</v>
      </c>
    </row>
    <row r="517" spans="13:13">
      <c r="M517" s="2">
        <f>IFERROR(L517/K517*100,0)</f>
        <v>0</v>
      </c>
    </row>
    <row r="518" spans="13:13">
      <c r="M518" s="2">
        <f>IFERROR(L518/K518*100,0)</f>
        <v>0</v>
      </c>
    </row>
    <row r="519" spans="13:13">
      <c r="M519" s="2">
        <f>IFERROR(L519/K519*100,0)</f>
        <v>0</v>
      </c>
    </row>
    <row r="520" spans="13:13">
      <c r="M520" s="2">
        <f>IFERROR(L520/K520*100,0)</f>
        <v>0</v>
      </c>
    </row>
    <row r="521" spans="13:13">
      <c r="M521" s="2">
        <f>IFERROR(L521/K521*100,0)</f>
        <v>0</v>
      </c>
    </row>
    <row r="522" spans="13:13">
      <c r="M522" s="2">
        <f>IFERROR(L522/K522*100,0)</f>
        <v>0</v>
      </c>
    </row>
    <row r="523" spans="13:13">
      <c r="M523" s="2">
        <f>IFERROR(L523/K523*100,0)</f>
        <v>0</v>
      </c>
    </row>
    <row r="524" spans="13:13">
      <c r="M524" s="2">
        <f>IFERROR(L524/K524*100,0)</f>
        <v>0</v>
      </c>
    </row>
    <row r="525" spans="13:13">
      <c r="M525" s="2">
        <f>IFERROR(L525/K525*100,0)</f>
        <v>0</v>
      </c>
    </row>
    <row r="526" spans="13:13">
      <c r="M526" s="2">
        <f>IFERROR(L526/K526*100,0)</f>
        <v>0</v>
      </c>
    </row>
    <row r="527" spans="13:13">
      <c r="M527" s="2">
        <f>IFERROR(L527/K527*100,0)</f>
        <v>0</v>
      </c>
    </row>
    <row r="528" spans="13:13">
      <c r="M528" s="2">
        <f>IFERROR(L528/K528*100,0)</f>
        <v>0</v>
      </c>
    </row>
    <row r="529" spans="13:13">
      <c r="M529" s="2">
        <f>IFERROR(L529/K529*100,0)</f>
        <v>0</v>
      </c>
    </row>
    <row r="530" spans="13:13">
      <c r="M530" s="2">
        <f>IFERROR(L530/K530*100,0)</f>
        <v>0</v>
      </c>
    </row>
    <row r="531" spans="13:13">
      <c r="M531" s="2">
        <f>IFERROR(L531/K531*100,0)</f>
        <v>0</v>
      </c>
    </row>
    <row r="532" spans="13:13">
      <c r="M532" s="2">
        <f>IFERROR(L532/K532*100,0)</f>
        <v>0</v>
      </c>
    </row>
    <row r="533" spans="13:13">
      <c r="M533" s="2">
        <f>IFERROR(L533/K533*100,0)</f>
        <v>0</v>
      </c>
    </row>
    <row r="534" spans="13:13">
      <c r="M534" s="2">
        <f>IFERROR(L534/K534*100,0)</f>
        <v>0</v>
      </c>
    </row>
    <row r="535" spans="13:13">
      <c r="M535" s="2">
        <f>IFERROR(L535/K535*100,0)</f>
        <v>0</v>
      </c>
    </row>
    <row r="536" spans="13:13">
      <c r="M536" s="2">
        <f>IFERROR(L536/K536*100,0)</f>
        <v>0</v>
      </c>
    </row>
    <row r="537" spans="13:13">
      <c r="M537" s="2">
        <f>IFERROR(L537/K537*100,0)</f>
        <v>0</v>
      </c>
    </row>
    <row r="538" spans="13:13">
      <c r="M538" s="2">
        <f>IFERROR(L538/K538*100,0)</f>
        <v>0</v>
      </c>
    </row>
    <row r="539" spans="13:13">
      <c r="M539" s="2">
        <f>IFERROR(L539/K539*100,0)</f>
        <v>0</v>
      </c>
    </row>
    <row r="540" spans="13:13">
      <c r="M540" s="2">
        <f>IFERROR(L540/K540*100,0)</f>
        <v>0</v>
      </c>
    </row>
    <row r="541" spans="13:13">
      <c r="M541" s="2">
        <f>IFERROR(L541/K541*100,0)</f>
        <v>0</v>
      </c>
    </row>
    <row r="542" spans="13:13">
      <c r="M542" s="2">
        <f>IFERROR(L542/K542*100,0)</f>
        <v>0</v>
      </c>
    </row>
    <row r="543" spans="13:13">
      <c r="M543" s="2">
        <f>IFERROR(L543/K543*100,0)</f>
        <v>0</v>
      </c>
    </row>
    <row r="544" spans="13:13">
      <c r="M544" s="2">
        <f>IFERROR(L544/K544*100,0)</f>
        <v>0</v>
      </c>
    </row>
    <row r="545" spans="13:13">
      <c r="M545" s="2">
        <f>IFERROR(L545/K545*100,0)</f>
        <v>0</v>
      </c>
    </row>
    <row r="546" spans="13:13">
      <c r="M546" s="2">
        <f>IFERROR(L546/K546*100,0)</f>
        <v>0</v>
      </c>
    </row>
    <row r="547" spans="13:13">
      <c r="M547" s="2">
        <f>IFERROR(L547/K547*100,0)</f>
        <v>0</v>
      </c>
    </row>
    <row r="548" spans="13:13">
      <c r="M548" s="2">
        <f>IFERROR(L548/K548*100,0)</f>
        <v>0</v>
      </c>
    </row>
    <row r="549" spans="13:13">
      <c r="M549" s="2">
        <f>IFERROR(L549/K549*100,0)</f>
        <v>0</v>
      </c>
    </row>
    <row r="550" spans="13:13">
      <c r="M550" s="2">
        <f>IFERROR(L550/K550*100,0)</f>
        <v>0</v>
      </c>
    </row>
    <row r="551" spans="13:13">
      <c r="M551" s="2">
        <f>IFERROR(L551/K551*100,0)</f>
        <v>0</v>
      </c>
    </row>
    <row r="552" spans="13:13">
      <c r="M552" s="2">
        <f>IFERROR(L552/K552*100,0)</f>
        <v>0</v>
      </c>
    </row>
    <row r="553" spans="13:13">
      <c r="M553" s="2">
        <f>IFERROR(L553/K553*100,0)</f>
        <v>0</v>
      </c>
    </row>
    <row r="554" spans="13:13">
      <c r="M554" s="2">
        <f>IFERROR(L554/K554*100,0)</f>
        <v>0</v>
      </c>
    </row>
    <row r="555" spans="13:13">
      <c r="M555" s="2">
        <f>IFERROR(L555/K555*100,0)</f>
        <v>0</v>
      </c>
    </row>
    <row r="556" spans="13:13">
      <c r="M556" s="2">
        <f>IFERROR(L556/K556*100,0)</f>
        <v>0</v>
      </c>
    </row>
    <row r="557" spans="13:13">
      <c r="M557" s="2">
        <f>IFERROR(L557/K557*100,0)</f>
        <v>0</v>
      </c>
    </row>
    <row r="558" spans="13:13">
      <c r="M558" s="2">
        <f>IFERROR(L558/K558*100,0)</f>
        <v>0</v>
      </c>
    </row>
    <row r="559" spans="13:13">
      <c r="M559" s="2">
        <f>IFERROR(L559/K559*100,0)</f>
        <v>0</v>
      </c>
    </row>
    <row r="560" spans="13:13">
      <c r="M560" s="2">
        <f>IFERROR(L560/K560*100,0)</f>
        <v>0</v>
      </c>
    </row>
    <row r="561" spans="13:13">
      <c r="M561" s="2">
        <f>IFERROR(L561/K561*100,0)</f>
        <v>0</v>
      </c>
    </row>
    <row r="562" spans="13:13">
      <c r="M562" s="2">
        <f>IFERROR(L562/K562*100,0)</f>
        <v>0</v>
      </c>
    </row>
    <row r="563" spans="13:13">
      <c r="M563" s="2">
        <f>IFERROR(L563/K563*100,0)</f>
        <v>0</v>
      </c>
    </row>
    <row r="564" spans="13:13">
      <c r="M564" s="2">
        <f>IFERROR(L564/K564*100,0)</f>
        <v>0</v>
      </c>
    </row>
    <row r="565" spans="13:13">
      <c r="M565" s="2">
        <f>IFERROR(L565/K565*100,0)</f>
        <v>0</v>
      </c>
    </row>
    <row r="566" spans="13:13">
      <c r="M566" s="2">
        <f>IFERROR(L566/K566*100,0)</f>
        <v>0</v>
      </c>
    </row>
    <row r="567" spans="13:13">
      <c r="M567" s="2">
        <f>IFERROR(L567/K567*100,0)</f>
        <v>0</v>
      </c>
    </row>
    <row r="568" spans="13:13">
      <c r="M568" s="2">
        <f>IFERROR(L568/K568*100,0)</f>
        <v>0</v>
      </c>
    </row>
    <row r="569" spans="13:13">
      <c r="M569" s="2">
        <f>IFERROR(L569/K569*100,0)</f>
        <v>0</v>
      </c>
    </row>
    <row r="570" spans="13:13">
      <c r="M570" s="2">
        <f>IFERROR(L570/K570*100,0)</f>
        <v>0</v>
      </c>
    </row>
    <row r="571" spans="13:13">
      <c r="M571" s="2">
        <f>IFERROR(L571/K571*100,0)</f>
        <v>0</v>
      </c>
    </row>
    <row r="572" spans="13:13">
      <c r="M572" s="2">
        <f>IFERROR(L572/K572*100,0)</f>
        <v>0</v>
      </c>
    </row>
    <row r="573" spans="13:13">
      <c r="M573" s="2">
        <f>IFERROR(L573/K573*100,0)</f>
        <v>0</v>
      </c>
    </row>
    <row r="574" spans="13:13">
      <c r="M574" s="2">
        <f>IFERROR(L574/K574*100,0)</f>
        <v>0</v>
      </c>
    </row>
    <row r="575" spans="13:13">
      <c r="M575" s="2">
        <f>IFERROR(L575/K575*100,0)</f>
        <v>0</v>
      </c>
    </row>
    <row r="576" spans="13:13">
      <c r="M576" s="2">
        <f>IFERROR(L576/K576*100,0)</f>
        <v>0</v>
      </c>
    </row>
    <row r="577" spans="13:13">
      <c r="M577" s="2">
        <f>IFERROR(L577/K577*100,0)</f>
        <v>0</v>
      </c>
    </row>
    <row r="578" spans="13:13">
      <c r="M578" s="2">
        <f>IFERROR(L578/K578*100,0)</f>
        <v>0</v>
      </c>
    </row>
    <row r="579" spans="13:13">
      <c r="M579" s="2">
        <f>IFERROR(L579/K579*100,0)</f>
        <v>0</v>
      </c>
    </row>
    <row r="580" spans="13:13">
      <c r="M580" s="2">
        <f>IFERROR(L580/K580*100,0)</f>
        <v>0</v>
      </c>
    </row>
    <row r="581" spans="13:13">
      <c r="M581" s="2">
        <f>IFERROR(L581/K581*100,0)</f>
        <v>0</v>
      </c>
    </row>
    <row r="582" spans="13:13">
      <c r="M582" s="2">
        <f>IFERROR(L582/K582*100,0)</f>
        <v>0</v>
      </c>
    </row>
    <row r="583" spans="13:13">
      <c r="M583" s="2">
        <f>IFERROR(L583/K583*100,0)</f>
        <v>0</v>
      </c>
    </row>
    <row r="584" spans="13:13">
      <c r="M584" s="2">
        <f>IFERROR(L584/K584*100,0)</f>
        <v>0</v>
      </c>
    </row>
    <row r="585" spans="13:13">
      <c r="M585" s="2">
        <f>IFERROR(L585/K585*100,0)</f>
        <v>0</v>
      </c>
    </row>
    <row r="586" spans="13:13">
      <c r="M586" s="2">
        <f>IFERROR(L586/K586*100,0)</f>
        <v>0</v>
      </c>
    </row>
    <row r="587" spans="13:13">
      <c r="M587" s="2">
        <f>IFERROR(L587/K587*100,0)</f>
        <v>0</v>
      </c>
    </row>
    <row r="588" spans="13:13">
      <c r="M588" s="2">
        <f>IFERROR(L588/K588*100,0)</f>
        <v>0</v>
      </c>
    </row>
    <row r="589" spans="13:13">
      <c r="M589" s="2">
        <f>IFERROR(L589/K589*100,0)</f>
        <v>0</v>
      </c>
    </row>
    <row r="590" spans="13:13">
      <c r="M590" s="2">
        <f>IFERROR(L590/K590*100,0)</f>
        <v>0</v>
      </c>
    </row>
    <row r="591" spans="13:13">
      <c r="M591" s="2">
        <f>IFERROR(L591/K591*100,0)</f>
        <v>0</v>
      </c>
    </row>
    <row r="592" spans="13:13">
      <c r="M592" s="2">
        <f>IFERROR(L592/K592*100,0)</f>
        <v>0</v>
      </c>
    </row>
    <row r="593" spans="13:13">
      <c r="M593" s="2">
        <f>IFERROR(L593/K593*100,0)</f>
        <v>0</v>
      </c>
    </row>
    <row r="594" spans="13:13">
      <c r="M594" s="2">
        <f>IFERROR(L594/K594*100,0)</f>
        <v>0</v>
      </c>
    </row>
    <row r="595" spans="13:13">
      <c r="M595" s="2">
        <f>IFERROR(L595/K595*100,0)</f>
        <v>0</v>
      </c>
    </row>
    <row r="596" spans="13:13">
      <c r="M596" s="2">
        <f>IFERROR(L596/K596*100,0)</f>
        <v>0</v>
      </c>
    </row>
    <row r="597" spans="13:13">
      <c r="M597" s="2">
        <f>IFERROR(L597/K597*100,0)</f>
        <v>0</v>
      </c>
    </row>
    <row r="598" spans="13:13">
      <c r="M598" s="2">
        <f>IFERROR(L598/K598*100,0)</f>
        <v>0</v>
      </c>
    </row>
    <row r="599" spans="13:13">
      <c r="M599" s="2">
        <f>IFERROR(L599/K599*100,0)</f>
        <v>0</v>
      </c>
    </row>
    <row r="600" spans="13:13">
      <c r="M600" s="2">
        <f>IFERROR(L600/K600*100,0)</f>
        <v>0</v>
      </c>
    </row>
    <row r="601" spans="13:13">
      <c r="M601" s="2">
        <f>IFERROR(L601/K601*100,0)</f>
        <v>0</v>
      </c>
    </row>
    <row r="602" spans="13:13">
      <c r="M602" s="2">
        <f>IFERROR(L602/K602*100,0)</f>
        <v>0</v>
      </c>
    </row>
    <row r="603" spans="13:13">
      <c r="M603" s="2">
        <f>IFERROR(L603/K603*100,0)</f>
        <v>0</v>
      </c>
    </row>
    <row r="604" spans="13:13">
      <c r="M604" s="2">
        <f>IFERROR(L604/K604*100,0)</f>
        <v>0</v>
      </c>
    </row>
    <row r="605" spans="13:13">
      <c r="M605" s="2">
        <f>IFERROR(L605/K605*100,0)</f>
        <v>0</v>
      </c>
    </row>
    <row r="606" spans="13:13">
      <c r="M606" s="2">
        <f>IFERROR(L606/K606*100,0)</f>
        <v>0</v>
      </c>
    </row>
    <row r="607" spans="13:13">
      <c r="M607" s="2">
        <f>IFERROR(L607/K607*100,0)</f>
        <v>0</v>
      </c>
    </row>
    <row r="608" spans="13:13">
      <c r="M608" s="2">
        <f>IFERROR(L608/K608*100,0)</f>
        <v>0</v>
      </c>
    </row>
    <row r="609" spans="13:13">
      <c r="M609" s="2">
        <f>IFERROR(L609/K609*100,0)</f>
        <v>0</v>
      </c>
    </row>
    <row r="610" spans="13:13">
      <c r="M610" s="2">
        <f>IFERROR(L610/K610*100,0)</f>
        <v>0</v>
      </c>
    </row>
    <row r="611" spans="13:13">
      <c r="M611" s="2">
        <f>IFERROR(L611/K611*100,0)</f>
        <v>0</v>
      </c>
    </row>
    <row r="612" spans="13:13">
      <c r="M612" s="2">
        <f>IFERROR(L612/K612*100,0)</f>
        <v>0</v>
      </c>
    </row>
    <row r="613" spans="13:13">
      <c r="M613" s="2">
        <f>IFERROR(L613/K613*100,0)</f>
        <v>0</v>
      </c>
    </row>
    <row r="614" spans="13:13">
      <c r="M614" s="2">
        <f>IFERROR(L614/K614*100,0)</f>
        <v>0</v>
      </c>
    </row>
    <row r="615" spans="13:13">
      <c r="M615" s="2">
        <f>IFERROR(L615/K615*100,0)</f>
        <v>0</v>
      </c>
    </row>
    <row r="616" spans="13:13">
      <c r="M616" s="2">
        <f>IFERROR(L616/K616*100,0)</f>
        <v>0</v>
      </c>
    </row>
    <row r="617" spans="13:13">
      <c r="M617" s="2">
        <f>IFERROR(L617/K617*100,0)</f>
        <v>0</v>
      </c>
    </row>
    <row r="618" spans="13:13">
      <c r="M618" s="2">
        <f>IFERROR(L618/K618*100,0)</f>
        <v>0</v>
      </c>
    </row>
    <row r="619" spans="13:13">
      <c r="M619" s="2">
        <f>IFERROR(L619/K619*100,0)</f>
        <v>0</v>
      </c>
    </row>
    <row r="620" spans="13:13">
      <c r="M620" s="2">
        <f>IFERROR(L620/K620*100,0)</f>
        <v>0</v>
      </c>
    </row>
    <row r="621" spans="13:13">
      <c r="M621" s="2">
        <f>IFERROR(L621/K621*100,0)</f>
        <v>0</v>
      </c>
    </row>
    <row r="622" spans="13:13">
      <c r="M622" s="2">
        <f>IFERROR(L622/K622*100,0)</f>
        <v>0</v>
      </c>
    </row>
    <row r="623" spans="13:13">
      <c r="M623" s="2">
        <f>IFERROR(L623/K623*100,0)</f>
        <v>0</v>
      </c>
    </row>
    <row r="624" spans="13:13">
      <c r="M624" s="2">
        <f>IFERROR(L624/K624*100,0)</f>
        <v>0</v>
      </c>
    </row>
    <row r="625" spans="13:13">
      <c r="M625" s="2">
        <f>IFERROR(L625/K625*100,0)</f>
        <v>0</v>
      </c>
    </row>
    <row r="626" spans="13:13">
      <c r="M626" s="2">
        <f>IFERROR(L626/K626*100,0)</f>
        <v>0</v>
      </c>
    </row>
    <row r="627" spans="13:13">
      <c r="M627" s="2">
        <f>IFERROR(L627/K627*100,0)</f>
        <v>0</v>
      </c>
    </row>
    <row r="628" spans="13:13">
      <c r="M628" s="2">
        <f>IFERROR(L628/K628*100,0)</f>
        <v>0</v>
      </c>
    </row>
    <row r="629" spans="13:13">
      <c r="M629" s="2">
        <f>IFERROR(L629/K629*100,0)</f>
        <v>0</v>
      </c>
    </row>
    <row r="630" spans="13:13">
      <c r="M630" s="2">
        <f>IFERROR(L630/K630*100,0)</f>
        <v>0</v>
      </c>
    </row>
    <row r="631" spans="13:13">
      <c r="M631" s="2">
        <f>IFERROR(L631/K631*100,0)</f>
        <v>0</v>
      </c>
    </row>
    <row r="632" spans="13:13">
      <c r="M632" s="2">
        <f>IFERROR(L632/K632*100,0)</f>
        <v>0</v>
      </c>
    </row>
    <row r="633" spans="13:13">
      <c r="M633" s="2">
        <f>IFERROR(L633/K633*100,0)</f>
        <v>0</v>
      </c>
    </row>
    <row r="634" spans="13:13">
      <c r="M634" s="2">
        <f>IFERROR(L634/K634*100,0)</f>
        <v>0</v>
      </c>
    </row>
    <row r="635" spans="13:13">
      <c r="M635" s="2">
        <f>IFERROR(L635/K635*100,0)</f>
        <v>0</v>
      </c>
    </row>
    <row r="636" spans="13:13">
      <c r="M636" s="2">
        <f>IFERROR(L636/K636*100,0)</f>
        <v>0</v>
      </c>
    </row>
    <row r="637" spans="13:13">
      <c r="M637" s="2">
        <f>IFERROR(L637/K637*100,0)</f>
        <v>0</v>
      </c>
    </row>
    <row r="638" spans="13:13">
      <c r="M638" s="2">
        <f>IFERROR(L638/K638*100,0)</f>
        <v>0</v>
      </c>
    </row>
    <row r="639" spans="13:13">
      <c r="M639" s="2">
        <f>IFERROR(L639/K639*100,0)</f>
        <v>0</v>
      </c>
    </row>
    <row r="640" spans="13:13">
      <c r="M640" s="2">
        <f>IFERROR(L640/K640*100,0)</f>
        <v>0</v>
      </c>
    </row>
    <row r="641" spans="13:13">
      <c r="M641" s="2">
        <f>IFERROR(L641/K641*100,0)</f>
        <v>0</v>
      </c>
    </row>
    <row r="642" spans="13:13">
      <c r="M642" s="2">
        <f>IFERROR(L642/K642*100,0)</f>
        <v>0</v>
      </c>
    </row>
    <row r="643" spans="13:13">
      <c r="M643" s="2">
        <f>IFERROR(L643/K643*100,0)</f>
        <v>0</v>
      </c>
    </row>
    <row r="644" spans="13:13">
      <c r="M644" s="2">
        <f>IFERROR(L644/K644*100,0)</f>
        <v>0</v>
      </c>
    </row>
    <row r="645" spans="13:13">
      <c r="M645" s="2">
        <f>IFERROR(L645/K645*100,0)</f>
        <v>0</v>
      </c>
    </row>
    <row r="646" spans="13:13">
      <c r="M646" s="2">
        <f>IFERROR(L646/K646*100,0)</f>
        <v>0</v>
      </c>
    </row>
    <row r="647" spans="13:13">
      <c r="M647" s="2">
        <f>IFERROR(L647/K647*100,0)</f>
        <v>0</v>
      </c>
    </row>
    <row r="648" spans="13:13">
      <c r="M648" s="2">
        <f>IFERROR(L648/K648*100,0)</f>
        <v>0</v>
      </c>
    </row>
    <row r="649" spans="13:13">
      <c r="M649" s="2">
        <f>IFERROR(L649/K649*100,0)</f>
        <v>0</v>
      </c>
    </row>
    <row r="650" spans="13:13">
      <c r="M650" s="2">
        <f>IFERROR(L650/K650*100,0)</f>
        <v>0</v>
      </c>
    </row>
    <row r="651" spans="13:13">
      <c r="M651" s="2">
        <f>IFERROR(L651/K651*100,0)</f>
        <v>0</v>
      </c>
    </row>
    <row r="652" spans="13:13">
      <c r="M652" s="2">
        <f>IFERROR(L652/K652*100,0)</f>
        <v>0</v>
      </c>
    </row>
    <row r="653" spans="13:13">
      <c r="M653" s="2">
        <f>IFERROR(L653/K653*100,0)</f>
        <v>0</v>
      </c>
    </row>
    <row r="654" spans="13:13">
      <c r="M654" s="2">
        <f>IFERROR(L654/K654*100,0)</f>
        <v>0</v>
      </c>
    </row>
    <row r="655" spans="13:13">
      <c r="M655" s="2">
        <f>IFERROR(L655/K655*100,0)</f>
        <v>0</v>
      </c>
    </row>
    <row r="656" spans="13:13">
      <c r="M656" s="2">
        <f>IFERROR(L656/K656*100,0)</f>
        <v>0</v>
      </c>
    </row>
    <row r="657" spans="13:13">
      <c r="M657" s="2">
        <f>IFERROR(L657/K657*100,0)</f>
        <v>0</v>
      </c>
    </row>
    <row r="658" spans="13:13">
      <c r="M658" s="2">
        <f>IFERROR(L658/K658*100,0)</f>
        <v>0</v>
      </c>
    </row>
    <row r="659" spans="13:13">
      <c r="M659" s="2">
        <f>IFERROR(L659/K659*100,0)</f>
        <v>0</v>
      </c>
    </row>
    <row r="660" spans="13:13">
      <c r="M660" s="2">
        <f>IFERROR(L660/K660*100,0)</f>
        <v>0</v>
      </c>
    </row>
    <row r="661" spans="13:13">
      <c r="M661" s="2">
        <f>IFERROR(L661/K661*100,0)</f>
        <v>0</v>
      </c>
    </row>
    <row r="662" spans="13:13">
      <c r="M662" s="2">
        <f>IFERROR(L662/K662*100,0)</f>
        <v>0</v>
      </c>
    </row>
    <row r="663" spans="13:13">
      <c r="M663" s="2">
        <f>IFERROR(L663/K663*100,0)</f>
        <v>0</v>
      </c>
    </row>
    <row r="664" spans="13:13">
      <c r="M664" s="2">
        <f>IFERROR(L664/K664*100,0)</f>
        <v>0</v>
      </c>
    </row>
    <row r="665" spans="13:13">
      <c r="M665" s="2">
        <f>IFERROR(L665/K665*100,0)</f>
        <v>0</v>
      </c>
    </row>
    <row r="666" spans="13:13">
      <c r="M666" s="2">
        <f>IFERROR(L666/K666*100,0)</f>
        <v>0</v>
      </c>
    </row>
    <row r="667" spans="13:13">
      <c r="M667" s="2">
        <f>IFERROR(L667/K667*100,0)</f>
        <v>0</v>
      </c>
    </row>
    <row r="668" spans="13:13">
      <c r="M668" s="2">
        <f>IFERROR(L668/K668*100,0)</f>
        <v>0</v>
      </c>
    </row>
    <row r="669" spans="13:13">
      <c r="M669" s="2">
        <f>IFERROR(L669/K669*100,0)</f>
        <v>0</v>
      </c>
    </row>
    <row r="670" spans="13:13">
      <c r="M670" s="2">
        <f>IFERROR(L670/K670*100,0)</f>
        <v>0</v>
      </c>
    </row>
    <row r="671" spans="13:13">
      <c r="M671" s="2">
        <f>IFERROR(L671/K671*100,0)</f>
        <v>0</v>
      </c>
    </row>
    <row r="672" spans="13:13">
      <c r="M672" s="2">
        <f>IFERROR(L672/K672*100,0)</f>
        <v>0</v>
      </c>
    </row>
    <row r="673" spans="13:13">
      <c r="M673" s="2">
        <f>IFERROR(L673/K673*100,0)</f>
        <v>0</v>
      </c>
    </row>
    <row r="674" spans="13:13">
      <c r="M674" s="2">
        <f>IFERROR(L674/K674*100,0)</f>
        <v>0</v>
      </c>
    </row>
    <row r="675" spans="13:13">
      <c r="M675" s="2">
        <f>IFERROR(L675/K675*100,0)</f>
        <v>0</v>
      </c>
    </row>
    <row r="676" spans="13:13">
      <c r="M676" s="2">
        <f>IFERROR(L676/K676*100,0)</f>
        <v>0</v>
      </c>
    </row>
    <row r="677" spans="13:13">
      <c r="M677" s="2">
        <f>IFERROR(L677/K677*100,0)</f>
        <v>0</v>
      </c>
    </row>
    <row r="678" spans="13:13">
      <c r="M678" s="2">
        <f>IFERROR(L678/K678*100,0)</f>
        <v>0</v>
      </c>
    </row>
    <row r="679" spans="13:13">
      <c r="M679" s="2">
        <f>IFERROR(L679/K679*100,0)</f>
        <v>0</v>
      </c>
    </row>
    <row r="680" spans="13:13">
      <c r="M680" s="2">
        <f>IFERROR(L680/K680*100,0)</f>
        <v>0</v>
      </c>
    </row>
    <row r="681" spans="13:13">
      <c r="M681" s="2">
        <f>IFERROR(L681/K681*100,0)</f>
        <v>0</v>
      </c>
    </row>
    <row r="682" spans="13:13">
      <c r="M682" s="2">
        <f>IFERROR(L682/K682*100,0)</f>
        <v>0</v>
      </c>
    </row>
    <row r="683" spans="13:13">
      <c r="M683" s="2">
        <f>IFERROR(L683/K683*100,0)</f>
        <v>0</v>
      </c>
    </row>
    <row r="684" spans="13:13">
      <c r="M684" s="2">
        <f>IFERROR(L684/K684*100,0)</f>
        <v>0</v>
      </c>
    </row>
    <row r="685" spans="13:13">
      <c r="M685" s="2">
        <f>IFERROR(L685/K685*100,0)</f>
        <v>0</v>
      </c>
    </row>
    <row r="686" spans="13:13">
      <c r="M686" s="2">
        <f>IFERROR(L686/K686*100,0)</f>
        <v>0</v>
      </c>
    </row>
    <row r="687" spans="13:13">
      <c r="M687" s="2">
        <f>IFERROR(L687/K687*100,0)</f>
        <v>0</v>
      </c>
    </row>
    <row r="688" spans="13:13">
      <c r="M688" s="2">
        <f>IFERROR(L688/K688*100,0)</f>
        <v>0</v>
      </c>
    </row>
    <row r="689" spans="13:13">
      <c r="M689" s="2">
        <f>IFERROR(L689/K689*100,0)</f>
        <v>0</v>
      </c>
    </row>
    <row r="690" spans="13:13">
      <c r="M690" s="2">
        <f>IFERROR(L690/K690*100,0)</f>
        <v>0</v>
      </c>
    </row>
    <row r="691" spans="13:13">
      <c r="M691" s="2">
        <f>IFERROR(L691/K691*100,0)</f>
        <v>0</v>
      </c>
    </row>
    <row r="692" spans="13:13">
      <c r="M692" s="2">
        <f>IFERROR(L692/K692*100,0)</f>
        <v>0</v>
      </c>
    </row>
    <row r="693" spans="13:13">
      <c r="M693" s="2">
        <f>IFERROR(L693/K693*100,0)</f>
        <v>0</v>
      </c>
    </row>
    <row r="694" spans="13:13">
      <c r="M694" s="2">
        <f>IFERROR(L694/K694*100,0)</f>
        <v>0</v>
      </c>
    </row>
    <row r="695" spans="13:13">
      <c r="M695" s="2">
        <f>IFERROR(L695/K695*100,0)</f>
        <v>0</v>
      </c>
    </row>
    <row r="696" spans="13:13">
      <c r="M696" s="2">
        <f>IFERROR(L696/K696*100,0)</f>
        <v>0</v>
      </c>
    </row>
    <row r="697" spans="13:13">
      <c r="M697" s="2">
        <f>IFERROR(L697/K697*100,0)</f>
        <v>0</v>
      </c>
    </row>
    <row r="698" spans="13:13">
      <c r="M698" s="2">
        <f>IFERROR(L698/K698*100,0)</f>
        <v>0</v>
      </c>
    </row>
    <row r="699" spans="13:13">
      <c r="M699" s="2">
        <f>IFERROR(L699/K699*100,0)</f>
        <v>0</v>
      </c>
    </row>
    <row r="700" spans="13:13">
      <c r="M700" s="2">
        <f>IFERROR(L700/K700*100,0)</f>
        <v>0</v>
      </c>
    </row>
    <row r="701" spans="13:13">
      <c r="M701" s="2">
        <f>IFERROR(L701/K701*100,0)</f>
        <v>0</v>
      </c>
    </row>
    <row r="702" spans="13:13">
      <c r="M702" s="2">
        <f>IFERROR(L702/K702*100,0)</f>
        <v>0</v>
      </c>
    </row>
    <row r="703" spans="13:13">
      <c r="M703" s="2">
        <f>IFERROR(L703/K703*100,0)</f>
        <v>0</v>
      </c>
    </row>
    <row r="704" spans="13:13">
      <c r="M704" s="2">
        <f>IFERROR(L704/K704*100,0)</f>
        <v>0</v>
      </c>
    </row>
    <row r="705" spans="13:13">
      <c r="M705" s="2">
        <f>IFERROR(L705/K705*100,0)</f>
        <v>0</v>
      </c>
    </row>
    <row r="706" spans="13:13">
      <c r="M706" s="2">
        <f>IFERROR(L706/K706*100,0)</f>
        <v>0</v>
      </c>
    </row>
    <row r="707" spans="13:13">
      <c r="M707" s="2">
        <f>IFERROR(L707/K707*100,0)</f>
        <v>0</v>
      </c>
    </row>
    <row r="708" spans="13:13">
      <c r="M708" s="2">
        <f>IFERROR(L708/K708*100,0)</f>
        <v>0</v>
      </c>
    </row>
    <row r="709" spans="13:13">
      <c r="M709" s="2">
        <f>IFERROR(L709/K709*100,0)</f>
        <v>0</v>
      </c>
    </row>
    <row r="710" spans="13:13">
      <c r="M710" s="2">
        <f>IFERROR(L710/K710*100,0)</f>
        <v>0</v>
      </c>
    </row>
    <row r="711" spans="13:13">
      <c r="M711" s="2">
        <f>IFERROR(L711/K711*100,0)</f>
        <v>0</v>
      </c>
    </row>
    <row r="712" spans="13:13">
      <c r="M712" s="2">
        <f>IFERROR(L712/K712*100,0)</f>
        <v>0</v>
      </c>
    </row>
    <row r="713" spans="13:13">
      <c r="M713" s="2">
        <f>IFERROR(L713/K713*100,0)</f>
        <v>0</v>
      </c>
    </row>
    <row r="714" spans="13:13">
      <c r="M714" s="2">
        <f>IFERROR(L714/K714*100,0)</f>
        <v>0</v>
      </c>
    </row>
    <row r="715" spans="13:13">
      <c r="M715" s="2">
        <f>IFERROR(L715/K715*100,0)</f>
        <v>0</v>
      </c>
    </row>
    <row r="716" spans="13:13">
      <c r="M716" s="2">
        <f>IFERROR(L716/K716*100,0)</f>
        <v>0</v>
      </c>
    </row>
    <row r="717" spans="13:13">
      <c r="M717" s="2">
        <f>IFERROR(L717/K717*100,0)</f>
        <v>0</v>
      </c>
    </row>
    <row r="718" spans="13:13">
      <c r="M718" s="2">
        <f>IFERROR(L718/K718*100,0)</f>
        <v>0</v>
      </c>
    </row>
    <row r="719" spans="13:13">
      <c r="M719" s="2">
        <f>IFERROR(L719/K719*100,0)</f>
        <v>0</v>
      </c>
    </row>
    <row r="720" spans="13:13">
      <c r="M720" s="2">
        <f>IFERROR(L720/K720*100,0)</f>
        <v>0</v>
      </c>
    </row>
    <row r="721" spans="13:13">
      <c r="M721" s="2">
        <f>IFERROR(L721/K721*100,0)</f>
        <v>0</v>
      </c>
    </row>
    <row r="722" spans="13:13">
      <c r="M722" s="2">
        <f>IFERROR(L722/K722*100,0)</f>
        <v>0</v>
      </c>
    </row>
    <row r="723" spans="13:13">
      <c r="M723" s="2">
        <f>IFERROR(L723/K723*100,0)</f>
        <v>0</v>
      </c>
    </row>
    <row r="724" spans="13:13">
      <c r="M724" s="2">
        <f>IFERROR(L724/K724*100,0)</f>
        <v>0</v>
      </c>
    </row>
    <row r="725" spans="13:13">
      <c r="M725" s="2">
        <f>IFERROR(L725/K725*100,0)</f>
        <v>0</v>
      </c>
    </row>
    <row r="726" spans="13:13">
      <c r="M726" s="2">
        <f>IFERROR(L726/K726*100,0)</f>
        <v>0</v>
      </c>
    </row>
    <row r="727" spans="13:13">
      <c r="M727" s="2">
        <f>IFERROR(L727/K727*100,0)</f>
        <v>0</v>
      </c>
    </row>
    <row r="728" spans="13:13">
      <c r="M728" s="2">
        <f>IFERROR(L728/K728*100,0)</f>
        <v>0</v>
      </c>
    </row>
    <row r="729" spans="13:13">
      <c r="M729" s="2">
        <f>IFERROR(L729/K729*100,0)</f>
        <v>0</v>
      </c>
    </row>
    <row r="730" spans="13:13">
      <c r="M730" s="2">
        <f>IFERROR(L730/K730*100,0)</f>
        <v>0</v>
      </c>
    </row>
    <row r="731" spans="13:13">
      <c r="M731" s="2">
        <f>IFERROR(L731/K731*100,0)</f>
        <v>0</v>
      </c>
    </row>
    <row r="732" spans="13:13">
      <c r="M732" s="2">
        <f>IFERROR(L732/K732*100,0)</f>
        <v>0</v>
      </c>
    </row>
    <row r="733" spans="13:13">
      <c r="M733" s="2">
        <f>IFERROR(L733/K733*100,0)</f>
        <v>0</v>
      </c>
    </row>
    <row r="734" spans="13:13">
      <c r="M734" s="2">
        <f>IFERROR(L734/K734*100,0)</f>
        <v>0</v>
      </c>
    </row>
    <row r="735" spans="13:13">
      <c r="M735" s="2">
        <f>IFERROR(L735/K735*100,0)</f>
        <v>0</v>
      </c>
    </row>
    <row r="736" spans="13:13">
      <c r="M736" s="2">
        <f>IFERROR(L736/K736*100,0)</f>
        <v>0</v>
      </c>
    </row>
    <row r="737" spans="13:13">
      <c r="M737" s="2">
        <f>IFERROR(L737/K737*100,0)</f>
        <v>0</v>
      </c>
    </row>
    <row r="738" spans="13:13">
      <c r="M738" s="2">
        <f>IFERROR(L738/K738*100,0)</f>
        <v>0</v>
      </c>
    </row>
    <row r="739" spans="13:13">
      <c r="M739" s="2">
        <f>IFERROR(L739/K739*100,0)</f>
        <v>0</v>
      </c>
    </row>
    <row r="740" spans="13:13">
      <c r="M740" s="2">
        <f>IFERROR(L740/K740*100,0)</f>
        <v>0</v>
      </c>
    </row>
    <row r="741" spans="13:13">
      <c r="M741" s="2">
        <f>IFERROR(L741/K741*100,0)</f>
        <v>0</v>
      </c>
    </row>
    <row r="742" spans="13:13">
      <c r="M742" s="2">
        <f>IFERROR(L742/K742*100,0)</f>
        <v>0</v>
      </c>
    </row>
    <row r="743" spans="13:13">
      <c r="M743" s="2">
        <f>IFERROR(L743/K743*100,0)</f>
        <v>0</v>
      </c>
    </row>
    <row r="744" spans="13:13">
      <c r="M744" s="2">
        <f>IFERROR(L744/K744*100,0)</f>
        <v>0</v>
      </c>
    </row>
    <row r="745" spans="13:13">
      <c r="M745" s="2">
        <f>IFERROR(L745/K745*100,0)</f>
        <v>0</v>
      </c>
    </row>
    <row r="746" spans="13:13">
      <c r="M746" s="2">
        <f>IFERROR(L746/K746*100,0)</f>
        <v>0</v>
      </c>
    </row>
    <row r="747" spans="13:13">
      <c r="M747" s="2">
        <f>IFERROR(L747/K747*100,0)</f>
        <v>0</v>
      </c>
    </row>
    <row r="748" spans="13:13">
      <c r="M748" s="2">
        <f>IFERROR(L748/K748*100,0)</f>
        <v>0</v>
      </c>
    </row>
    <row r="749" spans="13:13">
      <c r="M749" s="2">
        <f>IFERROR(L749/K749*100,0)</f>
        <v>0</v>
      </c>
    </row>
    <row r="750" spans="13:13">
      <c r="M750" s="2">
        <f>IFERROR(L750/K750*100,0)</f>
        <v>0</v>
      </c>
    </row>
    <row r="751" spans="13:13">
      <c r="M751" s="2">
        <f>IFERROR(L751/K751*100,0)</f>
        <v>0</v>
      </c>
    </row>
    <row r="752" spans="13:13">
      <c r="M752" s="2">
        <f>IFERROR(L752/K752*100,0)</f>
        <v>0</v>
      </c>
    </row>
    <row r="753" spans="13:13">
      <c r="M753" s="2">
        <f>IFERROR(L753/K753*100,0)</f>
        <v>0</v>
      </c>
    </row>
    <row r="754" spans="13:13">
      <c r="M754" s="2">
        <f>IFERROR(L754/K754*100,0)</f>
        <v>0</v>
      </c>
    </row>
    <row r="755" spans="13:13">
      <c r="M755" s="2">
        <f>IFERROR(L755/K755*100,0)</f>
        <v>0</v>
      </c>
    </row>
    <row r="756" spans="13:13">
      <c r="M756" s="2">
        <f>IFERROR(L756/K756*100,0)</f>
        <v>0</v>
      </c>
    </row>
    <row r="757" spans="13:13">
      <c r="M757" s="2">
        <f>IFERROR(L757/K757*100,0)</f>
        <v>0</v>
      </c>
    </row>
    <row r="758" spans="13:13">
      <c r="M758" s="2">
        <f>IFERROR(L758/K758*100,0)</f>
        <v>0</v>
      </c>
    </row>
    <row r="759" spans="13:13">
      <c r="M759" s="2">
        <f>IFERROR(L759/K759*100,0)</f>
        <v>0</v>
      </c>
    </row>
    <row r="760" spans="13:13">
      <c r="M760" s="2">
        <f>IFERROR(L760/K760*100,0)</f>
        <v>0</v>
      </c>
    </row>
    <row r="761" spans="13:13">
      <c r="M761" s="2">
        <f>IFERROR(L761/K761*100,0)</f>
        <v>0</v>
      </c>
    </row>
    <row r="762" spans="13:13">
      <c r="M762" s="2">
        <f>IFERROR(L762/K762*100,0)</f>
        <v>0</v>
      </c>
    </row>
    <row r="763" spans="13:13">
      <c r="M763" s="2">
        <f>IFERROR(L763/K763*100,0)</f>
        <v>0</v>
      </c>
    </row>
    <row r="764" spans="13:13">
      <c r="M764" s="2">
        <f>IFERROR(L764/K764*100,0)</f>
        <v>0</v>
      </c>
    </row>
    <row r="765" spans="13:13">
      <c r="M765" s="2">
        <f>IFERROR(L765/K765*100,0)</f>
        <v>0</v>
      </c>
    </row>
    <row r="766" spans="13:13">
      <c r="M766" s="2">
        <f>IFERROR(L766/K766*100,0)</f>
        <v>0</v>
      </c>
    </row>
    <row r="767" spans="13:13">
      <c r="M767" s="2">
        <f>IFERROR(L767/K767*100,0)</f>
        <v>0</v>
      </c>
    </row>
    <row r="768" spans="13:13">
      <c r="M768" s="2">
        <f>IFERROR(L768/K768*100,0)</f>
        <v>0</v>
      </c>
    </row>
    <row r="769" spans="13:13">
      <c r="M769" s="2">
        <f>IFERROR(L769/K769*100,0)</f>
        <v>0</v>
      </c>
    </row>
    <row r="770" spans="13:13">
      <c r="M770" s="2">
        <f>IFERROR(L770/K770*100,0)</f>
        <v>0</v>
      </c>
    </row>
    <row r="771" spans="13:13">
      <c r="M771" s="2">
        <f>IFERROR(L771/K771*100,0)</f>
        <v>0</v>
      </c>
    </row>
    <row r="772" spans="13:13">
      <c r="M772" s="2">
        <f>IFERROR(L772/K772*100,0)</f>
        <v>0</v>
      </c>
    </row>
    <row r="773" spans="13:13">
      <c r="M773" s="2">
        <f>IFERROR(L773/K773*100,0)</f>
        <v>0</v>
      </c>
    </row>
    <row r="774" spans="13:13">
      <c r="M774" s="2">
        <f>IFERROR(L774/K774*100,0)</f>
        <v>0</v>
      </c>
    </row>
    <row r="775" spans="13:13">
      <c r="M775" s="2">
        <f>IFERROR(L775/K775*100,0)</f>
        <v>0</v>
      </c>
    </row>
    <row r="776" spans="13:13">
      <c r="M776" s="2">
        <f>IFERROR(L776/K776*100,0)</f>
        <v>0</v>
      </c>
    </row>
    <row r="777" spans="13:13">
      <c r="M777" s="2">
        <f>IFERROR(L777/K777*100,0)</f>
        <v>0</v>
      </c>
    </row>
    <row r="778" spans="13:13">
      <c r="M778" s="2">
        <f>IFERROR(L778/K778*100,0)</f>
        <v>0</v>
      </c>
    </row>
    <row r="779" spans="13:13">
      <c r="M779" s="2">
        <f>IFERROR(L779/K779*100,0)</f>
        <v>0</v>
      </c>
    </row>
    <row r="780" spans="13:13">
      <c r="M780" s="2">
        <f>IFERROR(L780/K780*100,0)</f>
        <v>0</v>
      </c>
    </row>
    <row r="781" spans="13:13">
      <c r="M781" s="2">
        <f>IFERROR(L781/K781*100,0)</f>
        <v>0</v>
      </c>
    </row>
    <row r="782" spans="13:13">
      <c r="M782" s="2">
        <f>IFERROR(L782/K782*100,0)</f>
        <v>0</v>
      </c>
    </row>
    <row r="783" spans="13:13">
      <c r="M783" s="2">
        <f>IFERROR(L783/K783*100,0)</f>
        <v>0</v>
      </c>
    </row>
    <row r="784" spans="13:13">
      <c r="M784" s="2">
        <f>IFERROR(L784/K784*100,0)</f>
        <v>0</v>
      </c>
    </row>
    <row r="785" spans="13:13">
      <c r="M785" s="2">
        <f>IFERROR(L785/K785*100,0)</f>
        <v>0</v>
      </c>
    </row>
    <row r="786" spans="13:13">
      <c r="M786" s="2">
        <f>IFERROR(L786/K786*100,0)</f>
        <v>0</v>
      </c>
    </row>
    <row r="787" spans="13:13">
      <c r="M787" s="2">
        <f>IFERROR(L787/K787*100,0)</f>
        <v>0</v>
      </c>
    </row>
    <row r="788" spans="13:13">
      <c r="M788" s="2">
        <f>IFERROR(L788/K788*100,0)</f>
        <v>0</v>
      </c>
    </row>
    <row r="789" spans="13:13">
      <c r="M789" s="2">
        <f>IFERROR(L789/K789*100,0)</f>
        <v>0</v>
      </c>
    </row>
    <row r="790" spans="13:13">
      <c r="M790" s="2">
        <f>IFERROR(L790/K790*100,0)</f>
        <v>0</v>
      </c>
    </row>
    <row r="791" spans="13:13">
      <c r="M791" s="2">
        <f>IFERROR(L791/K791*100,0)</f>
        <v>0</v>
      </c>
    </row>
    <row r="792" spans="13:13">
      <c r="M792" s="2">
        <f>IFERROR(L792/K792*100,0)</f>
        <v>0</v>
      </c>
    </row>
    <row r="793" spans="13:13">
      <c r="M793" s="2">
        <f>IFERROR(L793/K793*100,0)</f>
        <v>0</v>
      </c>
    </row>
    <row r="794" spans="13:13">
      <c r="M794" s="2">
        <f>IFERROR(L794/K794*100,0)</f>
        <v>0</v>
      </c>
    </row>
    <row r="795" spans="13:13">
      <c r="M795" s="2">
        <f>IFERROR(L795/K795*100,0)</f>
        <v>0</v>
      </c>
    </row>
    <row r="796" spans="13:13">
      <c r="M796" s="2">
        <f>IFERROR(L796/K796*100,0)</f>
        <v>0</v>
      </c>
    </row>
    <row r="797" spans="13:13">
      <c r="M797" s="2">
        <f>IFERROR(L797/K797*100,0)</f>
        <v>0</v>
      </c>
    </row>
    <row r="798" spans="13:13">
      <c r="M798" s="2">
        <f>IFERROR(L798/K798*100,0)</f>
        <v>0</v>
      </c>
    </row>
    <row r="799" spans="13:13">
      <c r="M799" s="2">
        <f>IFERROR(L799/K799*100,0)</f>
        <v>0</v>
      </c>
    </row>
    <row r="800" spans="13:13">
      <c r="M800" s="2">
        <f>IFERROR(L800/K800*100,0)</f>
        <v>0</v>
      </c>
    </row>
    <row r="801" spans="13:13">
      <c r="M801" s="2">
        <f>IFERROR(L801/K801*100,0)</f>
        <v>0</v>
      </c>
    </row>
    <row r="802" spans="13:13">
      <c r="M802" s="2">
        <f>IFERROR(L802/K802*100,0)</f>
        <v>0</v>
      </c>
    </row>
    <row r="803" spans="13:13">
      <c r="M803" s="2">
        <f>IFERROR(L803/K803*100,0)</f>
        <v>0</v>
      </c>
    </row>
    <row r="804" spans="13:13">
      <c r="M804" s="2">
        <f>IFERROR(L804/K804*100,0)</f>
        <v>0</v>
      </c>
    </row>
    <row r="805" spans="13:13">
      <c r="M805" s="2">
        <f>IFERROR(L805/K805*100,0)</f>
        <v>0</v>
      </c>
    </row>
    <row r="806" spans="13:13">
      <c r="M806" s="2">
        <f>IFERROR(L806/K806*100,0)</f>
        <v>0</v>
      </c>
    </row>
    <row r="807" spans="13:13">
      <c r="M807" s="2">
        <f>IFERROR(L807/K807*100,0)</f>
        <v>0</v>
      </c>
    </row>
    <row r="808" spans="13:13">
      <c r="M808" s="2">
        <f>IFERROR(L808/K808*100,0)</f>
        <v>0</v>
      </c>
    </row>
    <row r="809" spans="13:13">
      <c r="M809" s="2">
        <f>IFERROR(L809/K809*100,0)</f>
        <v>0</v>
      </c>
    </row>
    <row r="810" spans="13:13">
      <c r="M810" s="2">
        <f>IFERROR(L810/K810*100,0)</f>
        <v>0</v>
      </c>
    </row>
    <row r="811" spans="13:13">
      <c r="M811" s="2">
        <f>IFERROR(L811/K811*100,0)</f>
        <v>0</v>
      </c>
    </row>
    <row r="812" spans="13:13">
      <c r="M812" s="2">
        <f>IFERROR(L812/K812*100,0)</f>
        <v>0</v>
      </c>
    </row>
    <row r="813" spans="13:13">
      <c r="M813" s="2">
        <f>IFERROR(L813/K813*100,0)</f>
        <v>0</v>
      </c>
    </row>
    <row r="814" spans="13:13">
      <c r="M814" s="2">
        <f>IFERROR(L814/K814*100,0)</f>
        <v>0</v>
      </c>
    </row>
    <row r="815" spans="13:13">
      <c r="M815" s="2">
        <f>IFERROR(L815/K815*100,0)</f>
        <v>0</v>
      </c>
    </row>
    <row r="816" spans="13:13">
      <c r="M816" s="2">
        <f>IFERROR(L816/K816*100,0)</f>
        <v>0</v>
      </c>
    </row>
    <row r="817" spans="13:13">
      <c r="M817" s="2">
        <f>IFERROR(L817/K817*100,0)</f>
        <v>0</v>
      </c>
    </row>
    <row r="818" spans="13:13">
      <c r="M818" s="2">
        <f>IFERROR(L818/K818*100,0)</f>
        <v>0</v>
      </c>
    </row>
    <row r="819" spans="13:13">
      <c r="M819" s="2">
        <f>IFERROR(L819/K819*100,0)</f>
        <v>0</v>
      </c>
    </row>
    <row r="820" spans="13:13">
      <c r="M820" s="2">
        <f>IFERROR(L820/K820*100,0)</f>
        <v>0</v>
      </c>
    </row>
    <row r="821" spans="13:13">
      <c r="M821" s="2">
        <f>IFERROR(L821/K821*100,0)</f>
        <v>0</v>
      </c>
    </row>
    <row r="822" spans="13:13">
      <c r="M822" s="2">
        <f>IFERROR(L822/K822*100,0)</f>
        <v>0</v>
      </c>
    </row>
    <row r="823" spans="13:13">
      <c r="M823" s="2">
        <f>IFERROR(L823/K823*100,0)</f>
        <v>0</v>
      </c>
    </row>
    <row r="824" spans="13:13">
      <c r="M824" s="2">
        <f>IFERROR(L824/K824*100,0)</f>
        <v>0</v>
      </c>
    </row>
    <row r="825" spans="13:13">
      <c r="M825" s="2">
        <f>IFERROR(L825/K825*100,0)</f>
        <v>0</v>
      </c>
    </row>
    <row r="826" spans="13:13">
      <c r="M826" s="2">
        <f>IFERROR(L826/K826*100,0)</f>
        <v>0</v>
      </c>
    </row>
    <row r="827" spans="13:13">
      <c r="M827" s="2">
        <f>IFERROR(L827/K827*100,0)</f>
        <v>0</v>
      </c>
    </row>
    <row r="828" spans="13:13">
      <c r="M828" s="2">
        <f>IFERROR(L828/K828*100,0)</f>
        <v>0</v>
      </c>
    </row>
    <row r="829" spans="13:13">
      <c r="M829" s="2">
        <f>IFERROR(L829/K829*100,0)</f>
        <v>0</v>
      </c>
    </row>
    <row r="830" spans="13:13">
      <c r="M830" s="2">
        <f>IFERROR(L830/K830*100,0)</f>
        <v>0</v>
      </c>
    </row>
    <row r="831" spans="13:13">
      <c r="M831" s="2">
        <f>IFERROR(L831/K831*100,0)</f>
        <v>0</v>
      </c>
    </row>
    <row r="832" spans="13:13">
      <c r="M832" s="2">
        <f>IFERROR(L832/K832*100,0)</f>
        <v>0</v>
      </c>
    </row>
    <row r="833" spans="13:13">
      <c r="M833" s="2">
        <f>IFERROR(L833/K833*100,0)</f>
        <v>0</v>
      </c>
    </row>
    <row r="834" spans="13:13">
      <c r="M834" s="2">
        <f>IFERROR(L834/K834*100,0)</f>
        <v>0</v>
      </c>
    </row>
    <row r="835" spans="13:13">
      <c r="M835" s="2">
        <f>IFERROR(L835/K835*100,0)</f>
        <v>0</v>
      </c>
    </row>
    <row r="836" spans="13:13">
      <c r="M836" s="2">
        <f>IFERROR(L836/K836*100,0)</f>
        <v>0</v>
      </c>
    </row>
    <row r="837" spans="13:13">
      <c r="M837" s="2">
        <f>IFERROR(L837/K837*100,0)</f>
        <v>0</v>
      </c>
    </row>
    <row r="838" spans="13:13">
      <c r="M838" s="2">
        <f>IFERROR(L838/K838*100,0)</f>
        <v>0</v>
      </c>
    </row>
    <row r="839" spans="13:13">
      <c r="M839" s="2">
        <f>IFERROR(L839/K839*100,0)</f>
        <v>0</v>
      </c>
    </row>
    <row r="840" spans="13:13">
      <c r="M840" s="2">
        <f>IFERROR(L840/K840*100,0)</f>
        <v>0</v>
      </c>
    </row>
    <row r="841" spans="13:13">
      <c r="M841" s="2">
        <f>IFERROR(L841/K841*100,0)</f>
        <v>0</v>
      </c>
    </row>
    <row r="842" spans="13:13">
      <c r="M842" s="2">
        <f>IFERROR(L842/K842*100,0)</f>
        <v>0</v>
      </c>
    </row>
    <row r="843" spans="13:13">
      <c r="M843" s="2">
        <f>IFERROR(L843/K843*100,0)</f>
        <v>0</v>
      </c>
    </row>
    <row r="844" spans="13:13">
      <c r="M844" s="2">
        <f>IFERROR(L844/K844*100,0)</f>
        <v>0</v>
      </c>
    </row>
    <row r="845" spans="13:13">
      <c r="M845" s="2">
        <f>IFERROR(L845/K845*100,0)</f>
        <v>0</v>
      </c>
    </row>
    <row r="846" spans="13:13">
      <c r="M846" s="2">
        <f>IFERROR(L846/K846*100,0)</f>
        <v>0</v>
      </c>
    </row>
    <row r="847" spans="13:13">
      <c r="M847" s="2">
        <f>IFERROR(L847/K847*100,0)</f>
        <v>0</v>
      </c>
    </row>
    <row r="848" spans="13:13">
      <c r="M848" s="2">
        <f>IFERROR(L848/K848*100,0)</f>
        <v>0</v>
      </c>
    </row>
    <row r="849" spans="13:13">
      <c r="M849" s="2">
        <f>IFERROR(L849/K849*100,0)</f>
        <v>0</v>
      </c>
    </row>
    <row r="850" spans="13:13">
      <c r="M850" s="2">
        <f>IFERROR(L850/K850*100,0)</f>
        <v>0</v>
      </c>
    </row>
    <row r="851" spans="13:13">
      <c r="M851" s="2">
        <f>IFERROR(L851/K851*100,0)</f>
        <v>0</v>
      </c>
    </row>
    <row r="852" spans="13:13">
      <c r="M852" s="2">
        <f>IFERROR(L852/K852*100,0)</f>
        <v>0</v>
      </c>
    </row>
    <row r="853" spans="13:13">
      <c r="M853" s="2">
        <f>IFERROR(L853/K853*100,0)</f>
        <v>0</v>
      </c>
    </row>
    <row r="854" spans="13:13">
      <c r="M854" s="2">
        <f>IFERROR(L854/K854*100,0)</f>
        <v>0</v>
      </c>
    </row>
    <row r="855" spans="13:13">
      <c r="M855" s="2">
        <f>IFERROR(L855/K855*100,0)</f>
        <v>0</v>
      </c>
    </row>
    <row r="856" spans="13:13">
      <c r="M856" s="2">
        <f>IFERROR(L856/K856*100,0)</f>
        <v>0</v>
      </c>
    </row>
    <row r="857" spans="13:13">
      <c r="M857" s="2">
        <f>IFERROR(L857/K857*100,0)</f>
        <v>0</v>
      </c>
    </row>
    <row r="858" spans="13:13">
      <c r="M858" s="2">
        <f>IFERROR(L858/K858*100,0)</f>
        <v>0</v>
      </c>
    </row>
    <row r="859" spans="13:13">
      <c r="M859" s="2">
        <f>IFERROR(L859/K859*100,0)</f>
        <v>0</v>
      </c>
    </row>
    <row r="860" spans="13:13">
      <c r="M860" s="2">
        <f>IFERROR(L860/K860*100,0)</f>
        <v>0</v>
      </c>
    </row>
    <row r="861" spans="13:13">
      <c r="M861" s="2">
        <f>IFERROR(L861/K861*100,0)</f>
        <v>0</v>
      </c>
    </row>
    <row r="862" spans="13:13">
      <c r="M862" s="2">
        <f>IFERROR(L862/K862*100,0)</f>
        <v>0</v>
      </c>
    </row>
    <row r="863" spans="13:13">
      <c r="M863" s="2">
        <f>IFERROR(L863/K863*100,0)</f>
        <v>0</v>
      </c>
    </row>
    <row r="864" spans="13:13">
      <c r="M864" s="2">
        <f>IFERROR(L864/K864*100,0)</f>
        <v>0</v>
      </c>
    </row>
    <row r="865" spans="13:13">
      <c r="M865" s="2">
        <f>IFERROR(L865/K865*100,0)</f>
        <v>0</v>
      </c>
    </row>
    <row r="866" spans="13:13">
      <c r="M866" s="2">
        <f>IFERROR(L866/K866*100,0)</f>
        <v>0</v>
      </c>
    </row>
    <row r="867" spans="13:13">
      <c r="M867" s="2">
        <f>IFERROR(L867/K867*100,0)</f>
        <v>0</v>
      </c>
    </row>
    <row r="868" spans="13:13">
      <c r="M868" s="2">
        <f>IFERROR(L868/K868*100,0)</f>
        <v>0</v>
      </c>
    </row>
    <row r="869" spans="13:13">
      <c r="M869" s="2">
        <f>IFERROR(L869/K869*100,0)</f>
        <v>0</v>
      </c>
    </row>
    <row r="870" spans="13:13">
      <c r="M870" s="2">
        <f>IFERROR(L870/K870*100,0)</f>
        <v>0</v>
      </c>
    </row>
    <row r="871" spans="13:13">
      <c r="M871" s="2">
        <f>IFERROR(L871/K871*100,0)</f>
        <v>0</v>
      </c>
    </row>
    <row r="872" spans="13:13">
      <c r="M872" s="2">
        <f>IFERROR(L872/K872*100,0)</f>
        <v>0</v>
      </c>
    </row>
    <row r="873" spans="13:13">
      <c r="M873" s="2">
        <f>IFERROR(L873/K873*100,0)</f>
        <v>0</v>
      </c>
    </row>
    <row r="874" spans="13:13">
      <c r="M874" s="2">
        <f>IFERROR(L874/K874*100,0)</f>
        <v>0</v>
      </c>
    </row>
    <row r="875" spans="13:13">
      <c r="M875" s="2">
        <f>IFERROR(L875/K875*100,0)</f>
        <v>0</v>
      </c>
    </row>
    <row r="876" spans="13:13">
      <c r="M876" s="2">
        <f>IFERROR(L876/K876*100,0)</f>
        <v>0</v>
      </c>
    </row>
    <row r="877" spans="13:13">
      <c r="M877" s="2">
        <f>IFERROR(L877/K877*100,0)</f>
        <v>0</v>
      </c>
    </row>
    <row r="878" spans="13:13">
      <c r="M878" s="2">
        <f>IFERROR(L878/K878*100,0)</f>
        <v>0</v>
      </c>
    </row>
    <row r="879" spans="13:13">
      <c r="M879" s="2">
        <f>IFERROR(L879/K879*100,0)</f>
        <v>0</v>
      </c>
    </row>
    <row r="880" spans="13:13">
      <c r="M880" s="2">
        <f>IFERROR(L880/K880*100,0)</f>
        <v>0</v>
      </c>
    </row>
    <row r="881" spans="13:13">
      <c r="M881" s="2">
        <f>IFERROR(L881/K881*100,0)</f>
        <v>0</v>
      </c>
    </row>
    <row r="882" spans="13:13">
      <c r="M882" s="2">
        <f>IFERROR(L882/K882*100,0)</f>
        <v>0</v>
      </c>
    </row>
    <row r="883" spans="13:13">
      <c r="M883" s="2">
        <f>IFERROR(L883/K883*100,0)</f>
        <v>0</v>
      </c>
    </row>
    <row r="884" spans="13:13">
      <c r="M884" s="2">
        <f>IFERROR(L884/K884*100,0)</f>
        <v>0</v>
      </c>
    </row>
    <row r="885" spans="13:13">
      <c r="M885" s="2">
        <f>IFERROR(L885/K885*100,0)</f>
        <v>0</v>
      </c>
    </row>
    <row r="886" spans="13:13">
      <c r="M886" s="2">
        <f>IFERROR(L886/K886*100,0)</f>
        <v>0</v>
      </c>
    </row>
    <row r="887" spans="13:13">
      <c r="M887" s="2">
        <f>IFERROR(L887/K887*100,0)</f>
        <v>0</v>
      </c>
    </row>
    <row r="888" spans="13:13">
      <c r="M888" s="2">
        <f>IFERROR(L888/K888*100,0)</f>
        <v>0</v>
      </c>
    </row>
    <row r="889" spans="13:13">
      <c r="M889" s="2">
        <f>IFERROR(L889/K889*100,0)</f>
        <v>0</v>
      </c>
    </row>
    <row r="890" spans="13:13">
      <c r="M890" s="2">
        <f>IFERROR(L890/K890*100,0)</f>
        <v>0</v>
      </c>
    </row>
    <row r="891" spans="13:13">
      <c r="M891" s="2">
        <f>IFERROR(L891/K891*100,0)</f>
        <v>0</v>
      </c>
    </row>
    <row r="892" spans="13:13">
      <c r="M892" s="2">
        <f>IFERROR(L892/K892*100,0)</f>
        <v>0</v>
      </c>
    </row>
    <row r="893" spans="13:13">
      <c r="M893" s="2">
        <f>IFERROR(L893/K893*100,0)</f>
        <v>0</v>
      </c>
    </row>
    <row r="894" spans="13:13">
      <c r="M894" s="2">
        <f>IFERROR(L894/K894*100,0)</f>
        <v>0</v>
      </c>
    </row>
    <row r="895" spans="13:13">
      <c r="M895" s="2">
        <f>IFERROR(L895/K895*100,0)</f>
        <v>0</v>
      </c>
    </row>
    <row r="896" spans="13:13">
      <c r="M896" s="2">
        <f>IFERROR(L896/K896*100,0)</f>
        <v>0</v>
      </c>
    </row>
    <row r="897" spans="13:13">
      <c r="M897" s="2">
        <f>IFERROR(L897/K897*100,0)</f>
        <v>0</v>
      </c>
    </row>
    <row r="898" spans="13:13">
      <c r="M898" s="2">
        <f>IFERROR(L898/K898*100,0)</f>
        <v>0</v>
      </c>
    </row>
    <row r="899" spans="13:13">
      <c r="M899" s="2">
        <f>IFERROR(L899/K899*100,0)</f>
        <v>0</v>
      </c>
    </row>
    <row r="900" spans="13:13">
      <c r="M900" s="2">
        <f>IFERROR(L900/K900*100,0)</f>
        <v>0</v>
      </c>
    </row>
    <row r="901" spans="13:13">
      <c r="M901" s="2">
        <f>IFERROR(L901/K901*100,0)</f>
        <v>0</v>
      </c>
    </row>
    <row r="902" spans="13:13">
      <c r="M902" s="2">
        <f>IFERROR(L902/K902*100,0)</f>
        <v>0</v>
      </c>
    </row>
    <row r="903" spans="13:13">
      <c r="M903" s="2">
        <f>IFERROR(L903/K903*100,0)</f>
        <v>0</v>
      </c>
    </row>
    <row r="904" spans="13:13">
      <c r="M904" s="2">
        <f>IFERROR(L904/K904*100,0)</f>
        <v>0</v>
      </c>
    </row>
    <row r="905" spans="13:13">
      <c r="M905" s="2">
        <f>IFERROR(L905/K905*100,0)</f>
        <v>0</v>
      </c>
    </row>
    <row r="906" spans="13:13">
      <c r="M906" s="2">
        <f>IFERROR(L906/K906*100,0)</f>
        <v>0</v>
      </c>
    </row>
    <row r="907" spans="13:13">
      <c r="M907" s="2">
        <f>IFERROR(L907/K907*100,0)</f>
        <v>0</v>
      </c>
    </row>
    <row r="908" spans="13:13">
      <c r="M908" s="2">
        <f>IFERROR(L908/K908*100,0)</f>
        <v>0</v>
      </c>
    </row>
    <row r="909" spans="13:13">
      <c r="M909" s="2">
        <f>IFERROR(L909/K909*100,0)</f>
        <v>0</v>
      </c>
    </row>
    <row r="910" spans="13:13">
      <c r="M910" s="2">
        <f>IFERROR(L910/K910*100,0)</f>
        <v>0</v>
      </c>
    </row>
    <row r="911" spans="13:13">
      <c r="M911" s="2">
        <f>IFERROR(L911/K911*100,0)</f>
        <v>0</v>
      </c>
    </row>
    <row r="912" spans="13:13">
      <c r="M912" s="2">
        <f>IFERROR(L912/K912*100,0)</f>
        <v>0</v>
      </c>
    </row>
    <row r="913" spans="13:13">
      <c r="M913" s="2">
        <f>IFERROR(L913/K913*100,0)</f>
        <v>0</v>
      </c>
    </row>
    <row r="914" spans="13:13">
      <c r="M914" s="2">
        <f>IFERROR(L914/K914*100,0)</f>
        <v>0</v>
      </c>
    </row>
    <row r="915" spans="13:13">
      <c r="M915" s="2">
        <f>IFERROR(L915/K915*100,0)</f>
        <v>0</v>
      </c>
    </row>
    <row r="916" spans="13:13">
      <c r="M916" s="2">
        <f>IFERROR(L916/K916*100,0)</f>
        <v>0</v>
      </c>
    </row>
    <row r="917" spans="13:13">
      <c r="M917" s="2">
        <f>IFERROR(L917/K917*100,0)</f>
        <v>0</v>
      </c>
    </row>
    <row r="918" spans="13:13">
      <c r="M918" s="2">
        <f>IFERROR(L918/K918*100,0)</f>
        <v>0</v>
      </c>
    </row>
    <row r="919" spans="13:13">
      <c r="M919" s="2">
        <f>IFERROR(L919/K919*100,0)</f>
        <v>0</v>
      </c>
    </row>
    <row r="920" spans="13:13">
      <c r="M920" s="2">
        <f>IFERROR(L920/K920*100,0)</f>
        <v>0</v>
      </c>
    </row>
    <row r="921" spans="13:13">
      <c r="M921" s="2">
        <f>IFERROR(L921/K921*100,0)</f>
        <v>0</v>
      </c>
    </row>
    <row r="922" spans="13:13">
      <c r="M922" s="2">
        <f>IFERROR(L922/K922*100,0)</f>
        <v>0</v>
      </c>
    </row>
    <row r="923" spans="13:13">
      <c r="M923" s="2">
        <f>IFERROR(L923/K923*100,0)</f>
        <v>0</v>
      </c>
    </row>
    <row r="924" spans="13:13">
      <c r="M924" s="2">
        <f>IFERROR(L924/K924*100,0)</f>
        <v>0</v>
      </c>
    </row>
    <row r="925" spans="13:13">
      <c r="M925" s="2">
        <f>IFERROR(L925/K925*100,0)</f>
        <v>0</v>
      </c>
    </row>
    <row r="926" spans="13:13">
      <c r="M926" s="2">
        <f>IFERROR(L926/K926*100,0)</f>
        <v>0</v>
      </c>
    </row>
    <row r="927" spans="13:13">
      <c r="M927" s="2">
        <f>IFERROR(L927/K927*100,0)</f>
        <v>0</v>
      </c>
    </row>
    <row r="928" spans="13:13">
      <c r="M928" s="2">
        <f>IFERROR(L928/K928*100,0)</f>
        <v>0</v>
      </c>
    </row>
    <row r="929" spans="13:13">
      <c r="M929" s="2">
        <f>IFERROR(L929/K929*100,0)</f>
        <v>0</v>
      </c>
    </row>
    <row r="930" spans="13:13">
      <c r="M930" s="2">
        <f>IFERROR(L930/K930*100,0)</f>
        <v>0</v>
      </c>
    </row>
    <row r="931" spans="13:13">
      <c r="M931" s="2">
        <f>IFERROR(L931/K931*100,0)</f>
        <v>0</v>
      </c>
    </row>
    <row r="932" spans="13:13">
      <c r="M932" s="2">
        <f>IFERROR(L932/K932*100,0)</f>
        <v>0</v>
      </c>
    </row>
    <row r="933" spans="13:13">
      <c r="M933" s="2">
        <f>IFERROR(L933/K933*100,0)</f>
        <v>0</v>
      </c>
    </row>
    <row r="934" spans="13:13">
      <c r="M934" s="2">
        <f>IFERROR(L934/K934*100,0)</f>
        <v>0</v>
      </c>
    </row>
    <row r="935" spans="13:13">
      <c r="M935" s="2">
        <f>IFERROR(L935/K935*100,0)</f>
        <v>0</v>
      </c>
    </row>
    <row r="936" spans="13:13">
      <c r="M936" s="2">
        <f>IFERROR(L936/K936*100,0)</f>
        <v>0</v>
      </c>
    </row>
    <row r="937" spans="13:13">
      <c r="M937" s="2">
        <f>IFERROR(L937/K937*100,0)</f>
        <v>0</v>
      </c>
    </row>
    <row r="938" spans="13:13">
      <c r="M938" s="2">
        <f>IFERROR(L938/K938*100,0)</f>
        <v>0</v>
      </c>
    </row>
    <row r="939" spans="13:13">
      <c r="M939" s="2">
        <f>IFERROR(L939/K939*100,0)</f>
        <v>0</v>
      </c>
    </row>
    <row r="940" spans="13:13">
      <c r="M940" s="2">
        <f>IFERROR(L940/K940*100,0)</f>
        <v>0</v>
      </c>
    </row>
    <row r="941" spans="13:13">
      <c r="M941" s="2">
        <f>IFERROR(L941/K941*100,0)</f>
        <v>0</v>
      </c>
    </row>
    <row r="942" spans="13:13">
      <c r="M942" s="2">
        <f>IFERROR(L942/K942*100,0)</f>
        <v>0</v>
      </c>
    </row>
    <row r="943" spans="13:13">
      <c r="M943" s="2">
        <f>IFERROR(L943/K943*100,0)</f>
        <v>0</v>
      </c>
    </row>
    <row r="944" spans="13:13">
      <c r="M944" s="2">
        <f>IFERROR(L944/K944*100,0)</f>
        <v>0</v>
      </c>
    </row>
    <row r="945" spans="13:13">
      <c r="M945" s="2">
        <f>IFERROR(L945/K945*100,0)</f>
        <v>0</v>
      </c>
    </row>
    <row r="946" spans="13:13">
      <c r="M946" s="2">
        <f>IFERROR(L946/K946*100,0)</f>
        <v>0</v>
      </c>
    </row>
    <row r="947" spans="13:13">
      <c r="M947" s="2">
        <f>IFERROR(L947/K947*100,0)</f>
        <v>0</v>
      </c>
    </row>
    <row r="948" spans="13:13">
      <c r="M948" s="2">
        <f>IFERROR(L948/K948*100,0)</f>
        <v>0</v>
      </c>
    </row>
    <row r="949" spans="13:13">
      <c r="M949" s="2">
        <f>IFERROR(L949/K949*100,0)</f>
        <v>0</v>
      </c>
    </row>
    <row r="950" spans="13:13">
      <c r="M950" s="2">
        <f>IFERROR(L950/K950*100,0)</f>
        <v>0</v>
      </c>
    </row>
    <row r="951" spans="13:13">
      <c r="M951" s="2">
        <f>IFERROR(L951/K951*100,0)</f>
        <v>0</v>
      </c>
    </row>
    <row r="952" spans="13:13">
      <c r="M952" s="2">
        <f>IFERROR(L952/K952*100,0)</f>
        <v>0</v>
      </c>
    </row>
    <row r="953" spans="13:13">
      <c r="M953" s="2">
        <f>IFERROR(L953/K953*100,0)</f>
        <v>0</v>
      </c>
    </row>
    <row r="954" spans="13:13">
      <c r="M954" s="2">
        <f>IFERROR(L954/K954*100,0)</f>
        <v>0</v>
      </c>
    </row>
    <row r="955" spans="13:13">
      <c r="M955" s="2">
        <f>IFERROR(L955/K955*100,0)</f>
        <v>0</v>
      </c>
    </row>
    <row r="956" spans="13:13">
      <c r="M956" s="2">
        <f>IFERROR(L956/K956*100,0)</f>
        <v>0</v>
      </c>
    </row>
    <row r="957" spans="13:13">
      <c r="M957" s="2">
        <f>IFERROR(L957/K957*100,0)</f>
        <v>0</v>
      </c>
    </row>
    <row r="958" spans="13:13">
      <c r="M958" s="2">
        <f>IFERROR(L958/K958*100,0)</f>
        <v>0</v>
      </c>
    </row>
    <row r="959" spans="13:13">
      <c r="M959" s="2">
        <f>IFERROR(L959/K959*100,0)</f>
        <v>0</v>
      </c>
    </row>
    <row r="960" spans="13:13">
      <c r="M960" s="2">
        <f>IFERROR(L960/K960*100,0)</f>
        <v>0</v>
      </c>
    </row>
    <row r="961" spans="13:13">
      <c r="M961" s="2">
        <f>IFERROR(L961/K961*100,0)</f>
        <v>0</v>
      </c>
    </row>
    <row r="962" spans="13:13">
      <c r="M962" s="2">
        <f>IFERROR(L962/K962*100,0)</f>
        <v>0</v>
      </c>
    </row>
    <row r="963" spans="13:13">
      <c r="M963" s="2">
        <f>IFERROR(L963/K963*100,0)</f>
        <v>0</v>
      </c>
    </row>
    <row r="964" spans="13:13">
      <c r="M964" s="2">
        <f>IFERROR(L964/K964*100,0)</f>
        <v>0</v>
      </c>
    </row>
    <row r="965" spans="13:13">
      <c r="M965" s="2">
        <f>IFERROR(L965/K965*100,0)</f>
        <v>0</v>
      </c>
    </row>
    <row r="966" spans="13:13">
      <c r="M966" s="2">
        <f>IFERROR(L966/K966*100,0)</f>
        <v>0</v>
      </c>
    </row>
    <row r="967" spans="13:13">
      <c r="M967" s="2">
        <f>IFERROR(L967/K967*100,0)</f>
        <v>0</v>
      </c>
    </row>
    <row r="968" spans="13:13">
      <c r="M968" s="2">
        <f>IFERROR(L968/K968*100,0)</f>
        <v>0</v>
      </c>
    </row>
    <row r="969" spans="13:13">
      <c r="M969" s="2">
        <f>IFERROR(L969/K969*100,0)</f>
        <v>0</v>
      </c>
    </row>
    <row r="970" spans="13:13">
      <c r="M970" s="2">
        <f>IFERROR(L970/K970*100,0)</f>
        <v>0</v>
      </c>
    </row>
    <row r="971" spans="13:13">
      <c r="M971" s="2">
        <f>IFERROR(L971/K971*100,0)</f>
        <v>0</v>
      </c>
    </row>
    <row r="972" spans="13:13">
      <c r="M972" s="2">
        <f>IFERROR(L972/K972*100,0)</f>
        <v>0</v>
      </c>
    </row>
    <row r="973" spans="13:13">
      <c r="M973" s="2">
        <f>IFERROR(L973/K973*100,0)</f>
        <v>0</v>
      </c>
    </row>
    <row r="974" spans="13:13">
      <c r="M974" s="2">
        <f>IFERROR(L974/K974*100,0)</f>
        <v>0</v>
      </c>
    </row>
    <row r="975" spans="13:13">
      <c r="M975" s="2">
        <f>IFERROR(L975/K975*100,0)</f>
        <v>0</v>
      </c>
    </row>
    <row r="976" spans="13:13">
      <c r="M976" s="2">
        <f>IFERROR(L976/K976*100,0)</f>
        <v>0</v>
      </c>
    </row>
    <row r="977" spans="13:13">
      <c r="M977" s="2">
        <f>IFERROR(L977/K977*100,0)</f>
        <v>0</v>
      </c>
    </row>
    <row r="978" spans="13:13">
      <c r="M978" s="2">
        <f>IFERROR(L978/K978*100,0)</f>
        <v>0</v>
      </c>
    </row>
    <row r="979" spans="13:13">
      <c r="M979" s="2">
        <f>IFERROR(L979/K979*100,0)</f>
        <v>0</v>
      </c>
    </row>
    <row r="980" spans="13:13">
      <c r="M980" s="2">
        <f>IFERROR(L980/K980*100,0)</f>
        <v>0</v>
      </c>
    </row>
    <row r="981" spans="13:13">
      <c r="M981" s="2">
        <f>IFERROR(L981/K981*100,0)</f>
        <v>0</v>
      </c>
    </row>
    <row r="982" spans="13:13">
      <c r="M982" s="2">
        <f>IFERROR(L982/K982*100,0)</f>
        <v>0</v>
      </c>
    </row>
    <row r="983" spans="13:13">
      <c r="M983" s="2">
        <f>IFERROR(L983/K983*100,0)</f>
        <v>0</v>
      </c>
    </row>
    <row r="984" spans="13:13">
      <c r="M984" s="2">
        <f>IFERROR(L984/K984*100,0)</f>
        <v>0</v>
      </c>
    </row>
    <row r="985" spans="13:13">
      <c r="M985" s="2">
        <f>IFERROR(L985/K985*100,0)</f>
        <v>0</v>
      </c>
    </row>
    <row r="986" spans="13:13">
      <c r="M986" s="2">
        <f>IFERROR(L986/K986*100,0)</f>
        <v>0</v>
      </c>
    </row>
    <row r="987" spans="13:13">
      <c r="M987" s="2">
        <f>IFERROR(L987/K987*100,0)</f>
        <v>0</v>
      </c>
    </row>
    <row r="988" spans="13:13">
      <c r="M988" s="2">
        <f>IFERROR(L988/K988*100,0)</f>
        <v>0</v>
      </c>
    </row>
    <row r="989" spans="13:13">
      <c r="M989" s="2">
        <f>IFERROR(L989/K989*100,0)</f>
        <v>0</v>
      </c>
    </row>
    <row r="990" spans="13:13">
      <c r="M990" s="2">
        <f>IFERROR(L990/K990*100,0)</f>
        <v>0</v>
      </c>
    </row>
    <row r="991" spans="13:13">
      <c r="M991" s="2">
        <f>IFERROR(L991/K991*100,0)</f>
        <v>0</v>
      </c>
    </row>
    <row r="992" spans="13:13">
      <c r="M992" s="2">
        <f>IFERROR(L992/K992*100,0)</f>
        <v>0</v>
      </c>
    </row>
    <row r="993" spans="13:13">
      <c r="M993" s="2">
        <f>IFERROR(L993/K993*100,0)</f>
        <v>0</v>
      </c>
    </row>
    <row r="994" spans="13:13">
      <c r="M994" s="2">
        <f>IFERROR(L994/K994*100,0)</f>
        <v>0</v>
      </c>
    </row>
    <row r="995" spans="13:13">
      <c r="M995" s="2">
        <f>IFERROR(L995/K995*100,0)</f>
        <v>0</v>
      </c>
    </row>
    <row r="996" spans="13:13">
      <c r="M996" s="2">
        <f>IFERROR(L996/K996*100,0)</f>
        <v>0</v>
      </c>
    </row>
    <row r="997" spans="13:13">
      <c r="M997" s="2">
        <f>IFERROR(L997/K997*100,0)</f>
        <v>0</v>
      </c>
    </row>
    <row r="998" spans="13:13">
      <c r="M998" s="2">
        <f>IFERROR(L998/K998*100,0)</f>
        <v>0</v>
      </c>
    </row>
    <row r="999" spans="13:13">
      <c r="M999" s="2">
        <f>IFERROR(L999/K999*100,0)</f>
        <v>0</v>
      </c>
    </row>
    <row r="1000" spans="13:13">
      <c r="M1000" s="2">
        <f>IFERROR(L1000/K1000*100,0)</f>
        <v>0</v>
      </c>
    </row>
    <row r="1001" spans="13:13">
      <c r="M1001" s="2">
        <f>IFERROR(L1001/K1001*100,0)</f>
        <v>0</v>
      </c>
    </row>
    <row r="1002" spans="13:13">
      <c r="M1002" s="2">
        <f>IFERROR(L1002/K1002*100,0)</f>
        <v>0</v>
      </c>
    </row>
    <row r="1003" spans="13:13">
      <c r="M1003" s="2">
        <f>IFERROR(L1003/K1003*100,0)</f>
        <v>0</v>
      </c>
    </row>
  </sheetData>
  <mergeCells count="2">
    <mergeCell ref="A1:N1"/>
    <mergeCell ref="A2:N2"/>
  </mergeCells>
  <dataValidations count="3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N4:N100003">
      <formula1>L_Status</formula1>
    </dataValidation>
  </dataValidations>
  <hyperlinks>
    <hyperlink ref="P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tabColor rgb="FF64748B"/>
    <pageSetUpPr fitToPage="1"/>
  </sheetPr>
  <dimension ref="A1:Q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1.7109375" style="1" customWidth="1"/>
    <col min="3" max="4" width="9.7109375" style="1" customWidth="1"/>
    <col min="5" max="5" width="14.7109375" style="1" customWidth="1"/>
    <col min="6" max="6" width="12.7109375" style="1" customWidth="1"/>
    <col min="7" max="7" width="17.7109375" style="1" customWidth="1"/>
    <col min="8" max="8" width="18.7109375" style="1" customWidth="1"/>
    <col min="9" max="9" width="14.7109375" style="2" customWidth="1"/>
    <col min="10" max="11" width="16.7109375" style="1" customWidth="1"/>
    <col min="12" max="12" width="18.7109375" style="1" customWidth="1"/>
    <col min="13" max="13" width="13.7109375" style="1" customWidth="1"/>
    <col min="14" max="14" width="17.7109375" style="1" customWidth="1"/>
    <col min="15" max="15" width="9.7109375" style="1" customWidth="1"/>
  </cols>
  <sheetData>
    <row r="1" spans="1:17" ht="22" customHeight="1">
      <c r="A1" s="3" t="s">
        <v>888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937</v>
      </c>
      <c r="C3" s="1" t="s">
        <v>126</v>
      </c>
      <c r="D3" s="1" t="s">
        <v>127</v>
      </c>
      <c r="E3" s="1" t="s">
        <v>938</v>
      </c>
      <c r="F3" s="1" t="s">
        <v>571</v>
      </c>
      <c r="G3" s="1" t="s">
        <v>939</v>
      </c>
      <c r="H3" s="1" t="s">
        <v>940</v>
      </c>
      <c r="I3" s="2" t="s">
        <v>134</v>
      </c>
      <c r="J3" s="1" t="s">
        <v>135</v>
      </c>
      <c r="K3" s="1" t="s">
        <v>941</v>
      </c>
      <c r="L3" s="1" t="s">
        <v>942</v>
      </c>
      <c r="M3" s="1" t="s">
        <v>576</v>
      </c>
      <c r="N3" s="1" t="s">
        <v>943</v>
      </c>
      <c r="O3" s="1" t="s">
        <v>288</v>
      </c>
    </row>
    <row r="4" spans="1:17">
      <c r="A4" s="1">
        <v>1</v>
      </c>
      <c r="B4" s="1" t="s">
        <v>889</v>
      </c>
      <c r="C4" s="5">
        <v>46029</v>
      </c>
      <c r="D4" s="1" t="s">
        <v>3</v>
      </c>
      <c r="E4" s="6" t="s">
        <v>64</v>
      </c>
      <c r="F4" s="6" t="s">
        <v>104</v>
      </c>
      <c r="G4" s="1">
        <v>33</v>
      </c>
      <c r="H4" s="1">
        <v>53</v>
      </c>
      <c r="I4" s="2">
        <f>IFERROR(H4/G4*100,0)</f>
        <v>0</v>
      </c>
      <c r="J4" s="1">
        <v>37</v>
      </c>
      <c r="K4" s="1">
        <v>1</v>
      </c>
      <c r="L4" s="1" t="s">
        <v>36</v>
      </c>
      <c r="M4" s="1"/>
      <c r="N4" s="1" t="s">
        <v>23</v>
      </c>
      <c r="O4" s="1" t="s">
        <v>222</v>
      </c>
    </row>
    <row r="5" spans="1:17">
      <c r="A5" s="1">
        <v>2</v>
      </c>
      <c r="B5" s="1" t="s">
        <v>890</v>
      </c>
      <c r="C5" s="5">
        <v>46059</v>
      </c>
      <c r="D5" s="1" t="s">
        <v>19</v>
      </c>
      <c r="E5" s="6" t="s">
        <v>61</v>
      </c>
      <c r="F5" s="6" t="s">
        <v>78</v>
      </c>
      <c r="G5" s="1">
        <v>48</v>
      </c>
      <c r="H5" s="1">
        <v>56</v>
      </c>
      <c r="I5" s="2">
        <f>IFERROR(H5/G5*100,0)</f>
        <v>0</v>
      </c>
      <c r="J5" s="1">
        <v>99</v>
      </c>
      <c r="K5" s="1">
        <v>7</v>
      </c>
      <c r="L5" s="1" t="s">
        <v>28</v>
      </c>
      <c r="M5" s="1"/>
      <c r="N5" s="1" t="s">
        <v>9</v>
      </c>
      <c r="O5" s="1" t="s">
        <v>226</v>
      </c>
    </row>
    <row r="6" spans="1:17">
      <c r="A6" s="1">
        <v>3</v>
      </c>
      <c r="B6" s="1" t="s">
        <v>891</v>
      </c>
      <c r="C6" s="5">
        <v>46070</v>
      </c>
      <c r="D6" s="1" t="s">
        <v>19</v>
      </c>
      <c r="E6" s="6" t="s">
        <v>61</v>
      </c>
      <c r="F6" s="6" t="s">
        <v>7</v>
      </c>
      <c r="G6" s="1">
        <v>20</v>
      </c>
      <c r="H6" s="1">
        <v>27</v>
      </c>
      <c r="I6" s="2">
        <f>IFERROR(H6/G6*100,0)</f>
        <v>0</v>
      </c>
      <c r="J6" s="1">
        <v>76</v>
      </c>
      <c r="K6" s="1">
        <v>2</v>
      </c>
      <c r="L6" s="1" t="s">
        <v>32</v>
      </c>
      <c r="M6" s="1"/>
      <c r="N6" s="1" t="s">
        <v>9</v>
      </c>
      <c r="O6" s="1" t="s">
        <v>236</v>
      </c>
    </row>
    <row r="7" spans="1:17">
      <c r="A7" s="1">
        <v>4</v>
      </c>
      <c r="B7" s="1" t="s">
        <v>892</v>
      </c>
      <c r="C7" s="5">
        <v>46069</v>
      </c>
      <c r="D7" s="1" t="s">
        <v>19</v>
      </c>
      <c r="E7" s="6" t="s">
        <v>49</v>
      </c>
      <c r="F7" s="6" t="s">
        <v>15</v>
      </c>
      <c r="G7" s="1">
        <v>57</v>
      </c>
      <c r="H7" s="1">
        <v>10</v>
      </c>
      <c r="I7" s="2">
        <f>IFERROR(H7/G7*100,0)</f>
        <v>0</v>
      </c>
      <c r="J7" s="1">
        <v>48</v>
      </c>
      <c r="K7" s="1">
        <v>6</v>
      </c>
      <c r="L7" s="1" t="s">
        <v>104</v>
      </c>
      <c r="M7" s="1"/>
      <c r="N7" s="1" t="s">
        <v>9</v>
      </c>
      <c r="O7" s="1" t="s">
        <v>222</v>
      </c>
    </row>
    <row r="8" spans="1:17">
      <c r="A8" s="1">
        <v>5</v>
      </c>
      <c r="B8" s="1" t="s">
        <v>893</v>
      </c>
      <c r="C8" s="5">
        <v>46066</v>
      </c>
      <c r="D8" s="1" t="s">
        <v>19</v>
      </c>
      <c r="E8" s="6" t="s">
        <v>57</v>
      </c>
      <c r="F8" s="6" t="s">
        <v>36</v>
      </c>
      <c r="G8" s="1">
        <v>49</v>
      </c>
      <c r="H8" s="1">
        <v>39</v>
      </c>
      <c r="I8" s="2">
        <f>IFERROR(H8/G8*100,0)</f>
        <v>0</v>
      </c>
      <c r="J8" s="1">
        <v>71</v>
      </c>
      <c r="K8" s="1">
        <v>5</v>
      </c>
      <c r="L8" s="1" t="s">
        <v>104</v>
      </c>
      <c r="M8" s="1"/>
      <c r="N8" s="1" t="s">
        <v>9</v>
      </c>
      <c r="O8" s="1" t="s">
        <v>222</v>
      </c>
    </row>
    <row r="9" spans="1:17">
      <c r="A9" s="1">
        <v>6</v>
      </c>
      <c r="B9" s="1" t="s">
        <v>894</v>
      </c>
      <c r="C9" s="5">
        <v>46090</v>
      </c>
      <c r="D9" s="1" t="s">
        <v>44</v>
      </c>
      <c r="E9" s="6" t="s">
        <v>45</v>
      </c>
      <c r="F9" s="6" t="s">
        <v>22</v>
      </c>
      <c r="G9" s="1">
        <v>46</v>
      </c>
      <c r="H9" s="1">
        <v>15</v>
      </c>
      <c r="I9" s="2">
        <f>IFERROR(H9/G9*100,0)</f>
        <v>0</v>
      </c>
      <c r="J9" s="1">
        <v>119</v>
      </c>
      <c r="K9" s="1">
        <v>3</v>
      </c>
      <c r="L9" s="1" t="s">
        <v>7</v>
      </c>
      <c r="M9" s="1"/>
      <c r="N9" s="1" t="s">
        <v>23</v>
      </c>
      <c r="O9" s="1" t="s">
        <v>226</v>
      </c>
    </row>
    <row r="10" spans="1:17">
      <c r="A10" s="1">
        <v>7</v>
      </c>
      <c r="B10" s="1" t="s">
        <v>895</v>
      </c>
      <c r="C10" s="5">
        <v>46101</v>
      </c>
      <c r="D10" s="1" t="s">
        <v>44</v>
      </c>
      <c r="E10" s="6" t="s">
        <v>30</v>
      </c>
      <c r="F10" s="6" t="s">
        <v>32</v>
      </c>
      <c r="G10" s="1">
        <v>48</v>
      </c>
      <c r="H10" s="1">
        <v>33</v>
      </c>
      <c r="I10" s="2">
        <f>IFERROR(H10/G10*100,0)</f>
        <v>0</v>
      </c>
      <c r="J10" s="1">
        <v>96</v>
      </c>
      <c r="K10" s="1">
        <v>5</v>
      </c>
      <c r="L10" s="1" t="s">
        <v>28</v>
      </c>
      <c r="M10" s="1"/>
      <c r="N10" s="1" t="s">
        <v>9</v>
      </c>
      <c r="O10" s="1" t="s">
        <v>226</v>
      </c>
    </row>
    <row r="11" spans="1:17">
      <c r="A11" s="1">
        <v>8</v>
      </c>
      <c r="B11" s="1" t="s">
        <v>896</v>
      </c>
      <c r="C11" s="5">
        <v>46084</v>
      </c>
      <c r="D11" s="1" t="s">
        <v>44</v>
      </c>
      <c r="E11" s="6" t="s">
        <v>4</v>
      </c>
      <c r="F11" s="6" t="s">
        <v>41</v>
      </c>
      <c r="G11" s="1">
        <v>26</v>
      </c>
      <c r="H11" s="1">
        <v>28</v>
      </c>
      <c r="I11" s="2">
        <f>IFERROR(H11/G11*100,0)</f>
        <v>0</v>
      </c>
      <c r="J11" s="1">
        <v>43</v>
      </c>
      <c r="K11" s="1">
        <v>3</v>
      </c>
      <c r="L11" s="1" t="s">
        <v>36</v>
      </c>
      <c r="M11" s="1"/>
      <c r="N11" s="1" t="s">
        <v>9</v>
      </c>
      <c r="O11" s="1" t="s">
        <v>236</v>
      </c>
    </row>
    <row r="12" spans="1:17">
      <c r="A12" s="1">
        <v>9</v>
      </c>
      <c r="B12" s="1" t="s">
        <v>897</v>
      </c>
      <c r="C12" s="5">
        <v>46082</v>
      </c>
      <c r="D12" s="1" t="s">
        <v>44</v>
      </c>
      <c r="E12" s="6" t="s">
        <v>45</v>
      </c>
      <c r="F12" s="6" t="s">
        <v>28</v>
      </c>
      <c r="G12" s="1">
        <v>26</v>
      </c>
      <c r="H12" s="1">
        <v>46</v>
      </c>
      <c r="I12" s="2">
        <f>IFERROR(H12/G12*100,0)</f>
        <v>0</v>
      </c>
      <c r="J12" s="1">
        <v>19</v>
      </c>
      <c r="K12" s="1">
        <v>0</v>
      </c>
      <c r="L12" s="1" t="s">
        <v>66</v>
      </c>
      <c r="M12" s="1"/>
      <c r="N12" s="1" t="s">
        <v>9</v>
      </c>
      <c r="O12" s="1" t="s">
        <v>226</v>
      </c>
    </row>
    <row r="13" spans="1:17">
      <c r="A13" s="1">
        <v>10</v>
      </c>
      <c r="B13" s="1" t="s">
        <v>898</v>
      </c>
      <c r="C13" s="5">
        <v>46094</v>
      </c>
      <c r="D13" s="1" t="s">
        <v>44</v>
      </c>
      <c r="E13" s="6" t="s">
        <v>54</v>
      </c>
      <c r="F13" s="6" t="s">
        <v>22</v>
      </c>
      <c r="G13" s="1">
        <v>42</v>
      </c>
      <c r="H13" s="1">
        <v>53</v>
      </c>
      <c r="I13" s="2">
        <f>IFERROR(H13/G13*100,0)</f>
        <v>0</v>
      </c>
      <c r="J13" s="1">
        <v>47</v>
      </c>
      <c r="K13" s="1">
        <v>4</v>
      </c>
      <c r="L13" s="1" t="s">
        <v>62</v>
      </c>
      <c r="M13" s="1"/>
      <c r="N13" s="1" t="s">
        <v>23</v>
      </c>
      <c r="O13" s="1" t="s">
        <v>222</v>
      </c>
    </row>
    <row r="14" spans="1:17">
      <c r="A14" s="1">
        <v>11</v>
      </c>
      <c r="B14" s="1" t="s">
        <v>899</v>
      </c>
      <c r="C14" s="5">
        <v>46101</v>
      </c>
      <c r="D14" s="1" t="s">
        <v>44</v>
      </c>
      <c r="E14" s="6" t="s">
        <v>38</v>
      </c>
      <c r="F14" s="6" t="s">
        <v>15</v>
      </c>
      <c r="G14" s="1">
        <v>40</v>
      </c>
      <c r="H14" s="1">
        <v>20</v>
      </c>
      <c r="I14" s="2">
        <f>IFERROR(H14/G14*100,0)</f>
        <v>0</v>
      </c>
      <c r="J14" s="1">
        <v>56</v>
      </c>
      <c r="K14" s="1">
        <v>7</v>
      </c>
      <c r="L14" s="1" t="s">
        <v>28</v>
      </c>
      <c r="M14" s="1"/>
      <c r="N14" s="1" t="s">
        <v>23</v>
      </c>
      <c r="O14" s="1" t="s">
        <v>222</v>
      </c>
    </row>
    <row r="15" spans="1:17">
      <c r="A15" s="1">
        <v>12</v>
      </c>
      <c r="B15" s="1" t="s">
        <v>900</v>
      </c>
      <c r="C15" s="5">
        <v>46086</v>
      </c>
      <c r="D15" s="1" t="s">
        <v>44</v>
      </c>
      <c r="E15" s="6" t="s">
        <v>57</v>
      </c>
      <c r="F15" s="6" t="s">
        <v>70</v>
      </c>
      <c r="G15" s="1">
        <v>39</v>
      </c>
      <c r="H15" s="1">
        <v>56</v>
      </c>
      <c r="I15" s="2">
        <f>IFERROR(H15/G15*100,0)</f>
        <v>0</v>
      </c>
      <c r="J15" s="1">
        <v>42</v>
      </c>
      <c r="K15" s="1">
        <v>0</v>
      </c>
      <c r="L15" s="1" t="s">
        <v>70</v>
      </c>
      <c r="M15" s="1"/>
      <c r="N15" s="1" t="s">
        <v>23</v>
      </c>
      <c r="O15" s="1" t="s">
        <v>222</v>
      </c>
    </row>
    <row r="16" spans="1:17">
      <c r="A16" s="1">
        <v>13</v>
      </c>
      <c r="B16" s="1" t="s">
        <v>901</v>
      </c>
      <c r="C16" s="5">
        <v>46105</v>
      </c>
      <c r="D16" s="1" t="s">
        <v>44</v>
      </c>
      <c r="E16" s="6" t="s">
        <v>57</v>
      </c>
      <c r="F16" s="6" t="s">
        <v>41</v>
      </c>
      <c r="G16" s="1">
        <v>25</v>
      </c>
      <c r="H16" s="1">
        <v>28</v>
      </c>
      <c r="I16" s="2">
        <f>IFERROR(H16/G16*100,0)</f>
        <v>0</v>
      </c>
      <c r="J16" s="1">
        <v>17</v>
      </c>
      <c r="K16" s="1">
        <v>6</v>
      </c>
      <c r="L16" s="1" t="s">
        <v>22</v>
      </c>
      <c r="M16" s="1"/>
      <c r="N16" s="1" t="s">
        <v>23</v>
      </c>
      <c r="O16" s="1" t="s">
        <v>222</v>
      </c>
    </row>
    <row r="17" spans="1:15">
      <c r="A17" s="1">
        <v>14</v>
      </c>
      <c r="B17" s="1" t="s">
        <v>902</v>
      </c>
      <c r="C17" s="5">
        <v>46123</v>
      </c>
      <c r="D17" s="1" t="s">
        <v>53</v>
      </c>
      <c r="E17" s="6" t="s">
        <v>26</v>
      </c>
      <c r="F17" s="6" t="s">
        <v>62</v>
      </c>
      <c r="G17" s="1">
        <v>52</v>
      </c>
      <c r="H17" s="1">
        <v>34</v>
      </c>
      <c r="I17" s="2">
        <f>IFERROR(H17/G17*100,0)</f>
        <v>0</v>
      </c>
      <c r="J17" s="1">
        <v>119</v>
      </c>
      <c r="K17" s="1">
        <v>2</v>
      </c>
      <c r="L17" s="1" t="s">
        <v>78</v>
      </c>
      <c r="M17" s="1"/>
      <c r="N17" s="1" t="s">
        <v>23</v>
      </c>
      <c r="O17" s="1" t="s">
        <v>222</v>
      </c>
    </row>
    <row r="18" spans="1:15">
      <c r="A18" s="1">
        <v>15</v>
      </c>
      <c r="B18" s="1" t="s">
        <v>903</v>
      </c>
      <c r="C18" s="5">
        <v>46137</v>
      </c>
      <c r="D18" s="1" t="s">
        <v>53</v>
      </c>
      <c r="E18" s="6" t="s">
        <v>38</v>
      </c>
      <c r="F18" s="6" t="s">
        <v>22</v>
      </c>
      <c r="G18" s="1">
        <v>47</v>
      </c>
      <c r="H18" s="1">
        <v>28</v>
      </c>
      <c r="I18" s="2">
        <f>IFERROR(H18/G18*100,0)</f>
        <v>0</v>
      </c>
      <c r="J18" s="1">
        <v>69</v>
      </c>
      <c r="K18" s="1">
        <v>8</v>
      </c>
      <c r="L18" s="1" t="s">
        <v>41</v>
      </c>
      <c r="M18" s="1"/>
      <c r="N18" s="1" t="s">
        <v>9</v>
      </c>
      <c r="O18" s="1" t="s">
        <v>222</v>
      </c>
    </row>
    <row r="19" spans="1:15">
      <c r="A19" s="1">
        <v>16</v>
      </c>
      <c r="B19" s="1" t="s">
        <v>904</v>
      </c>
      <c r="C19" s="5">
        <v>46140</v>
      </c>
      <c r="D19" s="1" t="s">
        <v>53</v>
      </c>
      <c r="E19" s="6" t="s">
        <v>54</v>
      </c>
      <c r="F19" s="6" t="s">
        <v>66</v>
      </c>
      <c r="G19" s="1">
        <v>46</v>
      </c>
      <c r="H19" s="1">
        <v>13</v>
      </c>
      <c r="I19" s="2">
        <f>IFERROR(H19/G19*100,0)</f>
        <v>0</v>
      </c>
      <c r="J19" s="1">
        <v>109</v>
      </c>
      <c r="K19" s="1">
        <v>4</v>
      </c>
      <c r="L19" s="1" t="s">
        <v>104</v>
      </c>
      <c r="M19" s="1"/>
      <c r="N19" s="1" t="s">
        <v>9</v>
      </c>
      <c r="O19" s="1" t="s">
        <v>222</v>
      </c>
    </row>
    <row r="20" spans="1:15">
      <c r="A20" s="1">
        <v>17</v>
      </c>
      <c r="B20" s="1" t="s">
        <v>905</v>
      </c>
      <c r="C20" s="5">
        <v>46145</v>
      </c>
      <c r="D20" s="1" t="s">
        <v>60</v>
      </c>
      <c r="E20" s="6" t="s">
        <v>57</v>
      </c>
      <c r="F20" s="6" t="s">
        <v>32</v>
      </c>
      <c r="G20" s="1">
        <v>56</v>
      </c>
      <c r="H20" s="1">
        <v>47</v>
      </c>
      <c r="I20" s="2">
        <f>IFERROR(H20/G20*100,0)</f>
        <v>0</v>
      </c>
      <c r="J20" s="1">
        <v>73</v>
      </c>
      <c r="K20" s="1">
        <v>3</v>
      </c>
      <c r="L20" s="1" t="s">
        <v>78</v>
      </c>
      <c r="M20" s="1"/>
      <c r="N20" s="1" t="s">
        <v>23</v>
      </c>
      <c r="O20" s="1" t="s">
        <v>222</v>
      </c>
    </row>
    <row r="21" spans="1:15">
      <c r="A21" s="1">
        <v>18</v>
      </c>
      <c r="B21" s="1" t="s">
        <v>906</v>
      </c>
      <c r="C21" s="5">
        <v>46159</v>
      </c>
      <c r="D21" s="1" t="s">
        <v>60</v>
      </c>
      <c r="E21" s="6" t="s">
        <v>45</v>
      </c>
      <c r="F21" s="6" t="s">
        <v>7</v>
      </c>
      <c r="G21" s="1">
        <v>18</v>
      </c>
      <c r="H21" s="1">
        <v>51</v>
      </c>
      <c r="I21" s="2">
        <f>IFERROR(H21/G21*100,0)</f>
        <v>0</v>
      </c>
      <c r="J21" s="1">
        <v>42</v>
      </c>
      <c r="K21" s="1">
        <v>1</v>
      </c>
      <c r="L21" s="1" t="s">
        <v>36</v>
      </c>
      <c r="M21" s="1"/>
      <c r="N21" s="1" t="s">
        <v>9</v>
      </c>
      <c r="O21" s="1" t="s">
        <v>222</v>
      </c>
    </row>
    <row r="22" spans="1:15">
      <c r="A22" s="1">
        <v>19</v>
      </c>
      <c r="B22" s="1" t="s">
        <v>907</v>
      </c>
      <c r="C22" s="5">
        <v>46174</v>
      </c>
      <c r="D22" s="1" t="s">
        <v>73</v>
      </c>
      <c r="E22" s="6" t="s">
        <v>54</v>
      </c>
      <c r="F22" s="6" t="s">
        <v>32</v>
      </c>
      <c r="G22" s="1">
        <v>18</v>
      </c>
      <c r="H22" s="1">
        <v>35</v>
      </c>
      <c r="I22" s="2">
        <f>IFERROR(H22/G22*100,0)</f>
        <v>0</v>
      </c>
      <c r="J22" s="1">
        <v>68</v>
      </c>
      <c r="K22" s="1">
        <v>0</v>
      </c>
      <c r="L22" s="1" t="s">
        <v>66</v>
      </c>
      <c r="M22" s="1"/>
      <c r="N22" s="1" t="s">
        <v>9</v>
      </c>
      <c r="O22" s="1" t="s">
        <v>226</v>
      </c>
    </row>
    <row r="23" spans="1:15">
      <c r="A23" s="1">
        <v>20</v>
      </c>
      <c r="B23" s="1" t="s">
        <v>908</v>
      </c>
      <c r="C23" s="5">
        <v>46186</v>
      </c>
      <c r="D23" s="1" t="s">
        <v>73</v>
      </c>
      <c r="E23" s="6" t="s">
        <v>30</v>
      </c>
      <c r="F23" s="6" t="s">
        <v>36</v>
      </c>
      <c r="G23" s="1">
        <v>18</v>
      </c>
      <c r="H23" s="1">
        <v>19</v>
      </c>
      <c r="I23" s="2">
        <f>IFERROR(H23/G23*100,0)</f>
        <v>0</v>
      </c>
      <c r="J23" s="1">
        <v>59</v>
      </c>
      <c r="K23" s="1">
        <v>6</v>
      </c>
      <c r="L23" s="1" t="s">
        <v>62</v>
      </c>
      <c r="M23" s="1"/>
      <c r="N23" s="1" t="s">
        <v>9</v>
      </c>
      <c r="O23" s="1" t="s">
        <v>222</v>
      </c>
    </row>
    <row r="24" spans="1:15">
      <c r="A24" s="1">
        <v>21</v>
      </c>
      <c r="B24" s="1" t="s">
        <v>909</v>
      </c>
      <c r="C24" s="5">
        <v>46177</v>
      </c>
      <c r="D24" s="1" t="s">
        <v>73</v>
      </c>
      <c r="E24" s="6" t="s">
        <v>4</v>
      </c>
      <c r="F24" s="6" t="s">
        <v>78</v>
      </c>
      <c r="G24" s="1">
        <v>37</v>
      </c>
      <c r="H24" s="1">
        <v>36</v>
      </c>
      <c r="I24" s="2">
        <f>IFERROR(H24/G24*100,0)</f>
        <v>0</v>
      </c>
      <c r="J24" s="1">
        <v>84</v>
      </c>
      <c r="K24" s="1">
        <v>3</v>
      </c>
      <c r="L24" s="1" t="s">
        <v>104</v>
      </c>
      <c r="M24" s="1"/>
      <c r="N24" s="1" t="s">
        <v>23</v>
      </c>
      <c r="O24" s="1" t="s">
        <v>222</v>
      </c>
    </row>
    <row r="25" spans="1:15">
      <c r="A25" s="1">
        <v>22</v>
      </c>
      <c r="B25" s="1" t="s">
        <v>910</v>
      </c>
      <c r="C25" s="5">
        <v>46227</v>
      </c>
      <c r="D25" s="1" t="s">
        <v>76</v>
      </c>
      <c r="E25" s="6" t="s">
        <v>16</v>
      </c>
      <c r="F25" s="6" t="s">
        <v>66</v>
      </c>
      <c r="G25" s="1">
        <v>54</v>
      </c>
      <c r="H25" s="1">
        <v>15</v>
      </c>
      <c r="I25" s="2">
        <f>IFERROR(H25/G25*100,0)</f>
        <v>0</v>
      </c>
      <c r="J25" s="1">
        <v>33</v>
      </c>
      <c r="K25" s="1">
        <v>4</v>
      </c>
      <c r="L25" s="1" t="s">
        <v>68</v>
      </c>
      <c r="M25" s="1"/>
      <c r="N25" s="1" t="s">
        <v>23</v>
      </c>
      <c r="O25" s="1" t="s">
        <v>222</v>
      </c>
    </row>
    <row r="26" spans="1:15">
      <c r="A26" s="1">
        <v>23</v>
      </c>
      <c r="B26" s="1" t="s">
        <v>911</v>
      </c>
      <c r="C26" s="5">
        <v>46204</v>
      </c>
      <c r="D26" s="1" t="s">
        <v>76</v>
      </c>
      <c r="E26" s="6" t="s">
        <v>16</v>
      </c>
      <c r="F26" s="6" t="s">
        <v>41</v>
      </c>
      <c r="G26" s="1">
        <v>19</v>
      </c>
      <c r="H26" s="1">
        <v>58</v>
      </c>
      <c r="I26" s="2">
        <f>IFERROR(H26/G26*100,0)</f>
        <v>0</v>
      </c>
      <c r="J26" s="1">
        <v>101</v>
      </c>
      <c r="K26" s="1">
        <v>2</v>
      </c>
      <c r="L26" s="1" t="s">
        <v>32</v>
      </c>
      <c r="M26" s="1"/>
      <c r="N26" s="1" t="s">
        <v>9</v>
      </c>
      <c r="O26" s="1" t="s">
        <v>222</v>
      </c>
    </row>
    <row r="27" spans="1:15">
      <c r="A27" s="1">
        <v>24</v>
      </c>
      <c r="B27" s="1" t="s">
        <v>912</v>
      </c>
      <c r="C27" s="5">
        <v>46216</v>
      </c>
      <c r="D27" s="1" t="s">
        <v>76</v>
      </c>
      <c r="E27" s="6" t="s">
        <v>57</v>
      </c>
      <c r="F27" s="6" t="s">
        <v>62</v>
      </c>
      <c r="G27" s="1">
        <v>51</v>
      </c>
      <c r="H27" s="1">
        <v>51</v>
      </c>
      <c r="I27" s="2">
        <f>IFERROR(H27/G27*100,0)</f>
        <v>0</v>
      </c>
      <c r="J27" s="1">
        <v>109</v>
      </c>
      <c r="K27" s="1">
        <v>3</v>
      </c>
      <c r="L27" s="1" t="s">
        <v>32</v>
      </c>
      <c r="M27" s="1"/>
      <c r="N27" s="1" t="s">
        <v>9</v>
      </c>
      <c r="O27" s="1" t="s">
        <v>236</v>
      </c>
    </row>
    <row r="28" spans="1:15">
      <c r="A28" s="1">
        <v>25</v>
      </c>
      <c r="B28" s="1" t="s">
        <v>913</v>
      </c>
      <c r="C28" s="5">
        <v>46206</v>
      </c>
      <c r="D28" s="1" t="s">
        <v>76</v>
      </c>
      <c r="E28" s="6" t="s">
        <v>20</v>
      </c>
      <c r="F28" s="6" t="s">
        <v>62</v>
      </c>
      <c r="G28" s="1">
        <v>55</v>
      </c>
      <c r="H28" s="1">
        <v>28</v>
      </c>
      <c r="I28" s="2">
        <f>IFERROR(H28/G28*100,0)</f>
        <v>0</v>
      </c>
      <c r="J28" s="1">
        <v>111</v>
      </c>
      <c r="K28" s="1">
        <v>0</v>
      </c>
      <c r="L28" s="1" t="s">
        <v>41</v>
      </c>
      <c r="M28" s="1"/>
      <c r="N28" s="1" t="s">
        <v>23</v>
      </c>
      <c r="O28" s="1" t="s">
        <v>236</v>
      </c>
    </row>
    <row r="29" spans="1:15">
      <c r="A29" s="1">
        <v>26</v>
      </c>
      <c r="B29" s="1" t="s">
        <v>914</v>
      </c>
      <c r="C29" s="5">
        <v>46205</v>
      </c>
      <c r="D29" s="1" t="s">
        <v>76</v>
      </c>
      <c r="E29" s="6" t="s">
        <v>26</v>
      </c>
      <c r="F29" s="6" t="s">
        <v>7</v>
      </c>
      <c r="G29" s="1">
        <v>47</v>
      </c>
      <c r="H29" s="1">
        <v>23</v>
      </c>
      <c r="I29" s="2">
        <f>IFERROR(H29/G29*100,0)</f>
        <v>0</v>
      </c>
      <c r="J29" s="1">
        <v>116</v>
      </c>
      <c r="K29" s="1">
        <v>6</v>
      </c>
      <c r="L29" s="1" t="s">
        <v>36</v>
      </c>
      <c r="M29" s="1"/>
      <c r="N29" s="1" t="s">
        <v>9</v>
      </c>
      <c r="O29" s="1" t="s">
        <v>222</v>
      </c>
    </row>
    <row r="30" spans="1:15">
      <c r="A30" s="1">
        <v>27</v>
      </c>
      <c r="B30" s="1" t="s">
        <v>915</v>
      </c>
      <c r="C30" s="5">
        <v>46221</v>
      </c>
      <c r="D30" s="1" t="s">
        <v>76</v>
      </c>
      <c r="E30" s="6" t="s">
        <v>4</v>
      </c>
      <c r="F30" s="6" t="s">
        <v>70</v>
      </c>
      <c r="G30" s="1">
        <v>54</v>
      </c>
      <c r="H30" s="1">
        <v>19</v>
      </c>
      <c r="I30" s="2">
        <f>IFERROR(H30/G30*100,0)</f>
        <v>0</v>
      </c>
      <c r="J30" s="1">
        <v>77</v>
      </c>
      <c r="K30" s="1">
        <v>4</v>
      </c>
      <c r="L30" s="1" t="s">
        <v>7</v>
      </c>
      <c r="M30" s="1"/>
      <c r="N30" s="1" t="s">
        <v>23</v>
      </c>
      <c r="O30" s="1" t="s">
        <v>222</v>
      </c>
    </row>
    <row r="31" spans="1:15">
      <c r="A31" s="1">
        <v>28</v>
      </c>
      <c r="B31" s="1" t="s">
        <v>916</v>
      </c>
      <c r="C31" s="5">
        <v>46240</v>
      </c>
      <c r="D31" s="1" t="s">
        <v>86</v>
      </c>
      <c r="E31" s="6" t="s">
        <v>20</v>
      </c>
      <c r="F31" s="6" t="s">
        <v>36</v>
      </c>
      <c r="G31" s="1">
        <v>49</v>
      </c>
      <c r="H31" s="1">
        <v>30</v>
      </c>
      <c r="I31" s="2">
        <f>IFERROR(H31/G31*100,0)</f>
        <v>0</v>
      </c>
      <c r="J31" s="1">
        <v>24</v>
      </c>
      <c r="K31" s="1">
        <v>5</v>
      </c>
      <c r="L31" s="1" t="s">
        <v>41</v>
      </c>
      <c r="M31" s="1"/>
      <c r="N31" s="1" t="s">
        <v>9</v>
      </c>
      <c r="O31" s="1" t="s">
        <v>222</v>
      </c>
    </row>
    <row r="32" spans="1:15">
      <c r="A32" s="1">
        <v>29</v>
      </c>
      <c r="B32" s="1" t="s">
        <v>917</v>
      </c>
      <c r="C32" s="5">
        <v>46252</v>
      </c>
      <c r="D32" s="1" t="s">
        <v>86</v>
      </c>
      <c r="E32" s="6" t="s">
        <v>4</v>
      </c>
      <c r="F32" s="6" t="s">
        <v>93</v>
      </c>
      <c r="G32" s="1">
        <v>10</v>
      </c>
      <c r="H32" s="1">
        <v>60</v>
      </c>
      <c r="I32" s="2">
        <f>IFERROR(H32/G32*100,0)</f>
        <v>0</v>
      </c>
      <c r="J32" s="1">
        <v>59</v>
      </c>
      <c r="K32" s="1">
        <v>7</v>
      </c>
      <c r="L32" s="1" t="s">
        <v>32</v>
      </c>
      <c r="M32" s="1"/>
      <c r="N32" s="1" t="s">
        <v>23</v>
      </c>
      <c r="O32" s="1" t="s">
        <v>222</v>
      </c>
    </row>
    <row r="33" spans="1:15">
      <c r="A33" s="1">
        <v>30</v>
      </c>
      <c r="B33" s="1" t="s">
        <v>918</v>
      </c>
      <c r="C33" s="5">
        <v>46247</v>
      </c>
      <c r="D33" s="1" t="s">
        <v>86</v>
      </c>
      <c r="E33" s="6" t="s">
        <v>16</v>
      </c>
      <c r="F33" s="6" t="s">
        <v>36</v>
      </c>
      <c r="G33" s="1">
        <v>39</v>
      </c>
      <c r="H33" s="1">
        <v>36</v>
      </c>
      <c r="I33" s="2">
        <f>IFERROR(H33/G33*100,0)</f>
        <v>0</v>
      </c>
      <c r="J33" s="1">
        <v>97</v>
      </c>
      <c r="K33" s="1">
        <v>0</v>
      </c>
      <c r="L33" s="1" t="s">
        <v>68</v>
      </c>
      <c r="M33" s="1"/>
      <c r="N33" s="1" t="s">
        <v>9</v>
      </c>
      <c r="O33" s="1" t="s">
        <v>222</v>
      </c>
    </row>
    <row r="34" spans="1:15">
      <c r="A34" s="1">
        <v>31</v>
      </c>
      <c r="B34" s="1" t="s">
        <v>919</v>
      </c>
      <c r="C34" s="5">
        <v>46280</v>
      </c>
      <c r="D34" s="1" t="s">
        <v>102</v>
      </c>
      <c r="E34" s="6" t="s">
        <v>45</v>
      </c>
      <c r="F34" s="6" t="s">
        <v>32</v>
      </c>
      <c r="G34" s="1">
        <v>35</v>
      </c>
      <c r="H34" s="1">
        <v>56</v>
      </c>
      <c r="I34" s="2">
        <f>IFERROR(H34/G34*100,0)</f>
        <v>0</v>
      </c>
      <c r="J34" s="1">
        <v>35</v>
      </c>
      <c r="K34" s="1">
        <v>8</v>
      </c>
      <c r="L34" s="1" t="s">
        <v>93</v>
      </c>
      <c r="M34" s="1"/>
      <c r="N34" s="1" t="s">
        <v>23</v>
      </c>
      <c r="O34" s="1" t="s">
        <v>222</v>
      </c>
    </row>
    <row r="35" spans="1:15">
      <c r="A35" s="1">
        <v>32</v>
      </c>
      <c r="B35" s="1" t="s">
        <v>920</v>
      </c>
      <c r="C35" s="5">
        <v>46274</v>
      </c>
      <c r="D35" s="1" t="s">
        <v>102</v>
      </c>
      <c r="E35" s="6" t="s">
        <v>12</v>
      </c>
      <c r="F35" s="6" t="s">
        <v>32</v>
      </c>
      <c r="G35" s="1">
        <v>12</v>
      </c>
      <c r="H35" s="1">
        <v>25</v>
      </c>
      <c r="I35" s="2">
        <f>IFERROR(H35/G35*100,0)</f>
        <v>0</v>
      </c>
      <c r="J35" s="1">
        <v>84</v>
      </c>
      <c r="K35" s="1">
        <v>2</v>
      </c>
      <c r="L35" s="1" t="s">
        <v>36</v>
      </c>
      <c r="M35" s="1"/>
      <c r="N35" s="1" t="s">
        <v>23</v>
      </c>
      <c r="O35" s="1" t="s">
        <v>226</v>
      </c>
    </row>
    <row r="36" spans="1:15">
      <c r="A36" s="1">
        <v>33</v>
      </c>
      <c r="B36" s="1" t="s">
        <v>921</v>
      </c>
      <c r="C36" s="5">
        <v>46318</v>
      </c>
      <c r="D36" s="1" t="s">
        <v>106</v>
      </c>
      <c r="E36" s="6" t="s">
        <v>64</v>
      </c>
      <c r="F36" s="6" t="s">
        <v>93</v>
      </c>
      <c r="G36" s="1">
        <v>31</v>
      </c>
      <c r="H36" s="1">
        <v>22</v>
      </c>
      <c r="I36" s="2">
        <f>IFERROR(H36/G36*100,0)</f>
        <v>0</v>
      </c>
      <c r="J36" s="1">
        <v>66</v>
      </c>
      <c r="K36" s="1">
        <v>5</v>
      </c>
      <c r="L36" s="1" t="s">
        <v>68</v>
      </c>
      <c r="M36" s="1"/>
      <c r="N36" s="1" t="s">
        <v>23</v>
      </c>
      <c r="O36" s="1" t="s">
        <v>222</v>
      </c>
    </row>
    <row r="37" spans="1:15">
      <c r="A37" s="1">
        <v>34</v>
      </c>
      <c r="B37" s="1" t="s">
        <v>922</v>
      </c>
      <c r="C37" s="5">
        <v>46300</v>
      </c>
      <c r="D37" s="1" t="s">
        <v>106</v>
      </c>
      <c r="E37" s="6" t="s">
        <v>30</v>
      </c>
      <c r="F37" s="6" t="s">
        <v>70</v>
      </c>
      <c r="G37" s="1">
        <v>37</v>
      </c>
      <c r="H37" s="1">
        <v>46</v>
      </c>
      <c r="I37" s="2">
        <f>IFERROR(H37/G37*100,0)</f>
        <v>0</v>
      </c>
      <c r="J37" s="1">
        <v>56</v>
      </c>
      <c r="K37" s="1">
        <v>2</v>
      </c>
      <c r="L37" s="1" t="s">
        <v>36</v>
      </c>
      <c r="M37" s="1"/>
      <c r="N37" s="1" t="s">
        <v>23</v>
      </c>
      <c r="O37" s="1" t="s">
        <v>222</v>
      </c>
    </row>
    <row r="38" spans="1:15">
      <c r="A38" s="1">
        <v>35</v>
      </c>
      <c r="B38" s="1" t="s">
        <v>923</v>
      </c>
      <c r="C38" s="5">
        <v>46316</v>
      </c>
      <c r="D38" s="1" t="s">
        <v>106</v>
      </c>
      <c r="E38" s="6" t="s">
        <v>57</v>
      </c>
      <c r="F38" s="6" t="s">
        <v>41</v>
      </c>
      <c r="G38" s="1">
        <v>50</v>
      </c>
      <c r="H38" s="1">
        <v>54</v>
      </c>
      <c r="I38" s="2">
        <f>IFERROR(H38/G38*100,0)</f>
        <v>0</v>
      </c>
      <c r="J38" s="1">
        <v>74</v>
      </c>
      <c r="K38" s="1">
        <v>7</v>
      </c>
      <c r="L38" s="1" t="s">
        <v>32</v>
      </c>
      <c r="M38" s="1"/>
      <c r="N38" s="1" t="s">
        <v>9</v>
      </c>
      <c r="O38" s="1" t="s">
        <v>226</v>
      </c>
    </row>
    <row r="39" spans="1:15">
      <c r="A39" s="1">
        <v>36</v>
      </c>
      <c r="B39" s="1" t="s">
        <v>924</v>
      </c>
      <c r="C39" s="5">
        <v>46305</v>
      </c>
      <c r="D39" s="1" t="s">
        <v>106</v>
      </c>
      <c r="E39" s="6" t="s">
        <v>20</v>
      </c>
      <c r="F39" s="6" t="s">
        <v>36</v>
      </c>
      <c r="G39" s="1">
        <v>10</v>
      </c>
      <c r="H39" s="1">
        <v>21</v>
      </c>
      <c r="I39" s="2">
        <f>IFERROR(H39/G39*100,0)</f>
        <v>0</v>
      </c>
      <c r="J39" s="1">
        <v>52</v>
      </c>
      <c r="K39" s="1">
        <v>0</v>
      </c>
      <c r="L39" s="1" t="s">
        <v>104</v>
      </c>
      <c r="M39" s="1"/>
      <c r="N39" s="1" t="s">
        <v>9</v>
      </c>
      <c r="O39" s="1" t="s">
        <v>222</v>
      </c>
    </row>
    <row r="40" spans="1:15">
      <c r="A40" s="1">
        <v>37</v>
      </c>
      <c r="B40" s="1" t="s">
        <v>925</v>
      </c>
      <c r="C40" s="5">
        <v>46320</v>
      </c>
      <c r="D40" s="1" t="s">
        <v>106</v>
      </c>
      <c r="E40" s="6" t="s">
        <v>38</v>
      </c>
      <c r="F40" s="6" t="s">
        <v>22</v>
      </c>
      <c r="G40" s="1">
        <v>34</v>
      </c>
      <c r="H40" s="1">
        <v>28</v>
      </c>
      <c r="I40" s="2">
        <f>IFERROR(H40/G40*100,0)</f>
        <v>0</v>
      </c>
      <c r="J40" s="1">
        <v>119</v>
      </c>
      <c r="K40" s="1">
        <v>7</v>
      </c>
      <c r="L40" s="1" t="s">
        <v>93</v>
      </c>
      <c r="M40" s="1"/>
      <c r="N40" s="1" t="s">
        <v>9</v>
      </c>
      <c r="O40" s="1" t="s">
        <v>222</v>
      </c>
    </row>
    <row r="41" spans="1:15">
      <c r="A41" s="1">
        <v>38</v>
      </c>
      <c r="B41" s="1" t="s">
        <v>926</v>
      </c>
      <c r="C41" s="5">
        <v>46303</v>
      </c>
      <c r="D41" s="1" t="s">
        <v>106</v>
      </c>
      <c r="E41" s="6" t="s">
        <v>61</v>
      </c>
      <c r="F41" s="6" t="s">
        <v>41</v>
      </c>
      <c r="G41" s="1">
        <v>36</v>
      </c>
      <c r="H41" s="1">
        <v>46</v>
      </c>
      <c r="I41" s="2">
        <f>IFERROR(H41/G41*100,0)</f>
        <v>0</v>
      </c>
      <c r="J41" s="1">
        <v>79</v>
      </c>
      <c r="K41" s="1">
        <v>7</v>
      </c>
      <c r="L41" s="1" t="s">
        <v>70</v>
      </c>
      <c r="M41" s="1"/>
      <c r="N41" s="1" t="s">
        <v>9</v>
      </c>
      <c r="O41" s="1" t="s">
        <v>222</v>
      </c>
    </row>
    <row r="42" spans="1:15">
      <c r="A42" s="1">
        <v>39</v>
      </c>
      <c r="B42" s="1" t="s">
        <v>927</v>
      </c>
      <c r="C42" s="5">
        <v>46311</v>
      </c>
      <c r="D42" s="1" t="s">
        <v>106</v>
      </c>
      <c r="E42" s="6" t="s">
        <v>30</v>
      </c>
      <c r="F42" s="6" t="s">
        <v>66</v>
      </c>
      <c r="G42" s="1">
        <v>54</v>
      </c>
      <c r="H42" s="1">
        <v>37</v>
      </c>
      <c r="I42" s="2">
        <f>IFERROR(H42/G42*100,0)</f>
        <v>0</v>
      </c>
      <c r="J42" s="1">
        <v>102</v>
      </c>
      <c r="K42" s="1">
        <v>8</v>
      </c>
      <c r="L42" s="1" t="s">
        <v>78</v>
      </c>
      <c r="M42" s="1"/>
      <c r="N42" s="1" t="s">
        <v>9</v>
      </c>
      <c r="O42" s="1" t="s">
        <v>222</v>
      </c>
    </row>
    <row r="43" spans="1:15">
      <c r="A43" s="1">
        <v>40</v>
      </c>
      <c r="B43" s="1" t="s">
        <v>928</v>
      </c>
      <c r="C43" s="5">
        <v>46316</v>
      </c>
      <c r="D43" s="1" t="s">
        <v>106</v>
      </c>
      <c r="E43" s="6" t="s">
        <v>49</v>
      </c>
      <c r="F43" s="6" t="s">
        <v>22</v>
      </c>
      <c r="G43" s="1">
        <v>51</v>
      </c>
      <c r="H43" s="1">
        <v>38</v>
      </c>
      <c r="I43" s="2">
        <f>IFERROR(H43/G43*100,0)</f>
        <v>0</v>
      </c>
      <c r="J43" s="1">
        <v>88</v>
      </c>
      <c r="K43" s="1">
        <v>8</v>
      </c>
      <c r="L43" s="1" t="s">
        <v>7</v>
      </c>
      <c r="M43" s="1"/>
      <c r="N43" s="1" t="s">
        <v>9</v>
      </c>
      <c r="O43" s="1" t="s">
        <v>222</v>
      </c>
    </row>
    <row r="44" spans="1:15">
      <c r="A44" s="1">
        <v>41</v>
      </c>
      <c r="B44" s="1" t="s">
        <v>929</v>
      </c>
      <c r="C44" s="5">
        <v>46297</v>
      </c>
      <c r="D44" s="1" t="s">
        <v>106</v>
      </c>
      <c r="E44" s="6" t="s">
        <v>45</v>
      </c>
      <c r="F44" s="6" t="s">
        <v>36</v>
      </c>
      <c r="G44" s="1">
        <v>10</v>
      </c>
      <c r="H44" s="1">
        <v>31</v>
      </c>
      <c r="I44" s="2">
        <f>IFERROR(H44/G44*100,0)</f>
        <v>0</v>
      </c>
      <c r="J44" s="1">
        <v>28</v>
      </c>
      <c r="K44" s="1">
        <v>4</v>
      </c>
      <c r="L44" s="1" t="s">
        <v>36</v>
      </c>
      <c r="M44" s="1"/>
      <c r="N44" s="1" t="s">
        <v>23</v>
      </c>
      <c r="O44" s="1" t="s">
        <v>226</v>
      </c>
    </row>
    <row r="45" spans="1:15">
      <c r="A45" s="1">
        <v>42</v>
      </c>
      <c r="B45" s="1" t="s">
        <v>930</v>
      </c>
      <c r="C45" s="5">
        <v>46298</v>
      </c>
      <c r="D45" s="1" t="s">
        <v>106</v>
      </c>
      <c r="E45" s="6" t="s">
        <v>16</v>
      </c>
      <c r="F45" s="6" t="s">
        <v>15</v>
      </c>
      <c r="G45" s="1">
        <v>47</v>
      </c>
      <c r="H45" s="1">
        <v>22</v>
      </c>
      <c r="I45" s="2">
        <f>IFERROR(H45/G45*100,0)</f>
        <v>0</v>
      </c>
      <c r="J45" s="1">
        <v>111</v>
      </c>
      <c r="K45" s="1">
        <v>0</v>
      </c>
      <c r="L45" s="1" t="s">
        <v>68</v>
      </c>
      <c r="M45" s="1"/>
      <c r="N45" s="1" t="s">
        <v>23</v>
      </c>
      <c r="O45" s="1" t="s">
        <v>222</v>
      </c>
    </row>
    <row r="46" spans="1:15">
      <c r="A46" s="1">
        <v>43</v>
      </c>
      <c r="B46" s="1" t="s">
        <v>931</v>
      </c>
      <c r="C46" s="5">
        <v>46353</v>
      </c>
      <c r="D46" s="1" t="s">
        <v>111</v>
      </c>
      <c r="E46" s="6" t="s">
        <v>30</v>
      </c>
      <c r="F46" s="6" t="s">
        <v>41</v>
      </c>
      <c r="G46" s="1">
        <v>18</v>
      </c>
      <c r="H46" s="1">
        <v>51</v>
      </c>
      <c r="I46" s="2">
        <f>IFERROR(H46/G46*100,0)</f>
        <v>0</v>
      </c>
      <c r="J46" s="1">
        <v>74</v>
      </c>
      <c r="K46" s="1">
        <v>3</v>
      </c>
      <c r="L46" s="1" t="s">
        <v>41</v>
      </c>
      <c r="M46" s="1"/>
      <c r="N46" s="1" t="s">
        <v>9</v>
      </c>
      <c r="O46" s="1" t="s">
        <v>222</v>
      </c>
    </row>
    <row r="47" spans="1:15">
      <c r="A47" s="1">
        <v>44</v>
      </c>
      <c r="B47" s="1" t="s">
        <v>932</v>
      </c>
      <c r="C47" s="5">
        <v>46337</v>
      </c>
      <c r="D47" s="1" t="s">
        <v>111</v>
      </c>
      <c r="E47" s="6" t="s">
        <v>12</v>
      </c>
      <c r="F47" s="6" t="s">
        <v>41</v>
      </c>
      <c r="G47" s="1">
        <v>32</v>
      </c>
      <c r="H47" s="1">
        <v>12</v>
      </c>
      <c r="I47" s="2">
        <f>IFERROR(H47/G47*100,0)</f>
        <v>0</v>
      </c>
      <c r="J47" s="1">
        <v>20</v>
      </c>
      <c r="K47" s="1">
        <v>2</v>
      </c>
      <c r="L47" s="1" t="s">
        <v>15</v>
      </c>
      <c r="M47" s="1"/>
      <c r="N47" s="1" t="s">
        <v>23</v>
      </c>
      <c r="O47" s="1" t="s">
        <v>236</v>
      </c>
    </row>
    <row r="48" spans="1:15">
      <c r="A48" s="1">
        <v>45</v>
      </c>
      <c r="B48" s="1" t="s">
        <v>933</v>
      </c>
      <c r="C48" s="5">
        <v>46331</v>
      </c>
      <c r="D48" s="1" t="s">
        <v>111</v>
      </c>
      <c r="E48" s="6" t="s">
        <v>12</v>
      </c>
      <c r="F48" s="6" t="s">
        <v>32</v>
      </c>
      <c r="G48" s="1">
        <v>52</v>
      </c>
      <c r="H48" s="1">
        <v>54</v>
      </c>
      <c r="I48" s="2">
        <f>IFERROR(H48/G48*100,0)</f>
        <v>0</v>
      </c>
      <c r="J48" s="1">
        <v>59</v>
      </c>
      <c r="K48" s="1">
        <v>7</v>
      </c>
      <c r="L48" s="1" t="s">
        <v>66</v>
      </c>
      <c r="M48" s="1"/>
      <c r="N48" s="1" t="s">
        <v>9</v>
      </c>
      <c r="O48" s="1" t="s">
        <v>222</v>
      </c>
    </row>
    <row r="49" spans="1:15">
      <c r="A49" s="1">
        <v>46</v>
      </c>
      <c r="B49" s="1" t="s">
        <v>934</v>
      </c>
      <c r="C49" s="5">
        <v>46331</v>
      </c>
      <c r="D49" s="1" t="s">
        <v>111</v>
      </c>
      <c r="E49" s="6" t="s">
        <v>54</v>
      </c>
      <c r="F49" s="6" t="s">
        <v>15</v>
      </c>
      <c r="G49" s="1">
        <v>38</v>
      </c>
      <c r="H49" s="1">
        <v>19</v>
      </c>
      <c r="I49" s="2">
        <f>IFERROR(H49/G49*100,0)</f>
        <v>0</v>
      </c>
      <c r="J49" s="1">
        <v>17</v>
      </c>
      <c r="K49" s="1">
        <v>6</v>
      </c>
      <c r="L49" s="1" t="s">
        <v>104</v>
      </c>
      <c r="M49" s="1"/>
      <c r="N49" s="1" t="s">
        <v>9</v>
      </c>
      <c r="O49" s="1" t="s">
        <v>222</v>
      </c>
    </row>
    <row r="50" spans="1:15">
      <c r="A50" s="1">
        <v>47</v>
      </c>
      <c r="B50" s="1" t="s">
        <v>935</v>
      </c>
      <c r="C50" s="5">
        <v>46359</v>
      </c>
      <c r="D50" s="1" t="s">
        <v>122</v>
      </c>
      <c r="E50" s="6" t="s">
        <v>20</v>
      </c>
      <c r="F50" s="6" t="s">
        <v>78</v>
      </c>
      <c r="G50" s="1">
        <v>47</v>
      </c>
      <c r="H50" s="1">
        <v>16</v>
      </c>
      <c r="I50" s="2">
        <f>IFERROR(H50/G50*100,0)</f>
        <v>0</v>
      </c>
      <c r="J50" s="1">
        <v>41</v>
      </c>
      <c r="K50" s="1">
        <v>5</v>
      </c>
      <c r="L50" s="1" t="s">
        <v>93</v>
      </c>
      <c r="M50" s="1"/>
      <c r="N50" s="1" t="s">
        <v>23</v>
      </c>
      <c r="O50" s="1" t="s">
        <v>222</v>
      </c>
    </row>
    <row r="51" spans="1:15">
      <c r="A51" s="1">
        <v>48</v>
      </c>
      <c r="B51" s="1" t="s">
        <v>936</v>
      </c>
      <c r="C51" s="5">
        <v>46376</v>
      </c>
      <c r="D51" s="1" t="s">
        <v>122</v>
      </c>
      <c r="E51" s="6" t="s">
        <v>45</v>
      </c>
      <c r="F51" s="6" t="s">
        <v>28</v>
      </c>
      <c r="G51" s="1">
        <v>10</v>
      </c>
      <c r="H51" s="1">
        <v>33</v>
      </c>
      <c r="I51" s="2">
        <f>IFERROR(H51/G51*100,0)</f>
        <v>0</v>
      </c>
      <c r="J51" s="1">
        <v>73</v>
      </c>
      <c r="K51" s="1">
        <v>2</v>
      </c>
      <c r="L51" s="1" t="s">
        <v>7</v>
      </c>
      <c r="M51" s="1"/>
      <c r="N51" s="1" t="s">
        <v>9</v>
      </c>
      <c r="O51" s="1" t="s">
        <v>222</v>
      </c>
    </row>
    <row r="52" spans="1:15">
      <c r="I52" s="2">
        <f>IFERROR(H52/G52*100,0)</f>
        <v>0</v>
      </c>
    </row>
    <row r="53" spans="1:15">
      <c r="I53" s="2">
        <f>IFERROR(H53/G53*100,0)</f>
        <v>0</v>
      </c>
    </row>
    <row r="54" spans="1:15">
      <c r="I54" s="2">
        <f>IFERROR(H54/G54*100,0)</f>
        <v>0</v>
      </c>
    </row>
    <row r="55" spans="1:15">
      <c r="I55" s="2">
        <f>IFERROR(H55/G55*100,0)</f>
        <v>0</v>
      </c>
    </row>
    <row r="56" spans="1:15">
      <c r="I56" s="2">
        <f>IFERROR(H56/G56*100,0)</f>
        <v>0</v>
      </c>
    </row>
    <row r="57" spans="1:15">
      <c r="I57" s="2">
        <f>IFERROR(H57/G57*100,0)</f>
        <v>0</v>
      </c>
    </row>
    <row r="58" spans="1:15">
      <c r="I58" s="2">
        <f>IFERROR(H58/G58*100,0)</f>
        <v>0</v>
      </c>
    </row>
    <row r="59" spans="1:15">
      <c r="I59" s="2">
        <f>IFERROR(H59/G59*100,0)</f>
        <v>0</v>
      </c>
    </row>
    <row r="60" spans="1:15">
      <c r="I60" s="2">
        <f>IFERROR(H60/G60*100,0)</f>
        <v>0</v>
      </c>
    </row>
    <row r="61" spans="1:15">
      <c r="I61" s="2">
        <f>IFERROR(H61/G61*100,0)</f>
        <v>0</v>
      </c>
    </row>
    <row r="62" spans="1:15">
      <c r="I62" s="2">
        <f>IFERROR(H62/G62*100,0)</f>
        <v>0</v>
      </c>
    </row>
    <row r="63" spans="1:15">
      <c r="I63" s="2">
        <f>IFERROR(H63/G63*100,0)</f>
        <v>0</v>
      </c>
    </row>
    <row r="64" spans="1:15">
      <c r="I64" s="2">
        <f>IFERROR(H64/G64*100,0)</f>
        <v>0</v>
      </c>
    </row>
    <row r="65" spans="9:9">
      <c r="I65" s="2">
        <f>IFERROR(H65/G65*100,0)</f>
        <v>0</v>
      </c>
    </row>
    <row r="66" spans="9:9">
      <c r="I66" s="2">
        <f>IFERROR(H66/G66*100,0)</f>
        <v>0</v>
      </c>
    </row>
    <row r="67" spans="9:9">
      <c r="I67" s="2">
        <f>IFERROR(H67/G67*100,0)</f>
        <v>0</v>
      </c>
    </row>
    <row r="68" spans="9:9">
      <c r="I68" s="2">
        <f>IFERROR(H68/G68*100,0)</f>
        <v>0</v>
      </c>
    </row>
    <row r="69" spans="9:9">
      <c r="I69" s="2">
        <f>IFERROR(H69/G69*100,0)</f>
        <v>0</v>
      </c>
    </row>
    <row r="70" spans="9:9">
      <c r="I70" s="2">
        <f>IFERROR(H70/G70*100,0)</f>
        <v>0</v>
      </c>
    </row>
    <row r="71" spans="9:9">
      <c r="I71" s="2">
        <f>IFERROR(H71/G71*100,0)</f>
        <v>0</v>
      </c>
    </row>
    <row r="72" spans="9:9">
      <c r="I72" s="2">
        <f>IFERROR(H72/G72*100,0)</f>
        <v>0</v>
      </c>
    </row>
    <row r="73" spans="9:9">
      <c r="I73" s="2">
        <f>IFERROR(H73/G73*100,0)</f>
        <v>0</v>
      </c>
    </row>
    <row r="74" spans="9:9">
      <c r="I74" s="2">
        <f>IFERROR(H74/G74*100,0)</f>
        <v>0</v>
      </c>
    </row>
    <row r="75" spans="9:9">
      <c r="I75" s="2">
        <f>IFERROR(H75/G75*100,0)</f>
        <v>0</v>
      </c>
    </row>
    <row r="76" spans="9:9">
      <c r="I76" s="2">
        <f>IFERROR(H76/G76*100,0)</f>
        <v>0</v>
      </c>
    </row>
    <row r="77" spans="9:9">
      <c r="I77" s="2">
        <f>IFERROR(H77/G77*100,0)</f>
        <v>0</v>
      </c>
    </row>
    <row r="78" spans="9:9">
      <c r="I78" s="2">
        <f>IFERROR(H78/G78*100,0)</f>
        <v>0</v>
      </c>
    </row>
    <row r="79" spans="9:9">
      <c r="I79" s="2">
        <f>IFERROR(H79/G79*100,0)</f>
        <v>0</v>
      </c>
    </row>
    <row r="80" spans="9:9">
      <c r="I80" s="2">
        <f>IFERROR(H80/G80*100,0)</f>
        <v>0</v>
      </c>
    </row>
    <row r="81" spans="9:9">
      <c r="I81" s="2">
        <f>IFERROR(H81/G81*100,0)</f>
        <v>0</v>
      </c>
    </row>
    <row r="82" spans="9:9">
      <c r="I82" s="2">
        <f>IFERROR(H82/G82*100,0)</f>
        <v>0</v>
      </c>
    </row>
    <row r="83" spans="9:9">
      <c r="I83" s="2">
        <f>IFERROR(H83/G83*100,0)</f>
        <v>0</v>
      </c>
    </row>
    <row r="84" spans="9:9">
      <c r="I84" s="2">
        <f>IFERROR(H84/G84*100,0)</f>
        <v>0</v>
      </c>
    </row>
    <row r="85" spans="9:9">
      <c r="I85" s="2">
        <f>IFERROR(H85/G85*100,0)</f>
        <v>0</v>
      </c>
    </row>
    <row r="86" spans="9:9">
      <c r="I86" s="2">
        <f>IFERROR(H86/G86*100,0)</f>
        <v>0</v>
      </c>
    </row>
    <row r="87" spans="9:9">
      <c r="I87" s="2">
        <f>IFERROR(H87/G87*100,0)</f>
        <v>0</v>
      </c>
    </row>
    <row r="88" spans="9:9">
      <c r="I88" s="2">
        <f>IFERROR(H88/G88*100,0)</f>
        <v>0</v>
      </c>
    </row>
    <row r="89" spans="9:9">
      <c r="I89" s="2">
        <f>IFERROR(H89/G89*100,0)</f>
        <v>0</v>
      </c>
    </row>
    <row r="90" spans="9:9">
      <c r="I90" s="2">
        <f>IFERROR(H90/G90*100,0)</f>
        <v>0</v>
      </c>
    </row>
    <row r="91" spans="9:9">
      <c r="I91" s="2">
        <f>IFERROR(H91/G91*100,0)</f>
        <v>0</v>
      </c>
    </row>
    <row r="92" spans="9:9">
      <c r="I92" s="2">
        <f>IFERROR(H92/G92*100,0)</f>
        <v>0</v>
      </c>
    </row>
    <row r="93" spans="9:9">
      <c r="I93" s="2">
        <f>IFERROR(H93/G93*100,0)</f>
        <v>0</v>
      </c>
    </row>
    <row r="94" spans="9:9">
      <c r="I94" s="2">
        <f>IFERROR(H94/G94*100,0)</f>
        <v>0</v>
      </c>
    </row>
    <row r="95" spans="9:9">
      <c r="I95" s="2">
        <f>IFERROR(H95/G95*100,0)</f>
        <v>0</v>
      </c>
    </row>
    <row r="96" spans="9:9">
      <c r="I96" s="2">
        <f>IFERROR(H96/G96*100,0)</f>
        <v>0</v>
      </c>
    </row>
    <row r="97" spans="9:9">
      <c r="I97" s="2">
        <f>IFERROR(H97/G97*100,0)</f>
        <v>0</v>
      </c>
    </row>
    <row r="98" spans="9:9">
      <c r="I98" s="2">
        <f>IFERROR(H98/G98*100,0)</f>
        <v>0</v>
      </c>
    </row>
    <row r="99" spans="9:9">
      <c r="I99" s="2">
        <f>IFERROR(H99/G99*100,0)</f>
        <v>0</v>
      </c>
    </row>
    <row r="100" spans="9:9">
      <c r="I100" s="2">
        <f>IFERROR(H100/G100*100,0)</f>
        <v>0</v>
      </c>
    </row>
    <row r="101" spans="9:9">
      <c r="I101" s="2">
        <f>IFERROR(H101/G101*100,0)</f>
        <v>0</v>
      </c>
    </row>
    <row r="102" spans="9:9">
      <c r="I102" s="2">
        <f>IFERROR(H102/G102*100,0)</f>
        <v>0</v>
      </c>
    </row>
    <row r="103" spans="9:9">
      <c r="I103" s="2">
        <f>IFERROR(H103/G103*100,0)</f>
        <v>0</v>
      </c>
    </row>
    <row r="104" spans="9:9">
      <c r="I104" s="2">
        <f>IFERROR(H104/G104*100,0)</f>
        <v>0</v>
      </c>
    </row>
    <row r="105" spans="9:9">
      <c r="I105" s="2">
        <f>IFERROR(H105/G105*100,0)</f>
        <v>0</v>
      </c>
    </row>
    <row r="106" spans="9:9">
      <c r="I106" s="2">
        <f>IFERROR(H106/G106*100,0)</f>
        <v>0</v>
      </c>
    </row>
    <row r="107" spans="9:9">
      <c r="I107" s="2">
        <f>IFERROR(H107/G107*100,0)</f>
        <v>0</v>
      </c>
    </row>
    <row r="108" spans="9:9">
      <c r="I108" s="2">
        <f>IFERROR(H108/G108*100,0)</f>
        <v>0</v>
      </c>
    </row>
    <row r="109" spans="9:9">
      <c r="I109" s="2">
        <f>IFERROR(H109/G109*100,0)</f>
        <v>0</v>
      </c>
    </row>
    <row r="110" spans="9:9">
      <c r="I110" s="2">
        <f>IFERROR(H110/G110*100,0)</f>
        <v>0</v>
      </c>
    </row>
    <row r="111" spans="9:9">
      <c r="I111" s="2">
        <f>IFERROR(H111/G111*100,0)</f>
        <v>0</v>
      </c>
    </row>
    <row r="112" spans="9:9">
      <c r="I112" s="2">
        <f>IFERROR(H112/G112*100,0)</f>
        <v>0</v>
      </c>
    </row>
    <row r="113" spans="9:9">
      <c r="I113" s="2">
        <f>IFERROR(H113/G113*100,0)</f>
        <v>0</v>
      </c>
    </row>
    <row r="114" spans="9:9">
      <c r="I114" s="2">
        <f>IFERROR(H114/G114*100,0)</f>
        <v>0</v>
      </c>
    </row>
    <row r="115" spans="9:9">
      <c r="I115" s="2">
        <f>IFERROR(H115/G115*100,0)</f>
        <v>0</v>
      </c>
    </row>
    <row r="116" spans="9:9">
      <c r="I116" s="2">
        <f>IFERROR(H116/G116*100,0)</f>
        <v>0</v>
      </c>
    </row>
    <row r="117" spans="9:9">
      <c r="I117" s="2">
        <f>IFERROR(H117/G117*100,0)</f>
        <v>0</v>
      </c>
    </row>
    <row r="118" spans="9:9">
      <c r="I118" s="2">
        <f>IFERROR(H118/G118*100,0)</f>
        <v>0</v>
      </c>
    </row>
    <row r="119" spans="9:9">
      <c r="I119" s="2">
        <f>IFERROR(H119/G119*100,0)</f>
        <v>0</v>
      </c>
    </row>
    <row r="120" spans="9:9">
      <c r="I120" s="2">
        <f>IFERROR(H120/G120*100,0)</f>
        <v>0</v>
      </c>
    </row>
    <row r="121" spans="9:9">
      <c r="I121" s="2">
        <f>IFERROR(H121/G121*100,0)</f>
        <v>0</v>
      </c>
    </row>
    <row r="122" spans="9:9">
      <c r="I122" s="2">
        <f>IFERROR(H122/G122*100,0)</f>
        <v>0</v>
      </c>
    </row>
    <row r="123" spans="9:9">
      <c r="I123" s="2">
        <f>IFERROR(H123/G123*100,0)</f>
        <v>0</v>
      </c>
    </row>
    <row r="124" spans="9:9">
      <c r="I124" s="2">
        <f>IFERROR(H124/G124*100,0)</f>
        <v>0</v>
      </c>
    </row>
    <row r="125" spans="9:9">
      <c r="I125" s="2">
        <f>IFERROR(H125/G125*100,0)</f>
        <v>0</v>
      </c>
    </row>
    <row r="126" spans="9:9">
      <c r="I126" s="2">
        <f>IFERROR(H126/G126*100,0)</f>
        <v>0</v>
      </c>
    </row>
    <row r="127" spans="9:9">
      <c r="I127" s="2">
        <f>IFERROR(H127/G127*100,0)</f>
        <v>0</v>
      </c>
    </row>
    <row r="128" spans="9:9">
      <c r="I128" s="2">
        <f>IFERROR(H128/G128*100,0)</f>
        <v>0</v>
      </c>
    </row>
    <row r="129" spans="9:9">
      <c r="I129" s="2">
        <f>IFERROR(H129/G129*100,0)</f>
        <v>0</v>
      </c>
    </row>
    <row r="130" spans="9:9">
      <c r="I130" s="2">
        <f>IFERROR(H130/G130*100,0)</f>
        <v>0</v>
      </c>
    </row>
    <row r="131" spans="9:9">
      <c r="I131" s="2">
        <f>IFERROR(H131/G131*100,0)</f>
        <v>0</v>
      </c>
    </row>
    <row r="132" spans="9:9">
      <c r="I132" s="2">
        <f>IFERROR(H132/G132*100,0)</f>
        <v>0</v>
      </c>
    </row>
    <row r="133" spans="9:9">
      <c r="I133" s="2">
        <f>IFERROR(H133/G133*100,0)</f>
        <v>0</v>
      </c>
    </row>
    <row r="134" spans="9:9">
      <c r="I134" s="2">
        <f>IFERROR(H134/G134*100,0)</f>
        <v>0</v>
      </c>
    </row>
    <row r="135" spans="9:9">
      <c r="I135" s="2">
        <f>IFERROR(H135/G135*100,0)</f>
        <v>0</v>
      </c>
    </row>
    <row r="136" spans="9:9">
      <c r="I136" s="2">
        <f>IFERROR(H136/G136*100,0)</f>
        <v>0</v>
      </c>
    </row>
    <row r="137" spans="9:9">
      <c r="I137" s="2">
        <f>IFERROR(H137/G137*100,0)</f>
        <v>0</v>
      </c>
    </row>
    <row r="138" spans="9:9">
      <c r="I138" s="2">
        <f>IFERROR(H138/G138*100,0)</f>
        <v>0</v>
      </c>
    </row>
    <row r="139" spans="9:9">
      <c r="I139" s="2">
        <f>IFERROR(H139/G139*100,0)</f>
        <v>0</v>
      </c>
    </row>
    <row r="140" spans="9:9">
      <c r="I140" s="2">
        <f>IFERROR(H140/G140*100,0)</f>
        <v>0</v>
      </c>
    </row>
    <row r="141" spans="9:9">
      <c r="I141" s="2">
        <f>IFERROR(H141/G141*100,0)</f>
        <v>0</v>
      </c>
    </row>
    <row r="142" spans="9:9">
      <c r="I142" s="2">
        <f>IFERROR(H142/G142*100,0)</f>
        <v>0</v>
      </c>
    </row>
    <row r="143" spans="9:9">
      <c r="I143" s="2">
        <f>IFERROR(H143/G143*100,0)</f>
        <v>0</v>
      </c>
    </row>
    <row r="144" spans="9:9">
      <c r="I144" s="2">
        <f>IFERROR(H144/G144*100,0)</f>
        <v>0</v>
      </c>
    </row>
    <row r="145" spans="9:9">
      <c r="I145" s="2">
        <f>IFERROR(H145/G145*100,0)</f>
        <v>0</v>
      </c>
    </row>
    <row r="146" spans="9:9">
      <c r="I146" s="2">
        <f>IFERROR(H146/G146*100,0)</f>
        <v>0</v>
      </c>
    </row>
    <row r="147" spans="9:9">
      <c r="I147" s="2">
        <f>IFERROR(H147/G147*100,0)</f>
        <v>0</v>
      </c>
    </row>
    <row r="148" spans="9:9">
      <c r="I148" s="2">
        <f>IFERROR(H148/G148*100,0)</f>
        <v>0</v>
      </c>
    </row>
    <row r="149" spans="9:9">
      <c r="I149" s="2">
        <f>IFERROR(H149/G149*100,0)</f>
        <v>0</v>
      </c>
    </row>
    <row r="150" spans="9:9">
      <c r="I150" s="2">
        <f>IFERROR(H150/G150*100,0)</f>
        <v>0</v>
      </c>
    </row>
    <row r="151" spans="9:9">
      <c r="I151" s="2">
        <f>IFERROR(H151/G151*100,0)</f>
        <v>0</v>
      </c>
    </row>
    <row r="152" spans="9:9">
      <c r="I152" s="2">
        <f>IFERROR(H152/G152*100,0)</f>
        <v>0</v>
      </c>
    </row>
    <row r="153" spans="9:9">
      <c r="I153" s="2">
        <f>IFERROR(H153/G153*100,0)</f>
        <v>0</v>
      </c>
    </row>
    <row r="154" spans="9:9">
      <c r="I154" s="2">
        <f>IFERROR(H154/G154*100,0)</f>
        <v>0</v>
      </c>
    </row>
    <row r="155" spans="9:9">
      <c r="I155" s="2">
        <f>IFERROR(H155/G155*100,0)</f>
        <v>0</v>
      </c>
    </row>
    <row r="156" spans="9:9">
      <c r="I156" s="2">
        <f>IFERROR(H156/G156*100,0)</f>
        <v>0</v>
      </c>
    </row>
    <row r="157" spans="9:9">
      <c r="I157" s="2">
        <f>IFERROR(H157/G157*100,0)</f>
        <v>0</v>
      </c>
    </row>
    <row r="158" spans="9:9">
      <c r="I158" s="2">
        <f>IFERROR(H158/G158*100,0)</f>
        <v>0</v>
      </c>
    </row>
    <row r="159" spans="9:9">
      <c r="I159" s="2">
        <f>IFERROR(H159/G159*100,0)</f>
        <v>0</v>
      </c>
    </row>
    <row r="160" spans="9:9">
      <c r="I160" s="2">
        <f>IFERROR(H160/G160*100,0)</f>
        <v>0</v>
      </c>
    </row>
    <row r="161" spans="9:9">
      <c r="I161" s="2">
        <f>IFERROR(H161/G161*100,0)</f>
        <v>0</v>
      </c>
    </row>
    <row r="162" spans="9:9">
      <c r="I162" s="2">
        <f>IFERROR(H162/G162*100,0)</f>
        <v>0</v>
      </c>
    </row>
    <row r="163" spans="9:9">
      <c r="I163" s="2">
        <f>IFERROR(H163/G163*100,0)</f>
        <v>0</v>
      </c>
    </row>
    <row r="164" spans="9:9">
      <c r="I164" s="2">
        <f>IFERROR(H164/G164*100,0)</f>
        <v>0</v>
      </c>
    </row>
    <row r="165" spans="9:9">
      <c r="I165" s="2">
        <f>IFERROR(H165/G165*100,0)</f>
        <v>0</v>
      </c>
    </row>
    <row r="166" spans="9:9">
      <c r="I166" s="2">
        <f>IFERROR(H166/G166*100,0)</f>
        <v>0</v>
      </c>
    </row>
    <row r="167" spans="9:9">
      <c r="I167" s="2">
        <f>IFERROR(H167/G167*100,0)</f>
        <v>0</v>
      </c>
    </row>
    <row r="168" spans="9:9">
      <c r="I168" s="2">
        <f>IFERROR(H168/G168*100,0)</f>
        <v>0</v>
      </c>
    </row>
    <row r="169" spans="9:9">
      <c r="I169" s="2">
        <f>IFERROR(H169/G169*100,0)</f>
        <v>0</v>
      </c>
    </row>
    <row r="170" spans="9:9">
      <c r="I170" s="2">
        <f>IFERROR(H170/G170*100,0)</f>
        <v>0</v>
      </c>
    </row>
    <row r="171" spans="9:9">
      <c r="I171" s="2">
        <f>IFERROR(H171/G171*100,0)</f>
        <v>0</v>
      </c>
    </row>
    <row r="172" spans="9:9">
      <c r="I172" s="2">
        <f>IFERROR(H172/G172*100,0)</f>
        <v>0</v>
      </c>
    </row>
    <row r="173" spans="9:9">
      <c r="I173" s="2">
        <f>IFERROR(H173/G173*100,0)</f>
        <v>0</v>
      </c>
    </row>
    <row r="174" spans="9:9">
      <c r="I174" s="2">
        <f>IFERROR(H174/G174*100,0)</f>
        <v>0</v>
      </c>
    </row>
    <row r="175" spans="9:9">
      <c r="I175" s="2">
        <f>IFERROR(H175/G175*100,0)</f>
        <v>0</v>
      </c>
    </row>
    <row r="176" spans="9:9">
      <c r="I176" s="2">
        <f>IFERROR(H176/G176*100,0)</f>
        <v>0</v>
      </c>
    </row>
    <row r="177" spans="9:9">
      <c r="I177" s="2">
        <f>IFERROR(H177/G177*100,0)</f>
        <v>0</v>
      </c>
    </row>
    <row r="178" spans="9:9">
      <c r="I178" s="2">
        <f>IFERROR(H178/G178*100,0)</f>
        <v>0</v>
      </c>
    </row>
    <row r="179" spans="9:9">
      <c r="I179" s="2">
        <f>IFERROR(H179/G179*100,0)</f>
        <v>0</v>
      </c>
    </row>
    <row r="180" spans="9:9">
      <c r="I180" s="2">
        <f>IFERROR(H180/G180*100,0)</f>
        <v>0</v>
      </c>
    </row>
    <row r="181" spans="9:9">
      <c r="I181" s="2">
        <f>IFERROR(H181/G181*100,0)</f>
        <v>0</v>
      </c>
    </row>
    <row r="182" spans="9:9">
      <c r="I182" s="2">
        <f>IFERROR(H182/G182*100,0)</f>
        <v>0</v>
      </c>
    </row>
    <row r="183" spans="9:9">
      <c r="I183" s="2">
        <f>IFERROR(H183/G183*100,0)</f>
        <v>0</v>
      </c>
    </row>
    <row r="184" spans="9:9">
      <c r="I184" s="2">
        <f>IFERROR(H184/G184*100,0)</f>
        <v>0</v>
      </c>
    </row>
    <row r="185" spans="9:9">
      <c r="I185" s="2">
        <f>IFERROR(H185/G185*100,0)</f>
        <v>0</v>
      </c>
    </row>
    <row r="186" spans="9:9">
      <c r="I186" s="2">
        <f>IFERROR(H186/G186*100,0)</f>
        <v>0</v>
      </c>
    </row>
    <row r="187" spans="9:9">
      <c r="I187" s="2">
        <f>IFERROR(H187/G187*100,0)</f>
        <v>0</v>
      </c>
    </row>
    <row r="188" spans="9:9">
      <c r="I188" s="2">
        <f>IFERROR(H188/G188*100,0)</f>
        <v>0</v>
      </c>
    </row>
    <row r="189" spans="9:9">
      <c r="I189" s="2">
        <f>IFERROR(H189/G189*100,0)</f>
        <v>0</v>
      </c>
    </row>
    <row r="190" spans="9:9">
      <c r="I190" s="2">
        <f>IFERROR(H190/G190*100,0)</f>
        <v>0</v>
      </c>
    </row>
    <row r="191" spans="9:9">
      <c r="I191" s="2">
        <f>IFERROR(H191/G191*100,0)</f>
        <v>0</v>
      </c>
    </row>
    <row r="192" spans="9:9">
      <c r="I192" s="2">
        <f>IFERROR(H192/G192*100,0)</f>
        <v>0</v>
      </c>
    </row>
    <row r="193" spans="9:9">
      <c r="I193" s="2">
        <f>IFERROR(H193/G193*100,0)</f>
        <v>0</v>
      </c>
    </row>
    <row r="194" spans="9:9">
      <c r="I194" s="2">
        <f>IFERROR(H194/G194*100,0)</f>
        <v>0</v>
      </c>
    </row>
    <row r="195" spans="9:9">
      <c r="I195" s="2">
        <f>IFERROR(H195/G195*100,0)</f>
        <v>0</v>
      </c>
    </row>
    <row r="196" spans="9:9">
      <c r="I196" s="2">
        <f>IFERROR(H196/G196*100,0)</f>
        <v>0</v>
      </c>
    </row>
    <row r="197" spans="9:9">
      <c r="I197" s="2">
        <f>IFERROR(H197/G197*100,0)</f>
        <v>0</v>
      </c>
    </row>
    <row r="198" spans="9:9">
      <c r="I198" s="2">
        <f>IFERROR(H198/G198*100,0)</f>
        <v>0</v>
      </c>
    </row>
    <row r="199" spans="9:9">
      <c r="I199" s="2">
        <f>IFERROR(H199/G199*100,0)</f>
        <v>0</v>
      </c>
    </row>
    <row r="200" spans="9:9">
      <c r="I200" s="2">
        <f>IFERROR(H200/G200*100,0)</f>
        <v>0</v>
      </c>
    </row>
    <row r="201" spans="9:9">
      <c r="I201" s="2">
        <f>IFERROR(H201/G201*100,0)</f>
        <v>0</v>
      </c>
    </row>
    <row r="202" spans="9:9">
      <c r="I202" s="2">
        <f>IFERROR(H202/G202*100,0)</f>
        <v>0</v>
      </c>
    </row>
    <row r="203" spans="9:9">
      <c r="I203" s="2">
        <f>IFERROR(H203/G203*100,0)</f>
        <v>0</v>
      </c>
    </row>
    <row r="204" spans="9:9">
      <c r="I204" s="2">
        <f>IFERROR(H204/G204*100,0)</f>
        <v>0</v>
      </c>
    </row>
    <row r="205" spans="9:9">
      <c r="I205" s="2">
        <f>IFERROR(H205/G205*100,0)</f>
        <v>0</v>
      </c>
    </row>
    <row r="206" spans="9:9">
      <c r="I206" s="2">
        <f>IFERROR(H206/G206*100,0)</f>
        <v>0</v>
      </c>
    </row>
    <row r="207" spans="9:9">
      <c r="I207" s="2">
        <f>IFERROR(H207/G207*100,0)</f>
        <v>0</v>
      </c>
    </row>
    <row r="208" spans="9:9">
      <c r="I208" s="2">
        <f>IFERROR(H208/G208*100,0)</f>
        <v>0</v>
      </c>
    </row>
    <row r="209" spans="9:9">
      <c r="I209" s="2">
        <f>IFERROR(H209/G209*100,0)</f>
        <v>0</v>
      </c>
    </row>
    <row r="210" spans="9:9">
      <c r="I210" s="2">
        <f>IFERROR(H210/G210*100,0)</f>
        <v>0</v>
      </c>
    </row>
    <row r="211" spans="9:9">
      <c r="I211" s="2">
        <f>IFERROR(H211/G211*100,0)</f>
        <v>0</v>
      </c>
    </row>
    <row r="212" spans="9:9">
      <c r="I212" s="2">
        <f>IFERROR(H212/G212*100,0)</f>
        <v>0</v>
      </c>
    </row>
    <row r="213" spans="9:9">
      <c r="I213" s="2">
        <f>IFERROR(H213/G213*100,0)</f>
        <v>0</v>
      </c>
    </row>
    <row r="214" spans="9:9">
      <c r="I214" s="2">
        <f>IFERROR(H214/G214*100,0)</f>
        <v>0</v>
      </c>
    </row>
    <row r="215" spans="9:9">
      <c r="I215" s="2">
        <f>IFERROR(H215/G215*100,0)</f>
        <v>0</v>
      </c>
    </row>
    <row r="216" spans="9:9">
      <c r="I216" s="2">
        <f>IFERROR(H216/G216*100,0)</f>
        <v>0</v>
      </c>
    </row>
    <row r="217" spans="9:9">
      <c r="I217" s="2">
        <f>IFERROR(H217/G217*100,0)</f>
        <v>0</v>
      </c>
    </row>
    <row r="218" spans="9:9">
      <c r="I218" s="2">
        <f>IFERROR(H218/G218*100,0)</f>
        <v>0</v>
      </c>
    </row>
    <row r="219" spans="9:9">
      <c r="I219" s="2">
        <f>IFERROR(H219/G219*100,0)</f>
        <v>0</v>
      </c>
    </row>
    <row r="220" spans="9:9">
      <c r="I220" s="2">
        <f>IFERROR(H220/G220*100,0)</f>
        <v>0</v>
      </c>
    </row>
    <row r="221" spans="9:9">
      <c r="I221" s="2">
        <f>IFERROR(H221/G221*100,0)</f>
        <v>0</v>
      </c>
    </row>
    <row r="222" spans="9:9">
      <c r="I222" s="2">
        <f>IFERROR(H222/G222*100,0)</f>
        <v>0</v>
      </c>
    </row>
    <row r="223" spans="9:9">
      <c r="I223" s="2">
        <f>IFERROR(H223/G223*100,0)</f>
        <v>0</v>
      </c>
    </row>
    <row r="224" spans="9:9">
      <c r="I224" s="2">
        <f>IFERROR(H224/G224*100,0)</f>
        <v>0</v>
      </c>
    </row>
    <row r="225" spans="9:9">
      <c r="I225" s="2">
        <f>IFERROR(H225/G225*100,0)</f>
        <v>0</v>
      </c>
    </row>
    <row r="226" spans="9:9">
      <c r="I226" s="2">
        <f>IFERROR(H226/G226*100,0)</f>
        <v>0</v>
      </c>
    </row>
    <row r="227" spans="9:9">
      <c r="I227" s="2">
        <f>IFERROR(H227/G227*100,0)</f>
        <v>0</v>
      </c>
    </row>
    <row r="228" spans="9:9">
      <c r="I228" s="2">
        <f>IFERROR(H228/G228*100,0)</f>
        <v>0</v>
      </c>
    </row>
    <row r="229" spans="9:9">
      <c r="I229" s="2">
        <f>IFERROR(H229/G229*100,0)</f>
        <v>0</v>
      </c>
    </row>
    <row r="230" spans="9:9">
      <c r="I230" s="2">
        <f>IFERROR(H230/G230*100,0)</f>
        <v>0</v>
      </c>
    </row>
    <row r="231" spans="9:9">
      <c r="I231" s="2">
        <f>IFERROR(H231/G231*100,0)</f>
        <v>0</v>
      </c>
    </row>
    <row r="232" spans="9:9">
      <c r="I232" s="2">
        <f>IFERROR(H232/G232*100,0)</f>
        <v>0</v>
      </c>
    </row>
    <row r="233" spans="9:9">
      <c r="I233" s="2">
        <f>IFERROR(H233/G233*100,0)</f>
        <v>0</v>
      </c>
    </row>
    <row r="234" spans="9:9">
      <c r="I234" s="2">
        <f>IFERROR(H234/G234*100,0)</f>
        <v>0</v>
      </c>
    </row>
    <row r="235" spans="9:9">
      <c r="I235" s="2">
        <f>IFERROR(H235/G235*100,0)</f>
        <v>0</v>
      </c>
    </row>
    <row r="236" spans="9:9">
      <c r="I236" s="2">
        <f>IFERROR(H236/G236*100,0)</f>
        <v>0</v>
      </c>
    </row>
    <row r="237" spans="9:9">
      <c r="I237" s="2">
        <f>IFERROR(H237/G237*100,0)</f>
        <v>0</v>
      </c>
    </row>
    <row r="238" spans="9:9">
      <c r="I238" s="2">
        <f>IFERROR(H238/G238*100,0)</f>
        <v>0</v>
      </c>
    </row>
    <row r="239" spans="9:9">
      <c r="I239" s="2">
        <f>IFERROR(H239/G239*100,0)</f>
        <v>0</v>
      </c>
    </row>
    <row r="240" spans="9:9">
      <c r="I240" s="2">
        <f>IFERROR(H240/G240*100,0)</f>
        <v>0</v>
      </c>
    </row>
    <row r="241" spans="9:9">
      <c r="I241" s="2">
        <f>IFERROR(H241/G241*100,0)</f>
        <v>0</v>
      </c>
    </row>
    <row r="242" spans="9:9">
      <c r="I242" s="2">
        <f>IFERROR(H242/G242*100,0)</f>
        <v>0</v>
      </c>
    </row>
    <row r="243" spans="9:9">
      <c r="I243" s="2">
        <f>IFERROR(H243/G243*100,0)</f>
        <v>0</v>
      </c>
    </row>
    <row r="244" spans="9:9">
      <c r="I244" s="2">
        <f>IFERROR(H244/G244*100,0)</f>
        <v>0</v>
      </c>
    </row>
    <row r="245" spans="9:9">
      <c r="I245" s="2">
        <f>IFERROR(H245/G245*100,0)</f>
        <v>0</v>
      </c>
    </row>
    <row r="246" spans="9:9">
      <c r="I246" s="2">
        <f>IFERROR(H246/G246*100,0)</f>
        <v>0</v>
      </c>
    </row>
    <row r="247" spans="9:9">
      <c r="I247" s="2">
        <f>IFERROR(H247/G247*100,0)</f>
        <v>0</v>
      </c>
    </row>
    <row r="248" spans="9:9">
      <c r="I248" s="2">
        <f>IFERROR(H248/G248*100,0)</f>
        <v>0</v>
      </c>
    </row>
    <row r="249" spans="9:9">
      <c r="I249" s="2">
        <f>IFERROR(H249/G249*100,0)</f>
        <v>0</v>
      </c>
    </row>
    <row r="250" spans="9:9">
      <c r="I250" s="2">
        <f>IFERROR(H250/G250*100,0)</f>
        <v>0</v>
      </c>
    </row>
    <row r="251" spans="9:9">
      <c r="I251" s="2">
        <f>IFERROR(H251/G251*100,0)</f>
        <v>0</v>
      </c>
    </row>
    <row r="252" spans="9:9">
      <c r="I252" s="2">
        <f>IFERROR(H252/G252*100,0)</f>
        <v>0</v>
      </c>
    </row>
    <row r="253" spans="9:9">
      <c r="I253" s="2">
        <f>IFERROR(H253/G253*100,0)</f>
        <v>0</v>
      </c>
    </row>
    <row r="254" spans="9:9">
      <c r="I254" s="2">
        <f>IFERROR(H254/G254*100,0)</f>
        <v>0</v>
      </c>
    </row>
    <row r="255" spans="9:9">
      <c r="I255" s="2">
        <f>IFERROR(H255/G255*100,0)</f>
        <v>0</v>
      </c>
    </row>
    <row r="256" spans="9:9">
      <c r="I256" s="2">
        <f>IFERROR(H256/G256*100,0)</f>
        <v>0</v>
      </c>
    </row>
    <row r="257" spans="9:9">
      <c r="I257" s="2">
        <f>IFERROR(H257/G257*100,0)</f>
        <v>0</v>
      </c>
    </row>
    <row r="258" spans="9:9">
      <c r="I258" s="2">
        <f>IFERROR(H258/G258*100,0)</f>
        <v>0</v>
      </c>
    </row>
    <row r="259" spans="9:9">
      <c r="I259" s="2">
        <f>IFERROR(H259/G259*100,0)</f>
        <v>0</v>
      </c>
    </row>
    <row r="260" spans="9:9">
      <c r="I260" s="2">
        <f>IFERROR(H260/G260*100,0)</f>
        <v>0</v>
      </c>
    </row>
    <row r="261" spans="9:9">
      <c r="I261" s="2">
        <f>IFERROR(H261/G261*100,0)</f>
        <v>0</v>
      </c>
    </row>
    <row r="262" spans="9:9">
      <c r="I262" s="2">
        <f>IFERROR(H262/G262*100,0)</f>
        <v>0</v>
      </c>
    </row>
    <row r="263" spans="9:9">
      <c r="I263" s="2">
        <f>IFERROR(H263/G263*100,0)</f>
        <v>0</v>
      </c>
    </row>
    <row r="264" spans="9:9">
      <c r="I264" s="2">
        <f>IFERROR(H264/G264*100,0)</f>
        <v>0</v>
      </c>
    </row>
    <row r="265" spans="9:9">
      <c r="I265" s="2">
        <f>IFERROR(H265/G265*100,0)</f>
        <v>0</v>
      </c>
    </row>
    <row r="266" spans="9:9">
      <c r="I266" s="2">
        <f>IFERROR(H266/G266*100,0)</f>
        <v>0</v>
      </c>
    </row>
    <row r="267" spans="9:9">
      <c r="I267" s="2">
        <f>IFERROR(H267/G267*100,0)</f>
        <v>0</v>
      </c>
    </row>
    <row r="268" spans="9:9">
      <c r="I268" s="2">
        <f>IFERROR(H268/G268*100,0)</f>
        <v>0</v>
      </c>
    </row>
    <row r="269" spans="9:9">
      <c r="I269" s="2">
        <f>IFERROR(H269/G269*100,0)</f>
        <v>0</v>
      </c>
    </row>
    <row r="270" spans="9:9">
      <c r="I270" s="2">
        <f>IFERROR(H270/G270*100,0)</f>
        <v>0</v>
      </c>
    </row>
    <row r="271" spans="9:9">
      <c r="I271" s="2">
        <f>IFERROR(H271/G271*100,0)</f>
        <v>0</v>
      </c>
    </row>
    <row r="272" spans="9:9">
      <c r="I272" s="2">
        <f>IFERROR(H272/G272*100,0)</f>
        <v>0</v>
      </c>
    </row>
    <row r="273" spans="9:9">
      <c r="I273" s="2">
        <f>IFERROR(H273/G273*100,0)</f>
        <v>0</v>
      </c>
    </row>
    <row r="274" spans="9:9">
      <c r="I274" s="2">
        <f>IFERROR(H274/G274*100,0)</f>
        <v>0</v>
      </c>
    </row>
    <row r="275" spans="9:9">
      <c r="I275" s="2">
        <f>IFERROR(H275/G275*100,0)</f>
        <v>0</v>
      </c>
    </row>
    <row r="276" spans="9:9">
      <c r="I276" s="2">
        <f>IFERROR(H276/G276*100,0)</f>
        <v>0</v>
      </c>
    </row>
    <row r="277" spans="9:9">
      <c r="I277" s="2">
        <f>IFERROR(H277/G277*100,0)</f>
        <v>0</v>
      </c>
    </row>
    <row r="278" spans="9:9">
      <c r="I278" s="2">
        <f>IFERROR(H278/G278*100,0)</f>
        <v>0</v>
      </c>
    </row>
    <row r="279" spans="9:9">
      <c r="I279" s="2">
        <f>IFERROR(H279/G279*100,0)</f>
        <v>0</v>
      </c>
    </row>
    <row r="280" spans="9:9">
      <c r="I280" s="2">
        <f>IFERROR(H280/G280*100,0)</f>
        <v>0</v>
      </c>
    </row>
    <row r="281" spans="9:9">
      <c r="I281" s="2">
        <f>IFERROR(H281/G281*100,0)</f>
        <v>0</v>
      </c>
    </row>
    <row r="282" spans="9:9">
      <c r="I282" s="2">
        <f>IFERROR(H282/G282*100,0)</f>
        <v>0</v>
      </c>
    </row>
    <row r="283" spans="9:9">
      <c r="I283" s="2">
        <f>IFERROR(H283/G283*100,0)</f>
        <v>0</v>
      </c>
    </row>
    <row r="284" spans="9:9">
      <c r="I284" s="2">
        <f>IFERROR(H284/G284*100,0)</f>
        <v>0</v>
      </c>
    </row>
    <row r="285" spans="9:9">
      <c r="I285" s="2">
        <f>IFERROR(H285/G285*100,0)</f>
        <v>0</v>
      </c>
    </row>
    <row r="286" spans="9:9">
      <c r="I286" s="2">
        <f>IFERROR(H286/G286*100,0)</f>
        <v>0</v>
      </c>
    </row>
    <row r="287" spans="9:9">
      <c r="I287" s="2">
        <f>IFERROR(H287/G287*100,0)</f>
        <v>0</v>
      </c>
    </row>
    <row r="288" spans="9:9">
      <c r="I288" s="2">
        <f>IFERROR(H288/G288*100,0)</f>
        <v>0</v>
      </c>
    </row>
    <row r="289" spans="9:9">
      <c r="I289" s="2">
        <f>IFERROR(H289/G289*100,0)</f>
        <v>0</v>
      </c>
    </row>
    <row r="290" spans="9:9">
      <c r="I290" s="2">
        <f>IFERROR(H290/G290*100,0)</f>
        <v>0</v>
      </c>
    </row>
    <row r="291" spans="9:9">
      <c r="I291" s="2">
        <f>IFERROR(H291/G291*100,0)</f>
        <v>0</v>
      </c>
    </row>
    <row r="292" spans="9:9">
      <c r="I292" s="2">
        <f>IFERROR(H292/G292*100,0)</f>
        <v>0</v>
      </c>
    </row>
    <row r="293" spans="9:9">
      <c r="I293" s="2">
        <f>IFERROR(H293/G293*100,0)</f>
        <v>0</v>
      </c>
    </row>
    <row r="294" spans="9:9">
      <c r="I294" s="2">
        <f>IFERROR(H294/G294*100,0)</f>
        <v>0</v>
      </c>
    </row>
    <row r="295" spans="9:9">
      <c r="I295" s="2">
        <f>IFERROR(H295/G295*100,0)</f>
        <v>0</v>
      </c>
    </row>
    <row r="296" spans="9:9">
      <c r="I296" s="2">
        <f>IFERROR(H296/G296*100,0)</f>
        <v>0</v>
      </c>
    </row>
    <row r="297" spans="9:9">
      <c r="I297" s="2">
        <f>IFERROR(H297/G297*100,0)</f>
        <v>0</v>
      </c>
    </row>
    <row r="298" spans="9:9">
      <c r="I298" s="2">
        <f>IFERROR(H298/G298*100,0)</f>
        <v>0</v>
      </c>
    </row>
    <row r="299" spans="9:9">
      <c r="I299" s="2">
        <f>IFERROR(H299/G299*100,0)</f>
        <v>0</v>
      </c>
    </row>
    <row r="300" spans="9:9">
      <c r="I300" s="2">
        <f>IFERROR(H300/G300*100,0)</f>
        <v>0</v>
      </c>
    </row>
    <row r="301" spans="9:9">
      <c r="I301" s="2">
        <f>IFERROR(H301/G301*100,0)</f>
        <v>0</v>
      </c>
    </row>
    <row r="302" spans="9:9">
      <c r="I302" s="2">
        <f>IFERROR(H302/G302*100,0)</f>
        <v>0</v>
      </c>
    </row>
    <row r="303" spans="9:9">
      <c r="I303" s="2">
        <f>IFERROR(H303/G303*100,0)</f>
        <v>0</v>
      </c>
    </row>
    <row r="304" spans="9:9">
      <c r="I304" s="2">
        <f>IFERROR(H304/G304*100,0)</f>
        <v>0</v>
      </c>
    </row>
    <row r="305" spans="9:9">
      <c r="I305" s="2">
        <f>IFERROR(H305/G305*100,0)</f>
        <v>0</v>
      </c>
    </row>
    <row r="306" spans="9:9">
      <c r="I306" s="2">
        <f>IFERROR(H306/G306*100,0)</f>
        <v>0</v>
      </c>
    </row>
    <row r="307" spans="9:9">
      <c r="I307" s="2">
        <f>IFERROR(H307/G307*100,0)</f>
        <v>0</v>
      </c>
    </row>
    <row r="308" spans="9:9">
      <c r="I308" s="2">
        <f>IFERROR(H308/G308*100,0)</f>
        <v>0</v>
      </c>
    </row>
    <row r="309" spans="9:9">
      <c r="I309" s="2">
        <f>IFERROR(H309/G309*100,0)</f>
        <v>0</v>
      </c>
    </row>
    <row r="310" spans="9:9">
      <c r="I310" s="2">
        <f>IFERROR(H310/G310*100,0)</f>
        <v>0</v>
      </c>
    </row>
    <row r="311" spans="9:9">
      <c r="I311" s="2">
        <f>IFERROR(H311/G311*100,0)</f>
        <v>0</v>
      </c>
    </row>
    <row r="312" spans="9:9">
      <c r="I312" s="2">
        <f>IFERROR(H312/G312*100,0)</f>
        <v>0</v>
      </c>
    </row>
    <row r="313" spans="9:9">
      <c r="I313" s="2">
        <f>IFERROR(H313/G313*100,0)</f>
        <v>0</v>
      </c>
    </row>
    <row r="314" spans="9:9">
      <c r="I314" s="2">
        <f>IFERROR(H314/G314*100,0)</f>
        <v>0</v>
      </c>
    </row>
    <row r="315" spans="9:9">
      <c r="I315" s="2">
        <f>IFERROR(H315/G315*100,0)</f>
        <v>0</v>
      </c>
    </row>
    <row r="316" spans="9:9">
      <c r="I316" s="2">
        <f>IFERROR(H316/G316*100,0)</f>
        <v>0</v>
      </c>
    </row>
    <row r="317" spans="9:9">
      <c r="I317" s="2">
        <f>IFERROR(H317/G317*100,0)</f>
        <v>0</v>
      </c>
    </row>
    <row r="318" spans="9:9">
      <c r="I318" s="2">
        <f>IFERROR(H318/G318*100,0)</f>
        <v>0</v>
      </c>
    </row>
    <row r="319" spans="9:9">
      <c r="I319" s="2">
        <f>IFERROR(H319/G319*100,0)</f>
        <v>0</v>
      </c>
    </row>
    <row r="320" spans="9:9">
      <c r="I320" s="2">
        <f>IFERROR(H320/G320*100,0)</f>
        <v>0</v>
      </c>
    </row>
    <row r="321" spans="9:9">
      <c r="I321" s="2">
        <f>IFERROR(H321/G321*100,0)</f>
        <v>0</v>
      </c>
    </row>
    <row r="322" spans="9:9">
      <c r="I322" s="2">
        <f>IFERROR(H322/G322*100,0)</f>
        <v>0</v>
      </c>
    </row>
    <row r="323" spans="9:9">
      <c r="I323" s="2">
        <f>IFERROR(H323/G323*100,0)</f>
        <v>0</v>
      </c>
    </row>
    <row r="324" spans="9:9">
      <c r="I324" s="2">
        <f>IFERROR(H324/G324*100,0)</f>
        <v>0</v>
      </c>
    </row>
    <row r="325" spans="9:9">
      <c r="I325" s="2">
        <f>IFERROR(H325/G325*100,0)</f>
        <v>0</v>
      </c>
    </row>
    <row r="326" spans="9:9">
      <c r="I326" s="2">
        <f>IFERROR(H326/G326*100,0)</f>
        <v>0</v>
      </c>
    </row>
    <row r="327" spans="9:9">
      <c r="I327" s="2">
        <f>IFERROR(H327/G327*100,0)</f>
        <v>0</v>
      </c>
    </row>
    <row r="328" spans="9:9">
      <c r="I328" s="2">
        <f>IFERROR(H328/G328*100,0)</f>
        <v>0</v>
      </c>
    </row>
    <row r="329" spans="9:9">
      <c r="I329" s="2">
        <f>IFERROR(H329/G329*100,0)</f>
        <v>0</v>
      </c>
    </row>
    <row r="330" spans="9:9">
      <c r="I330" s="2">
        <f>IFERROR(H330/G330*100,0)</f>
        <v>0</v>
      </c>
    </row>
    <row r="331" spans="9:9">
      <c r="I331" s="2">
        <f>IFERROR(H331/G331*100,0)</f>
        <v>0</v>
      </c>
    </row>
    <row r="332" spans="9:9">
      <c r="I332" s="2">
        <f>IFERROR(H332/G332*100,0)</f>
        <v>0</v>
      </c>
    </row>
    <row r="333" spans="9:9">
      <c r="I333" s="2">
        <f>IFERROR(H333/G333*100,0)</f>
        <v>0</v>
      </c>
    </row>
    <row r="334" spans="9:9">
      <c r="I334" s="2">
        <f>IFERROR(H334/G334*100,0)</f>
        <v>0</v>
      </c>
    </row>
    <row r="335" spans="9:9">
      <c r="I335" s="2">
        <f>IFERROR(H335/G335*100,0)</f>
        <v>0</v>
      </c>
    </row>
    <row r="336" spans="9:9">
      <c r="I336" s="2">
        <f>IFERROR(H336/G336*100,0)</f>
        <v>0</v>
      </c>
    </row>
    <row r="337" spans="9:9">
      <c r="I337" s="2">
        <f>IFERROR(H337/G337*100,0)</f>
        <v>0</v>
      </c>
    </row>
    <row r="338" spans="9:9">
      <c r="I338" s="2">
        <f>IFERROR(H338/G338*100,0)</f>
        <v>0</v>
      </c>
    </row>
    <row r="339" spans="9:9">
      <c r="I339" s="2">
        <f>IFERROR(H339/G339*100,0)</f>
        <v>0</v>
      </c>
    </row>
    <row r="340" spans="9:9">
      <c r="I340" s="2">
        <f>IFERROR(H340/G340*100,0)</f>
        <v>0</v>
      </c>
    </row>
    <row r="341" spans="9:9">
      <c r="I341" s="2">
        <f>IFERROR(H341/G341*100,0)</f>
        <v>0</v>
      </c>
    </row>
    <row r="342" spans="9:9">
      <c r="I342" s="2">
        <f>IFERROR(H342/G342*100,0)</f>
        <v>0</v>
      </c>
    </row>
    <row r="343" spans="9:9">
      <c r="I343" s="2">
        <f>IFERROR(H343/G343*100,0)</f>
        <v>0</v>
      </c>
    </row>
    <row r="344" spans="9:9">
      <c r="I344" s="2">
        <f>IFERROR(H344/G344*100,0)</f>
        <v>0</v>
      </c>
    </row>
    <row r="345" spans="9:9">
      <c r="I345" s="2">
        <f>IFERROR(H345/G345*100,0)</f>
        <v>0</v>
      </c>
    </row>
    <row r="346" spans="9:9">
      <c r="I346" s="2">
        <f>IFERROR(H346/G346*100,0)</f>
        <v>0</v>
      </c>
    </row>
    <row r="347" spans="9:9">
      <c r="I347" s="2">
        <f>IFERROR(H347/G347*100,0)</f>
        <v>0</v>
      </c>
    </row>
    <row r="348" spans="9:9">
      <c r="I348" s="2">
        <f>IFERROR(H348/G348*100,0)</f>
        <v>0</v>
      </c>
    </row>
    <row r="349" spans="9:9">
      <c r="I349" s="2">
        <f>IFERROR(H349/G349*100,0)</f>
        <v>0</v>
      </c>
    </row>
    <row r="350" spans="9:9">
      <c r="I350" s="2">
        <f>IFERROR(H350/G350*100,0)</f>
        <v>0</v>
      </c>
    </row>
    <row r="351" spans="9:9">
      <c r="I351" s="2">
        <f>IFERROR(H351/G351*100,0)</f>
        <v>0</v>
      </c>
    </row>
    <row r="352" spans="9:9">
      <c r="I352" s="2">
        <f>IFERROR(H352/G352*100,0)</f>
        <v>0</v>
      </c>
    </row>
    <row r="353" spans="9:9">
      <c r="I353" s="2">
        <f>IFERROR(H353/G353*100,0)</f>
        <v>0</v>
      </c>
    </row>
    <row r="354" spans="9:9">
      <c r="I354" s="2">
        <f>IFERROR(H354/G354*100,0)</f>
        <v>0</v>
      </c>
    </row>
    <row r="355" spans="9:9">
      <c r="I355" s="2">
        <f>IFERROR(H355/G355*100,0)</f>
        <v>0</v>
      </c>
    </row>
    <row r="356" spans="9:9">
      <c r="I356" s="2">
        <f>IFERROR(H356/G356*100,0)</f>
        <v>0</v>
      </c>
    </row>
    <row r="357" spans="9:9">
      <c r="I357" s="2">
        <f>IFERROR(H357/G357*100,0)</f>
        <v>0</v>
      </c>
    </row>
    <row r="358" spans="9:9">
      <c r="I358" s="2">
        <f>IFERROR(H358/G358*100,0)</f>
        <v>0</v>
      </c>
    </row>
    <row r="359" spans="9:9">
      <c r="I359" s="2">
        <f>IFERROR(H359/G359*100,0)</f>
        <v>0</v>
      </c>
    </row>
    <row r="360" spans="9:9">
      <c r="I360" s="2">
        <f>IFERROR(H360/G360*100,0)</f>
        <v>0</v>
      </c>
    </row>
    <row r="361" spans="9:9">
      <c r="I361" s="2">
        <f>IFERROR(H361/G361*100,0)</f>
        <v>0</v>
      </c>
    </row>
    <row r="362" spans="9:9">
      <c r="I362" s="2">
        <f>IFERROR(H362/G362*100,0)</f>
        <v>0</v>
      </c>
    </row>
    <row r="363" spans="9:9">
      <c r="I363" s="2">
        <f>IFERROR(H363/G363*100,0)</f>
        <v>0</v>
      </c>
    </row>
    <row r="364" spans="9:9">
      <c r="I364" s="2">
        <f>IFERROR(H364/G364*100,0)</f>
        <v>0</v>
      </c>
    </row>
    <row r="365" spans="9:9">
      <c r="I365" s="2">
        <f>IFERROR(H365/G365*100,0)</f>
        <v>0</v>
      </c>
    </row>
    <row r="366" spans="9:9">
      <c r="I366" s="2">
        <f>IFERROR(H366/G366*100,0)</f>
        <v>0</v>
      </c>
    </row>
    <row r="367" spans="9:9">
      <c r="I367" s="2">
        <f>IFERROR(H367/G367*100,0)</f>
        <v>0</v>
      </c>
    </row>
    <row r="368" spans="9:9">
      <c r="I368" s="2">
        <f>IFERROR(H368/G368*100,0)</f>
        <v>0</v>
      </c>
    </row>
    <row r="369" spans="9:9">
      <c r="I369" s="2">
        <f>IFERROR(H369/G369*100,0)</f>
        <v>0</v>
      </c>
    </row>
    <row r="370" spans="9:9">
      <c r="I370" s="2">
        <f>IFERROR(H370/G370*100,0)</f>
        <v>0</v>
      </c>
    </row>
    <row r="371" spans="9:9">
      <c r="I371" s="2">
        <f>IFERROR(H371/G371*100,0)</f>
        <v>0</v>
      </c>
    </row>
    <row r="372" spans="9:9">
      <c r="I372" s="2">
        <f>IFERROR(H372/G372*100,0)</f>
        <v>0</v>
      </c>
    </row>
    <row r="373" spans="9:9">
      <c r="I373" s="2">
        <f>IFERROR(H373/G373*100,0)</f>
        <v>0</v>
      </c>
    </row>
    <row r="374" spans="9:9">
      <c r="I374" s="2">
        <f>IFERROR(H374/G374*100,0)</f>
        <v>0</v>
      </c>
    </row>
    <row r="375" spans="9:9">
      <c r="I375" s="2">
        <f>IFERROR(H375/G375*100,0)</f>
        <v>0</v>
      </c>
    </row>
    <row r="376" spans="9:9">
      <c r="I376" s="2">
        <f>IFERROR(H376/G376*100,0)</f>
        <v>0</v>
      </c>
    </row>
    <row r="377" spans="9:9">
      <c r="I377" s="2">
        <f>IFERROR(H377/G377*100,0)</f>
        <v>0</v>
      </c>
    </row>
    <row r="378" spans="9:9">
      <c r="I378" s="2">
        <f>IFERROR(H378/G378*100,0)</f>
        <v>0</v>
      </c>
    </row>
    <row r="379" spans="9:9">
      <c r="I379" s="2">
        <f>IFERROR(H379/G379*100,0)</f>
        <v>0</v>
      </c>
    </row>
    <row r="380" spans="9:9">
      <c r="I380" s="2">
        <f>IFERROR(H380/G380*100,0)</f>
        <v>0</v>
      </c>
    </row>
    <row r="381" spans="9:9">
      <c r="I381" s="2">
        <f>IFERROR(H381/G381*100,0)</f>
        <v>0</v>
      </c>
    </row>
    <row r="382" spans="9:9">
      <c r="I382" s="2">
        <f>IFERROR(H382/G382*100,0)</f>
        <v>0</v>
      </c>
    </row>
    <row r="383" spans="9:9">
      <c r="I383" s="2">
        <f>IFERROR(H383/G383*100,0)</f>
        <v>0</v>
      </c>
    </row>
    <row r="384" spans="9:9">
      <c r="I384" s="2">
        <f>IFERROR(H384/G384*100,0)</f>
        <v>0</v>
      </c>
    </row>
    <row r="385" spans="9:9">
      <c r="I385" s="2">
        <f>IFERROR(H385/G385*100,0)</f>
        <v>0</v>
      </c>
    </row>
    <row r="386" spans="9:9">
      <c r="I386" s="2">
        <f>IFERROR(H386/G386*100,0)</f>
        <v>0</v>
      </c>
    </row>
    <row r="387" spans="9:9">
      <c r="I387" s="2">
        <f>IFERROR(H387/G387*100,0)</f>
        <v>0</v>
      </c>
    </row>
    <row r="388" spans="9:9">
      <c r="I388" s="2">
        <f>IFERROR(H388/G388*100,0)</f>
        <v>0</v>
      </c>
    </row>
    <row r="389" spans="9:9">
      <c r="I389" s="2">
        <f>IFERROR(H389/G389*100,0)</f>
        <v>0</v>
      </c>
    </row>
    <row r="390" spans="9:9">
      <c r="I390" s="2">
        <f>IFERROR(H390/G390*100,0)</f>
        <v>0</v>
      </c>
    </row>
    <row r="391" spans="9:9">
      <c r="I391" s="2">
        <f>IFERROR(H391/G391*100,0)</f>
        <v>0</v>
      </c>
    </row>
    <row r="392" spans="9:9">
      <c r="I392" s="2">
        <f>IFERROR(H392/G392*100,0)</f>
        <v>0</v>
      </c>
    </row>
    <row r="393" spans="9:9">
      <c r="I393" s="2">
        <f>IFERROR(H393/G393*100,0)</f>
        <v>0</v>
      </c>
    </row>
    <row r="394" spans="9:9">
      <c r="I394" s="2">
        <f>IFERROR(H394/G394*100,0)</f>
        <v>0</v>
      </c>
    </row>
    <row r="395" spans="9:9">
      <c r="I395" s="2">
        <f>IFERROR(H395/G395*100,0)</f>
        <v>0</v>
      </c>
    </row>
    <row r="396" spans="9:9">
      <c r="I396" s="2">
        <f>IFERROR(H396/G396*100,0)</f>
        <v>0</v>
      </c>
    </row>
    <row r="397" spans="9:9">
      <c r="I397" s="2">
        <f>IFERROR(H397/G397*100,0)</f>
        <v>0</v>
      </c>
    </row>
    <row r="398" spans="9:9">
      <c r="I398" s="2">
        <f>IFERROR(H398/G398*100,0)</f>
        <v>0</v>
      </c>
    </row>
    <row r="399" spans="9:9">
      <c r="I399" s="2">
        <f>IFERROR(H399/G399*100,0)</f>
        <v>0</v>
      </c>
    </row>
    <row r="400" spans="9:9">
      <c r="I400" s="2">
        <f>IFERROR(H400/G400*100,0)</f>
        <v>0</v>
      </c>
    </row>
    <row r="401" spans="9:9">
      <c r="I401" s="2">
        <f>IFERROR(H401/G401*100,0)</f>
        <v>0</v>
      </c>
    </row>
    <row r="402" spans="9:9">
      <c r="I402" s="2">
        <f>IFERROR(H402/G402*100,0)</f>
        <v>0</v>
      </c>
    </row>
    <row r="403" spans="9:9">
      <c r="I403" s="2">
        <f>IFERROR(H403/G403*100,0)</f>
        <v>0</v>
      </c>
    </row>
    <row r="404" spans="9:9">
      <c r="I404" s="2">
        <f>IFERROR(H404/G404*100,0)</f>
        <v>0</v>
      </c>
    </row>
    <row r="405" spans="9:9">
      <c r="I405" s="2">
        <f>IFERROR(H405/G405*100,0)</f>
        <v>0</v>
      </c>
    </row>
    <row r="406" spans="9:9">
      <c r="I406" s="2">
        <f>IFERROR(H406/G406*100,0)</f>
        <v>0</v>
      </c>
    </row>
    <row r="407" spans="9:9">
      <c r="I407" s="2">
        <f>IFERROR(H407/G407*100,0)</f>
        <v>0</v>
      </c>
    </row>
    <row r="408" spans="9:9">
      <c r="I408" s="2">
        <f>IFERROR(H408/G408*100,0)</f>
        <v>0</v>
      </c>
    </row>
    <row r="409" spans="9:9">
      <c r="I409" s="2">
        <f>IFERROR(H409/G409*100,0)</f>
        <v>0</v>
      </c>
    </row>
    <row r="410" spans="9:9">
      <c r="I410" s="2">
        <f>IFERROR(H410/G410*100,0)</f>
        <v>0</v>
      </c>
    </row>
    <row r="411" spans="9:9">
      <c r="I411" s="2">
        <f>IFERROR(H411/G411*100,0)</f>
        <v>0</v>
      </c>
    </row>
    <row r="412" spans="9:9">
      <c r="I412" s="2">
        <f>IFERROR(H412/G412*100,0)</f>
        <v>0</v>
      </c>
    </row>
    <row r="413" spans="9:9">
      <c r="I413" s="2">
        <f>IFERROR(H413/G413*100,0)</f>
        <v>0</v>
      </c>
    </row>
    <row r="414" spans="9:9">
      <c r="I414" s="2">
        <f>IFERROR(H414/G414*100,0)</f>
        <v>0</v>
      </c>
    </row>
    <row r="415" spans="9:9">
      <c r="I415" s="2">
        <f>IFERROR(H415/G415*100,0)</f>
        <v>0</v>
      </c>
    </row>
    <row r="416" spans="9:9">
      <c r="I416" s="2">
        <f>IFERROR(H416/G416*100,0)</f>
        <v>0</v>
      </c>
    </row>
    <row r="417" spans="9:9">
      <c r="I417" s="2">
        <f>IFERROR(H417/G417*100,0)</f>
        <v>0</v>
      </c>
    </row>
    <row r="418" spans="9:9">
      <c r="I418" s="2">
        <f>IFERROR(H418/G418*100,0)</f>
        <v>0</v>
      </c>
    </row>
    <row r="419" spans="9:9">
      <c r="I419" s="2">
        <f>IFERROR(H419/G419*100,0)</f>
        <v>0</v>
      </c>
    </row>
    <row r="420" spans="9:9">
      <c r="I420" s="2">
        <f>IFERROR(H420/G420*100,0)</f>
        <v>0</v>
      </c>
    </row>
    <row r="421" spans="9:9">
      <c r="I421" s="2">
        <f>IFERROR(H421/G421*100,0)</f>
        <v>0</v>
      </c>
    </row>
    <row r="422" spans="9:9">
      <c r="I422" s="2">
        <f>IFERROR(H422/G422*100,0)</f>
        <v>0</v>
      </c>
    </row>
    <row r="423" spans="9:9">
      <c r="I423" s="2">
        <f>IFERROR(H423/G423*100,0)</f>
        <v>0</v>
      </c>
    </row>
    <row r="424" spans="9:9">
      <c r="I424" s="2">
        <f>IFERROR(H424/G424*100,0)</f>
        <v>0</v>
      </c>
    </row>
    <row r="425" spans="9:9">
      <c r="I425" s="2">
        <f>IFERROR(H425/G425*100,0)</f>
        <v>0</v>
      </c>
    </row>
    <row r="426" spans="9:9">
      <c r="I426" s="2">
        <f>IFERROR(H426/G426*100,0)</f>
        <v>0</v>
      </c>
    </row>
    <row r="427" spans="9:9">
      <c r="I427" s="2">
        <f>IFERROR(H427/G427*100,0)</f>
        <v>0</v>
      </c>
    </row>
    <row r="428" spans="9:9">
      <c r="I428" s="2">
        <f>IFERROR(H428/G428*100,0)</f>
        <v>0</v>
      </c>
    </row>
    <row r="429" spans="9:9">
      <c r="I429" s="2">
        <f>IFERROR(H429/G429*100,0)</f>
        <v>0</v>
      </c>
    </row>
    <row r="430" spans="9:9">
      <c r="I430" s="2">
        <f>IFERROR(H430/G430*100,0)</f>
        <v>0</v>
      </c>
    </row>
    <row r="431" spans="9:9">
      <c r="I431" s="2">
        <f>IFERROR(H431/G431*100,0)</f>
        <v>0</v>
      </c>
    </row>
    <row r="432" spans="9:9">
      <c r="I432" s="2">
        <f>IFERROR(H432/G432*100,0)</f>
        <v>0</v>
      </c>
    </row>
    <row r="433" spans="9:9">
      <c r="I433" s="2">
        <f>IFERROR(H433/G433*100,0)</f>
        <v>0</v>
      </c>
    </row>
    <row r="434" spans="9:9">
      <c r="I434" s="2">
        <f>IFERROR(H434/G434*100,0)</f>
        <v>0</v>
      </c>
    </row>
    <row r="435" spans="9:9">
      <c r="I435" s="2">
        <f>IFERROR(H435/G435*100,0)</f>
        <v>0</v>
      </c>
    </row>
    <row r="436" spans="9:9">
      <c r="I436" s="2">
        <f>IFERROR(H436/G436*100,0)</f>
        <v>0</v>
      </c>
    </row>
    <row r="437" spans="9:9">
      <c r="I437" s="2">
        <f>IFERROR(H437/G437*100,0)</f>
        <v>0</v>
      </c>
    </row>
    <row r="438" spans="9:9">
      <c r="I438" s="2">
        <f>IFERROR(H438/G438*100,0)</f>
        <v>0</v>
      </c>
    </row>
    <row r="439" spans="9:9">
      <c r="I439" s="2">
        <f>IFERROR(H439/G439*100,0)</f>
        <v>0</v>
      </c>
    </row>
    <row r="440" spans="9:9">
      <c r="I440" s="2">
        <f>IFERROR(H440/G440*100,0)</f>
        <v>0</v>
      </c>
    </row>
    <row r="441" spans="9:9">
      <c r="I441" s="2">
        <f>IFERROR(H441/G441*100,0)</f>
        <v>0</v>
      </c>
    </row>
    <row r="442" spans="9:9">
      <c r="I442" s="2">
        <f>IFERROR(H442/G442*100,0)</f>
        <v>0</v>
      </c>
    </row>
    <row r="443" spans="9:9">
      <c r="I443" s="2">
        <f>IFERROR(H443/G443*100,0)</f>
        <v>0</v>
      </c>
    </row>
    <row r="444" spans="9:9">
      <c r="I444" s="2">
        <f>IFERROR(H444/G444*100,0)</f>
        <v>0</v>
      </c>
    </row>
    <row r="445" spans="9:9">
      <c r="I445" s="2">
        <f>IFERROR(H445/G445*100,0)</f>
        <v>0</v>
      </c>
    </row>
    <row r="446" spans="9:9">
      <c r="I446" s="2">
        <f>IFERROR(H446/G446*100,0)</f>
        <v>0</v>
      </c>
    </row>
    <row r="447" spans="9:9">
      <c r="I447" s="2">
        <f>IFERROR(H447/G447*100,0)</f>
        <v>0</v>
      </c>
    </row>
    <row r="448" spans="9:9">
      <c r="I448" s="2">
        <f>IFERROR(H448/G448*100,0)</f>
        <v>0</v>
      </c>
    </row>
    <row r="449" spans="9:9">
      <c r="I449" s="2">
        <f>IFERROR(H449/G449*100,0)</f>
        <v>0</v>
      </c>
    </row>
    <row r="450" spans="9:9">
      <c r="I450" s="2">
        <f>IFERROR(H450/G450*100,0)</f>
        <v>0</v>
      </c>
    </row>
    <row r="451" spans="9:9">
      <c r="I451" s="2">
        <f>IFERROR(H451/G451*100,0)</f>
        <v>0</v>
      </c>
    </row>
    <row r="452" spans="9:9">
      <c r="I452" s="2">
        <f>IFERROR(H452/G452*100,0)</f>
        <v>0</v>
      </c>
    </row>
    <row r="453" spans="9:9">
      <c r="I453" s="2">
        <f>IFERROR(H453/G453*100,0)</f>
        <v>0</v>
      </c>
    </row>
    <row r="454" spans="9:9">
      <c r="I454" s="2">
        <f>IFERROR(H454/G454*100,0)</f>
        <v>0</v>
      </c>
    </row>
    <row r="455" spans="9:9">
      <c r="I455" s="2">
        <f>IFERROR(H455/G455*100,0)</f>
        <v>0</v>
      </c>
    </row>
    <row r="456" spans="9:9">
      <c r="I456" s="2">
        <f>IFERROR(H456/G456*100,0)</f>
        <v>0</v>
      </c>
    </row>
    <row r="457" spans="9:9">
      <c r="I457" s="2">
        <f>IFERROR(H457/G457*100,0)</f>
        <v>0</v>
      </c>
    </row>
    <row r="458" spans="9:9">
      <c r="I458" s="2">
        <f>IFERROR(H458/G458*100,0)</f>
        <v>0</v>
      </c>
    </row>
    <row r="459" spans="9:9">
      <c r="I459" s="2">
        <f>IFERROR(H459/G459*100,0)</f>
        <v>0</v>
      </c>
    </row>
    <row r="460" spans="9:9">
      <c r="I460" s="2">
        <f>IFERROR(H460/G460*100,0)</f>
        <v>0</v>
      </c>
    </row>
    <row r="461" spans="9:9">
      <c r="I461" s="2">
        <f>IFERROR(H461/G461*100,0)</f>
        <v>0</v>
      </c>
    </row>
    <row r="462" spans="9:9">
      <c r="I462" s="2">
        <f>IFERROR(H462/G462*100,0)</f>
        <v>0</v>
      </c>
    </row>
    <row r="463" spans="9:9">
      <c r="I463" s="2">
        <f>IFERROR(H463/G463*100,0)</f>
        <v>0</v>
      </c>
    </row>
    <row r="464" spans="9:9">
      <c r="I464" s="2">
        <f>IFERROR(H464/G464*100,0)</f>
        <v>0</v>
      </c>
    </row>
    <row r="465" spans="9:9">
      <c r="I465" s="2">
        <f>IFERROR(H465/G465*100,0)</f>
        <v>0</v>
      </c>
    </row>
    <row r="466" spans="9:9">
      <c r="I466" s="2">
        <f>IFERROR(H466/G466*100,0)</f>
        <v>0</v>
      </c>
    </row>
    <row r="467" spans="9:9">
      <c r="I467" s="2">
        <f>IFERROR(H467/G467*100,0)</f>
        <v>0</v>
      </c>
    </row>
    <row r="468" spans="9:9">
      <c r="I468" s="2">
        <f>IFERROR(H468/G468*100,0)</f>
        <v>0</v>
      </c>
    </row>
    <row r="469" spans="9:9">
      <c r="I469" s="2">
        <f>IFERROR(H469/G469*100,0)</f>
        <v>0</v>
      </c>
    </row>
    <row r="470" spans="9:9">
      <c r="I470" s="2">
        <f>IFERROR(H470/G470*100,0)</f>
        <v>0</v>
      </c>
    </row>
    <row r="471" spans="9:9">
      <c r="I471" s="2">
        <f>IFERROR(H471/G471*100,0)</f>
        <v>0</v>
      </c>
    </row>
    <row r="472" spans="9:9">
      <c r="I472" s="2">
        <f>IFERROR(H472/G472*100,0)</f>
        <v>0</v>
      </c>
    </row>
    <row r="473" spans="9:9">
      <c r="I473" s="2">
        <f>IFERROR(H473/G473*100,0)</f>
        <v>0</v>
      </c>
    </row>
    <row r="474" spans="9:9">
      <c r="I474" s="2">
        <f>IFERROR(H474/G474*100,0)</f>
        <v>0</v>
      </c>
    </row>
    <row r="475" spans="9:9">
      <c r="I475" s="2">
        <f>IFERROR(H475/G475*100,0)</f>
        <v>0</v>
      </c>
    </row>
    <row r="476" spans="9:9">
      <c r="I476" s="2">
        <f>IFERROR(H476/G476*100,0)</f>
        <v>0</v>
      </c>
    </row>
    <row r="477" spans="9:9">
      <c r="I477" s="2">
        <f>IFERROR(H477/G477*100,0)</f>
        <v>0</v>
      </c>
    </row>
    <row r="478" spans="9:9">
      <c r="I478" s="2">
        <f>IFERROR(H478/G478*100,0)</f>
        <v>0</v>
      </c>
    </row>
    <row r="479" spans="9:9">
      <c r="I479" s="2">
        <f>IFERROR(H479/G479*100,0)</f>
        <v>0</v>
      </c>
    </row>
    <row r="480" spans="9:9">
      <c r="I480" s="2">
        <f>IFERROR(H480/G480*100,0)</f>
        <v>0</v>
      </c>
    </row>
    <row r="481" spans="9:9">
      <c r="I481" s="2">
        <f>IFERROR(H481/G481*100,0)</f>
        <v>0</v>
      </c>
    </row>
    <row r="482" spans="9:9">
      <c r="I482" s="2">
        <f>IFERROR(H482/G482*100,0)</f>
        <v>0</v>
      </c>
    </row>
    <row r="483" spans="9:9">
      <c r="I483" s="2">
        <f>IFERROR(H483/G483*100,0)</f>
        <v>0</v>
      </c>
    </row>
    <row r="484" spans="9:9">
      <c r="I484" s="2">
        <f>IFERROR(H484/G484*100,0)</f>
        <v>0</v>
      </c>
    </row>
    <row r="485" spans="9:9">
      <c r="I485" s="2">
        <f>IFERROR(H485/G485*100,0)</f>
        <v>0</v>
      </c>
    </row>
    <row r="486" spans="9:9">
      <c r="I486" s="2">
        <f>IFERROR(H486/G486*100,0)</f>
        <v>0</v>
      </c>
    </row>
    <row r="487" spans="9:9">
      <c r="I487" s="2">
        <f>IFERROR(H487/G487*100,0)</f>
        <v>0</v>
      </c>
    </row>
    <row r="488" spans="9:9">
      <c r="I488" s="2">
        <f>IFERROR(H488/G488*100,0)</f>
        <v>0</v>
      </c>
    </row>
    <row r="489" spans="9:9">
      <c r="I489" s="2">
        <f>IFERROR(H489/G489*100,0)</f>
        <v>0</v>
      </c>
    </row>
    <row r="490" spans="9:9">
      <c r="I490" s="2">
        <f>IFERROR(H490/G490*100,0)</f>
        <v>0</v>
      </c>
    </row>
    <row r="491" spans="9:9">
      <c r="I491" s="2">
        <f>IFERROR(H491/G491*100,0)</f>
        <v>0</v>
      </c>
    </row>
    <row r="492" spans="9:9">
      <c r="I492" s="2">
        <f>IFERROR(H492/G492*100,0)</f>
        <v>0</v>
      </c>
    </row>
    <row r="493" spans="9:9">
      <c r="I493" s="2">
        <f>IFERROR(H493/G493*100,0)</f>
        <v>0</v>
      </c>
    </row>
    <row r="494" spans="9:9">
      <c r="I494" s="2">
        <f>IFERROR(H494/G494*100,0)</f>
        <v>0</v>
      </c>
    </row>
    <row r="495" spans="9:9">
      <c r="I495" s="2">
        <f>IFERROR(H495/G495*100,0)</f>
        <v>0</v>
      </c>
    </row>
    <row r="496" spans="9:9">
      <c r="I496" s="2">
        <f>IFERROR(H496/G496*100,0)</f>
        <v>0</v>
      </c>
    </row>
    <row r="497" spans="9:9">
      <c r="I497" s="2">
        <f>IFERROR(H497/G497*100,0)</f>
        <v>0</v>
      </c>
    </row>
    <row r="498" spans="9:9">
      <c r="I498" s="2">
        <f>IFERROR(H498/G498*100,0)</f>
        <v>0</v>
      </c>
    </row>
    <row r="499" spans="9:9">
      <c r="I499" s="2">
        <f>IFERROR(H499/G499*100,0)</f>
        <v>0</v>
      </c>
    </row>
    <row r="500" spans="9:9">
      <c r="I500" s="2">
        <f>IFERROR(H500/G500*100,0)</f>
        <v>0</v>
      </c>
    </row>
    <row r="501" spans="9:9">
      <c r="I501" s="2">
        <f>IFERROR(H501/G501*100,0)</f>
        <v>0</v>
      </c>
    </row>
    <row r="502" spans="9:9">
      <c r="I502" s="2">
        <f>IFERROR(H502/G502*100,0)</f>
        <v>0</v>
      </c>
    </row>
    <row r="503" spans="9:9">
      <c r="I503" s="2">
        <f>IFERROR(H503/G503*100,0)</f>
        <v>0</v>
      </c>
    </row>
    <row r="504" spans="9:9">
      <c r="I504" s="2">
        <f>IFERROR(H504/G504*100,0)</f>
        <v>0</v>
      </c>
    </row>
    <row r="505" spans="9:9">
      <c r="I505" s="2">
        <f>IFERROR(H505/G505*100,0)</f>
        <v>0</v>
      </c>
    </row>
    <row r="506" spans="9:9">
      <c r="I506" s="2">
        <f>IFERROR(H506/G506*100,0)</f>
        <v>0</v>
      </c>
    </row>
    <row r="507" spans="9:9">
      <c r="I507" s="2">
        <f>IFERROR(H507/G507*100,0)</f>
        <v>0</v>
      </c>
    </row>
    <row r="508" spans="9:9">
      <c r="I508" s="2">
        <f>IFERROR(H508/G508*100,0)</f>
        <v>0</v>
      </c>
    </row>
    <row r="509" spans="9:9">
      <c r="I509" s="2">
        <f>IFERROR(H509/G509*100,0)</f>
        <v>0</v>
      </c>
    </row>
    <row r="510" spans="9:9">
      <c r="I510" s="2">
        <f>IFERROR(H510/G510*100,0)</f>
        <v>0</v>
      </c>
    </row>
    <row r="511" spans="9:9">
      <c r="I511" s="2">
        <f>IFERROR(H511/G511*100,0)</f>
        <v>0</v>
      </c>
    </row>
    <row r="512" spans="9:9">
      <c r="I512" s="2">
        <f>IFERROR(H512/G512*100,0)</f>
        <v>0</v>
      </c>
    </row>
    <row r="513" spans="9:9">
      <c r="I513" s="2">
        <f>IFERROR(H513/G513*100,0)</f>
        <v>0</v>
      </c>
    </row>
    <row r="514" spans="9:9">
      <c r="I514" s="2">
        <f>IFERROR(H514/G514*100,0)</f>
        <v>0</v>
      </c>
    </row>
    <row r="515" spans="9:9">
      <c r="I515" s="2">
        <f>IFERROR(H515/G515*100,0)</f>
        <v>0</v>
      </c>
    </row>
    <row r="516" spans="9:9">
      <c r="I516" s="2">
        <f>IFERROR(H516/G516*100,0)</f>
        <v>0</v>
      </c>
    </row>
    <row r="517" spans="9:9">
      <c r="I517" s="2">
        <f>IFERROR(H517/G517*100,0)</f>
        <v>0</v>
      </c>
    </row>
    <row r="518" spans="9:9">
      <c r="I518" s="2">
        <f>IFERROR(H518/G518*100,0)</f>
        <v>0</v>
      </c>
    </row>
    <row r="519" spans="9:9">
      <c r="I519" s="2">
        <f>IFERROR(H519/G519*100,0)</f>
        <v>0</v>
      </c>
    </row>
    <row r="520" spans="9:9">
      <c r="I520" s="2">
        <f>IFERROR(H520/G520*100,0)</f>
        <v>0</v>
      </c>
    </row>
    <row r="521" spans="9:9">
      <c r="I521" s="2">
        <f>IFERROR(H521/G521*100,0)</f>
        <v>0</v>
      </c>
    </row>
    <row r="522" spans="9:9">
      <c r="I522" s="2">
        <f>IFERROR(H522/G522*100,0)</f>
        <v>0</v>
      </c>
    </row>
    <row r="523" spans="9:9">
      <c r="I523" s="2">
        <f>IFERROR(H523/G523*100,0)</f>
        <v>0</v>
      </c>
    </row>
    <row r="524" spans="9:9">
      <c r="I524" s="2">
        <f>IFERROR(H524/G524*100,0)</f>
        <v>0</v>
      </c>
    </row>
    <row r="525" spans="9:9">
      <c r="I525" s="2">
        <f>IFERROR(H525/G525*100,0)</f>
        <v>0</v>
      </c>
    </row>
    <row r="526" spans="9:9">
      <c r="I526" s="2">
        <f>IFERROR(H526/G526*100,0)</f>
        <v>0</v>
      </c>
    </row>
    <row r="527" spans="9:9">
      <c r="I527" s="2">
        <f>IFERROR(H527/G527*100,0)</f>
        <v>0</v>
      </c>
    </row>
    <row r="528" spans="9:9">
      <c r="I528" s="2">
        <f>IFERROR(H528/G528*100,0)</f>
        <v>0</v>
      </c>
    </row>
    <row r="529" spans="9:9">
      <c r="I529" s="2">
        <f>IFERROR(H529/G529*100,0)</f>
        <v>0</v>
      </c>
    </row>
    <row r="530" spans="9:9">
      <c r="I530" s="2">
        <f>IFERROR(H530/G530*100,0)</f>
        <v>0</v>
      </c>
    </row>
    <row r="531" spans="9:9">
      <c r="I531" s="2">
        <f>IFERROR(H531/G531*100,0)</f>
        <v>0</v>
      </c>
    </row>
    <row r="532" spans="9:9">
      <c r="I532" s="2">
        <f>IFERROR(H532/G532*100,0)</f>
        <v>0</v>
      </c>
    </row>
    <row r="533" spans="9:9">
      <c r="I533" s="2">
        <f>IFERROR(H533/G533*100,0)</f>
        <v>0</v>
      </c>
    </row>
    <row r="534" spans="9:9">
      <c r="I534" s="2">
        <f>IFERROR(H534/G534*100,0)</f>
        <v>0</v>
      </c>
    </row>
    <row r="535" spans="9:9">
      <c r="I535" s="2">
        <f>IFERROR(H535/G535*100,0)</f>
        <v>0</v>
      </c>
    </row>
    <row r="536" spans="9:9">
      <c r="I536" s="2">
        <f>IFERROR(H536/G536*100,0)</f>
        <v>0</v>
      </c>
    </row>
    <row r="537" spans="9:9">
      <c r="I537" s="2">
        <f>IFERROR(H537/G537*100,0)</f>
        <v>0</v>
      </c>
    </row>
    <row r="538" spans="9:9">
      <c r="I538" s="2">
        <f>IFERROR(H538/G538*100,0)</f>
        <v>0</v>
      </c>
    </row>
    <row r="539" spans="9:9">
      <c r="I539" s="2">
        <f>IFERROR(H539/G539*100,0)</f>
        <v>0</v>
      </c>
    </row>
    <row r="540" spans="9:9">
      <c r="I540" s="2">
        <f>IFERROR(H540/G540*100,0)</f>
        <v>0</v>
      </c>
    </row>
    <row r="541" spans="9:9">
      <c r="I541" s="2">
        <f>IFERROR(H541/G541*100,0)</f>
        <v>0</v>
      </c>
    </row>
    <row r="542" spans="9:9">
      <c r="I542" s="2">
        <f>IFERROR(H542/G542*100,0)</f>
        <v>0</v>
      </c>
    </row>
    <row r="543" spans="9:9">
      <c r="I543" s="2">
        <f>IFERROR(H543/G543*100,0)</f>
        <v>0</v>
      </c>
    </row>
    <row r="544" spans="9:9">
      <c r="I544" s="2">
        <f>IFERROR(H544/G544*100,0)</f>
        <v>0</v>
      </c>
    </row>
    <row r="545" spans="9:9">
      <c r="I545" s="2">
        <f>IFERROR(H545/G545*100,0)</f>
        <v>0</v>
      </c>
    </row>
    <row r="546" spans="9:9">
      <c r="I546" s="2">
        <f>IFERROR(H546/G546*100,0)</f>
        <v>0</v>
      </c>
    </row>
    <row r="547" spans="9:9">
      <c r="I547" s="2">
        <f>IFERROR(H547/G547*100,0)</f>
        <v>0</v>
      </c>
    </row>
    <row r="548" spans="9:9">
      <c r="I548" s="2">
        <f>IFERROR(H548/G548*100,0)</f>
        <v>0</v>
      </c>
    </row>
    <row r="549" spans="9:9">
      <c r="I549" s="2">
        <f>IFERROR(H549/G549*100,0)</f>
        <v>0</v>
      </c>
    </row>
    <row r="550" spans="9:9">
      <c r="I550" s="2">
        <f>IFERROR(H550/G550*100,0)</f>
        <v>0</v>
      </c>
    </row>
    <row r="551" spans="9:9">
      <c r="I551" s="2">
        <f>IFERROR(H551/G551*100,0)</f>
        <v>0</v>
      </c>
    </row>
    <row r="552" spans="9:9">
      <c r="I552" s="2">
        <f>IFERROR(H552/G552*100,0)</f>
        <v>0</v>
      </c>
    </row>
    <row r="553" spans="9:9">
      <c r="I553" s="2">
        <f>IFERROR(H553/G553*100,0)</f>
        <v>0</v>
      </c>
    </row>
    <row r="554" spans="9:9">
      <c r="I554" s="2">
        <f>IFERROR(H554/G554*100,0)</f>
        <v>0</v>
      </c>
    </row>
    <row r="555" spans="9:9">
      <c r="I555" s="2">
        <f>IFERROR(H555/G555*100,0)</f>
        <v>0</v>
      </c>
    </row>
    <row r="556" spans="9:9">
      <c r="I556" s="2">
        <f>IFERROR(H556/G556*100,0)</f>
        <v>0</v>
      </c>
    </row>
    <row r="557" spans="9:9">
      <c r="I557" s="2">
        <f>IFERROR(H557/G557*100,0)</f>
        <v>0</v>
      </c>
    </row>
    <row r="558" spans="9:9">
      <c r="I558" s="2">
        <f>IFERROR(H558/G558*100,0)</f>
        <v>0</v>
      </c>
    </row>
    <row r="559" spans="9:9">
      <c r="I559" s="2">
        <f>IFERROR(H559/G559*100,0)</f>
        <v>0</v>
      </c>
    </row>
    <row r="560" spans="9:9">
      <c r="I560" s="2">
        <f>IFERROR(H560/G560*100,0)</f>
        <v>0</v>
      </c>
    </row>
    <row r="561" spans="9:9">
      <c r="I561" s="2">
        <f>IFERROR(H561/G561*100,0)</f>
        <v>0</v>
      </c>
    </row>
    <row r="562" spans="9:9">
      <c r="I562" s="2">
        <f>IFERROR(H562/G562*100,0)</f>
        <v>0</v>
      </c>
    </row>
    <row r="563" spans="9:9">
      <c r="I563" s="2">
        <f>IFERROR(H563/G563*100,0)</f>
        <v>0</v>
      </c>
    </row>
    <row r="564" spans="9:9">
      <c r="I564" s="2">
        <f>IFERROR(H564/G564*100,0)</f>
        <v>0</v>
      </c>
    </row>
    <row r="565" spans="9:9">
      <c r="I565" s="2">
        <f>IFERROR(H565/G565*100,0)</f>
        <v>0</v>
      </c>
    </row>
    <row r="566" spans="9:9">
      <c r="I566" s="2">
        <f>IFERROR(H566/G566*100,0)</f>
        <v>0</v>
      </c>
    </row>
    <row r="567" spans="9:9">
      <c r="I567" s="2">
        <f>IFERROR(H567/G567*100,0)</f>
        <v>0</v>
      </c>
    </row>
    <row r="568" spans="9:9">
      <c r="I568" s="2">
        <f>IFERROR(H568/G568*100,0)</f>
        <v>0</v>
      </c>
    </row>
    <row r="569" spans="9:9">
      <c r="I569" s="2">
        <f>IFERROR(H569/G569*100,0)</f>
        <v>0</v>
      </c>
    </row>
    <row r="570" spans="9:9">
      <c r="I570" s="2">
        <f>IFERROR(H570/G570*100,0)</f>
        <v>0</v>
      </c>
    </row>
    <row r="571" spans="9:9">
      <c r="I571" s="2">
        <f>IFERROR(H571/G571*100,0)</f>
        <v>0</v>
      </c>
    </row>
    <row r="572" spans="9:9">
      <c r="I572" s="2">
        <f>IFERROR(H572/G572*100,0)</f>
        <v>0</v>
      </c>
    </row>
    <row r="573" spans="9:9">
      <c r="I573" s="2">
        <f>IFERROR(H573/G573*100,0)</f>
        <v>0</v>
      </c>
    </row>
    <row r="574" spans="9:9">
      <c r="I574" s="2">
        <f>IFERROR(H574/G574*100,0)</f>
        <v>0</v>
      </c>
    </row>
    <row r="575" spans="9:9">
      <c r="I575" s="2">
        <f>IFERROR(H575/G575*100,0)</f>
        <v>0</v>
      </c>
    </row>
    <row r="576" spans="9:9">
      <c r="I576" s="2">
        <f>IFERROR(H576/G576*100,0)</f>
        <v>0</v>
      </c>
    </row>
    <row r="577" spans="9:9">
      <c r="I577" s="2">
        <f>IFERROR(H577/G577*100,0)</f>
        <v>0</v>
      </c>
    </row>
    <row r="578" spans="9:9">
      <c r="I578" s="2">
        <f>IFERROR(H578/G578*100,0)</f>
        <v>0</v>
      </c>
    </row>
    <row r="579" spans="9:9">
      <c r="I579" s="2">
        <f>IFERROR(H579/G579*100,0)</f>
        <v>0</v>
      </c>
    </row>
    <row r="580" spans="9:9">
      <c r="I580" s="2">
        <f>IFERROR(H580/G580*100,0)</f>
        <v>0</v>
      </c>
    </row>
    <row r="581" spans="9:9">
      <c r="I581" s="2">
        <f>IFERROR(H581/G581*100,0)</f>
        <v>0</v>
      </c>
    </row>
    <row r="582" spans="9:9">
      <c r="I582" s="2">
        <f>IFERROR(H582/G582*100,0)</f>
        <v>0</v>
      </c>
    </row>
    <row r="583" spans="9:9">
      <c r="I583" s="2">
        <f>IFERROR(H583/G583*100,0)</f>
        <v>0</v>
      </c>
    </row>
    <row r="584" spans="9:9">
      <c r="I584" s="2">
        <f>IFERROR(H584/G584*100,0)</f>
        <v>0</v>
      </c>
    </row>
    <row r="585" spans="9:9">
      <c r="I585" s="2">
        <f>IFERROR(H585/G585*100,0)</f>
        <v>0</v>
      </c>
    </row>
    <row r="586" spans="9:9">
      <c r="I586" s="2">
        <f>IFERROR(H586/G586*100,0)</f>
        <v>0</v>
      </c>
    </row>
    <row r="587" spans="9:9">
      <c r="I587" s="2">
        <f>IFERROR(H587/G587*100,0)</f>
        <v>0</v>
      </c>
    </row>
    <row r="588" spans="9:9">
      <c r="I588" s="2">
        <f>IFERROR(H588/G588*100,0)</f>
        <v>0</v>
      </c>
    </row>
    <row r="589" spans="9:9">
      <c r="I589" s="2">
        <f>IFERROR(H589/G589*100,0)</f>
        <v>0</v>
      </c>
    </row>
    <row r="590" spans="9:9">
      <c r="I590" s="2">
        <f>IFERROR(H590/G590*100,0)</f>
        <v>0</v>
      </c>
    </row>
    <row r="591" spans="9:9">
      <c r="I591" s="2">
        <f>IFERROR(H591/G591*100,0)</f>
        <v>0</v>
      </c>
    </row>
    <row r="592" spans="9:9">
      <c r="I592" s="2">
        <f>IFERROR(H592/G592*100,0)</f>
        <v>0</v>
      </c>
    </row>
    <row r="593" spans="9:9">
      <c r="I593" s="2">
        <f>IFERROR(H593/G593*100,0)</f>
        <v>0</v>
      </c>
    </row>
    <row r="594" spans="9:9">
      <c r="I594" s="2">
        <f>IFERROR(H594/G594*100,0)</f>
        <v>0</v>
      </c>
    </row>
    <row r="595" spans="9:9">
      <c r="I595" s="2">
        <f>IFERROR(H595/G595*100,0)</f>
        <v>0</v>
      </c>
    </row>
    <row r="596" spans="9:9">
      <c r="I596" s="2">
        <f>IFERROR(H596/G596*100,0)</f>
        <v>0</v>
      </c>
    </row>
    <row r="597" spans="9:9">
      <c r="I597" s="2">
        <f>IFERROR(H597/G597*100,0)</f>
        <v>0</v>
      </c>
    </row>
    <row r="598" spans="9:9">
      <c r="I598" s="2">
        <f>IFERROR(H598/G598*100,0)</f>
        <v>0</v>
      </c>
    </row>
    <row r="599" spans="9:9">
      <c r="I599" s="2">
        <f>IFERROR(H599/G599*100,0)</f>
        <v>0</v>
      </c>
    </row>
    <row r="600" spans="9:9">
      <c r="I600" s="2">
        <f>IFERROR(H600/G600*100,0)</f>
        <v>0</v>
      </c>
    </row>
    <row r="601" spans="9:9">
      <c r="I601" s="2">
        <f>IFERROR(H601/G601*100,0)</f>
        <v>0</v>
      </c>
    </row>
    <row r="602" spans="9:9">
      <c r="I602" s="2">
        <f>IFERROR(H602/G602*100,0)</f>
        <v>0</v>
      </c>
    </row>
    <row r="603" spans="9:9">
      <c r="I603" s="2">
        <f>IFERROR(H603/G603*100,0)</f>
        <v>0</v>
      </c>
    </row>
    <row r="604" spans="9:9">
      <c r="I604" s="2">
        <f>IFERROR(H604/G604*100,0)</f>
        <v>0</v>
      </c>
    </row>
    <row r="605" spans="9:9">
      <c r="I605" s="2">
        <f>IFERROR(H605/G605*100,0)</f>
        <v>0</v>
      </c>
    </row>
    <row r="606" spans="9:9">
      <c r="I606" s="2">
        <f>IFERROR(H606/G606*100,0)</f>
        <v>0</v>
      </c>
    </row>
    <row r="607" spans="9:9">
      <c r="I607" s="2">
        <f>IFERROR(H607/G607*100,0)</f>
        <v>0</v>
      </c>
    </row>
    <row r="608" spans="9:9">
      <c r="I608" s="2">
        <f>IFERROR(H608/G608*100,0)</f>
        <v>0</v>
      </c>
    </row>
    <row r="609" spans="9:9">
      <c r="I609" s="2">
        <f>IFERROR(H609/G609*100,0)</f>
        <v>0</v>
      </c>
    </row>
    <row r="610" spans="9:9">
      <c r="I610" s="2">
        <f>IFERROR(H610/G610*100,0)</f>
        <v>0</v>
      </c>
    </row>
    <row r="611" spans="9:9">
      <c r="I611" s="2">
        <f>IFERROR(H611/G611*100,0)</f>
        <v>0</v>
      </c>
    </row>
    <row r="612" spans="9:9">
      <c r="I612" s="2">
        <f>IFERROR(H612/G612*100,0)</f>
        <v>0</v>
      </c>
    </row>
    <row r="613" spans="9:9">
      <c r="I613" s="2">
        <f>IFERROR(H613/G613*100,0)</f>
        <v>0</v>
      </c>
    </row>
    <row r="614" spans="9:9">
      <c r="I614" s="2">
        <f>IFERROR(H614/G614*100,0)</f>
        <v>0</v>
      </c>
    </row>
    <row r="615" spans="9:9">
      <c r="I615" s="2">
        <f>IFERROR(H615/G615*100,0)</f>
        <v>0</v>
      </c>
    </row>
    <row r="616" spans="9:9">
      <c r="I616" s="2">
        <f>IFERROR(H616/G616*100,0)</f>
        <v>0</v>
      </c>
    </row>
    <row r="617" spans="9:9">
      <c r="I617" s="2">
        <f>IFERROR(H617/G617*100,0)</f>
        <v>0</v>
      </c>
    </row>
    <row r="618" spans="9:9">
      <c r="I618" s="2">
        <f>IFERROR(H618/G618*100,0)</f>
        <v>0</v>
      </c>
    </row>
    <row r="619" spans="9:9">
      <c r="I619" s="2">
        <f>IFERROR(H619/G619*100,0)</f>
        <v>0</v>
      </c>
    </row>
    <row r="620" spans="9:9">
      <c r="I620" s="2">
        <f>IFERROR(H620/G620*100,0)</f>
        <v>0</v>
      </c>
    </row>
    <row r="621" spans="9:9">
      <c r="I621" s="2">
        <f>IFERROR(H621/G621*100,0)</f>
        <v>0</v>
      </c>
    </row>
    <row r="622" spans="9:9">
      <c r="I622" s="2">
        <f>IFERROR(H622/G622*100,0)</f>
        <v>0</v>
      </c>
    </row>
    <row r="623" spans="9:9">
      <c r="I623" s="2">
        <f>IFERROR(H623/G623*100,0)</f>
        <v>0</v>
      </c>
    </row>
    <row r="624" spans="9:9">
      <c r="I624" s="2">
        <f>IFERROR(H624/G624*100,0)</f>
        <v>0</v>
      </c>
    </row>
    <row r="625" spans="9:9">
      <c r="I625" s="2">
        <f>IFERROR(H625/G625*100,0)</f>
        <v>0</v>
      </c>
    </row>
    <row r="626" spans="9:9">
      <c r="I626" s="2">
        <f>IFERROR(H626/G626*100,0)</f>
        <v>0</v>
      </c>
    </row>
    <row r="627" spans="9:9">
      <c r="I627" s="2">
        <f>IFERROR(H627/G627*100,0)</f>
        <v>0</v>
      </c>
    </row>
    <row r="628" spans="9:9">
      <c r="I628" s="2">
        <f>IFERROR(H628/G628*100,0)</f>
        <v>0</v>
      </c>
    </row>
    <row r="629" spans="9:9">
      <c r="I629" s="2">
        <f>IFERROR(H629/G629*100,0)</f>
        <v>0</v>
      </c>
    </row>
    <row r="630" spans="9:9">
      <c r="I630" s="2">
        <f>IFERROR(H630/G630*100,0)</f>
        <v>0</v>
      </c>
    </row>
    <row r="631" spans="9:9">
      <c r="I631" s="2">
        <f>IFERROR(H631/G631*100,0)</f>
        <v>0</v>
      </c>
    </row>
    <row r="632" spans="9:9">
      <c r="I632" s="2">
        <f>IFERROR(H632/G632*100,0)</f>
        <v>0</v>
      </c>
    </row>
    <row r="633" spans="9:9">
      <c r="I633" s="2">
        <f>IFERROR(H633/G633*100,0)</f>
        <v>0</v>
      </c>
    </row>
    <row r="634" spans="9:9">
      <c r="I634" s="2">
        <f>IFERROR(H634/G634*100,0)</f>
        <v>0</v>
      </c>
    </row>
    <row r="635" spans="9:9">
      <c r="I635" s="2">
        <f>IFERROR(H635/G635*100,0)</f>
        <v>0</v>
      </c>
    </row>
    <row r="636" spans="9:9">
      <c r="I636" s="2">
        <f>IFERROR(H636/G636*100,0)</f>
        <v>0</v>
      </c>
    </row>
    <row r="637" spans="9:9">
      <c r="I637" s="2">
        <f>IFERROR(H637/G637*100,0)</f>
        <v>0</v>
      </c>
    </row>
    <row r="638" spans="9:9">
      <c r="I638" s="2">
        <f>IFERROR(H638/G638*100,0)</f>
        <v>0</v>
      </c>
    </row>
    <row r="639" spans="9:9">
      <c r="I639" s="2">
        <f>IFERROR(H639/G639*100,0)</f>
        <v>0</v>
      </c>
    </row>
    <row r="640" spans="9:9">
      <c r="I640" s="2">
        <f>IFERROR(H640/G640*100,0)</f>
        <v>0</v>
      </c>
    </row>
    <row r="641" spans="9:9">
      <c r="I641" s="2">
        <f>IFERROR(H641/G641*100,0)</f>
        <v>0</v>
      </c>
    </row>
    <row r="642" spans="9:9">
      <c r="I642" s="2">
        <f>IFERROR(H642/G642*100,0)</f>
        <v>0</v>
      </c>
    </row>
    <row r="643" spans="9:9">
      <c r="I643" s="2">
        <f>IFERROR(H643/G643*100,0)</f>
        <v>0</v>
      </c>
    </row>
    <row r="644" spans="9:9">
      <c r="I644" s="2">
        <f>IFERROR(H644/G644*100,0)</f>
        <v>0</v>
      </c>
    </row>
    <row r="645" spans="9:9">
      <c r="I645" s="2">
        <f>IFERROR(H645/G645*100,0)</f>
        <v>0</v>
      </c>
    </row>
    <row r="646" spans="9:9">
      <c r="I646" s="2">
        <f>IFERROR(H646/G646*100,0)</f>
        <v>0</v>
      </c>
    </row>
    <row r="647" spans="9:9">
      <c r="I647" s="2">
        <f>IFERROR(H647/G647*100,0)</f>
        <v>0</v>
      </c>
    </row>
    <row r="648" spans="9:9">
      <c r="I648" s="2">
        <f>IFERROR(H648/G648*100,0)</f>
        <v>0</v>
      </c>
    </row>
    <row r="649" spans="9:9">
      <c r="I649" s="2">
        <f>IFERROR(H649/G649*100,0)</f>
        <v>0</v>
      </c>
    </row>
    <row r="650" spans="9:9">
      <c r="I650" s="2">
        <f>IFERROR(H650/G650*100,0)</f>
        <v>0</v>
      </c>
    </row>
    <row r="651" spans="9:9">
      <c r="I651" s="2">
        <f>IFERROR(H651/G651*100,0)</f>
        <v>0</v>
      </c>
    </row>
    <row r="652" spans="9:9">
      <c r="I652" s="2">
        <f>IFERROR(H652/G652*100,0)</f>
        <v>0</v>
      </c>
    </row>
    <row r="653" spans="9:9">
      <c r="I653" s="2">
        <f>IFERROR(H653/G653*100,0)</f>
        <v>0</v>
      </c>
    </row>
    <row r="654" spans="9:9">
      <c r="I654" s="2">
        <f>IFERROR(H654/G654*100,0)</f>
        <v>0</v>
      </c>
    </row>
    <row r="655" spans="9:9">
      <c r="I655" s="2">
        <f>IFERROR(H655/G655*100,0)</f>
        <v>0</v>
      </c>
    </row>
    <row r="656" spans="9:9">
      <c r="I656" s="2">
        <f>IFERROR(H656/G656*100,0)</f>
        <v>0</v>
      </c>
    </row>
    <row r="657" spans="9:9">
      <c r="I657" s="2">
        <f>IFERROR(H657/G657*100,0)</f>
        <v>0</v>
      </c>
    </row>
    <row r="658" spans="9:9">
      <c r="I658" s="2">
        <f>IFERROR(H658/G658*100,0)</f>
        <v>0</v>
      </c>
    </row>
    <row r="659" spans="9:9">
      <c r="I659" s="2">
        <f>IFERROR(H659/G659*100,0)</f>
        <v>0</v>
      </c>
    </row>
    <row r="660" spans="9:9">
      <c r="I660" s="2">
        <f>IFERROR(H660/G660*100,0)</f>
        <v>0</v>
      </c>
    </row>
    <row r="661" spans="9:9">
      <c r="I661" s="2">
        <f>IFERROR(H661/G661*100,0)</f>
        <v>0</v>
      </c>
    </row>
    <row r="662" spans="9:9">
      <c r="I662" s="2">
        <f>IFERROR(H662/G662*100,0)</f>
        <v>0</v>
      </c>
    </row>
    <row r="663" spans="9:9">
      <c r="I663" s="2">
        <f>IFERROR(H663/G663*100,0)</f>
        <v>0</v>
      </c>
    </row>
    <row r="664" spans="9:9">
      <c r="I664" s="2">
        <f>IFERROR(H664/G664*100,0)</f>
        <v>0</v>
      </c>
    </row>
    <row r="665" spans="9:9">
      <c r="I665" s="2">
        <f>IFERROR(H665/G665*100,0)</f>
        <v>0</v>
      </c>
    </row>
    <row r="666" spans="9:9">
      <c r="I666" s="2">
        <f>IFERROR(H666/G666*100,0)</f>
        <v>0</v>
      </c>
    </row>
    <row r="667" spans="9:9">
      <c r="I667" s="2">
        <f>IFERROR(H667/G667*100,0)</f>
        <v>0</v>
      </c>
    </row>
    <row r="668" spans="9:9">
      <c r="I668" s="2">
        <f>IFERROR(H668/G668*100,0)</f>
        <v>0</v>
      </c>
    </row>
    <row r="669" spans="9:9">
      <c r="I669" s="2">
        <f>IFERROR(H669/G669*100,0)</f>
        <v>0</v>
      </c>
    </row>
    <row r="670" spans="9:9">
      <c r="I670" s="2">
        <f>IFERROR(H670/G670*100,0)</f>
        <v>0</v>
      </c>
    </row>
    <row r="671" spans="9:9">
      <c r="I671" s="2">
        <f>IFERROR(H671/G671*100,0)</f>
        <v>0</v>
      </c>
    </row>
    <row r="672" spans="9:9">
      <c r="I672" s="2">
        <f>IFERROR(H672/G672*100,0)</f>
        <v>0</v>
      </c>
    </row>
    <row r="673" spans="9:9">
      <c r="I673" s="2">
        <f>IFERROR(H673/G673*100,0)</f>
        <v>0</v>
      </c>
    </row>
    <row r="674" spans="9:9">
      <c r="I674" s="2">
        <f>IFERROR(H674/G674*100,0)</f>
        <v>0</v>
      </c>
    </row>
    <row r="675" spans="9:9">
      <c r="I675" s="2">
        <f>IFERROR(H675/G675*100,0)</f>
        <v>0</v>
      </c>
    </row>
    <row r="676" spans="9:9">
      <c r="I676" s="2">
        <f>IFERROR(H676/G676*100,0)</f>
        <v>0</v>
      </c>
    </row>
    <row r="677" spans="9:9">
      <c r="I677" s="2">
        <f>IFERROR(H677/G677*100,0)</f>
        <v>0</v>
      </c>
    </row>
    <row r="678" spans="9:9">
      <c r="I678" s="2">
        <f>IFERROR(H678/G678*100,0)</f>
        <v>0</v>
      </c>
    </row>
    <row r="679" spans="9:9">
      <c r="I679" s="2">
        <f>IFERROR(H679/G679*100,0)</f>
        <v>0</v>
      </c>
    </row>
    <row r="680" spans="9:9">
      <c r="I680" s="2">
        <f>IFERROR(H680/G680*100,0)</f>
        <v>0</v>
      </c>
    </row>
    <row r="681" spans="9:9">
      <c r="I681" s="2">
        <f>IFERROR(H681/G681*100,0)</f>
        <v>0</v>
      </c>
    </row>
    <row r="682" spans="9:9">
      <c r="I682" s="2">
        <f>IFERROR(H682/G682*100,0)</f>
        <v>0</v>
      </c>
    </row>
    <row r="683" spans="9:9">
      <c r="I683" s="2">
        <f>IFERROR(H683/G683*100,0)</f>
        <v>0</v>
      </c>
    </row>
    <row r="684" spans="9:9">
      <c r="I684" s="2">
        <f>IFERROR(H684/G684*100,0)</f>
        <v>0</v>
      </c>
    </row>
    <row r="685" spans="9:9">
      <c r="I685" s="2">
        <f>IFERROR(H685/G685*100,0)</f>
        <v>0</v>
      </c>
    </row>
    <row r="686" spans="9:9">
      <c r="I686" s="2">
        <f>IFERROR(H686/G686*100,0)</f>
        <v>0</v>
      </c>
    </row>
    <row r="687" spans="9:9">
      <c r="I687" s="2">
        <f>IFERROR(H687/G687*100,0)</f>
        <v>0</v>
      </c>
    </row>
    <row r="688" spans="9:9">
      <c r="I688" s="2">
        <f>IFERROR(H688/G688*100,0)</f>
        <v>0</v>
      </c>
    </row>
    <row r="689" spans="9:9">
      <c r="I689" s="2">
        <f>IFERROR(H689/G689*100,0)</f>
        <v>0</v>
      </c>
    </row>
    <row r="690" spans="9:9">
      <c r="I690" s="2">
        <f>IFERROR(H690/G690*100,0)</f>
        <v>0</v>
      </c>
    </row>
    <row r="691" spans="9:9">
      <c r="I691" s="2">
        <f>IFERROR(H691/G691*100,0)</f>
        <v>0</v>
      </c>
    </row>
    <row r="692" spans="9:9">
      <c r="I692" s="2">
        <f>IFERROR(H692/G692*100,0)</f>
        <v>0</v>
      </c>
    </row>
    <row r="693" spans="9:9">
      <c r="I693" s="2">
        <f>IFERROR(H693/G693*100,0)</f>
        <v>0</v>
      </c>
    </row>
    <row r="694" spans="9:9">
      <c r="I694" s="2">
        <f>IFERROR(H694/G694*100,0)</f>
        <v>0</v>
      </c>
    </row>
    <row r="695" spans="9:9">
      <c r="I695" s="2">
        <f>IFERROR(H695/G695*100,0)</f>
        <v>0</v>
      </c>
    </row>
    <row r="696" spans="9:9">
      <c r="I696" s="2">
        <f>IFERROR(H696/G696*100,0)</f>
        <v>0</v>
      </c>
    </row>
    <row r="697" spans="9:9">
      <c r="I697" s="2">
        <f>IFERROR(H697/G697*100,0)</f>
        <v>0</v>
      </c>
    </row>
    <row r="698" spans="9:9">
      <c r="I698" s="2">
        <f>IFERROR(H698/G698*100,0)</f>
        <v>0</v>
      </c>
    </row>
    <row r="699" spans="9:9">
      <c r="I699" s="2">
        <f>IFERROR(H699/G699*100,0)</f>
        <v>0</v>
      </c>
    </row>
    <row r="700" spans="9:9">
      <c r="I700" s="2">
        <f>IFERROR(H700/G700*100,0)</f>
        <v>0</v>
      </c>
    </row>
    <row r="701" spans="9:9">
      <c r="I701" s="2">
        <f>IFERROR(H701/G701*100,0)</f>
        <v>0</v>
      </c>
    </row>
    <row r="702" spans="9:9">
      <c r="I702" s="2">
        <f>IFERROR(H702/G702*100,0)</f>
        <v>0</v>
      </c>
    </row>
    <row r="703" spans="9:9">
      <c r="I703" s="2">
        <f>IFERROR(H703/G703*100,0)</f>
        <v>0</v>
      </c>
    </row>
    <row r="704" spans="9:9">
      <c r="I704" s="2">
        <f>IFERROR(H704/G704*100,0)</f>
        <v>0</v>
      </c>
    </row>
    <row r="705" spans="9:9">
      <c r="I705" s="2">
        <f>IFERROR(H705/G705*100,0)</f>
        <v>0</v>
      </c>
    </row>
    <row r="706" spans="9:9">
      <c r="I706" s="2">
        <f>IFERROR(H706/G706*100,0)</f>
        <v>0</v>
      </c>
    </row>
    <row r="707" spans="9:9">
      <c r="I707" s="2">
        <f>IFERROR(H707/G707*100,0)</f>
        <v>0</v>
      </c>
    </row>
    <row r="708" spans="9:9">
      <c r="I708" s="2">
        <f>IFERROR(H708/G708*100,0)</f>
        <v>0</v>
      </c>
    </row>
    <row r="709" spans="9:9">
      <c r="I709" s="2">
        <f>IFERROR(H709/G709*100,0)</f>
        <v>0</v>
      </c>
    </row>
    <row r="710" spans="9:9">
      <c r="I710" s="2">
        <f>IFERROR(H710/G710*100,0)</f>
        <v>0</v>
      </c>
    </row>
    <row r="711" spans="9:9">
      <c r="I711" s="2">
        <f>IFERROR(H711/G711*100,0)</f>
        <v>0</v>
      </c>
    </row>
    <row r="712" spans="9:9">
      <c r="I712" s="2">
        <f>IFERROR(H712/G712*100,0)</f>
        <v>0</v>
      </c>
    </row>
    <row r="713" spans="9:9">
      <c r="I713" s="2">
        <f>IFERROR(H713/G713*100,0)</f>
        <v>0</v>
      </c>
    </row>
    <row r="714" spans="9:9">
      <c r="I714" s="2">
        <f>IFERROR(H714/G714*100,0)</f>
        <v>0</v>
      </c>
    </row>
    <row r="715" spans="9:9">
      <c r="I715" s="2">
        <f>IFERROR(H715/G715*100,0)</f>
        <v>0</v>
      </c>
    </row>
    <row r="716" spans="9:9">
      <c r="I716" s="2">
        <f>IFERROR(H716/G716*100,0)</f>
        <v>0</v>
      </c>
    </row>
    <row r="717" spans="9:9">
      <c r="I717" s="2">
        <f>IFERROR(H717/G717*100,0)</f>
        <v>0</v>
      </c>
    </row>
    <row r="718" spans="9:9">
      <c r="I718" s="2">
        <f>IFERROR(H718/G718*100,0)</f>
        <v>0</v>
      </c>
    </row>
    <row r="719" spans="9:9">
      <c r="I719" s="2">
        <f>IFERROR(H719/G719*100,0)</f>
        <v>0</v>
      </c>
    </row>
    <row r="720" spans="9:9">
      <c r="I720" s="2">
        <f>IFERROR(H720/G720*100,0)</f>
        <v>0</v>
      </c>
    </row>
    <row r="721" spans="9:9">
      <c r="I721" s="2">
        <f>IFERROR(H721/G721*100,0)</f>
        <v>0</v>
      </c>
    </row>
    <row r="722" spans="9:9">
      <c r="I722" s="2">
        <f>IFERROR(H722/G722*100,0)</f>
        <v>0</v>
      </c>
    </row>
    <row r="723" spans="9:9">
      <c r="I723" s="2">
        <f>IFERROR(H723/G723*100,0)</f>
        <v>0</v>
      </c>
    </row>
    <row r="724" spans="9:9">
      <c r="I724" s="2">
        <f>IFERROR(H724/G724*100,0)</f>
        <v>0</v>
      </c>
    </row>
    <row r="725" spans="9:9">
      <c r="I725" s="2">
        <f>IFERROR(H725/G725*100,0)</f>
        <v>0</v>
      </c>
    </row>
    <row r="726" spans="9:9">
      <c r="I726" s="2">
        <f>IFERROR(H726/G726*100,0)</f>
        <v>0</v>
      </c>
    </row>
    <row r="727" spans="9:9">
      <c r="I727" s="2">
        <f>IFERROR(H727/G727*100,0)</f>
        <v>0</v>
      </c>
    </row>
    <row r="728" spans="9:9">
      <c r="I728" s="2">
        <f>IFERROR(H728/G728*100,0)</f>
        <v>0</v>
      </c>
    </row>
    <row r="729" spans="9:9">
      <c r="I729" s="2">
        <f>IFERROR(H729/G729*100,0)</f>
        <v>0</v>
      </c>
    </row>
    <row r="730" spans="9:9">
      <c r="I730" s="2">
        <f>IFERROR(H730/G730*100,0)</f>
        <v>0</v>
      </c>
    </row>
    <row r="731" spans="9:9">
      <c r="I731" s="2">
        <f>IFERROR(H731/G731*100,0)</f>
        <v>0</v>
      </c>
    </row>
    <row r="732" spans="9:9">
      <c r="I732" s="2">
        <f>IFERROR(H732/G732*100,0)</f>
        <v>0</v>
      </c>
    </row>
    <row r="733" spans="9:9">
      <c r="I733" s="2">
        <f>IFERROR(H733/G733*100,0)</f>
        <v>0</v>
      </c>
    </row>
    <row r="734" spans="9:9">
      <c r="I734" s="2">
        <f>IFERROR(H734/G734*100,0)</f>
        <v>0</v>
      </c>
    </row>
    <row r="735" spans="9:9">
      <c r="I735" s="2">
        <f>IFERROR(H735/G735*100,0)</f>
        <v>0</v>
      </c>
    </row>
    <row r="736" spans="9:9">
      <c r="I736" s="2">
        <f>IFERROR(H736/G736*100,0)</f>
        <v>0</v>
      </c>
    </row>
    <row r="737" spans="9:9">
      <c r="I737" s="2">
        <f>IFERROR(H737/G737*100,0)</f>
        <v>0</v>
      </c>
    </row>
    <row r="738" spans="9:9">
      <c r="I738" s="2">
        <f>IFERROR(H738/G738*100,0)</f>
        <v>0</v>
      </c>
    </row>
    <row r="739" spans="9:9">
      <c r="I739" s="2">
        <f>IFERROR(H739/G739*100,0)</f>
        <v>0</v>
      </c>
    </row>
    <row r="740" spans="9:9">
      <c r="I740" s="2">
        <f>IFERROR(H740/G740*100,0)</f>
        <v>0</v>
      </c>
    </row>
    <row r="741" spans="9:9">
      <c r="I741" s="2">
        <f>IFERROR(H741/G741*100,0)</f>
        <v>0</v>
      </c>
    </row>
    <row r="742" spans="9:9">
      <c r="I742" s="2">
        <f>IFERROR(H742/G742*100,0)</f>
        <v>0</v>
      </c>
    </row>
    <row r="743" spans="9:9">
      <c r="I743" s="2">
        <f>IFERROR(H743/G743*100,0)</f>
        <v>0</v>
      </c>
    </row>
    <row r="744" spans="9:9">
      <c r="I744" s="2">
        <f>IFERROR(H744/G744*100,0)</f>
        <v>0</v>
      </c>
    </row>
    <row r="745" spans="9:9">
      <c r="I745" s="2">
        <f>IFERROR(H745/G745*100,0)</f>
        <v>0</v>
      </c>
    </row>
    <row r="746" spans="9:9">
      <c r="I746" s="2">
        <f>IFERROR(H746/G746*100,0)</f>
        <v>0</v>
      </c>
    </row>
    <row r="747" spans="9:9">
      <c r="I747" s="2">
        <f>IFERROR(H747/G747*100,0)</f>
        <v>0</v>
      </c>
    </row>
    <row r="748" spans="9:9">
      <c r="I748" s="2">
        <f>IFERROR(H748/G748*100,0)</f>
        <v>0</v>
      </c>
    </row>
    <row r="749" spans="9:9">
      <c r="I749" s="2">
        <f>IFERROR(H749/G749*100,0)</f>
        <v>0</v>
      </c>
    </row>
    <row r="750" spans="9:9">
      <c r="I750" s="2">
        <f>IFERROR(H750/G750*100,0)</f>
        <v>0</v>
      </c>
    </row>
    <row r="751" spans="9:9">
      <c r="I751" s="2">
        <f>IFERROR(H751/G751*100,0)</f>
        <v>0</v>
      </c>
    </row>
    <row r="752" spans="9:9">
      <c r="I752" s="2">
        <f>IFERROR(H752/G752*100,0)</f>
        <v>0</v>
      </c>
    </row>
    <row r="753" spans="9:9">
      <c r="I753" s="2">
        <f>IFERROR(H753/G753*100,0)</f>
        <v>0</v>
      </c>
    </row>
    <row r="754" spans="9:9">
      <c r="I754" s="2">
        <f>IFERROR(H754/G754*100,0)</f>
        <v>0</v>
      </c>
    </row>
    <row r="755" spans="9:9">
      <c r="I755" s="2">
        <f>IFERROR(H755/G755*100,0)</f>
        <v>0</v>
      </c>
    </row>
    <row r="756" spans="9:9">
      <c r="I756" s="2">
        <f>IFERROR(H756/G756*100,0)</f>
        <v>0</v>
      </c>
    </row>
    <row r="757" spans="9:9">
      <c r="I757" s="2">
        <f>IFERROR(H757/G757*100,0)</f>
        <v>0</v>
      </c>
    </row>
    <row r="758" spans="9:9">
      <c r="I758" s="2">
        <f>IFERROR(H758/G758*100,0)</f>
        <v>0</v>
      </c>
    </row>
    <row r="759" spans="9:9">
      <c r="I759" s="2">
        <f>IFERROR(H759/G759*100,0)</f>
        <v>0</v>
      </c>
    </row>
    <row r="760" spans="9:9">
      <c r="I760" s="2">
        <f>IFERROR(H760/G760*100,0)</f>
        <v>0</v>
      </c>
    </row>
    <row r="761" spans="9:9">
      <c r="I761" s="2">
        <f>IFERROR(H761/G761*100,0)</f>
        <v>0</v>
      </c>
    </row>
    <row r="762" spans="9:9">
      <c r="I762" s="2">
        <f>IFERROR(H762/G762*100,0)</f>
        <v>0</v>
      </c>
    </row>
    <row r="763" spans="9:9">
      <c r="I763" s="2">
        <f>IFERROR(H763/G763*100,0)</f>
        <v>0</v>
      </c>
    </row>
    <row r="764" spans="9:9">
      <c r="I764" s="2">
        <f>IFERROR(H764/G764*100,0)</f>
        <v>0</v>
      </c>
    </row>
    <row r="765" spans="9:9">
      <c r="I765" s="2">
        <f>IFERROR(H765/G765*100,0)</f>
        <v>0</v>
      </c>
    </row>
    <row r="766" spans="9:9">
      <c r="I766" s="2">
        <f>IFERROR(H766/G766*100,0)</f>
        <v>0</v>
      </c>
    </row>
    <row r="767" spans="9:9">
      <c r="I767" s="2">
        <f>IFERROR(H767/G767*100,0)</f>
        <v>0</v>
      </c>
    </row>
    <row r="768" spans="9:9">
      <c r="I768" s="2">
        <f>IFERROR(H768/G768*100,0)</f>
        <v>0</v>
      </c>
    </row>
    <row r="769" spans="9:9">
      <c r="I769" s="2">
        <f>IFERROR(H769/G769*100,0)</f>
        <v>0</v>
      </c>
    </row>
    <row r="770" spans="9:9">
      <c r="I770" s="2">
        <f>IFERROR(H770/G770*100,0)</f>
        <v>0</v>
      </c>
    </row>
    <row r="771" spans="9:9">
      <c r="I771" s="2">
        <f>IFERROR(H771/G771*100,0)</f>
        <v>0</v>
      </c>
    </row>
    <row r="772" spans="9:9">
      <c r="I772" s="2">
        <f>IFERROR(H772/G772*100,0)</f>
        <v>0</v>
      </c>
    </row>
    <row r="773" spans="9:9">
      <c r="I773" s="2">
        <f>IFERROR(H773/G773*100,0)</f>
        <v>0</v>
      </c>
    </row>
    <row r="774" spans="9:9">
      <c r="I774" s="2">
        <f>IFERROR(H774/G774*100,0)</f>
        <v>0</v>
      </c>
    </row>
    <row r="775" spans="9:9">
      <c r="I775" s="2">
        <f>IFERROR(H775/G775*100,0)</f>
        <v>0</v>
      </c>
    </row>
    <row r="776" spans="9:9">
      <c r="I776" s="2">
        <f>IFERROR(H776/G776*100,0)</f>
        <v>0</v>
      </c>
    </row>
    <row r="777" spans="9:9">
      <c r="I777" s="2">
        <f>IFERROR(H777/G777*100,0)</f>
        <v>0</v>
      </c>
    </row>
    <row r="778" spans="9:9">
      <c r="I778" s="2">
        <f>IFERROR(H778/G778*100,0)</f>
        <v>0</v>
      </c>
    </row>
    <row r="779" spans="9:9">
      <c r="I779" s="2">
        <f>IFERROR(H779/G779*100,0)</f>
        <v>0</v>
      </c>
    </row>
    <row r="780" spans="9:9">
      <c r="I780" s="2">
        <f>IFERROR(H780/G780*100,0)</f>
        <v>0</v>
      </c>
    </row>
    <row r="781" spans="9:9">
      <c r="I781" s="2">
        <f>IFERROR(H781/G781*100,0)</f>
        <v>0</v>
      </c>
    </row>
    <row r="782" spans="9:9">
      <c r="I782" s="2">
        <f>IFERROR(H782/G782*100,0)</f>
        <v>0</v>
      </c>
    </row>
    <row r="783" spans="9:9">
      <c r="I783" s="2">
        <f>IFERROR(H783/G783*100,0)</f>
        <v>0</v>
      </c>
    </row>
    <row r="784" spans="9:9">
      <c r="I784" s="2">
        <f>IFERROR(H784/G784*100,0)</f>
        <v>0</v>
      </c>
    </row>
    <row r="785" spans="9:9">
      <c r="I785" s="2">
        <f>IFERROR(H785/G785*100,0)</f>
        <v>0</v>
      </c>
    </row>
    <row r="786" spans="9:9">
      <c r="I786" s="2">
        <f>IFERROR(H786/G786*100,0)</f>
        <v>0</v>
      </c>
    </row>
    <row r="787" spans="9:9">
      <c r="I787" s="2">
        <f>IFERROR(H787/G787*100,0)</f>
        <v>0</v>
      </c>
    </row>
    <row r="788" spans="9:9">
      <c r="I788" s="2">
        <f>IFERROR(H788/G788*100,0)</f>
        <v>0</v>
      </c>
    </row>
    <row r="789" spans="9:9">
      <c r="I789" s="2">
        <f>IFERROR(H789/G789*100,0)</f>
        <v>0</v>
      </c>
    </row>
    <row r="790" spans="9:9">
      <c r="I790" s="2">
        <f>IFERROR(H790/G790*100,0)</f>
        <v>0</v>
      </c>
    </row>
    <row r="791" spans="9:9">
      <c r="I791" s="2">
        <f>IFERROR(H791/G791*100,0)</f>
        <v>0</v>
      </c>
    </row>
    <row r="792" spans="9:9">
      <c r="I792" s="2">
        <f>IFERROR(H792/G792*100,0)</f>
        <v>0</v>
      </c>
    </row>
    <row r="793" spans="9:9">
      <c r="I793" s="2">
        <f>IFERROR(H793/G793*100,0)</f>
        <v>0</v>
      </c>
    </row>
    <row r="794" spans="9:9">
      <c r="I794" s="2">
        <f>IFERROR(H794/G794*100,0)</f>
        <v>0</v>
      </c>
    </row>
    <row r="795" spans="9:9">
      <c r="I795" s="2">
        <f>IFERROR(H795/G795*100,0)</f>
        <v>0</v>
      </c>
    </row>
    <row r="796" spans="9:9">
      <c r="I796" s="2">
        <f>IFERROR(H796/G796*100,0)</f>
        <v>0</v>
      </c>
    </row>
    <row r="797" spans="9:9">
      <c r="I797" s="2">
        <f>IFERROR(H797/G797*100,0)</f>
        <v>0</v>
      </c>
    </row>
    <row r="798" spans="9:9">
      <c r="I798" s="2">
        <f>IFERROR(H798/G798*100,0)</f>
        <v>0</v>
      </c>
    </row>
    <row r="799" spans="9:9">
      <c r="I799" s="2">
        <f>IFERROR(H799/G799*100,0)</f>
        <v>0</v>
      </c>
    </row>
    <row r="800" spans="9:9">
      <c r="I800" s="2">
        <f>IFERROR(H800/G800*100,0)</f>
        <v>0</v>
      </c>
    </row>
    <row r="801" spans="9:9">
      <c r="I801" s="2">
        <f>IFERROR(H801/G801*100,0)</f>
        <v>0</v>
      </c>
    </row>
    <row r="802" spans="9:9">
      <c r="I802" s="2">
        <f>IFERROR(H802/G802*100,0)</f>
        <v>0</v>
      </c>
    </row>
    <row r="803" spans="9:9">
      <c r="I803" s="2">
        <f>IFERROR(H803/G803*100,0)</f>
        <v>0</v>
      </c>
    </row>
    <row r="804" spans="9:9">
      <c r="I804" s="2">
        <f>IFERROR(H804/G804*100,0)</f>
        <v>0</v>
      </c>
    </row>
    <row r="805" spans="9:9">
      <c r="I805" s="2">
        <f>IFERROR(H805/G805*100,0)</f>
        <v>0</v>
      </c>
    </row>
    <row r="806" spans="9:9">
      <c r="I806" s="2">
        <f>IFERROR(H806/G806*100,0)</f>
        <v>0</v>
      </c>
    </row>
    <row r="807" spans="9:9">
      <c r="I807" s="2">
        <f>IFERROR(H807/G807*100,0)</f>
        <v>0</v>
      </c>
    </row>
    <row r="808" spans="9:9">
      <c r="I808" s="2">
        <f>IFERROR(H808/G808*100,0)</f>
        <v>0</v>
      </c>
    </row>
    <row r="809" spans="9:9">
      <c r="I809" s="2">
        <f>IFERROR(H809/G809*100,0)</f>
        <v>0</v>
      </c>
    </row>
    <row r="810" spans="9:9">
      <c r="I810" s="2">
        <f>IFERROR(H810/G810*100,0)</f>
        <v>0</v>
      </c>
    </row>
    <row r="811" spans="9:9">
      <c r="I811" s="2">
        <f>IFERROR(H811/G811*100,0)</f>
        <v>0</v>
      </c>
    </row>
    <row r="812" spans="9:9">
      <c r="I812" s="2">
        <f>IFERROR(H812/G812*100,0)</f>
        <v>0</v>
      </c>
    </row>
    <row r="813" spans="9:9">
      <c r="I813" s="2">
        <f>IFERROR(H813/G813*100,0)</f>
        <v>0</v>
      </c>
    </row>
    <row r="814" spans="9:9">
      <c r="I814" s="2">
        <f>IFERROR(H814/G814*100,0)</f>
        <v>0</v>
      </c>
    </row>
    <row r="815" spans="9:9">
      <c r="I815" s="2">
        <f>IFERROR(H815/G815*100,0)</f>
        <v>0</v>
      </c>
    </row>
    <row r="816" spans="9:9">
      <c r="I816" s="2">
        <f>IFERROR(H816/G816*100,0)</f>
        <v>0</v>
      </c>
    </row>
    <row r="817" spans="9:9">
      <c r="I817" s="2">
        <f>IFERROR(H817/G817*100,0)</f>
        <v>0</v>
      </c>
    </row>
    <row r="818" spans="9:9">
      <c r="I818" s="2">
        <f>IFERROR(H818/G818*100,0)</f>
        <v>0</v>
      </c>
    </row>
    <row r="819" spans="9:9">
      <c r="I819" s="2">
        <f>IFERROR(H819/G819*100,0)</f>
        <v>0</v>
      </c>
    </row>
    <row r="820" spans="9:9">
      <c r="I820" s="2">
        <f>IFERROR(H820/G820*100,0)</f>
        <v>0</v>
      </c>
    </row>
    <row r="821" spans="9:9">
      <c r="I821" s="2">
        <f>IFERROR(H821/G821*100,0)</f>
        <v>0</v>
      </c>
    </row>
    <row r="822" spans="9:9">
      <c r="I822" s="2">
        <f>IFERROR(H822/G822*100,0)</f>
        <v>0</v>
      </c>
    </row>
    <row r="823" spans="9:9">
      <c r="I823" s="2">
        <f>IFERROR(H823/G823*100,0)</f>
        <v>0</v>
      </c>
    </row>
    <row r="824" spans="9:9">
      <c r="I824" s="2">
        <f>IFERROR(H824/G824*100,0)</f>
        <v>0</v>
      </c>
    </row>
    <row r="825" spans="9:9">
      <c r="I825" s="2">
        <f>IFERROR(H825/G825*100,0)</f>
        <v>0</v>
      </c>
    </row>
    <row r="826" spans="9:9">
      <c r="I826" s="2">
        <f>IFERROR(H826/G826*100,0)</f>
        <v>0</v>
      </c>
    </row>
    <row r="827" spans="9:9">
      <c r="I827" s="2">
        <f>IFERROR(H827/G827*100,0)</f>
        <v>0</v>
      </c>
    </row>
    <row r="828" spans="9:9">
      <c r="I828" s="2">
        <f>IFERROR(H828/G828*100,0)</f>
        <v>0</v>
      </c>
    </row>
    <row r="829" spans="9:9">
      <c r="I829" s="2">
        <f>IFERROR(H829/G829*100,0)</f>
        <v>0</v>
      </c>
    </row>
    <row r="830" spans="9:9">
      <c r="I830" s="2">
        <f>IFERROR(H830/G830*100,0)</f>
        <v>0</v>
      </c>
    </row>
    <row r="831" spans="9:9">
      <c r="I831" s="2">
        <f>IFERROR(H831/G831*100,0)</f>
        <v>0</v>
      </c>
    </row>
    <row r="832" spans="9:9">
      <c r="I832" s="2">
        <f>IFERROR(H832/G832*100,0)</f>
        <v>0</v>
      </c>
    </row>
    <row r="833" spans="9:9">
      <c r="I833" s="2">
        <f>IFERROR(H833/G833*100,0)</f>
        <v>0</v>
      </c>
    </row>
    <row r="834" spans="9:9">
      <c r="I834" s="2">
        <f>IFERROR(H834/G834*100,0)</f>
        <v>0</v>
      </c>
    </row>
    <row r="835" spans="9:9">
      <c r="I835" s="2">
        <f>IFERROR(H835/G835*100,0)</f>
        <v>0</v>
      </c>
    </row>
    <row r="836" spans="9:9">
      <c r="I836" s="2">
        <f>IFERROR(H836/G836*100,0)</f>
        <v>0</v>
      </c>
    </row>
    <row r="837" spans="9:9">
      <c r="I837" s="2">
        <f>IFERROR(H837/G837*100,0)</f>
        <v>0</v>
      </c>
    </row>
    <row r="838" spans="9:9">
      <c r="I838" s="2">
        <f>IFERROR(H838/G838*100,0)</f>
        <v>0</v>
      </c>
    </row>
    <row r="839" spans="9:9">
      <c r="I839" s="2">
        <f>IFERROR(H839/G839*100,0)</f>
        <v>0</v>
      </c>
    </row>
    <row r="840" spans="9:9">
      <c r="I840" s="2">
        <f>IFERROR(H840/G840*100,0)</f>
        <v>0</v>
      </c>
    </row>
    <row r="841" spans="9:9">
      <c r="I841" s="2">
        <f>IFERROR(H841/G841*100,0)</f>
        <v>0</v>
      </c>
    </row>
    <row r="842" spans="9:9">
      <c r="I842" s="2">
        <f>IFERROR(H842/G842*100,0)</f>
        <v>0</v>
      </c>
    </row>
    <row r="843" spans="9:9">
      <c r="I843" s="2">
        <f>IFERROR(H843/G843*100,0)</f>
        <v>0</v>
      </c>
    </row>
    <row r="844" spans="9:9">
      <c r="I844" s="2">
        <f>IFERROR(H844/G844*100,0)</f>
        <v>0</v>
      </c>
    </row>
    <row r="845" spans="9:9">
      <c r="I845" s="2">
        <f>IFERROR(H845/G845*100,0)</f>
        <v>0</v>
      </c>
    </row>
    <row r="846" spans="9:9">
      <c r="I846" s="2">
        <f>IFERROR(H846/G846*100,0)</f>
        <v>0</v>
      </c>
    </row>
    <row r="847" spans="9:9">
      <c r="I847" s="2">
        <f>IFERROR(H847/G847*100,0)</f>
        <v>0</v>
      </c>
    </row>
    <row r="848" spans="9:9">
      <c r="I848" s="2">
        <f>IFERROR(H848/G848*100,0)</f>
        <v>0</v>
      </c>
    </row>
    <row r="849" spans="9:9">
      <c r="I849" s="2">
        <f>IFERROR(H849/G849*100,0)</f>
        <v>0</v>
      </c>
    </row>
    <row r="850" spans="9:9">
      <c r="I850" s="2">
        <f>IFERROR(H850/G850*100,0)</f>
        <v>0</v>
      </c>
    </row>
    <row r="851" spans="9:9">
      <c r="I851" s="2">
        <f>IFERROR(H851/G851*100,0)</f>
        <v>0</v>
      </c>
    </row>
    <row r="852" spans="9:9">
      <c r="I852" s="2">
        <f>IFERROR(H852/G852*100,0)</f>
        <v>0</v>
      </c>
    </row>
    <row r="853" spans="9:9">
      <c r="I853" s="2">
        <f>IFERROR(H853/G853*100,0)</f>
        <v>0</v>
      </c>
    </row>
    <row r="854" spans="9:9">
      <c r="I854" s="2">
        <f>IFERROR(H854/G854*100,0)</f>
        <v>0</v>
      </c>
    </row>
    <row r="855" spans="9:9">
      <c r="I855" s="2">
        <f>IFERROR(H855/G855*100,0)</f>
        <v>0</v>
      </c>
    </row>
    <row r="856" spans="9:9">
      <c r="I856" s="2">
        <f>IFERROR(H856/G856*100,0)</f>
        <v>0</v>
      </c>
    </row>
    <row r="857" spans="9:9">
      <c r="I857" s="2">
        <f>IFERROR(H857/G857*100,0)</f>
        <v>0</v>
      </c>
    </row>
    <row r="858" spans="9:9">
      <c r="I858" s="2">
        <f>IFERROR(H858/G858*100,0)</f>
        <v>0</v>
      </c>
    </row>
    <row r="859" spans="9:9">
      <c r="I859" s="2">
        <f>IFERROR(H859/G859*100,0)</f>
        <v>0</v>
      </c>
    </row>
    <row r="860" spans="9:9">
      <c r="I860" s="2">
        <f>IFERROR(H860/G860*100,0)</f>
        <v>0</v>
      </c>
    </row>
    <row r="861" spans="9:9">
      <c r="I861" s="2">
        <f>IFERROR(H861/G861*100,0)</f>
        <v>0</v>
      </c>
    </row>
    <row r="862" spans="9:9">
      <c r="I862" s="2">
        <f>IFERROR(H862/G862*100,0)</f>
        <v>0</v>
      </c>
    </row>
    <row r="863" spans="9:9">
      <c r="I863" s="2">
        <f>IFERROR(H863/G863*100,0)</f>
        <v>0</v>
      </c>
    </row>
    <row r="864" spans="9:9">
      <c r="I864" s="2">
        <f>IFERROR(H864/G864*100,0)</f>
        <v>0</v>
      </c>
    </row>
    <row r="865" spans="9:9">
      <c r="I865" s="2">
        <f>IFERROR(H865/G865*100,0)</f>
        <v>0</v>
      </c>
    </row>
    <row r="866" spans="9:9">
      <c r="I866" s="2">
        <f>IFERROR(H866/G866*100,0)</f>
        <v>0</v>
      </c>
    </row>
    <row r="867" spans="9:9">
      <c r="I867" s="2">
        <f>IFERROR(H867/G867*100,0)</f>
        <v>0</v>
      </c>
    </row>
    <row r="868" spans="9:9">
      <c r="I868" s="2">
        <f>IFERROR(H868/G868*100,0)</f>
        <v>0</v>
      </c>
    </row>
    <row r="869" spans="9:9">
      <c r="I869" s="2">
        <f>IFERROR(H869/G869*100,0)</f>
        <v>0</v>
      </c>
    </row>
    <row r="870" spans="9:9">
      <c r="I870" s="2">
        <f>IFERROR(H870/G870*100,0)</f>
        <v>0</v>
      </c>
    </row>
    <row r="871" spans="9:9">
      <c r="I871" s="2">
        <f>IFERROR(H871/G871*100,0)</f>
        <v>0</v>
      </c>
    </row>
    <row r="872" spans="9:9">
      <c r="I872" s="2">
        <f>IFERROR(H872/G872*100,0)</f>
        <v>0</v>
      </c>
    </row>
    <row r="873" spans="9:9">
      <c r="I873" s="2">
        <f>IFERROR(H873/G873*100,0)</f>
        <v>0</v>
      </c>
    </row>
    <row r="874" spans="9:9">
      <c r="I874" s="2">
        <f>IFERROR(H874/G874*100,0)</f>
        <v>0</v>
      </c>
    </row>
    <row r="875" spans="9:9">
      <c r="I875" s="2">
        <f>IFERROR(H875/G875*100,0)</f>
        <v>0</v>
      </c>
    </row>
    <row r="876" spans="9:9">
      <c r="I876" s="2">
        <f>IFERROR(H876/G876*100,0)</f>
        <v>0</v>
      </c>
    </row>
    <row r="877" spans="9:9">
      <c r="I877" s="2">
        <f>IFERROR(H877/G877*100,0)</f>
        <v>0</v>
      </c>
    </row>
    <row r="878" spans="9:9">
      <c r="I878" s="2">
        <f>IFERROR(H878/G878*100,0)</f>
        <v>0</v>
      </c>
    </row>
    <row r="879" spans="9:9">
      <c r="I879" s="2">
        <f>IFERROR(H879/G879*100,0)</f>
        <v>0</v>
      </c>
    </row>
    <row r="880" spans="9:9">
      <c r="I880" s="2">
        <f>IFERROR(H880/G880*100,0)</f>
        <v>0</v>
      </c>
    </row>
    <row r="881" spans="9:9">
      <c r="I881" s="2">
        <f>IFERROR(H881/G881*100,0)</f>
        <v>0</v>
      </c>
    </row>
    <row r="882" spans="9:9">
      <c r="I882" s="2">
        <f>IFERROR(H882/G882*100,0)</f>
        <v>0</v>
      </c>
    </row>
    <row r="883" spans="9:9">
      <c r="I883" s="2">
        <f>IFERROR(H883/G883*100,0)</f>
        <v>0</v>
      </c>
    </row>
    <row r="884" spans="9:9">
      <c r="I884" s="2">
        <f>IFERROR(H884/G884*100,0)</f>
        <v>0</v>
      </c>
    </row>
    <row r="885" spans="9:9">
      <c r="I885" s="2">
        <f>IFERROR(H885/G885*100,0)</f>
        <v>0</v>
      </c>
    </row>
    <row r="886" spans="9:9">
      <c r="I886" s="2">
        <f>IFERROR(H886/G886*100,0)</f>
        <v>0</v>
      </c>
    </row>
    <row r="887" spans="9:9">
      <c r="I887" s="2">
        <f>IFERROR(H887/G887*100,0)</f>
        <v>0</v>
      </c>
    </row>
    <row r="888" spans="9:9">
      <c r="I888" s="2">
        <f>IFERROR(H888/G888*100,0)</f>
        <v>0</v>
      </c>
    </row>
    <row r="889" spans="9:9">
      <c r="I889" s="2">
        <f>IFERROR(H889/G889*100,0)</f>
        <v>0</v>
      </c>
    </row>
    <row r="890" spans="9:9">
      <c r="I890" s="2">
        <f>IFERROR(H890/G890*100,0)</f>
        <v>0</v>
      </c>
    </row>
    <row r="891" spans="9:9">
      <c r="I891" s="2">
        <f>IFERROR(H891/G891*100,0)</f>
        <v>0</v>
      </c>
    </row>
    <row r="892" spans="9:9">
      <c r="I892" s="2">
        <f>IFERROR(H892/G892*100,0)</f>
        <v>0</v>
      </c>
    </row>
    <row r="893" spans="9:9">
      <c r="I893" s="2">
        <f>IFERROR(H893/G893*100,0)</f>
        <v>0</v>
      </c>
    </row>
    <row r="894" spans="9:9">
      <c r="I894" s="2">
        <f>IFERROR(H894/G894*100,0)</f>
        <v>0</v>
      </c>
    </row>
    <row r="895" spans="9:9">
      <c r="I895" s="2">
        <f>IFERROR(H895/G895*100,0)</f>
        <v>0</v>
      </c>
    </row>
    <row r="896" spans="9:9">
      <c r="I896" s="2">
        <f>IFERROR(H896/G896*100,0)</f>
        <v>0</v>
      </c>
    </row>
    <row r="897" spans="9:9">
      <c r="I897" s="2">
        <f>IFERROR(H897/G897*100,0)</f>
        <v>0</v>
      </c>
    </row>
    <row r="898" spans="9:9">
      <c r="I898" s="2">
        <f>IFERROR(H898/G898*100,0)</f>
        <v>0</v>
      </c>
    </row>
    <row r="899" spans="9:9">
      <c r="I899" s="2">
        <f>IFERROR(H899/G899*100,0)</f>
        <v>0</v>
      </c>
    </row>
    <row r="900" spans="9:9">
      <c r="I900" s="2">
        <f>IFERROR(H900/G900*100,0)</f>
        <v>0</v>
      </c>
    </row>
    <row r="901" spans="9:9">
      <c r="I901" s="2">
        <f>IFERROR(H901/G901*100,0)</f>
        <v>0</v>
      </c>
    </row>
    <row r="902" spans="9:9">
      <c r="I902" s="2">
        <f>IFERROR(H902/G902*100,0)</f>
        <v>0</v>
      </c>
    </row>
    <row r="903" spans="9:9">
      <c r="I903" s="2">
        <f>IFERROR(H903/G903*100,0)</f>
        <v>0</v>
      </c>
    </row>
    <row r="904" spans="9:9">
      <c r="I904" s="2">
        <f>IFERROR(H904/G904*100,0)</f>
        <v>0</v>
      </c>
    </row>
    <row r="905" spans="9:9">
      <c r="I905" s="2">
        <f>IFERROR(H905/G905*100,0)</f>
        <v>0</v>
      </c>
    </row>
    <row r="906" spans="9:9">
      <c r="I906" s="2">
        <f>IFERROR(H906/G906*100,0)</f>
        <v>0</v>
      </c>
    </row>
    <row r="907" spans="9:9">
      <c r="I907" s="2">
        <f>IFERROR(H907/G907*100,0)</f>
        <v>0</v>
      </c>
    </row>
    <row r="908" spans="9:9">
      <c r="I908" s="2">
        <f>IFERROR(H908/G908*100,0)</f>
        <v>0</v>
      </c>
    </row>
    <row r="909" spans="9:9">
      <c r="I909" s="2">
        <f>IFERROR(H909/G909*100,0)</f>
        <v>0</v>
      </c>
    </row>
    <row r="910" spans="9:9">
      <c r="I910" s="2">
        <f>IFERROR(H910/G910*100,0)</f>
        <v>0</v>
      </c>
    </row>
    <row r="911" spans="9:9">
      <c r="I911" s="2">
        <f>IFERROR(H911/G911*100,0)</f>
        <v>0</v>
      </c>
    </row>
    <row r="912" spans="9:9">
      <c r="I912" s="2">
        <f>IFERROR(H912/G912*100,0)</f>
        <v>0</v>
      </c>
    </row>
    <row r="913" spans="9:9">
      <c r="I913" s="2">
        <f>IFERROR(H913/G913*100,0)</f>
        <v>0</v>
      </c>
    </row>
    <row r="914" spans="9:9">
      <c r="I914" s="2">
        <f>IFERROR(H914/G914*100,0)</f>
        <v>0</v>
      </c>
    </row>
    <row r="915" spans="9:9">
      <c r="I915" s="2">
        <f>IFERROR(H915/G915*100,0)</f>
        <v>0</v>
      </c>
    </row>
    <row r="916" spans="9:9">
      <c r="I916" s="2">
        <f>IFERROR(H916/G916*100,0)</f>
        <v>0</v>
      </c>
    </row>
    <row r="917" spans="9:9">
      <c r="I917" s="2">
        <f>IFERROR(H917/G917*100,0)</f>
        <v>0</v>
      </c>
    </row>
    <row r="918" spans="9:9">
      <c r="I918" s="2">
        <f>IFERROR(H918/G918*100,0)</f>
        <v>0</v>
      </c>
    </row>
    <row r="919" spans="9:9">
      <c r="I919" s="2">
        <f>IFERROR(H919/G919*100,0)</f>
        <v>0</v>
      </c>
    </row>
    <row r="920" spans="9:9">
      <c r="I920" s="2">
        <f>IFERROR(H920/G920*100,0)</f>
        <v>0</v>
      </c>
    </row>
    <row r="921" spans="9:9">
      <c r="I921" s="2">
        <f>IFERROR(H921/G921*100,0)</f>
        <v>0</v>
      </c>
    </row>
    <row r="922" spans="9:9">
      <c r="I922" s="2">
        <f>IFERROR(H922/G922*100,0)</f>
        <v>0</v>
      </c>
    </row>
    <row r="923" spans="9:9">
      <c r="I923" s="2">
        <f>IFERROR(H923/G923*100,0)</f>
        <v>0</v>
      </c>
    </row>
    <row r="924" spans="9:9">
      <c r="I924" s="2">
        <f>IFERROR(H924/G924*100,0)</f>
        <v>0</v>
      </c>
    </row>
    <row r="925" spans="9:9">
      <c r="I925" s="2">
        <f>IFERROR(H925/G925*100,0)</f>
        <v>0</v>
      </c>
    </row>
    <row r="926" spans="9:9">
      <c r="I926" s="2">
        <f>IFERROR(H926/G926*100,0)</f>
        <v>0</v>
      </c>
    </row>
    <row r="927" spans="9:9">
      <c r="I927" s="2">
        <f>IFERROR(H927/G927*100,0)</f>
        <v>0</v>
      </c>
    </row>
    <row r="928" spans="9:9">
      <c r="I928" s="2">
        <f>IFERROR(H928/G928*100,0)</f>
        <v>0</v>
      </c>
    </row>
    <row r="929" spans="9:9">
      <c r="I929" s="2">
        <f>IFERROR(H929/G929*100,0)</f>
        <v>0</v>
      </c>
    </row>
    <row r="930" spans="9:9">
      <c r="I930" s="2">
        <f>IFERROR(H930/G930*100,0)</f>
        <v>0</v>
      </c>
    </row>
    <row r="931" spans="9:9">
      <c r="I931" s="2">
        <f>IFERROR(H931/G931*100,0)</f>
        <v>0</v>
      </c>
    </row>
    <row r="932" spans="9:9">
      <c r="I932" s="2">
        <f>IFERROR(H932/G932*100,0)</f>
        <v>0</v>
      </c>
    </row>
    <row r="933" spans="9:9">
      <c r="I933" s="2">
        <f>IFERROR(H933/G933*100,0)</f>
        <v>0</v>
      </c>
    </row>
    <row r="934" spans="9:9">
      <c r="I934" s="2">
        <f>IFERROR(H934/G934*100,0)</f>
        <v>0</v>
      </c>
    </row>
    <row r="935" spans="9:9">
      <c r="I935" s="2">
        <f>IFERROR(H935/G935*100,0)</f>
        <v>0</v>
      </c>
    </row>
    <row r="936" spans="9:9">
      <c r="I936" s="2">
        <f>IFERROR(H936/G936*100,0)</f>
        <v>0</v>
      </c>
    </row>
    <row r="937" spans="9:9">
      <c r="I937" s="2">
        <f>IFERROR(H937/G937*100,0)</f>
        <v>0</v>
      </c>
    </row>
    <row r="938" spans="9:9">
      <c r="I938" s="2">
        <f>IFERROR(H938/G938*100,0)</f>
        <v>0</v>
      </c>
    </row>
    <row r="939" spans="9:9">
      <c r="I939" s="2">
        <f>IFERROR(H939/G939*100,0)</f>
        <v>0</v>
      </c>
    </row>
    <row r="940" spans="9:9">
      <c r="I940" s="2">
        <f>IFERROR(H940/G940*100,0)</f>
        <v>0</v>
      </c>
    </row>
    <row r="941" spans="9:9">
      <c r="I941" s="2">
        <f>IFERROR(H941/G941*100,0)</f>
        <v>0</v>
      </c>
    </row>
    <row r="942" spans="9:9">
      <c r="I942" s="2">
        <f>IFERROR(H942/G942*100,0)</f>
        <v>0</v>
      </c>
    </row>
    <row r="943" spans="9:9">
      <c r="I943" s="2">
        <f>IFERROR(H943/G943*100,0)</f>
        <v>0</v>
      </c>
    </row>
    <row r="944" spans="9:9">
      <c r="I944" s="2">
        <f>IFERROR(H944/G944*100,0)</f>
        <v>0</v>
      </c>
    </row>
    <row r="945" spans="9:9">
      <c r="I945" s="2">
        <f>IFERROR(H945/G945*100,0)</f>
        <v>0</v>
      </c>
    </row>
    <row r="946" spans="9:9">
      <c r="I946" s="2">
        <f>IFERROR(H946/G946*100,0)</f>
        <v>0</v>
      </c>
    </row>
    <row r="947" spans="9:9">
      <c r="I947" s="2">
        <f>IFERROR(H947/G947*100,0)</f>
        <v>0</v>
      </c>
    </row>
    <row r="948" spans="9:9">
      <c r="I948" s="2">
        <f>IFERROR(H948/G948*100,0)</f>
        <v>0</v>
      </c>
    </row>
    <row r="949" spans="9:9">
      <c r="I949" s="2">
        <f>IFERROR(H949/G949*100,0)</f>
        <v>0</v>
      </c>
    </row>
    <row r="950" spans="9:9">
      <c r="I950" s="2">
        <f>IFERROR(H950/G950*100,0)</f>
        <v>0</v>
      </c>
    </row>
    <row r="951" spans="9:9">
      <c r="I951" s="2">
        <f>IFERROR(H951/G951*100,0)</f>
        <v>0</v>
      </c>
    </row>
    <row r="952" spans="9:9">
      <c r="I952" s="2">
        <f>IFERROR(H952/G952*100,0)</f>
        <v>0</v>
      </c>
    </row>
    <row r="953" spans="9:9">
      <c r="I953" s="2">
        <f>IFERROR(H953/G953*100,0)</f>
        <v>0</v>
      </c>
    </row>
    <row r="954" spans="9:9">
      <c r="I954" s="2">
        <f>IFERROR(H954/G954*100,0)</f>
        <v>0</v>
      </c>
    </row>
    <row r="955" spans="9:9">
      <c r="I955" s="2">
        <f>IFERROR(H955/G955*100,0)</f>
        <v>0</v>
      </c>
    </row>
    <row r="956" spans="9:9">
      <c r="I956" s="2">
        <f>IFERROR(H956/G956*100,0)</f>
        <v>0</v>
      </c>
    </row>
    <row r="957" spans="9:9">
      <c r="I957" s="2">
        <f>IFERROR(H957/G957*100,0)</f>
        <v>0</v>
      </c>
    </row>
    <row r="958" spans="9:9">
      <c r="I958" s="2">
        <f>IFERROR(H958/G958*100,0)</f>
        <v>0</v>
      </c>
    </row>
    <row r="959" spans="9:9">
      <c r="I959" s="2">
        <f>IFERROR(H959/G959*100,0)</f>
        <v>0</v>
      </c>
    </row>
    <row r="960" spans="9:9">
      <c r="I960" s="2">
        <f>IFERROR(H960/G960*100,0)</f>
        <v>0</v>
      </c>
    </row>
    <row r="961" spans="9:9">
      <c r="I961" s="2">
        <f>IFERROR(H961/G961*100,0)</f>
        <v>0</v>
      </c>
    </row>
    <row r="962" spans="9:9">
      <c r="I962" s="2">
        <f>IFERROR(H962/G962*100,0)</f>
        <v>0</v>
      </c>
    </row>
    <row r="963" spans="9:9">
      <c r="I963" s="2">
        <f>IFERROR(H963/G963*100,0)</f>
        <v>0</v>
      </c>
    </row>
    <row r="964" spans="9:9">
      <c r="I964" s="2">
        <f>IFERROR(H964/G964*100,0)</f>
        <v>0</v>
      </c>
    </row>
    <row r="965" spans="9:9">
      <c r="I965" s="2">
        <f>IFERROR(H965/G965*100,0)</f>
        <v>0</v>
      </c>
    </row>
    <row r="966" spans="9:9">
      <c r="I966" s="2">
        <f>IFERROR(H966/G966*100,0)</f>
        <v>0</v>
      </c>
    </row>
    <row r="967" spans="9:9">
      <c r="I967" s="2">
        <f>IFERROR(H967/G967*100,0)</f>
        <v>0</v>
      </c>
    </row>
    <row r="968" spans="9:9">
      <c r="I968" s="2">
        <f>IFERROR(H968/G968*100,0)</f>
        <v>0</v>
      </c>
    </row>
    <row r="969" spans="9:9">
      <c r="I969" s="2">
        <f>IFERROR(H969/G969*100,0)</f>
        <v>0</v>
      </c>
    </row>
    <row r="970" spans="9:9">
      <c r="I970" s="2">
        <f>IFERROR(H970/G970*100,0)</f>
        <v>0</v>
      </c>
    </row>
    <row r="971" spans="9:9">
      <c r="I971" s="2">
        <f>IFERROR(H971/G971*100,0)</f>
        <v>0</v>
      </c>
    </row>
    <row r="972" spans="9:9">
      <c r="I972" s="2">
        <f>IFERROR(H972/G972*100,0)</f>
        <v>0</v>
      </c>
    </row>
    <row r="973" spans="9:9">
      <c r="I973" s="2">
        <f>IFERROR(H973/G973*100,0)</f>
        <v>0</v>
      </c>
    </row>
    <row r="974" spans="9:9">
      <c r="I974" s="2">
        <f>IFERROR(H974/G974*100,0)</f>
        <v>0</v>
      </c>
    </row>
    <row r="975" spans="9:9">
      <c r="I975" s="2">
        <f>IFERROR(H975/G975*100,0)</f>
        <v>0</v>
      </c>
    </row>
    <row r="976" spans="9:9">
      <c r="I976" s="2">
        <f>IFERROR(H976/G976*100,0)</f>
        <v>0</v>
      </c>
    </row>
    <row r="977" spans="9:9">
      <c r="I977" s="2">
        <f>IFERROR(H977/G977*100,0)</f>
        <v>0</v>
      </c>
    </row>
    <row r="978" spans="9:9">
      <c r="I978" s="2">
        <f>IFERROR(H978/G978*100,0)</f>
        <v>0</v>
      </c>
    </row>
    <row r="979" spans="9:9">
      <c r="I979" s="2">
        <f>IFERROR(H979/G979*100,0)</f>
        <v>0</v>
      </c>
    </row>
    <row r="980" spans="9:9">
      <c r="I980" s="2">
        <f>IFERROR(H980/G980*100,0)</f>
        <v>0</v>
      </c>
    </row>
    <row r="981" spans="9:9">
      <c r="I981" s="2">
        <f>IFERROR(H981/G981*100,0)</f>
        <v>0</v>
      </c>
    </row>
    <row r="982" spans="9:9">
      <c r="I982" s="2">
        <f>IFERROR(H982/G982*100,0)</f>
        <v>0</v>
      </c>
    </row>
    <row r="983" spans="9:9">
      <c r="I983" s="2">
        <f>IFERROR(H983/G983*100,0)</f>
        <v>0</v>
      </c>
    </row>
    <row r="984" spans="9:9">
      <c r="I984" s="2">
        <f>IFERROR(H984/G984*100,0)</f>
        <v>0</v>
      </c>
    </row>
    <row r="985" spans="9:9">
      <c r="I985" s="2">
        <f>IFERROR(H985/G985*100,0)</f>
        <v>0</v>
      </c>
    </row>
    <row r="986" spans="9:9">
      <c r="I986" s="2">
        <f>IFERROR(H986/G986*100,0)</f>
        <v>0</v>
      </c>
    </row>
    <row r="987" spans="9:9">
      <c r="I987" s="2">
        <f>IFERROR(H987/G987*100,0)</f>
        <v>0</v>
      </c>
    </row>
    <row r="988" spans="9:9">
      <c r="I988" s="2">
        <f>IFERROR(H988/G988*100,0)</f>
        <v>0</v>
      </c>
    </row>
    <row r="989" spans="9:9">
      <c r="I989" s="2">
        <f>IFERROR(H989/G989*100,0)</f>
        <v>0</v>
      </c>
    </row>
    <row r="990" spans="9:9">
      <c r="I990" s="2">
        <f>IFERROR(H990/G990*100,0)</f>
        <v>0</v>
      </c>
    </row>
    <row r="991" spans="9:9">
      <c r="I991" s="2">
        <f>IFERROR(H991/G991*100,0)</f>
        <v>0</v>
      </c>
    </row>
    <row r="992" spans="9:9">
      <c r="I992" s="2">
        <f>IFERROR(H992/G992*100,0)</f>
        <v>0</v>
      </c>
    </row>
    <row r="993" spans="9:9">
      <c r="I993" s="2">
        <f>IFERROR(H993/G993*100,0)</f>
        <v>0</v>
      </c>
    </row>
    <row r="994" spans="9:9">
      <c r="I994" s="2">
        <f>IFERROR(H994/G994*100,0)</f>
        <v>0</v>
      </c>
    </row>
    <row r="995" spans="9:9">
      <c r="I995" s="2">
        <f>IFERROR(H995/G995*100,0)</f>
        <v>0</v>
      </c>
    </row>
    <row r="996" spans="9:9">
      <c r="I996" s="2">
        <f>IFERROR(H996/G996*100,0)</f>
        <v>0</v>
      </c>
    </row>
    <row r="997" spans="9:9">
      <c r="I997" s="2">
        <f>IFERROR(H997/G997*100,0)</f>
        <v>0</v>
      </c>
    </row>
    <row r="998" spans="9:9">
      <c r="I998" s="2">
        <f>IFERROR(H998/G998*100,0)</f>
        <v>0</v>
      </c>
    </row>
    <row r="999" spans="9:9">
      <c r="I999" s="2">
        <f>IFERROR(H999/G999*100,0)</f>
        <v>0</v>
      </c>
    </row>
    <row r="1000" spans="9:9">
      <c r="I1000" s="2">
        <f>IFERROR(H1000/G1000*100,0)</f>
        <v>0</v>
      </c>
    </row>
    <row r="1001" spans="9:9">
      <c r="I1001" s="2">
        <f>IFERROR(H1001/G1001*100,0)</f>
        <v>0</v>
      </c>
    </row>
    <row r="1002" spans="9:9">
      <c r="I1002" s="2">
        <f>IFERROR(H1002/G1002*100,0)</f>
        <v>0</v>
      </c>
    </row>
    <row r="1003" spans="9:9">
      <c r="I1003" s="2">
        <f>IFERROR(H1003/G1003*100,0)</f>
        <v>0</v>
      </c>
    </row>
  </sheetData>
  <mergeCells count="2">
    <mergeCell ref="A1:O1"/>
    <mergeCell ref="A2:O2"/>
  </mergeCells>
  <dataValidations count="1">
    <dataValidation type="list" allowBlank="1" showInputMessage="1" showErrorMessage="1" sqref="O4:O100003">
      <formula1>L_Status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>
    <tabColor rgb="FF64748B"/>
    <pageSetUpPr fitToPage="1"/>
  </sheetPr>
  <dimension ref="A1:M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0.7109375" style="1" customWidth="1"/>
    <col min="3" max="4" width="9.7109375" style="1" customWidth="1"/>
    <col min="5" max="5" width="16.7109375" style="1" customWidth="1"/>
    <col min="6" max="6" width="12.7109375" style="1" customWidth="1"/>
    <col min="7" max="7" width="15.7109375" style="1" customWidth="1"/>
    <col min="8" max="8" width="14.7109375" style="1" customWidth="1"/>
    <col min="9" max="9" width="15.7109375" style="1" customWidth="1"/>
    <col min="10" max="10" width="13.7109375" style="1" customWidth="1"/>
    <col min="11" max="11" width="9.7109375" style="1" customWidth="1"/>
  </cols>
  <sheetData>
    <row r="1" spans="1:13" ht="22" customHeight="1">
      <c r="A1" s="3" t="s">
        <v>944</v>
      </c>
      <c r="B1" s="3"/>
      <c r="C1" s="3"/>
      <c r="D1" s="3"/>
      <c r="E1" s="3"/>
      <c r="F1" s="3"/>
      <c r="G1" s="3"/>
      <c r="H1" s="3"/>
      <c r="I1" s="3"/>
      <c r="J1" s="3"/>
      <c r="K1" s="3"/>
      <c r="M1" s="4" t="s">
        <v>139</v>
      </c>
    </row>
    <row r="2" spans="1:1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3">
      <c r="A3" s="1" t="s">
        <v>124</v>
      </c>
      <c r="B3" s="1" t="s">
        <v>1006</v>
      </c>
      <c r="C3" s="1" t="s">
        <v>126</v>
      </c>
      <c r="D3" s="1" t="s">
        <v>127</v>
      </c>
      <c r="E3" s="1" t="s">
        <v>1007</v>
      </c>
      <c r="F3" s="1" t="s">
        <v>129</v>
      </c>
      <c r="G3" s="1" t="s">
        <v>1008</v>
      </c>
      <c r="H3" s="1" t="s">
        <v>359</v>
      </c>
      <c r="I3" s="1" t="s">
        <v>1009</v>
      </c>
      <c r="J3" s="1" t="s">
        <v>209</v>
      </c>
      <c r="K3" s="1" t="s">
        <v>288</v>
      </c>
    </row>
    <row r="4" spans="1:13">
      <c r="A4" s="1">
        <v>1</v>
      </c>
      <c r="B4" s="1" t="s">
        <v>945</v>
      </c>
      <c r="C4" s="5">
        <v>46050</v>
      </c>
      <c r="D4" s="1" t="s">
        <v>3</v>
      </c>
      <c r="E4" s="6" t="s">
        <v>946</v>
      </c>
      <c r="F4" s="6" t="s">
        <v>65</v>
      </c>
      <c r="G4" s="1" t="s">
        <v>62</v>
      </c>
      <c r="H4" s="1" t="s">
        <v>947</v>
      </c>
      <c r="I4" s="1" t="s">
        <v>948</v>
      </c>
      <c r="J4" s="1" t="s">
        <v>36</v>
      </c>
      <c r="K4" s="1" t="s">
        <v>949</v>
      </c>
    </row>
    <row r="5" spans="1:13">
      <c r="A5" s="1">
        <v>2</v>
      </c>
      <c r="B5" s="1" t="s">
        <v>950</v>
      </c>
      <c r="C5" s="5">
        <v>46041</v>
      </c>
      <c r="D5" s="1" t="s">
        <v>3</v>
      </c>
      <c r="E5" s="6" t="s">
        <v>946</v>
      </c>
      <c r="F5" s="6" t="s">
        <v>50</v>
      </c>
      <c r="G5" s="1" t="s">
        <v>28</v>
      </c>
      <c r="H5" s="1" t="s">
        <v>306</v>
      </c>
      <c r="I5" s="1" t="s">
        <v>951</v>
      </c>
      <c r="J5" s="1" t="s">
        <v>32</v>
      </c>
      <c r="K5" s="1" t="s">
        <v>952</v>
      </c>
    </row>
    <row r="6" spans="1:13">
      <c r="A6" s="1">
        <v>3</v>
      </c>
      <c r="B6" s="1" t="s">
        <v>953</v>
      </c>
      <c r="C6" s="5">
        <v>46034</v>
      </c>
      <c r="D6" s="1" t="s">
        <v>3</v>
      </c>
      <c r="E6" s="6" t="s">
        <v>954</v>
      </c>
      <c r="F6" s="6" t="s">
        <v>65</v>
      </c>
      <c r="G6" s="1" t="s">
        <v>32</v>
      </c>
      <c r="H6" s="1" t="s">
        <v>295</v>
      </c>
      <c r="I6" s="1" t="s">
        <v>948</v>
      </c>
      <c r="J6" s="1" t="s">
        <v>70</v>
      </c>
      <c r="K6" s="1" t="s">
        <v>222</v>
      </c>
    </row>
    <row r="7" spans="1:13">
      <c r="A7" s="1">
        <v>4</v>
      </c>
      <c r="B7" s="1" t="s">
        <v>955</v>
      </c>
      <c r="C7" s="5">
        <v>46027</v>
      </c>
      <c r="D7" s="1" t="s">
        <v>3</v>
      </c>
      <c r="E7" s="6" t="s">
        <v>956</v>
      </c>
      <c r="F7" s="6" t="s">
        <v>27</v>
      </c>
      <c r="G7" s="1" t="s">
        <v>93</v>
      </c>
      <c r="H7" s="1" t="s">
        <v>295</v>
      </c>
      <c r="I7" s="1" t="s">
        <v>957</v>
      </c>
      <c r="J7" s="1" t="s">
        <v>7</v>
      </c>
      <c r="K7" s="1" t="s">
        <v>222</v>
      </c>
    </row>
    <row r="8" spans="1:13">
      <c r="A8" s="1">
        <v>5</v>
      </c>
      <c r="B8" s="1" t="s">
        <v>958</v>
      </c>
      <c r="C8" s="5">
        <v>46044</v>
      </c>
      <c r="D8" s="1" t="s">
        <v>3</v>
      </c>
      <c r="E8" s="6" t="s">
        <v>954</v>
      </c>
      <c r="F8" s="6" t="s">
        <v>89</v>
      </c>
      <c r="G8" s="1" t="s">
        <v>62</v>
      </c>
      <c r="H8" s="1" t="s">
        <v>308</v>
      </c>
      <c r="I8" s="1" t="s">
        <v>951</v>
      </c>
      <c r="J8" s="1" t="s">
        <v>36</v>
      </c>
      <c r="K8" s="1" t="s">
        <v>222</v>
      </c>
    </row>
    <row r="9" spans="1:13">
      <c r="A9" s="1">
        <v>6</v>
      </c>
      <c r="B9" s="1" t="s">
        <v>959</v>
      </c>
      <c r="C9" s="5">
        <v>46047</v>
      </c>
      <c r="D9" s="1" t="s">
        <v>3</v>
      </c>
      <c r="E9" s="6" t="s">
        <v>954</v>
      </c>
      <c r="F9" s="6" t="s">
        <v>92</v>
      </c>
      <c r="G9" s="1" t="s">
        <v>104</v>
      </c>
      <c r="H9" s="1" t="s">
        <v>295</v>
      </c>
      <c r="I9" s="1" t="s">
        <v>960</v>
      </c>
      <c r="J9" s="1" t="s">
        <v>41</v>
      </c>
      <c r="K9" s="1" t="s">
        <v>949</v>
      </c>
    </row>
    <row r="10" spans="1:13">
      <c r="A10" s="1">
        <v>7</v>
      </c>
      <c r="B10" s="1" t="s">
        <v>961</v>
      </c>
      <c r="C10" s="5">
        <v>46028</v>
      </c>
      <c r="D10" s="1" t="s">
        <v>3</v>
      </c>
      <c r="E10" s="6" t="s">
        <v>962</v>
      </c>
      <c r="F10" s="6" t="s">
        <v>46</v>
      </c>
      <c r="G10" s="1" t="s">
        <v>78</v>
      </c>
      <c r="H10" s="1" t="s">
        <v>947</v>
      </c>
      <c r="I10" s="1" t="s">
        <v>948</v>
      </c>
      <c r="J10" s="1" t="s">
        <v>104</v>
      </c>
      <c r="K10" s="1" t="s">
        <v>222</v>
      </c>
    </row>
    <row r="11" spans="1:13">
      <c r="A11" s="1">
        <v>8</v>
      </c>
      <c r="B11" s="1" t="s">
        <v>963</v>
      </c>
      <c r="C11" s="5">
        <v>46060</v>
      </c>
      <c r="D11" s="1" t="s">
        <v>19</v>
      </c>
      <c r="E11" s="6" t="s">
        <v>954</v>
      </c>
      <c r="F11" s="6" t="s">
        <v>50</v>
      </c>
      <c r="G11" s="1" t="s">
        <v>62</v>
      </c>
      <c r="H11" s="1" t="s">
        <v>306</v>
      </c>
      <c r="I11" s="1" t="s">
        <v>948</v>
      </c>
      <c r="J11" s="1" t="s">
        <v>28</v>
      </c>
      <c r="K11" s="1" t="s">
        <v>222</v>
      </c>
    </row>
    <row r="12" spans="1:13">
      <c r="A12" s="1">
        <v>9</v>
      </c>
      <c r="B12" s="1" t="s">
        <v>964</v>
      </c>
      <c r="C12" s="5">
        <v>46066</v>
      </c>
      <c r="D12" s="1" t="s">
        <v>19</v>
      </c>
      <c r="E12" s="6" t="s">
        <v>965</v>
      </c>
      <c r="F12" s="6" t="s">
        <v>58</v>
      </c>
      <c r="G12" s="1" t="s">
        <v>93</v>
      </c>
      <c r="H12" s="1" t="s">
        <v>306</v>
      </c>
      <c r="I12" s="1" t="s">
        <v>957</v>
      </c>
      <c r="J12" s="1" t="s">
        <v>28</v>
      </c>
      <c r="K12" s="1" t="s">
        <v>949</v>
      </c>
    </row>
    <row r="13" spans="1:13">
      <c r="A13" s="1">
        <v>10</v>
      </c>
      <c r="B13" s="1" t="s">
        <v>966</v>
      </c>
      <c r="C13" s="5">
        <v>46102</v>
      </c>
      <c r="D13" s="1" t="s">
        <v>44</v>
      </c>
      <c r="E13" s="6" t="s">
        <v>962</v>
      </c>
      <c r="F13" s="6" t="s">
        <v>39</v>
      </c>
      <c r="G13" s="1" t="s">
        <v>15</v>
      </c>
      <c r="H13" s="1" t="s">
        <v>308</v>
      </c>
      <c r="I13" s="1" t="s">
        <v>948</v>
      </c>
      <c r="J13" s="1" t="s">
        <v>62</v>
      </c>
      <c r="K13" s="1" t="s">
        <v>222</v>
      </c>
    </row>
    <row r="14" spans="1:13">
      <c r="A14" s="1">
        <v>11</v>
      </c>
      <c r="B14" s="1" t="s">
        <v>967</v>
      </c>
      <c r="C14" s="5">
        <v>46100</v>
      </c>
      <c r="D14" s="1" t="s">
        <v>44</v>
      </c>
      <c r="E14" s="6" t="s">
        <v>956</v>
      </c>
      <c r="F14" s="6" t="s">
        <v>5</v>
      </c>
      <c r="G14" s="1" t="s">
        <v>32</v>
      </c>
      <c r="H14" s="1" t="s">
        <v>306</v>
      </c>
      <c r="I14" s="1" t="s">
        <v>948</v>
      </c>
      <c r="J14" s="1" t="s">
        <v>28</v>
      </c>
      <c r="K14" s="1" t="s">
        <v>949</v>
      </c>
    </row>
    <row r="15" spans="1:13">
      <c r="A15" s="1">
        <v>12</v>
      </c>
      <c r="B15" s="1" t="s">
        <v>968</v>
      </c>
      <c r="C15" s="5">
        <v>46093</v>
      </c>
      <c r="D15" s="1" t="s">
        <v>44</v>
      </c>
      <c r="E15" s="6" t="s">
        <v>962</v>
      </c>
      <c r="F15" s="6" t="s">
        <v>58</v>
      </c>
      <c r="G15" s="1" t="s">
        <v>68</v>
      </c>
      <c r="H15" s="1" t="s">
        <v>308</v>
      </c>
      <c r="I15" s="1" t="s">
        <v>948</v>
      </c>
      <c r="J15" s="1" t="s">
        <v>62</v>
      </c>
      <c r="K15" s="1" t="s">
        <v>949</v>
      </c>
    </row>
    <row r="16" spans="1:13">
      <c r="A16" s="1">
        <v>13</v>
      </c>
      <c r="B16" s="1" t="s">
        <v>969</v>
      </c>
      <c r="C16" s="5">
        <v>46094</v>
      </c>
      <c r="D16" s="1" t="s">
        <v>44</v>
      </c>
      <c r="E16" s="6" t="s">
        <v>965</v>
      </c>
      <c r="F16" s="6" t="s">
        <v>27</v>
      </c>
      <c r="G16" s="1" t="s">
        <v>68</v>
      </c>
      <c r="H16" s="1" t="s">
        <v>308</v>
      </c>
      <c r="I16" s="1" t="s">
        <v>948</v>
      </c>
      <c r="J16" s="1" t="s">
        <v>68</v>
      </c>
      <c r="K16" s="1" t="s">
        <v>222</v>
      </c>
    </row>
    <row r="17" spans="1:11">
      <c r="A17" s="1">
        <v>14</v>
      </c>
      <c r="B17" s="1" t="s">
        <v>970</v>
      </c>
      <c r="C17" s="5">
        <v>46130</v>
      </c>
      <c r="D17" s="1" t="s">
        <v>53</v>
      </c>
      <c r="E17" s="6" t="s">
        <v>962</v>
      </c>
      <c r="F17" s="6" t="s">
        <v>13</v>
      </c>
      <c r="G17" s="1" t="s">
        <v>78</v>
      </c>
      <c r="H17" s="1" t="s">
        <v>947</v>
      </c>
      <c r="I17" s="1" t="s">
        <v>960</v>
      </c>
      <c r="J17" s="1" t="s">
        <v>78</v>
      </c>
      <c r="K17" s="1" t="s">
        <v>222</v>
      </c>
    </row>
    <row r="18" spans="1:11">
      <c r="A18" s="1">
        <v>15</v>
      </c>
      <c r="B18" s="1" t="s">
        <v>971</v>
      </c>
      <c r="C18" s="5">
        <v>46140</v>
      </c>
      <c r="D18" s="1" t="s">
        <v>53</v>
      </c>
      <c r="E18" s="6" t="s">
        <v>954</v>
      </c>
      <c r="F18" s="6" t="s">
        <v>92</v>
      </c>
      <c r="G18" s="1" t="s">
        <v>22</v>
      </c>
      <c r="H18" s="1" t="s">
        <v>308</v>
      </c>
      <c r="I18" s="1" t="s">
        <v>957</v>
      </c>
      <c r="J18" s="1" t="s">
        <v>68</v>
      </c>
      <c r="K18" s="1" t="s">
        <v>222</v>
      </c>
    </row>
    <row r="19" spans="1:11">
      <c r="A19" s="1">
        <v>16</v>
      </c>
      <c r="B19" s="1" t="s">
        <v>972</v>
      </c>
      <c r="C19" s="5">
        <v>46124</v>
      </c>
      <c r="D19" s="1" t="s">
        <v>53</v>
      </c>
      <c r="E19" s="6" t="s">
        <v>946</v>
      </c>
      <c r="F19" s="6" t="s">
        <v>58</v>
      </c>
      <c r="G19" s="1" t="s">
        <v>70</v>
      </c>
      <c r="H19" s="1" t="s">
        <v>298</v>
      </c>
      <c r="I19" s="1" t="s">
        <v>948</v>
      </c>
      <c r="J19" s="1" t="s">
        <v>66</v>
      </c>
      <c r="K19" s="1" t="s">
        <v>949</v>
      </c>
    </row>
    <row r="20" spans="1:11">
      <c r="A20" s="1">
        <v>17</v>
      </c>
      <c r="B20" s="1" t="s">
        <v>973</v>
      </c>
      <c r="C20" s="5">
        <v>46158</v>
      </c>
      <c r="D20" s="1" t="s">
        <v>60</v>
      </c>
      <c r="E20" s="6" t="s">
        <v>946</v>
      </c>
      <c r="F20" s="6" t="s">
        <v>65</v>
      </c>
      <c r="G20" s="1" t="s">
        <v>36</v>
      </c>
      <c r="H20" s="1" t="s">
        <v>308</v>
      </c>
      <c r="I20" s="1" t="s">
        <v>948</v>
      </c>
      <c r="J20" s="1" t="s">
        <v>36</v>
      </c>
      <c r="K20" s="1" t="s">
        <v>222</v>
      </c>
    </row>
    <row r="21" spans="1:11">
      <c r="A21" s="1">
        <v>18</v>
      </c>
      <c r="B21" s="1" t="s">
        <v>974</v>
      </c>
      <c r="C21" s="5">
        <v>46183</v>
      </c>
      <c r="D21" s="1" t="s">
        <v>73</v>
      </c>
      <c r="E21" s="6" t="s">
        <v>965</v>
      </c>
      <c r="F21" s="6" t="s">
        <v>46</v>
      </c>
      <c r="G21" s="1" t="s">
        <v>70</v>
      </c>
      <c r="H21" s="1" t="s">
        <v>295</v>
      </c>
      <c r="I21" s="1" t="s">
        <v>948</v>
      </c>
      <c r="J21" s="1" t="s">
        <v>15</v>
      </c>
      <c r="K21" s="1" t="s">
        <v>222</v>
      </c>
    </row>
    <row r="22" spans="1:11">
      <c r="A22" s="1">
        <v>19</v>
      </c>
      <c r="B22" s="1" t="s">
        <v>975</v>
      </c>
      <c r="C22" s="5">
        <v>46189</v>
      </c>
      <c r="D22" s="1" t="s">
        <v>73</v>
      </c>
      <c r="E22" s="6" t="s">
        <v>962</v>
      </c>
      <c r="F22" s="6" t="s">
        <v>50</v>
      </c>
      <c r="G22" s="1" t="s">
        <v>93</v>
      </c>
      <c r="H22" s="1" t="s">
        <v>298</v>
      </c>
      <c r="I22" s="1" t="s">
        <v>951</v>
      </c>
      <c r="J22" s="1" t="s">
        <v>15</v>
      </c>
      <c r="K22" s="1" t="s">
        <v>949</v>
      </c>
    </row>
    <row r="23" spans="1:11">
      <c r="A23" s="1">
        <v>20</v>
      </c>
      <c r="B23" s="1" t="s">
        <v>976</v>
      </c>
      <c r="C23" s="5">
        <v>46192</v>
      </c>
      <c r="D23" s="1" t="s">
        <v>73</v>
      </c>
      <c r="E23" s="6" t="s">
        <v>946</v>
      </c>
      <c r="F23" s="6" t="s">
        <v>39</v>
      </c>
      <c r="G23" s="1" t="s">
        <v>22</v>
      </c>
      <c r="H23" s="1" t="s">
        <v>306</v>
      </c>
      <c r="I23" s="1" t="s">
        <v>957</v>
      </c>
      <c r="J23" s="1" t="s">
        <v>7</v>
      </c>
      <c r="K23" s="1" t="s">
        <v>949</v>
      </c>
    </row>
    <row r="24" spans="1:11">
      <c r="A24" s="1">
        <v>21</v>
      </c>
      <c r="B24" s="1" t="s">
        <v>977</v>
      </c>
      <c r="C24" s="5">
        <v>46189</v>
      </c>
      <c r="D24" s="1" t="s">
        <v>73</v>
      </c>
      <c r="E24" s="6" t="s">
        <v>954</v>
      </c>
      <c r="F24" s="6" t="s">
        <v>27</v>
      </c>
      <c r="G24" s="1" t="s">
        <v>62</v>
      </c>
      <c r="H24" s="1" t="s">
        <v>306</v>
      </c>
      <c r="I24" s="1" t="s">
        <v>960</v>
      </c>
      <c r="J24" s="1" t="s">
        <v>22</v>
      </c>
      <c r="K24" s="1" t="s">
        <v>222</v>
      </c>
    </row>
    <row r="25" spans="1:11">
      <c r="A25" s="1">
        <v>22</v>
      </c>
      <c r="B25" s="1" t="s">
        <v>978</v>
      </c>
      <c r="C25" s="5">
        <v>46176</v>
      </c>
      <c r="D25" s="1" t="s">
        <v>73</v>
      </c>
      <c r="E25" s="6" t="s">
        <v>965</v>
      </c>
      <c r="F25" s="6" t="s">
        <v>65</v>
      </c>
      <c r="G25" s="1" t="s">
        <v>93</v>
      </c>
      <c r="H25" s="1" t="s">
        <v>295</v>
      </c>
      <c r="I25" s="1" t="s">
        <v>948</v>
      </c>
      <c r="J25" s="1" t="s">
        <v>68</v>
      </c>
      <c r="K25" s="1" t="s">
        <v>222</v>
      </c>
    </row>
    <row r="26" spans="1:11">
      <c r="A26" s="1">
        <v>23</v>
      </c>
      <c r="B26" s="1" t="s">
        <v>979</v>
      </c>
      <c r="C26" s="5">
        <v>46193</v>
      </c>
      <c r="D26" s="1" t="s">
        <v>73</v>
      </c>
      <c r="E26" s="6" t="s">
        <v>954</v>
      </c>
      <c r="F26" s="6" t="s">
        <v>13</v>
      </c>
      <c r="G26" s="1" t="s">
        <v>62</v>
      </c>
      <c r="H26" s="1" t="s">
        <v>947</v>
      </c>
      <c r="I26" s="1" t="s">
        <v>948</v>
      </c>
      <c r="J26" s="1" t="s">
        <v>78</v>
      </c>
      <c r="K26" s="1" t="s">
        <v>222</v>
      </c>
    </row>
    <row r="27" spans="1:11">
      <c r="A27" s="1">
        <v>24</v>
      </c>
      <c r="B27" s="1" t="s">
        <v>980</v>
      </c>
      <c r="C27" s="5">
        <v>46218</v>
      </c>
      <c r="D27" s="1" t="s">
        <v>76</v>
      </c>
      <c r="E27" s="6" t="s">
        <v>954</v>
      </c>
      <c r="F27" s="6" t="s">
        <v>92</v>
      </c>
      <c r="G27" s="1" t="s">
        <v>15</v>
      </c>
      <c r="H27" s="1" t="s">
        <v>298</v>
      </c>
      <c r="I27" s="1" t="s">
        <v>948</v>
      </c>
      <c r="J27" s="1" t="s">
        <v>62</v>
      </c>
      <c r="K27" s="1" t="s">
        <v>949</v>
      </c>
    </row>
    <row r="28" spans="1:11">
      <c r="A28" s="1">
        <v>25</v>
      </c>
      <c r="B28" s="1" t="s">
        <v>981</v>
      </c>
      <c r="C28" s="5">
        <v>46228</v>
      </c>
      <c r="D28" s="1" t="s">
        <v>76</v>
      </c>
      <c r="E28" s="6" t="s">
        <v>956</v>
      </c>
      <c r="F28" s="6" t="s">
        <v>58</v>
      </c>
      <c r="G28" s="1" t="s">
        <v>68</v>
      </c>
      <c r="H28" s="1" t="s">
        <v>947</v>
      </c>
      <c r="I28" s="1" t="s">
        <v>957</v>
      </c>
      <c r="J28" s="1" t="s">
        <v>78</v>
      </c>
      <c r="K28" s="1" t="s">
        <v>222</v>
      </c>
    </row>
    <row r="29" spans="1:11">
      <c r="A29" s="1">
        <v>26</v>
      </c>
      <c r="B29" s="1" t="s">
        <v>982</v>
      </c>
      <c r="C29" s="5">
        <v>46220</v>
      </c>
      <c r="D29" s="1" t="s">
        <v>76</v>
      </c>
      <c r="E29" s="6" t="s">
        <v>954</v>
      </c>
      <c r="F29" s="6" t="s">
        <v>13</v>
      </c>
      <c r="G29" s="1" t="s">
        <v>70</v>
      </c>
      <c r="H29" s="1" t="s">
        <v>295</v>
      </c>
      <c r="I29" s="1" t="s">
        <v>960</v>
      </c>
      <c r="J29" s="1" t="s">
        <v>22</v>
      </c>
      <c r="K29" s="1" t="s">
        <v>222</v>
      </c>
    </row>
    <row r="30" spans="1:11">
      <c r="A30" s="1">
        <v>27</v>
      </c>
      <c r="B30" s="1" t="s">
        <v>983</v>
      </c>
      <c r="C30" s="5">
        <v>46220</v>
      </c>
      <c r="D30" s="1" t="s">
        <v>76</v>
      </c>
      <c r="E30" s="6" t="s">
        <v>954</v>
      </c>
      <c r="F30" s="6" t="s">
        <v>13</v>
      </c>
      <c r="G30" s="1" t="s">
        <v>66</v>
      </c>
      <c r="H30" s="1" t="s">
        <v>295</v>
      </c>
      <c r="I30" s="1" t="s">
        <v>948</v>
      </c>
      <c r="J30" s="1" t="s">
        <v>32</v>
      </c>
      <c r="K30" s="1" t="s">
        <v>222</v>
      </c>
    </row>
    <row r="31" spans="1:11">
      <c r="A31" s="1">
        <v>28</v>
      </c>
      <c r="B31" s="1" t="s">
        <v>984</v>
      </c>
      <c r="C31" s="5">
        <v>46229</v>
      </c>
      <c r="D31" s="1" t="s">
        <v>76</v>
      </c>
      <c r="E31" s="6" t="s">
        <v>965</v>
      </c>
      <c r="F31" s="6" t="s">
        <v>39</v>
      </c>
      <c r="G31" s="1" t="s">
        <v>68</v>
      </c>
      <c r="H31" s="1" t="s">
        <v>308</v>
      </c>
      <c r="I31" s="1" t="s">
        <v>957</v>
      </c>
      <c r="J31" s="1" t="s">
        <v>78</v>
      </c>
      <c r="K31" s="1" t="s">
        <v>949</v>
      </c>
    </row>
    <row r="32" spans="1:11">
      <c r="A32" s="1">
        <v>29</v>
      </c>
      <c r="B32" s="1" t="s">
        <v>985</v>
      </c>
      <c r="C32" s="5">
        <v>46262</v>
      </c>
      <c r="D32" s="1" t="s">
        <v>86</v>
      </c>
      <c r="E32" s="6" t="s">
        <v>956</v>
      </c>
      <c r="F32" s="6" t="s">
        <v>39</v>
      </c>
      <c r="G32" s="1" t="s">
        <v>36</v>
      </c>
      <c r="H32" s="1" t="s">
        <v>947</v>
      </c>
      <c r="I32" s="1" t="s">
        <v>948</v>
      </c>
      <c r="J32" s="1" t="s">
        <v>70</v>
      </c>
      <c r="K32" s="1" t="s">
        <v>222</v>
      </c>
    </row>
    <row r="33" spans="1:11">
      <c r="A33" s="1">
        <v>30</v>
      </c>
      <c r="B33" s="1" t="s">
        <v>986</v>
      </c>
      <c r="C33" s="5">
        <v>46261</v>
      </c>
      <c r="D33" s="1" t="s">
        <v>86</v>
      </c>
      <c r="E33" s="6" t="s">
        <v>956</v>
      </c>
      <c r="F33" s="6" t="s">
        <v>13</v>
      </c>
      <c r="G33" s="1" t="s">
        <v>15</v>
      </c>
      <c r="H33" s="1" t="s">
        <v>306</v>
      </c>
      <c r="I33" s="1" t="s">
        <v>948</v>
      </c>
      <c r="J33" s="1" t="s">
        <v>41</v>
      </c>
      <c r="K33" s="1" t="s">
        <v>952</v>
      </c>
    </row>
    <row r="34" spans="1:11">
      <c r="A34" s="1">
        <v>31</v>
      </c>
      <c r="B34" s="1" t="s">
        <v>987</v>
      </c>
      <c r="C34" s="5">
        <v>46245</v>
      </c>
      <c r="D34" s="1" t="s">
        <v>86</v>
      </c>
      <c r="E34" s="6" t="s">
        <v>956</v>
      </c>
      <c r="F34" s="6" t="s">
        <v>89</v>
      </c>
      <c r="G34" s="1" t="s">
        <v>70</v>
      </c>
      <c r="H34" s="1" t="s">
        <v>308</v>
      </c>
      <c r="I34" s="1" t="s">
        <v>960</v>
      </c>
      <c r="J34" s="1" t="s">
        <v>15</v>
      </c>
      <c r="K34" s="1" t="s">
        <v>222</v>
      </c>
    </row>
    <row r="35" spans="1:11">
      <c r="A35" s="1">
        <v>32</v>
      </c>
      <c r="B35" s="1" t="s">
        <v>988</v>
      </c>
      <c r="C35" s="5">
        <v>46254</v>
      </c>
      <c r="D35" s="1" t="s">
        <v>86</v>
      </c>
      <c r="E35" s="6" t="s">
        <v>965</v>
      </c>
      <c r="F35" s="6" t="s">
        <v>27</v>
      </c>
      <c r="G35" s="1" t="s">
        <v>7</v>
      </c>
      <c r="H35" s="1" t="s">
        <v>306</v>
      </c>
      <c r="I35" s="1" t="s">
        <v>948</v>
      </c>
      <c r="J35" s="1" t="s">
        <v>28</v>
      </c>
      <c r="K35" s="1" t="s">
        <v>222</v>
      </c>
    </row>
    <row r="36" spans="1:11">
      <c r="A36" s="1">
        <v>33</v>
      </c>
      <c r="B36" s="1" t="s">
        <v>989</v>
      </c>
      <c r="C36" s="5">
        <v>46246</v>
      </c>
      <c r="D36" s="1" t="s">
        <v>86</v>
      </c>
      <c r="E36" s="6" t="s">
        <v>946</v>
      </c>
      <c r="F36" s="6" t="s">
        <v>89</v>
      </c>
      <c r="G36" s="1" t="s">
        <v>68</v>
      </c>
      <c r="H36" s="1" t="s">
        <v>295</v>
      </c>
      <c r="I36" s="1" t="s">
        <v>957</v>
      </c>
      <c r="J36" s="1" t="s">
        <v>104</v>
      </c>
      <c r="K36" s="1" t="s">
        <v>949</v>
      </c>
    </row>
    <row r="37" spans="1:11">
      <c r="A37" s="1">
        <v>34</v>
      </c>
      <c r="B37" s="1" t="s">
        <v>990</v>
      </c>
      <c r="C37" s="5">
        <v>46292</v>
      </c>
      <c r="D37" s="1" t="s">
        <v>102</v>
      </c>
      <c r="E37" s="6" t="s">
        <v>991</v>
      </c>
      <c r="F37" s="6" t="s">
        <v>58</v>
      </c>
      <c r="G37" s="1" t="s">
        <v>36</v>
      </c>
      <c r="H37" s="1" t="s">
        <v>308</v>
      </c>
      <c r="I37" s="1" t="s">
        <v>957</v>
      </c>
      <c r="J37" s="1" t="s">
        <v>7</v>
      </c>
      <c r="K37" s="1" t="s">
        <v>952</v>
      </c>
    </row>
    <row r="38" spans="1:11">
      <c r="A38" s="1">
        <v>35</v>
      </c>
      <c r="B38" s="1" t="s">
        <v>992</v>
      </c>
      <c r="C38" s="5">
        <v>46286</v>
      </c>
      <c r="D38" s="1" t="s">
        <v>102</v>
      </c>
      <c r="E38" s="6" t="s">
        <v>962</v>
      </c>
      <c r="F38" s="6" t="s">
        <v>27</v>
      </c>
      <c r="G38" s="1" t="s">
        <v>41</v>
      </c>
      <c r="H38" s="1" t="s">
        <v>306</v>
      </c>
      <c r="I38" s="1" t="s">
        <v>948</v>
      </c>
      <c r="J38" s="1" t="s">
        <v>28</v>
      </c>
      <c r="K38" s="1" t="s">
        <v>949</v>
      </c>
    </row>
    <row r="39" spans="1:11">
      <c r="A39" s="1">
        <v>36</v>
      </c>
      <c r="B39" s="1" t="s">
        <v>993</v>
      </c>
      <c r="C39" s="5">
        <v>46277</v>
      </c>
      <c r="D39" s="1" t="s">
        <v>102</v>
      </c>
      <c r="E39" s="6" t="s">
        <v>991</v>
      </c>
      <c r="F39" s="6" t="s">
        <v>65</v>
      </c>
      <c r="G39" s="1" t="s">
        <v>62</v>
      </c>
      <c r="H39" s="1" t="s">
        <v>295</v>
      </c>
      <c r="I39" s="1" t="s">
        <v>960</v>
      </c>
      <c r="J39" s="1" t="s">
        <v>78</v>
      </c>
      <c r="K39" s="1" t="s">
        <v>222</v>
      </c>
    </row>
    <row r="40" spans="1:11">
      <c r="A40" s="1">
        <v>37</v>
      </c>
      <c r="B40" s="1" t="s">
        <v>994</v>
      </c>
      <c r="C40" s="5">
        <v>46279</v>
      </c>
      <c r="D40" s="1" t="s">
        <v>102</v>
      </c>
      <c r="E40" s="6" t="s">
        <v>962</v>
      </c>
      <c r="F40" s="6" t="s">
        <v>58</v>
      </c>
      <c r="G40" s="1" t="s">
        <v>62</v>
      </c>
      <c r="H40" s="1" t="s">
        <v>295</v>
      </c>
      <c r="I40" s="1" t="s">
        <v>960</v>
      </c>
      <c r="J40" s="1" t="s">
        <v>22</v>
      </c>
      <c r="K40" s="1" t="s">
        <v>222</v>
      </c>
    </row>
    <row r="41" spans="1:11">
      <c r="A41" s="1">
        <v>38</v>
      </c>
      <c r="B41" s="1" t="s">
        <v>995</v>
      </c>
      <c r="C41" s="5">
        <v>46267</v>
      </c>
      <c r="D41" s="1" t="s">
        <v>102</v>
      </c>
      <c r="E41" s="6" t="s">
        <v>946</v>
      </c>
      <c r="F41" s="6" t="s">
        <v>92</v>
      </c>
      <c r="G41" s="1" t="s">
        <v>62</v>
      </c>
      <c r="H41" s="1" t="s">
        <v>308</v>
      </c>
      <c r="I41" s="1" t="s">
        <v>948</v>
      </c>
      <c r="J41" s="1" t="s">
        <v>22</v>
      </c>
      <c r="K41" s="1" t="s">
        <v>952</v>
      </c>
    </row>
    <row r="42" spans="1:11">
      <c r="A42" s="1">
        <v>39</v>
      </c>
      <c r="B42" s="1" t="s">
        <v>996</v>
      </c>
      <c r="C42" s="5">
        <v>46288</v>
      </c>
      <c r="D42" s="1" t="s">
        <v>102</v>
      </c>
      <c r="E42" s="6" t="s">
        <v>991</v>
      </c>
      <c r="F42" s="6" t="s">
        <v>92</v>
      </c>
      <c r="G42" s="1" t="s">
        <v>7</v>
      </c>
      <c r="H42" s="1" t="s">
        <v>306</v>
      </c>
      <c r="I42" s="1" t="s">
        <v>951</v>
      </c>
      <c r="J42" s="1" t="s">
        <v>78</v>
      </c>
      <c r="K42" s="1" t="s">
        <v>222</v>
      </c>
    </row>
    <row r="43" spans="1:11">
      <c r="A43" s="1">
        <v>40</v>
      </c>
      <c r="B43" s="1" t="s">
        <v>997</v>
      </c>
      <c r="C43" s="5">
        <v>46293</v>
      </c>
      <c r="D43" s="1" t="s">
        <v>102</v>
      </c>
      <c r="E43" s="6" t="s">
        <v>991</v>
      </c>
      <c r="F43" s="6" t="s">
        <v>65</v>
      </c>
      <c r="G43" s="1" t="s">
        <v>70</v>
      </c>
      <c r="H43" s="1" t="s">
        <v>947</v>
      </c>
      <c r="I43" s="1" t="s">
        <v>948</v>
      </c>
      <c r="J43" s="1" t="s">
        <v>36</v>
      </c>
      <c r="K43" s="1" t="s">
        <v>949</v>
      </c>
    </row>
    <row r="44" spans="1:11">
      <c r="A44" s="1">
        <v>41</v>
      </c>
      <c r="B44" s="1" t="s">
        <v>998</v>
      </c>
      <c r="C44" s="5">
        <v>46317</v>
      </c>
      <c r="D44" s="1" t="s">
        <v>106</v>
      </c>
      <c r="E44" s="6" t="s">
        <v>962</v>
      </c>
      <c r="F44" s="6" t="s">
        <v>89</v>
      </c>
      <c r="G44" s="1" t="s">
        <v>28</v>
      </c>
      <c r="H44" s="1" t="s">
        <v>308</v>
      </c>
      <c r="I44" s="1" t="s">
        <v>960</v>
      </c>
      <c r="J44" s="1" t="s">
        <v>15</v>
      </c>
      <c r="K44" s="1" t="s">
        <v>222</v>
      </c>
    </row>
    <row r="45" spans="1:11">
      <c r="A45" s="1">
        <v>42</v>
      </c>
      <c r="B45" s="1" t="s">
        <v>999</v>
      </c>
      <c r="C45" s="5">
        <v>46296</v>
      </c>
      <c r="D45" s="1" t="s">
        <v>106</v>
      </c>
      <c r="E45" s="6" t="s">
        <v>991</v>
      </c>
      <c r="F45" s="6" t="s">
        <v>50</v>
      </c>
      <c r="G45" s="1" t="s">
        <v>78</v>
      </c>
      <c r="H45" s="1" t="s">
        <v>295</v>
      </c>
      <c r="I45" s="1" t="s">
        <v>957</v>
      </c>
      <c r="J45" s="1" t="s">
        <v>36</v>
      </c>
      <c r="K45" s="1" t="s">
        <v>952</v>
      </c>
    </row>
    <row r="46" spans="1:11">
      <c r="A46" s="1">
        <v>43</v>
      </c>
      <c r="B46" s="1" t="s">
        <v>1000</v>
      </c>
      <c r="C46" s="5">
        <v>46347</v>
      </c>
      <c r="D46" s="1" t="s">
        <v>111</v>
      </c>
      <c r="E46" s="6" t="s">
        <v>991</v>
      </c>
      <c r="F46" s="6" t="s">
        <v>89</v>
      </c>
      <c r="G46" s="1" t="s">
        <v>36</v>
      </c>
      <c r="H46" s="1" t="s">
        <v>308</v>
      </c>
      <c r="I46" s="1" t="s">
        <v>948</v>
      </c>
      <c r="J46" s="1" t="s">
        <v>93</v>
      </c>
      <c r="K46" s="1" t="s">
        <v>222</v>
      </c>
    </row>
    <row r="47" spans="1:11">
      <c r="A47" s="1">
        <v>44</v>
      </c>
      <c r="B47" s="1" t="s">
        <v>1001</v>
      </c>
      <c r="C47" s="5">
        <v>46353</v>
      </c>
      <c r="D47" s="1" t="s">
        <v>111</v>
      </c>
      <c r="E47" s="6" t="s">
        <v>965</v>
      </c>
      <c r="F47" s="6" t="s">
        <v>46</v>
      </c>
      <c r="G47" s="1" t="s">
        <v>66</v>
      </c>
      <c r="H47" s="1" t="s">
        <v>308</v>
      </c>
      <c r="I47" s="1" t="s">
        <v>948</v>
      </c>
      <c r="J47" s="1" t="s">
        <v>32</v>
      </c>
      <c r="K47" s="1" t="s">
        <v>949</v>
      </c>
    </row>
    <row r="48" spans="1:11">
      <c r="A48" s="1">
        <v>45</v>
      </c>
      <c r="B48" s="1" t="s">
        <v>1002</v>
      </c>
      <c r="C48" s="5">
        <v>46343</v>
      </c>
      <c r="D48" s="1" t="s">
        <v>111</v>
      </c>
      <c r="E48" s="6" t="s">
        <v>965</v>
      </c>
      <c r="F48" s="6" t="s">
        <v>50</v>
      </c>
      <c r="G48" s="1" t="s">
        <v>70</v>
      </c>
      <c r="H48" s="1" t="s">
        <v>298</v>
      </c>
      <c r="I48" s="1" t="s">
        <v>960</v>
      </c>
      <c r="J48" s="1" t="s">
        <v>41</v>
      </c>
      <c r="K48" s="1" t="s">
        <v>949</v>
      </c>
    </row>
    <row r="49" spans="1:11">
      <c r="A49" s="1">
        <v>46</v>
      </c>
      <c r="B49" s="1" t="s">
        <v>1003</v>
      </c>
      <c r="C49" s="5">
        <v>46327</v>
      </c>
      <c r="D49" s="1" t="s">
        <v>111</v>
      </c>
      <c r="E49" s="6" t="s">
        <v>946</v>
      </c>
      <c r="F49" s="6" t="s">
        <v>89</v>
      </c>
      <c r="G49" s="1" t="s">
        <v>62</v>
      </c>
      <c r="H49" s="1" t="s">
        <v>308</v>
      </c>
      <c r="I49" s="1" t="s">
        <v>948</v>
      </c>
      <c r="J49" s="1" t="s">
        <v>22</v>
      </c>
      <c r="K49" s="1" t="s">
        <v>949</v>
      </c>
    </row>
    <row r="50" spans="1:11">
      <c r="A50" s="1">
        <v>47</v>
      </c>
      <c r="B50" s="1" t="s">
        <v>1004</v>
      </c>
      <c r="C50" s="5">
        <v>46344</v>
      </c>
      <c r="D50" s="1" t="s">
        <v>111</v>
      </c>
      <c r="E50" s="6" t="s">
        <v>965</v>
      </c>
      <c r="F50" s="6" t="s">
        <v>58</v>
      </c>
      <c r="G50" s="1" t="s">
        <v>62</v>
      </c>
      <c r="H50" s="1" t="s">
        <v>295</v>
      </c>
      <c r="I50" s="1" t="s">
        <v>948</v>
      </c>
      <c r="J50" s="1" t="s">
        <v>104</v>
      </c>
      <c r="K50" s="1" t="s">
        <v>222</v>
      </c>
    </row>
    <row r="51" spans="1:11">
      <c r="A51" s="1">
        <v>48</v>
      </c>
      <c r="B51" s="1" t="s">
        <v>1005</v>
      </c>
      <c r="C51" s="5">
        <v>46372</v>
      </c>
      <c r="D51" s="1" t="s">
        <v>122</v>
      </c>
      <c r="E51" s="6" t="s">
        <v>956</v>
      </c>
      <c r="F51" s="6" t="s">
        <v>5</v>
      </c>
      <c r="G51" s="1" t="s">
        <v>22</v>
      </c>
      <c r="H51" s="1" t="s">
        <v>947</v>
      </c>
      <c r="I51" s="1" t="s">
        <v>948</v>
      </c>
      <c r="J51" s="1" t="s">
        <v>78</v>
      </c>
      <c r="K51" s="1" t="s">
        <v>222</v>
      </c>
    </row>
  </sheetData>
  <mergeCells count="2">
    <mergeCell ref="A1:K1"/>
    <mergeCell ref="A2:K2"/>
  </mergeCells>
  <dataValidations count="2">
    <dataValidation type="list" allowBlank="1" showInputMessage="1" showErrorMessage="1" sqref="F4:F100003">
      <formula1>L_Dept</formula1>
    </dataValidation>
    <dataValidation type="list" allowBlank="1" showInputMessage="1" showErrorMessage="1" sqref="K4:K100003">
      <formula1>L_Status</formula1>
    </dataValidation>
  </dataValidations>
  <hyperlinks>
    <hyperlink ref="M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>
    <tabColor rgb="FF64748B"/>
    <pageSetUpPr fitToPage="1"/>
  </sheetPr>
  <dimension ref="A1:L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0.7109375" style="1" customWidth="1"/>
    <col min="3" max="4" width="9.7109375" style="1" customWidth="1"/>
    <col min="5" max="5" width="16.7109375" style="1" customWidth="1"/>
    <col min="6" max="6" width="12.7109375" style="1" customWidth="1"/>
    <col min="7" max="7" width="11.7109375" style="1" customWidth="1"/>
    <col min="8" max="8" width="13.7109375" style="1" customWidth="1"/>
    <col min="9" max="9" width="14.7109375" style="1" customWidth="1"/>
    <col min="10" max="10" width="9.7109375" style="1" customWidth="1"/>
  </cols>
  <sheetData>
    <row r="1" spans="1:12" ht="22" customHeight="1">
      <c r="A1" s="3" t="s">
        <v>1010</v>
      </c>
      <c r="B1" s="3"/>
      <c r="C1" s="3"/>
      <c r="D1" s="3"/>
      <c r="E1" s="3"/>
      <c r="F1" s="3"/>
      <c r="G1" s="3"/>
      <c r="H1" s="3"/>
      <c r="I1" s="3"/>
      <c r="J1" s="3"/>
      <c r="L1" s="4" t="s">
        <v>139</v>
      </c>
    </row>
    <row r="2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2">
      <c r="A3" s="1" t="s">
        <v>124</v>
      </c>
      <c r="B3" s="1" t="s">
        <v>1072</v>
      </c>
      <c r="C3" s="1" t="s">
        <v>126</v>
      </c>
      <c r="D3" s="1" t="s">
        <v>127</v>
      </c>
      <c r="E3" s="1" t="s">
        <v>1073</v>
      </c>
      <c r="F3" s="1" t="s">
        <v>129</v>
      </c>
      <c r="G3" s="1" t="s">
        <v>1074</v>
      </c>
      <c r="H3" s="1" t="s">
        <v>1075</v>
      </c>
      <c r="I3" s="1" t="s">
        <v>1076</v>
      </c>
      <c r="J3" s="1" t="s">
        <v>288</v>
      </c>
    </row>
    <row r="4" spans="1:12">
      <c r="A4" s="1">
        <v>1</v>
      </c>
      <c r="B4" s="1" t="s">
        <v>1011</v>
      </c>
      <c r="C4" s="5">
        <v>46026</v>
      </c>
      <c r="D4" s="1" t="s">
        <v>3</v>
      </c>
      <c r="E4" s="6" t="s">
        <v>1012</v>
      </c>
      <c r="F4" s="6" t="s">
        <v>92</v>
      </c>
      <c r="G4" s="1" t="s">
        <v>22</v>
      </c>
      <c r="H4" s="1" t="s">
        <v>1013</v>
      </c>
      <c r="I4" s="1" t="s">
        <v>66</v>
      </c>
      <c r="J4" s="1" t="s">
        <v>1014</v>
      </c>
    </row>
    <row r="5" spans="1:12">
      <c r="A5" s="1">
        <v>2</v>
      </c>
      <c r="B5" s="1" t="s">
        <v>1015</v>
      </c>
      <c r="C5" s="5">
        <v>46038</v>
      </c>
      <c r="D5" s="1" t="s">
        <v>3</v>
      </c>
      <c r="E5" s="6" t="s">
        <v>1012</v>
      </c>
      <c r="F5" s="6" t="s">
        <v>50</v>
      </c>
      <c r="G5" s="1" t="s">
        <v>41</v>
      </c>
      <c r="H5" s="1" t="s">
        <v>1016</v>
      </c>
      <c r="I5" s="1" t="s">
        <v>78</v>
      </c>
      <c r="J5" s="1" t="s">
        <v>236</v>
      </c>
    </row>
    <row r="6" spans="1:12">
      <c r="A6" s="1">
        <v>3</v>
      </c>
      <c r="B6" s="1" t="s">
        <v>1017</v>
      </c>
      <c r="C6" s="5">
        <v>46057</v>
      </c>
      <c r="D6" s="1" t="s">
        <v>19</v>
      </c>
      <c r="E6" s="6" t="s">
        <v>1018</v>
      </c>
      <c r="F6" s="6" t="s">
        <v>39</v>
      </c>
      <c r="G6" s="1" t="s">
        <v>66</v>
      </c>
      <c r="H6" s="1" t="s">
        <v>1019</v>
      </c>
      <c r="I6" s="1" t="s">
        <v>15</v>
      </c>
      <c r="J6" s="1" t="s">
        <v>236</v>
      </c>
    </row>
    <row r="7" spans="1:12">
      <c r="A7" s="1">
        <v>4</v>
      </c>
      <c r="B7" s="1" t="s">
        <v>1020</v>
      </c>
      <c r="C7" s="5">
        <v>46066</v>
      </c>
      <c r="D7" s="1" t="s">
        <v>19</v>
      </c>
      <c r="E7" s="6" t="s">
        <v>1021</v>
      </c>
      <c r="F7" s="6" t="s">
        <v>58</v>
      </c>
      <c r="G7" s="1" t="s">
        <v>15</v>
      </c>
      <c r="H7" s="1" t="s">
        <v>1013</v>
      </c>
      <c r="I7" s="1" t="s">
        <v>22</v>
      </c>
      <c r="J7" s="1" t="s">
        <v>236</v>
      </c>
    </row>
    <row r="8" spans="1:12">
      <c r="A8" s="1">
        <v>5</v>
      </c>
      <c r="B8" s="1" t="s">
        <v>1022</v>
      </c>
      <c r="C8" s="5">
        <v>46055</v>
      </c>
      <c r="D8" s="1" t="s">
        <v>19</v>
      </c>
      <c r="E8" s="6" t="s">
        <v>1023</v>
      </c>
      <c r="F8" s="6" t="s">
        <v>58</v>
      </c>
      <c r="G8" s="1" t="s">
        <v>93</v>
      </c>
      <c r="H8" s="1" t="s">
        <v>1024</v>
      </c>
      <c r="I8" s="1" t="s">
        <v>22</v>
      </c>
      <c r="J8" s="1" t="s">
        <v>1014</v>
      </c>
    </row>
    <row r="9" spans="1:12">
      <c r="A9" s="1">
        <v>6</v>
      </c>
      <c r="B9" s="1" t="s">
        <v>1025</v>
      </c>
      <c r="C9" s="5">
        <v>46073</v>
      </c>
      <c r="D9" s="1" t="s">
        <v>19</v>
      </c>
      <c r="E9" s="6" t="s">
        <v>1018</v>
      </c>
      <c r="F9" s="6" t="s">
        <v>89</v>
      </c>
      <c r="G9" s="1" t="s">
        <v>68</v>
      </c>
      <c r="H9" s="1" t="s">
        <v>1013</v>
      </c>
      <c r="I9" s="1" t="s">
        <v>70</v>
      </c>
      <c r="J9" s="1" t="s">
        <v>236</v>
      </c>
    </row>
    <row r="10" spans="1:12">
      <c r="A10" s="1">
        <v>7</v>
      </c>
      <c r="B10" s="1" t="s">
        <v>1026</v>
      </c>
      <c r="C10" s="5">
        <v>46070</v>
      </c>
      <c r="D10" s="1" t="s">
        <v>19</v>
      </c>
      <c r="E10" s="6" t="s">
        <v>1021</v>
      </c>
      <c r="F10" s="6" t="s">
        <v>89</v>
      </c>
      <c r="G10" s="1" t="s">
        <v>66</v>
      </c>
      <c r="H10" s="1" t="s">
        <v>1019</v>
      </c>
      <c r="I10" s="1" t="s">
        <v>28</v>
      </c>
      <c r="J10" s="1" t="s">
        <v>1014</v>
      </c>
    </row>
    <row r="11" spans="1:12">
      <c r="A11" s="1">
        <v>8</v>
      </c>
      <c r="B11" s="1" t="s">
        <v>1027</v>
      </c>
      <c r="C11" s="5">
        <v>46094</v>
      </c>
      <c r="D11" s="1" t="s">
        <v>44</v>
      </c>
      <c r="E11" s="6" t="s">
        <v>1028</v>
      </c>
      <c r="F11" s="6" t="s">
        <v>27</v>
      </c>
      <c r="G11" s="1" t="s">
        <v>7</v>
      </c>
      <c r="H11" s="1" t="s">
        <v>1019</v>
      </c>
      <c r="I11" s="1" t="s">
        <v>28</v>
      </c>
      <c r="J11" s="1" t="s">
        <v>1014</v>
      </c>
    </row>
    <row r="12" spans="1:12">
      <c r="A12" s="1">
        <v>9</v>
      </c>
      <c r="B12" s="1" t="s">
        <v>1029</v>
      </c>
      <c r="C12" s="5">
        <v>46106</v>
      </c>
      <c r="D12" s="1" t="s">
        <v>44</v>
      </c>
      <c r="E12" s="6" t="s">
        <v>1030</v>
      </c>
      <c r="F12" s="6" t="s">
        <v>5</v>
      </c>
      <c r="G12" s="1" t="s">
        <v>36</v>
      </c>
      <c r="H12" s="1" t="s">
        <v>1031</v>
      </c>
      <c r="I12" s="1" t="s">
        <v>15</v>
      </c>
      <c r="J12" s="1" t="s">
        <v>1032</v>
      </c>
    </row>
    <row r="13" spans="1:12">
      <c r="A13" s="1">
        <v>10</v>
      </c>
      <c r="B13" s="1" t="s">
        <v>1033</v>
      </c>
      <c r="C13" s="5">
        <v>46140</v>
      </c>
      <c r="D13" s="1" t="s">
        <v>53</v>
      </c>
      <c r="E13" s="6" t="s">
        <v>1023</v>
      </c>
      <c r="F13" s="6" t="s">
        <v>13</v>
      </c>
      <c r="G13" s="1" t="s">
        <v>41</v>
      </c>
      <c r="H13" s="1" t="s">
        <v>1024</v>
      </c>
      <c r="I13" s="1" t="s">
        <v>15</v>
      </c>
      <c r="J13" s="1" t="s">
        <v>1032</v>
      </c>
    </row>
    <row r="14" spans="1:12">
      <c r="A14" s="1">
        <v>11</v>
      </c>
      <c r="B14" s="1" t="s">
        <v>1034</v>
      </c>
      <c r="C14" s="5">
        <v>46119</v>
      </c>
      <c r="D14" s="1" t="s">
        <v>53</v>
      </c>
      <c r="E14" s="6" t="s">
        <v>1021</v>
      </c>
      <c r="F14" s="6" t="s">
        <v>13</v>
      </c>
      <c r="G14" s="1" t="s">
        <v>7</v>
      </c>
      <c r="H14" s="1" t="s">
        <v>1016</v>
      </c>
      <c r="I14" s="1" t="s">
        <v>41</v>
      </c>
      <c r="J14" s="1" t="s">
        <v>236</v>
      </c>
    </row>
    <row r="15" spans="1:12">
      <c r="A15" s="1">
        <v>12</v>
      </c>
      <c r="B15" s="1" t="s">
        <v>1035</v>
      </c>
      <c r="C15" s="5">
        <v>46124</v>
      </c>
      <c r="D15" s="1" t="s">
        <v>53</v>
      </c>
      <c r="E15" s="6" t="s">
        <v>1023</v>
      </c>
      <c r="F15" s="6" t="s">
        <v>65</v>
      </c>
      <c r="G15" s="1" t="s">
        <v>22</v>
      </c>
      <c r="H15" s="1" t="s">
        <v>1031</v>
      </c>
      <c r="I15" s="1" t="s">
        <v>41</v>
      </c>
      <c r="J15" s="1" t="s">
        <v>1014</v>
      </c>
    </row>
    <row r="16" spans="1:12">
      <c r="A16" s="1">
        <v>13</v>
      </c>
      <c r="B16" s="1" t="s">
        <v>1036</v>
      </c>
      <c r="C16" s="5">
        <v>46127</v>
      </c>
      <c r="D16" s="1" t="s">
        <v>53</v>
      </c>
      <c r="E16" s="6" t="s">
        <v>1012</v>
      </c>
      <c r="F16" s="6" t="s">
        <v>39</v>
      </c>
      <c r="G16" s="1" t="s">
        <v>28</v>
      </c>
      <c r="H16" s="1" t="s">
        <v>1019</v>
      </c>
      <c r="I16" s="1" t="s">
        <v>36</v>
      </c>
      <c r="J16" s="1" t="s">
        <v>1014</v>
      </c>
    </row>
    <row r="17" spans="1:10">
      <c r="A17" s="1">
        <v>14</v>
      </c>
      <c r="B17" s="1" t="s">
        <v>1037</v>
      </c>
      <c r="C17" s="5">
        <v>46121</v>
      </c>
      <c r="D17" s="1" t="s">
        <v>53</v>
      </c>
      <c r="E17" s="6" t="s">
        <v>1018</v>
      </c>
      <c r="F17" s="6" t="s">
        <v>58</v>
      </c>
      <c r="G17" s="1" t="s">
        <v>78</v>
      </c>
      <c r="H17" s="1" t="s">
        <v>1016</v>
      </c>
      <c r="I17" s="1" t="s">
        <v>28</v>
      </c>
      <c r="J17" s="1" t="s">
        <v>1032</v>
      </c>
    </row>
    <row r="18" spans="1:10">
      <c r="A18" s="1">
        <v>15</v>
      </c>
      <c r="B18" s="1" t="s">
        <v>1038</v>
      </c>
      <c r="C18" s="5">
        <v>46154</v>
      </c>
      <c r="D18" s="1" t="s">
        <v>60</v>
      </c>
      <c r="E18" s="6" t="s">
        <v>1021</v>
      </c>
      <c r="F18" s="6" t="s">
        <v>50</v>
      </c>
      <c r="G18" s="1" t="s">
        <v>78</v>
      </c>
      <c r="H18" s="1" t="s">
        <v>1013</v>
      </c>
      <c r="I18" s="1" t="s">
        <v>68</v>
      </c>
      <c r="J18" s="1" t="s">
        <v>236</v>
      </c>
    </row>
    <row r="19" spans="1:10">
      <c r="A19" s="1">
        <v>16</v>
      </c>
      <c r="B19" s="1" t="s">
        <v>1039</v>
      </c>
      <c r="C19" s="5">
        <v>46167</v>
      </c>
      <c r="D19" s="1" t="s">
        <v>60</v>
      </c>
      <c r="E19" s="6" t="s">
        <v>1030</v>
      </c>
      <c r="F19" s="6" t="s">
        <v>92</v>
      </c>
      <c r="G19" s="1" t="s">
        <v>15</v>
      </c>
      <c r="H19" s="1" t="s">
        <v>1031</v>
      </c>
      <c r="I19" s="1" t="s">
        <v>66</v>
      </c>
      <c r="J19" s="1" t="s">
        <v>1032</v>
      </c>
    </row>
    <row r="20" spans="1:10">
      <c r="A20" s="1">
        <v>17</v>
      </c>
      <c r="B20" s="1" t="s">
        <v>1040</v>
      </c>
      <c r="C20" s="5">
        <v>46166</v>
      </c>
      <c r="D20" s="1" t="s">
        <v>60</v>
      </c>
      <c r="E20" s="6" t="s">
        <v>1018</v>
      </c>
      <c r="F20" s="6" t="s">
        <v>50</v>
      </c>
      <c r="G20" s="1" t="s">
        <v>28</v>
      </c>
      <c r="H20" s="1" t="s">
        <v>1024</v>
      </c>
      <c r="I20" s="1" t="s">
        <v>62</v>
      </c>
      <c r="J20" s="1" t="s">
        <v>1032</v>
      </c>
    </row>
    <row r="21" spans="1:10">
      <c r="A21" s="1">
        <v>18</v>
      </c>
      <c r="B21" s="1" t="s">
        <v>1041</v>
      </c>
      <c r="C21" s="5">
        <v>46167</v>
      </c>
      <c r="D21" s="1" t="s">
        <v>60</v>
      </c>
      <c r="E21" s="6" t="s">
        <v>1023</v>
      </c>
      <c r="F21" s="6" t="s">
        <v>39</v>
      </c>
      <c r="G21" s="1" t="s">
        <v>78</v>
      </c>
      <c r="H21" s="1" t="s">
        <v>1024</v>
      </c>
      <c r="I21" s="1" t="s">
        <v>36</v>
      </c>
      <c r="J21" s="1" t="s">
        <v>1032</v>
      </c>
    </row>
    <row r="22" spans="1:10">
      <c r="A22" s="1">
        <v>19</v>
      </c>
      <c r="B22" s="1" t="s">
        <v>1042</v>
      </c>
      <c r="C22" s="5">
        <v>46196</v>
      </c>
      <c r="D22" s="1" t="s">
        <v>73</v>
      </c>
      <c r="E22" s="6" t="s">
        <v>1030</v>
      </c>
      <c r="F22" s="6" t="s">
        <v>5</v>
      </c>
      <c r="G22" s="1" t="s">
        <v>93</v>
      </c>
      <c r="H22" s="1" t="s">
        <v>1031</v>
      </c>
      <c r="I22" s="1" t="s">
        <v>41</v>
      </c>
      <c r="J22" s="1" t="s">
        <v>1032</v>
      </c>
    </row>
    <row r="23" spans="1:10">
      <c r="A23" s="1">
        <v>20</v>
      </c>
      <c r="B23" s="1" t="s">
        <v>1043</v>
      </c>
      <c r="C23" s="5">
        <v>46178</v>
      </c>
      <c r="D23" s="1" t="s">
        <v>73</v>
      </c>
      <c r="E23" s="6" t="s">
        <v>1018</v>
      </c>
      <c r="F23" s="6" t="s">
        <v>65</v>
      </c>
      <c r="G23" s="1" t="s">
        <v>68</v>
      </c>
      <c r="H23" s="1" t="s">
        <v>1013</v>
      </c>
      <c r="I23" s="1" t="s">
        <v>104</v>
      </c>
      <c r="J23" s="1" t="s">
        <v>1014</v>
      </c>
    </row>
    <row r="24" spans="1:10">
      <c r="A24" s="1">
        <v>21</v>
      </c>
      <c r="B24" s="1" t="s">
        <v>1044</v>
      </c>
      <c r="C24" s="5">
        <v>46195</v>
      </c>
      <c r="D24" s="1" t="s">
        <v>73</v>
      </c>
      <c r="E24" s="6" t="s">
        <v>1021</v>
      </c>
      <c r="F24" s="6" t="s">
        <v>58</v>
      </c>
      <c r="G24" s="1" t="s">
        <v>93</v>
      </c>
      <c r="H24" s="1" t="s">
        <v>1024</v>
      </c>
      <c r="I24" s="1" t="s">
        <v>93</v>
      </c>
      <c r="J24" s="1" t="s">
        <v>1014</v>
      </c>
    </row>
    <row r="25" spans="1:10">
      <c r="A25" s="1">
        <v>22</v>
      </c>
      <c r="B25" s="1" t="s">
        <v>1045</v>
      </c>
      <c r="C25" s="5">
        <v>46190</v>
      </c>
      <c r="D25" s="1" t="s">
        <v>73</v>
      </c>
      <c r="E25" s="6" t="s">
        <v>1021</v>
      </c>
      <c r="F25" s="6" t="s">
        <v>46</v>
      </c>
      <c r="G25" s="1" t="s">
        <v>68</v>
      </c>
      <c r="H25" s="1" t="s">
        <v>1024</v>
      </c>
      <c r="I25" s="1" t="s">
        <v>7</v>
      </c>
      <c r="J25" s="1" t="s">
        <v>1032</v>
      </c>
    </row>
    <row r="26" spans="1:10">
      <c r="A26" s="1">
        <v>23</v>
      </c>
      <c r="B26" s="1" t="s">
        <v>1046</v>
      </c>
      <c r="C26" s="5">
        <v>46217</v>
      </c>
      <c r="D26" s="1" t="s">
        <v>76</v>
      </c>
      <c r="E26" s="6" t="s">
        <v>1018</v>
      </c>
      <c r="F26" s="6" t="s">
        <v>27</v>
      </c>
      <c r="G26" s="1" t="s">
        <v>32</v>
      </c>
      <c r="H26" s="1" t="s">
        <v>1019</v>
      </c>
      <c r="I26" s="1" t="s">
        <v>22</v>
      </c>
      <c r="J26" s="1" t="s">
        <v>236</v>
      </c>
    </row>
    <row r="27" spans="1:10">
      <c r="A27" s="1">
        <v>24</v>
      </c>
      <c r="B27" s="1" t="s">
        <v>1047</v>
      </c>
      <c r="C27" s="5">
        <v>46256</v>
      </c>
      <c r="D27" s="1" t="s">
        <v>86</v>
      </c>
      <c r="E27" s="6" t="s">
        <v>1028</v>
      </c>
      <c r="F27" s="6" t="s">
        <v>92</v>
      </c>
      <c r="G27" s="1" t="s">
        <v>28</v>
      </c>
      <c r="H27" s="1" t="s">
        <v>1013</v>
      </c>
      <c r="I27" s="1" t="s">
        <v>15</v>
      </c>
      <c r="J27" s="1" t="s">
        <v>236</v>
      </c>
    </row>
    <row r="28" spans="1:10">
      <c r="A28" s="1">
        <v>25</v>
      </c>
      <c r="B28" s="1" t="s">
        <v>1048</v>
      </c>
      <c r="C28" s="5">
        <v>46243</v>
      </c>
      <c r="D28" s="1" t="s">
        <v>86</v>
      </c>
      <c r="E28" s="6" t="s">
        <v>1023</v>
      </c>
      <c r="F28" s="6" t="s">
        <v>5</v>
      </c>
      <c r="G28" s="1" t="s">
        <v>78</v>
      </c>
      <c r="H28" s="1" t="s">
        <v>1031</v>
      </c>
      <c r="I28" s="1" t="s">
        <v>68</v>
      </c>
      <c r="J28" s="1" t="s">
        <v>1032</v>
      </c>
    </row>
    <row r="29" spans="1:10">
      <c r="A29" s="1">
        <v>26</v>
      </c>
      <c r="B29" s="1" t="s">
        <v>1049</v>
      </c>
      <c r="C29" s="5">
        <v>46243</v>
      </c>
      <c r="D29" s="1" t="s">
        <v>86</v>
      </c>
      <c r="E29" s="6" t="s">
        <v>1023</v>
      </c>
      <c r="F29" s="6" t="s">
        <v>89</v>
      </c>
      <c r="G29" s="1" t="s">
        <v>15</v>
      </c>
      <c r="H29" s="1" t="s">
        <v>1016</v>
      </c>
      <c r="I29" s="1" t="s">
        <v>70</v>
      </c>
      <c r="J29" s="1" t="s">
        <v>1014</v>
      </c>
    </row>
    <row r="30" spans="1:10">
      <c r="A30" s="1">
        <v>27</v>
      </c>
      <c r="B30" s="1" t="s">
        <v>1050</v>
      </c>
      <c r="C30" s="5">
        <v>46248</v>
      </c>
      <c r="D30" s="1" t="s">
        <v>86</v>
      </c>
      <c r="E30" s="6" t="s">
        <v>1030</v>
      </c>
      <c r="F30" s="6" t="s">
        <v>13</v>
      </c>
      <c r="G30" s="1" t="s">
        <v>32</v>
      </c>
      <c r="H30" s="1" t="s">
        <v>1013</v>
      </c>
      <c r="I30" s="1" t="s">
        <v>36</v>
      </c>
      <c r="J30" s="1" t="s">
        <v>1014</v>
      </c>
    </row>
    <row r="31" spans="1:10">
      <c r="A31" s="1">
        <v>28</v>
      </c>
      <c r="B31" s="1" t="s">
        <v>1051</v>
      </c>
      <c r="C31" s="5">
        <v>46262</v>
      </c>
      <c r="D31" s="1" t="s">
        <v>86</v>
      </c>
      <c r="E31" s="6" t="s">
        <v>1018</v>
      </c>
      <c r="F31" s="6" t="s">
        <v>46</v>
      </c>
      <c r="G31" s="1" t="s">
        <v>28</v>
      </c>
      <c r="H31" s="1" t="s">
        <v>1019</v>
      </c>
      <c r="I31" s="1" t="s">
        <v>78</v>
      </c>
      <c r="J31" s="1" t="s">
        <v>1014</v>
      </c>
    </row>
    <row r="32" spans="1:10">
      <c r="A32" s="1">
        <v>29</v>
      </c>
      <c r="B32" s="1" t="s">
        <v>1052</v>
      </c>
      <c r="C32" s="5">
        <v>46279</v>
      </c>
      <c r="D32" s="1" t="s">
        <v>102</v>
      </c>
      <c r="E32" s="6" t="s">
        <v>1018</v>
      </c>
      <c r="F32" s="6" t="s">
        <v>27</v>
      </c>
      <c r="G32" s="1" t="s">
        <v>93</v>
      </c>
      <c r="H32" s="1" t="s">
        <v>1016</v>
      </c>
      <c r="I32" s="1" t="s">
        <v>32</v>
      </c>
      <c r="J32" s="1" t="s">
        <v>1032</v>
      </c>
    </row>
    <row r="33" spans="1:10">
      <c r="A33" s="1">
        <v>30</v>
      </c>
      <c r="B33" s="1" t="s">
        <v>1053</v>
      </c>
      <c r="C33" s="5">
        <v>46278</v>
      </c>
      <c r="D33" s="1" t="s">
        <v>102</v>
      </c>
      <c r="E33" s="6" t="s">
        <v>1021</v>
      </c>
      <c r="F33" s="6" t="s">
        <v>65</v>
      </c>
      <c r="G33" s="1" t="s">
        <v>70</v>
      </c>
      <c r="H33" s="1" t="s">
        <v>1013</v>
      </c>
      <c r="I33" s="1" t="s">
        <v>32</v>
      </c>
      <c r="J33" s="1" t="s">
        <v>236</v>
      </c>
    </row>
    <row r="34" spans="1:10">
      <c r="A34" s="1">
        <v>31</v>
      </c>
      <c r="B34" s="1" t="s">
        <v>1054</v>
      </c>
      <c r="C34" s="5">
        <v>46290</v>
      </c>
      <c r="D34" s="1" t="s">
        <v>102</v>
      </c>
      <c r="E34" s="6" t="s">
        <v>1021</v>
      </c>
      <c r="F34" s="6" t="s">
        <v>50</v>
      </c>
      <c r="G34" s="1" t="s">
        <v>22</v>
      </c>
      <c r="H34" s="1" t="s">
        <v>1019</v>
      </c>
      <c r="I34" s="1" t="s">
        <v>78</v>
      </c>
      <c r="J34" s="1" t="s">
        <v>1014</v>
      </c>
    </row>
    <row r="35" spans="1:10">
      <c r="A35" s="1">
        <v>32</v>
      </c>
      <c r="B35" s="1" t="s">
        <v>1055</v>
      </c>
      <c r="C35" s="5">
        <v>46278</v>
      </c>
      <c r="D35" s="1" t="s">
        <v>102</v>
      </c>
      <c r="E35" s="6" t="s">
        <v>1028</v>
      </c>
      <c r="F35" s="6" t="s">
        <v>27</v>
      </c>
      <c r="G35" s="1" t="s">
        <v>70</v>
      </c>
      <c r="H35" s="1" t="s">
        <v>1013</v>
      </c>
      <c r="I35" s="1" t="s">
        <v>28</v>
      </c>
      <c r="J35" s="1" t="s">
        <v>1014</v>
      </c>
    </row>
    <row r="36" spans="1:10">
      <c r="A36" s="1">
        <v>33</v>
      </c>
      <c r="B36" s="1" t="s">
        <v>1056</v>
      </c>
      <c r="C36" s="5">
        <v>46300</v>
      </c>
      <c r="D36" s="1" t="s">
        <v>106</v>
      </c>
      <c r="E36" s="6" t="s">
        <v>1028</v>
      </c>
      <c r="F36" s="6" t="s">
        <v>46</v>
      </c>
      <c r="G36" s="1" t="s">
        <v>70</v>
      </c>
      <c r="H36" s="1" t="s">
        <v>1019</v>
      </c>
      <c r="I36" s="1" t="s">
        <v>22</v>
      </c>
      <c r="J36" s="1" t="s">
        <v>236</v>
      </c>
    </row>
    <row r="37" spans="1:10">
      <c r="A37" s="1">
        <v>34</v>
      </c>
      <c r="B37" s="1" t="s">
        <v>1057</v>
      </c>
      <c r="C37" s="5">
        <v>46299</v>
      </c>
      <c r="D37" s="1" t="s">
        <v>106</v>
      </c>
      <c r="E37" s="6" t="s">
        <v>1012</v>
      </c>
      <c r="F37" s="6" t="s">
        <v>65</v>
      </c>
      <c r="G37" s="1" t="s">
        <v>36</v>
      </c>
      <c r="H37" s="1" t="s">
        <v>1024</v>
      </c>
      <c r="I37" s="1" t="s">
        <v>7</v>
      </c>
      <c r="J37" s="1" t="s">
        <v>236</v>
      </c>
    </row>
    <row r="38" spans="1:10">
      <c r="A38" s="1">
        <v>35</v>
      </c>
      <c r="B38" s="1" t="s">
        <v>1058</v>
      </c>
      <c r="C38" s="5">
        <v>46313</v>
      </c>
      <c r="D38" s="1" t="s">
        <v>106</v>
      </c>
      <c r="E38" s="6" t="s">
        <v>1021</v>
      </c>
      <c r="F38" s="6" t="s">
        <v>46</v>
      </c>
      <c r="G38" s="1" t="s">
        <v>93</v>
      </c>
      <c r="H38" s="1" t="s">
        <v>1019</v>
      </c>
      <c r="I38" s="1" t="s">
        <v>22</v>
      </c>
      <c r="J38" s="1" t="s">
        <v>236</v>
      </c>
    </row>
    <row r="39" spans="1:10">
      <c r="A39" s="1">
        <v>36</v>
      </c>
      <c r="B39" s="1" t="s">
        <v>1059</v>
      </c>
      <c r="C39" s="5">
        <v>46349</v>
      </c>
      <c r="D39" s="1" t="s">
        <v>111</v>
      </c>
      <c r="E39" s="6" t="s">
        <v>1012</v>
      </c>
      <c r="F39" s="6" t="s">
        <v>50</v>
      </c>
      <c r="G39" s="1" t="s">
        <v>22</v>
      </c>
      <c r="H39" s="1" t="s">
        <v>1024</v>
      </c>
      <c r="I39" s="1" t="s">
        <v>41</v>
      </c>
      <c r="J39" s="1" t="s">
        <v>236</v>
      </c>
    </row>
    <row r="40" spans="1:10">
      <c r="A40" s="1">
        <v>37</v>
      </c>
      <c r="B40" s="1" t="s">
        <v>1060</v>
      </c>
      <c r="C40" s="5">
        <v>46347</v>
      </c>
      <c r="D40" s="1" t="s">
        <v>111</v>
      </c>
      <c r="E40" s="6" t="s">
        <v>1030</v>
      </c>
      <c r="F40" s="6" t="s">
        <v>92</v>
      </c>
      <c r="G40" s="1" t="s">
        <v>104</v>
      </c>
      <c r="H40" s="1" t="s">
        <v>1024</v>
      </c>
      <c r="I40" s="1" t="s">
        <v>78</v>
      </c>
      <c r="J40" s="1" t="s">
        <v>1032</v>
      </c>
    </row>
    <row r="41" spans="1:10">
      <c r="A41" s="1">
        <v>38</v>
      </c>
      <c r="B41" s="1" t="s">
        <v>1061</v>
      </c>
      <c r="C41" s="5">
        <v>46336</v>
      </c>
      <c r="D41" s="1" t="s">
        <v>111</v>
      </c>
      <c r="E41" s="6" t="s">
        <v>1012</v>
      </c>
      <c r="F41" s="6" t="s">
        <v>27</v>
      </c>
      <c r="G41" s="1" t="s">
        <v>78</v>
      </c>
      <c r="H41" s="1" t="s">
        <v>1016</v>
      </c>
      <c r="I41" s="1" t="s">
        <v>15</v>
      </c>
      <c r="J41" s="1" t="s">
        <v>236</v>
      </c>
    </row>
    <row r="42" spans="1:10">
      <c r="A42" s="1">
        <v>39</v>
      </c>
      <c r="B42" s="1" t="s">
        <v>1062</v>
      </c>
      <c r="C42" s="5">
        <v>46339</v>
      </c>
      <c r="D42" s="1" t="s">
        <v>111</v>
      </c>
      <c r="E42" s="6" t="s">
        <v>1028</v>
      </c>
      <c r="F42" s="6" t="s">
        <v>46</v>
      </c>
      <c r="G42" s="1" t="s">
        <v>28</v>
      </c>
      <c r="H42" s="1" t="s">
        <v>1013</v>
      </c>
      <c r="I42" s="1" t="s">
        <v>32</v>
      </c>
      <c r="J42" s="1" t="s">
        <v>1032</v>
      </c>
    </row>
    <row r="43" spans="1:10">
      <c r="A43" s="1">
        <v>40</v>
      </c>
      <c r="B43" s="1" t="s">
        <v>1063</v>
      </c>
      <c r="C43" s="5">
        <v>46353</v>
      </c>
      <c r="D43" s="1" t="s">
        <v>111</v>
      </c>
      <c r="E43" s="6" t="s">
        <v>1028</v>
      </c>
      <c r="F43" s="6" t="s">
        <v>92</v>
      </c>
      <c r="G43" s="1" t="s">
        <v>70</v>
      </c>
      <c r="H43" s="1" t="s">
        <v>1019</v>
      </c>
      <c r="I43" s="1" t="s">
        <v>7</v>
      </c>
      <c r="J43" s="1" t="s">
        <v>1014</v>
      </c>
    </row>
    <row r="44" spans="1:10">
      <c r="A44" s="1">
        <v>41</v>
      </c>
      <c r="B44" s="1" t="s">
        <v>1064</v>
      </c>
      <c r="C44" s="5">
        <v>46354</v>
      </c>
      <c r="D44" s="1" t="s">
        <v>111</v>
      </c>
      <c r="E44" s="6" t="s">
        <v>1021</v>
      </c>
      <c r="F44" s="6" t="s">
        <v>92</v>
      </c>
      <c r="G44" s="1" t="s">
        <v>32</v>
      </c>
      <c r="H44" s="1" t="s">
        <v>1024</v>
      </c>
      <c r="I44" s="1" t="s">
        <v>68</v>
      </c>
      <c r="J44" s="1" t="s">
        <v>1032</v>
      </c>
    </row>
    <row r="45" spans="1:10">
      <c r="A45" s="1">
        <v>42</v>
      </c>
      <c r="B45" s="1" t="s">
        <v>1065</v>
      </c>
      <c r="C45" s="5">
        <v>46345</v>
      </c>
      <c r="D45" s="1" t="s">
        <v>111</v>
      </c>
      <c r="E45" s="6" t="s">
        <v>1018</v>
      </c>
      <c r="F45" s="6" t="s">
        <v>92</v>
      </c>
      <c r="G45" s="1" t="s">
        <v>28</v>
      </c>
      <c r="H45" s="1" t="s">
        <v>1016</v>
      </c>
      <c r="I45" s="1" t="s">
        <v>68</v>
      </c>
      <c r="J45" s="1" t="s">
        <v>1014</v>
      </c>
    </row>
    <row r="46" spans="1:10">
      <c r="A46" s="1">
        <v>43</v>
      </c>
      <c r="B46" s="1" t="s">
        <v>1066</v>
      </c>
      <c r="C46" s="5">
        <v>46335</v>
      </c>
      <c r="D46" s="1" t="s">
        <v>111</v>
      </c>
      <c r="E46" s="6" t="s">
        <v>1012</v>
      </c>
      <c r="F46" s="6" t="s">
        <v>58</v>
      </c>
      <c r="G46" s="1" t="s">
        <v>41</v>
      </c>
      <c r="H46" s="1" t="s">
        <v>1019</v>
      </c>
      <c r="I46" s="1" t="s">
        <v>70</v>
      </c>
      <c r="J46" s="1" t="s">
        <v>1014</v>
      </c>
    </row>
    <row r="47" spans="1:10">
      <c r="A47" s="1">
        <v>44</v>
      </c>
      <c r="B47" s="1" t="s">
        <v>1067</v>
      </c>
      <c r="C47" s="5">
        <v>46370</v>
      </c>
      <c r="D47" s="1" t="s">
        <v>122</v>
      </c>
      <c r="E47" s="6" t="s">
        <v>1021</v>
      </c>
      <c r="F47" s="6" t="s">
        <v>89</v>
      </c>
      <c r="G47" s="1" t="s">
        <v>104</v>
      </c>
      <c r="H47" s="1" t="s">
        <v>1024</v>
      </c>
      <c r="I47" s="1" t="s">
        <v>7</v>
      </c>
      <c r="J47" s="1" t="s">
        <v>236</v>
      </c>
    </row>
    <row r="48" spans="1:10">
      <c r="A48" s="1">
        <v>45</v>
      </c>
      <c r="B48" s="1" t="s">
        <v>1068</v>
      </c>
      <c r="C48" s="5">
        <v>46361</v>
      </c>
      <c r="D48" s="1" t="s">
        <v>122</v>
      </c>
      <c r="E48" s="6" t="s">
        <v>1021</v>
      </c>
      <c r="F48" s="6" t="s">
        <v>89</v>
      </c>
      <c r="G48" s="1" t="s">
        <v>28</v>
      </c>
      <c r="H48" s="1" t="s">
        <v>1013</v>
      </c>
      <c r="I48" s="1" t="s">
        <v>70</v>
      </c>
      <c r="J48" s="1" t="s">
        <v>1014</v>
      </c>
    </row>
    <row r="49" spans="1:10">
      <c r="A49" s="1">
        <v>46</v>
      </c>
      <c r="B49" s="1" t="s">
        <v>1069</v>
      </c>
      <c r="C49" s="5">
        <v>46377</v>
      </c>
      <c r="D49" s="1" t="s">
        <v>122</v>
      </c>
      <c r="E49" s="6" t="s">
        <v>1012</v>
      </c>
      <c r="F49" s="6" t="s">
        <v>89</v>
      </c>
      <c r="G49" s="1" t="s">
        <v>32</v>
      </c>
      <c r="H49" s="1" t="s">
        <v>1031</v>
      </c>
      <c r="I49" s="1" t="s">
        <v>15</v>
      </c>
      <c r="J49" s="1" t="s">
        <v>236</v>
      </c>
    </row>
    <row r="50" spans="1:10">
      <c r="A50" s="1">
        <v>47</v>
      </c>
      <c r="B50" s="1" t="s">
        <v>1070</v>
      </c>
      <c r="C50" s="5">
        <v>46366</v>
      </c>
      <c r="D50" s="1" t="s">
        <v>122</v>
      </c>
      <c r="E50" s="6" t="s">
        <v>1018</v>
      </c>
      <c r="F50" s="6" t="s">
        <v>50</v>
      </c>
      <c r="G50" s="1" t="s">
        <v>22</v>
      </c>
      <c r="H50" s="1" t="s">
        <v>1019</v>
      </c>
      <c r="I50" s="1" t="s">
        <v>32</v>
      </c>
      <c r="J50" s="1" t="s">
        <v>1032</v>
      </c>
    </row>
    <row r="51" spans="1:10">
      <c r="A51" s="1">
        <v>48</v>
      </c>
      <c r="B51" s="1" t="s">
        <v>1071</v>
      </c>
      <c r="C51" s="5">
        <v>46359</v>
      </c>
      <c r="D51" s="1" t="s">
        <v>122</v>
      </c>
      <c r="E51" s="6" t="s">
        <v>1018</v>
      </c>
      <c r="F51" s="6" t="s">
        <v>13</v>
      </c>
      <c r="G51" s="1" t="s">
        <v>68</v>
      </c>
      <c r="H51" s="1" t="s">
        <v>1019</v>
      </c>
      <c r="I51" s="1" t="s">
        <v>22</v>
      </c>
      <c r="J51" s="1" t="s">
        <v>1032</v>
      </c>
    </row>
  </sheetData>
  <mergeCells count="2">
    <mergeCell ref="A1:J1"/>
    <mergeCell ref="A2:J2"/>
  </mergeCells>
  <dataValidations count="2">
    <dataValidation type="list" allowBlank="1" showInputMessage="1" showErrorMessage="1" sqref="F4:F100003">
      <formula1>L_Dept</formula1>
    </dataValidation>
    <dataValidation type="list" allowBlank="1" showInputMessage="1" showErrorMessage="1" sqref="J4:J100003">
      <formula1>L_Status</formula1>
    </dataValidation>
  </dataValidations>
  <hyperlinks>
    <hyperlink ref="L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>
    <tabColor rgb="FF64748B"/>
    <pageSetUpPr fitToPage="1"/>
  </sheetPr>
  <dimension ref="A1:O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4" width="9.7109375" style="1" customWidth="1"/>
    <col min="5" max="5" width="22.7109375" style="1" customWidth="1"/>
    <col min="6" max="6" width="12.7109375" style="1" customWidth="1"/>
    <col min="7" max="7" width="10.7109375" style="1" customWidth="1"/>
    <col min="8" max="8" width="14.7109375" style="1" customWidth="1"/>
    <col min="9" max="9" width="15.7109375" style="1" customWidth="1"/>
    <col min="10" max="10" width="16.7109375" style="1" customWidth="1"/>
    <col min="11" max="11" width="10.7109375" style="1" customWidth="1"/>
    <col min="12" max="12" width="12.7109375" style="1" customWidth="1"/>
    <col min="13" max="13" width="20.7109375" style="1" customWidth="1"/>
  </cols>
  <sheetData>
    <row r="1" spans="1:15" ht="22" customHeight="1">
      <c r="A1" s="3" t="s">
        <v>1077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4" t="s">
        <v>139</v>
      </c>
    </row>
    <row r="2" spans="1: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>
      <c r="A3" s="1" t="s">
        <v>124</v>
      </c>
      <c r="B3" s="1" t="s">
        <v>1129</v>
      </c>
      <c r="C3" s="1" t="s">
        <v>126</v>
      </c>
      <c r="D3" s="1" t="s">
        <v>127</v>
      </c>
      <c r="E3" s="1" t="s">
        <v>1130</v>
      </c>
      <c r="F3" s="1" t="s">
        <v>129</v>
      </c>
      <c r="G3" s="1" t="s">
        <v>130</v>
      </c>
      <c r="H3" s="1" t="s">
        <v>1131</v>
      </c>
      <c r="I3" s="1" t="s">
        <v>1132</v>
      </c>
      <c r="J3" s="1" t="s">
        <v>1133</v>
      </c>
      <c r="K3" s="1" t="s">
        <v>1134</v>
      </c>
      <c r="L3" s="1" t="s">
        <v>1135</v>
      </c>
      <c r="M3" s="1" t="s">
        <v>1136</v>
      </c>
    </row>
    <row r="4" spans="1:15">
      <c r="A4" s="1">
        <v>1</v>
      </c>
      <c r="B4" s="1" t="s">
        <v>1078</v>
      </c>
      <c r="C4" s="5">
        <v>46030</v>
      </c>
      <c r="D4" s="1" t="s">
        <v>3</v>
      </c>
      <c r="E4" s="6" t="s">
        <v>20</v>
      </c>
      <c r="F4" s="6" t="s">
        <v>39</v>
      </c>
      <c r="G4" s="1" t="s">
        <v>51</v>
      </c>
      <c r="H4" s="1" t="s">
        <v>78</v>
      </c>
      <c r="I4" s="1" t="s">
        <v>32</v>
      </c>
      <c r="J4" s="1">
        <v>14</v>
      </c>
      <c r="K4" s="1" t="s">
        <v>151</v>
      </c>
      <c r="L4" s="1" t="s">
        <v>1079</v>
      </c>
      <c r="M4" s="1" t="s">
        <v>23</v>
      </c>
    </row>
    <row r="5" spans="1:15">
      <c r="A5" s="1">
        <v>2</v>
      </c>
      <c r="B5" s="1" t="s">
        <v>1080</v>
      </c>
      <c r="C5" s="5">
        <v>46027</v>
      </c>
      <c r="D5" s="1" t="s">
        <v>3</v>
      </c>
      <c r="E5" s="6" t="s">
        <v>38</v>
      </c>
      <c r="F5" s="6" t="s">
        <v>27</v>
      </c>
      <c r="G5" s="1" t="s">
        <v>51</v>
      </c>
      <c r="H5" s="1" t="s">
        <v>104</v>
      </c>
      <c r="I5" s="1" t="s">
        <v>68</v>
      </c>
      <c r="J5" s="1">
        <v>6</v>
      </c>
      <c r="K5" s="1" t="s">
        <v>151</v>
      </c>
      <c r="L5" s="1" t="s">
        <v>1081</v>
      </c>
      <c r="M5" s="1" t="s">
        <v>23</v>
      </c>
    </row>
    <row r="6" spans="1:15">
      <c r="A6" s="1">
        <v>3</v>
      </c>
      <c r="B6" s="1" t="s">
        <v>1082</v>
      </c>
      <c r="C6" s="5">
        <v>46025</v>
      </c>
      <c r="D6" s="1" t="s">
        <v>3</v>
      </c>
      <c r="E6" s="6" t="s">
        <v>4</v>
      </c>
      <c r="F6" s="6" t="s">
        <v>39</v>
      </c>
      <c r="G6" s="1" t="s">
        <v>82</v>
      </c>
      <c r="H6" s="1" t="s">
        <v>68</v>
      </c>
      <c r="I6" s="1" t="s">
        <v>15</v>
      </c>
      <c r="J6" s="1">
        <v>5</v>
      </c>
      <c r="K6" s="1" t="s">
        <v>147</v>
      </c>
      <c r="L6" s="1" t="s">
        <v>1079</v>
      </c>
      <c r="M6" s="1" t="s">
        <v>9</v>
      </c>
    </row>
    <row r="7" spans="1:15">
      <c r="A7" s="1">
        <v>4</v>
      </c>
      <c r="B7" s="1" t="s">
        <v>1083</v>
      </c>
      <c r="C7" s="5">
        <v>46026</v>
      </c>
      <c r="D7" s="1" t="s">
        <v>3</v>
      </c>
      <c r="E7" s="6" t="s">
        <v>38</v>
      </c>
      <c r="F7" s="6" t="s">
        <v>5</v>
      </c>
      <c r="G7" s="1" t="s">
        <v>95</v>
      </c>
      <c r="H7" s="1" t="s">
        <v>66</v>
      </c>
      <c r="I7" s="1" t="s">
        <v>104</v>
      </c>
      <c r="J7" s="1">
        <v>15</v>
      </c>
      <c r="K7" s="1" t="s">
        <v>151</v>
      </c>
      <c r="L7" s="1" t="s">
        <v>1079</v>
      </c>
      <c r="M7" s="1" t="s">
        <v>23</v>
      </c>
    </row>
    <row r="8" spans="1:15">
      <c r="A8" s="1">
        <v>5</v>
      </c>
      <c r="B8" s="1" t="s">
        <v>1084</v>
      </c>
      <c r="C8" s="5">
        <v>46036</v>
      </c>
      <c r="D8" s="1" t="s">
        <v>3</v>
      </c>
      <c r="E8" s="6" t="s">
        <v>30</v>
      </c>
      <c r="F8" s="6" t="s">
        <v>92</v>
      </c>
      <c r="G8" s="1" t="s">
        <v>95</v>
      </c>
      <c r="H8" s="1" t="s">
        <v>41</v>
      </c>
      <c r="I8" s="1" t="s">
        <v>78</v>
      </c>
      <c r="J8" s="1">
        <v>23</v>
      </c>
      <c r="K8" s="1" t="s">
        <v>147</v>
      </c>
      <c r="L8" s="1" t="s">
        <v>1081</v>
      </c>
      <c r="M8" s="1" t="s">
        <v>9</v>
      </c>
    </row>
    <row r="9" spans="1:15">
      <c r="A9" s="1">
        <v>6</v>
      </c>
      <c r="B9" s="1" t="s">
        <v>1085</v>
      </c>
      <c r="C9" s="5">
        <v>46073</v>
      </c>
      <c r="D9" s="1" t="s">
        <v>19</v>
      </c>
      <c r="E9" s="6" t="s">
        <v>38</v>
      </c>
      <c r="F9" s="6" t="s">
        <v>46</v>
      </c>
      <c r="G9" s="1" t="s">
        <v>87</v>
      </c>
      <c r="H9" s="1" t="s">
        <v>66</v>
      </c>
      <c r="I9" s="1" t="s">
        <v>32</v>
      </c>
      <c r="J9" s="1">
        <v>27</v>
      </c>
      <c r="K9" s="1" t="s">
        <v>147</v>
      </c>
      <c r="L9" s="1" t="s">
        <v>1079</v>
      </c>
      <c r="M9" s="1" t="s">
        <v>9</v>
      </c>
    </row>
    <row r="10" spans="1:15">
      <c r="A10" s="1">
        <v>7</v>
      </c>
      <c r="B10" s="1" t="s">
        <v>1086</v>
      </c>
      <c r="C10" s="5">
        <v>46075</v>
      </c>
      <c r="D10" s="1" t="s">
        <v>19</v>
      </c>
      <c r="E10" s="6" t="s">
        <v>12</v>
      </c>
      <c r="F10" s="6" t="s">
        <v>13</v>
      </c>
      <c r="G10" s="1" t="s">
        <v>95</v>
      </c>
      <c r="H10" s="1" t="s">
        <v>41</v>
      </c>
      <c r="I10" s="1" t="s">
        <v>28</v>
      </c>
      <c r="J10" s="1">
        <v>7</v>
      </c>
      <c r="K10" s="1" t="s">
        <v>164</v>
      </c>
      <c r="L10" s="1" t="s">
        <v>1081</v>
      </c>
      <c r="M10" s="1" t="s">
        <v>23</v>
      </c>
    </row>
    <row r="11" spans="1:15">
      <c r="A11" s="1">
        <v>8</v>
      </c>
      <c r="B11" s="1" t="s">
        <v>1087</v>
      </c>
      <c r="C11" s="5">
        <v>46101</v>
      </c>
      <c r="D11" s="1" t="s">
        <v>44</v>
      </c>
      <c r="E11" s="6" t="s">
        <v>54</v>
      </c>
      <c r="F11" s="6" t="s">
        <v>92</v>
      </c>
      <c r="G11" s="1" t="s">
        <v>87</v>
      </c>
      <c r="H11" s="1" t="s">
        <v>66</v>
      </c>
      <c r="I11" s="1" t="s">
        <v>78</v>
      </c>
      <c r="J11" s="1">
        <v>9</v>
      </c>
      <c r="K11" s="1" t="s">
        <v>164</v>
      </c>
      <c r="L11" s="1" t="s">
        <v>1088</v>
      </c>
      <c r="M11" s="1" t="s">
        <v>9</v>
      </c>
    </row>
    <row r="12" spans="1:15">
      <c r="A12" s="1">
        <v>9</v>
      </c>
      <c r="B12" s="1" t="s">
        <v>1089</v>
      </c>
      <c r="C12" s="5">
        <v>46108</v>
      </c>
      <c r="D12" s="1" t="s">
        <v>44</v>
      </c>
      <c r="E12" s="6" t="s">
        <v>54</v>
      </c>
      <c r="F12" s="6" t="s">
        <v>65</v>
      </c>
      <c r="G12" s="1" t="s">
        <v>21</v>
      </c>
      <c r="H12" s="1" t="s">
        <v>28</v>
      </c>
      <c r="I12" s="1" t="s">
        <v>7</v>
      </c>
      <c r="J12" s="1">
        <v>17</v>
      </c>
      <c r="K12" s="1" t="s">
        <v>147</v>
      </c>
      <c r="L12" s="1" t="s">
        <v>1081</v>
      </c>
      <c r="M12" s="1" t="s">
        <v>9</v>
      </c>
    </row>
    <row r="13" spans="1:15">
      <c r="A13" s="1">
        <v>10</v>
      </c>
      <c r="B13" s="1" t="s">
        <v>1090</v>
      </c>
      <c r="C13" s="5">
        <v>46115</v>
      </c>
      <c r="D13" s="1" t="s">
        <v>53</v>
      </c>
      <c r="E13" s="6" t="s">
        <v>57</v>
      </c>
      <c r="F13" s="6" t="s">
        <v>65</v>
      </c>
      <c r="G13" s="1" t="s">
        <v>31</v>
      </c>
      <c r="H13" s="1" t="s">
        <v>7</v>
      </c>
      <c r="I13" s="1" t="s">
        <v>62</v>
      </c>
      <c r="J13" s="1">
        <v>20</v>
      </c>
      <c r="K13" s="1" t="s">
        <v>151</v>
      </c>
      <c r="L13" s="1" t="s">
        <v>1079</v>
      </c>
      <c r="M13" s="1" t="s">
        <v>9</v>
      </c>
    </row>
    <row r="14" spans="1:15">
      <c r="A14" s="1">
        <v>11</v>
      </c>
      <c r="B14" s="1" t="s">
        <v>1091</v>
      </c>
      <c r="C14" s="5">
        <v>46125</v>
      </c>
      <c r="D14" s="1" t="s">
        <v>53</v>
      </c>
      <c r="E14" s="6" t="s">
        <v>49</v>
      </c>
      <c r="F14" s="6" t="s">
        <v>50</v>
      </c>
      <c r="G14" s="1" t="s">
        <v>82</v>
      </c>
      <c r="H14" s="1" t="s">
        <v>15</v>
      </c>
      <c r="I14" s="1" t="s">
        <v>32</v>
      </c>
      <c r="J14" s="1">
        <v>27</v>
      </c>
      <c r="K14" s="1" t="s">
        <v>151</v>
      </c>
      <c r="L14" s="1" t="s">
        <v>1081</v>
      </c>
      <c r="M14" s="1" t="s">
        <v>23</v>
      </c>
    </row>
    <row r="15" spans="1:15">
      <c r="A15" s="1">
        <v>12</v>
      </c>
      <c r="B15" s="1" t="s">
        <v>1092</v>
      </c>
      <c r="C15" s="5">
        <v>46124</v>
      </c>
      <c r="D15" s="1" t="s">
        <v>53</v>
      </c>
      <c r="E15" s="6" t="s">
        <v>4</v>
      </c>
      <c r="F15" s="6" t="s">
        <v>50</v>
      </c>
      <c r="G15" s="1" t="s">
        <v>21</v>
      </c>
      <c r="H15" s="1" t="s">
        <v>15</v>
      </c>
      <c r="I15" s="1" t="s">
        <v>68</v>
      </c>
      <c r="J15" s="1">
        <v>30</v>
      </c>
      <c r="K15" s="1" t="s">
        <v>147</v>
      </c>
      <c r="L15" s="1" t="s">
        <v>1079</v>
      </c>
      <c r="M15" s="1" t="s">
        <v>23</v>
      </c>
    </row>
    <row r="16" spans="1:15">
      <c r="A16" s="1">
        <v>13</v>
      </c>
      <c r="B16" s="1" t="s">
        <v>1093</v>
      </c>
      <c r="C16" s="5">
        <v>46140</v>
      </c>
      <c r="D16" s="1" t="s">
        <v>53</v>
      </c>
      <c r="E16" s="6" t="s">
        <v>12</v>
      </c>
      <c r="F16" s="6" t="s">
        <v>46</v>
      </c>
      <c r="G16" s="1" t="s">
        <v>14</v>
      </c>
      <c r="H16" s="1" t="s">
        <v>32</v>
      </c>
      <c r="I16" s="1" t="s">
        <v>70</v>
      </c>
      <c r="J16" s="1">
        <v>8</v>
      </c>
      <c r="K16" s="1" t="s">
        <v>147</v>
      </c>
      <c r="L16" s="1" t="s">
        <v>1081</v>
      </c>
      <c r="M16" s="1" t="s">
        <v>9</v>
      </c>
    </row>
    <row r="17" spans="1:13">
      <c r="A17" s="1">
        <v>14</v>
      </c>
      <c r="B17" s="1" t="s">
        <v>1094</v>
      </c>
      <c r="C17" s="5">
        <v>46153</v>
      </c>
      <c r="D17" s="1" t="s">
        <v>60</v>
      </c>
      <c r="E17" s="6" t="s">
        <v>20</v>
      </c>
      <c r="F17" s="6" t="s">
        <v>89</v>
      </c>
      <c r="G17" s="1" t="s">
        <v>87</v>
      </c>
      <c r="H17" s="1" t="s">
        <v>32</v>
      </c>
      <c r="I17" s="1" t="s">
        <v>104</v>
      </c>
      <c r="J17" s="1">
        <v>1</v>
      </c>
      <c r="K17" s="1" t="s">
        <v>164</v>
      </c>
      <c r="L17" s="1" t="s">
        <v>1088</v>
      </c>
      <c r="M17" s="1" t="s">
        <v>23</v>
      </c>
    </row>
    <row r="18" spans="1:13">
      <c r="A18" s="1">
        <v>15</v>
      </c>
      <c r="B18" s="1" t="s">
        <v>1095</v>
      </c>
      <c r="C18" s="5">
        <v>46150</v>
      </c>
      <c r="D18" s="1" t="s">
        <v>60</v>
      </c>
      <c r="E18" s="6" t="s">
        <v>4</v>
      </c>
      <c r="F18" s="6" t="s">
        <v>5</v>
      </c>
      <c r="G18" s="1" t="s">
        <v>51</v>
      </c>
      <c r="H18" s="1" t="s">
        <v>32</v>
      </c>
      <c r="I18" s="1" t="s">
        <v>36</v>
      </c>
      <c r="J18" s="1">
        <v>11</v>
      </c>
      <c r="K18" s="1" t="s">
        <v>147</v>
      </c>
      <c r="L18" s="1" t="s">
        <v>1081</v>
      </c>
      <c r="M18" s="1" t="s">
        <v>9</v>
      </c>
    </row>
    <row r="19" spans="1:13">
      <c r="A19" s="1">
        <v>16</v>
      </c>
      <c r="B19" s="1" t="s">
        <v>1096</v>
      </c>
      <c r="C19" s="5">
        <v>46174</v>
      </c>
      <c r="D19" s="1" t="s">
        <v>73</v>
      </c>
      <c r="E19" s="6" t="s">
        <v>45</v>
      </c>
      <c r="F19" s="6" t="s">
        <v>58</v>
      </c>
      <c r="G19" s="1" t="s">
        <v>14</v>
      </c>
      <c r="H19" s="1" t="s">
        <v>28</v>
      </c>
      <c r="I19" s="1" t="s">
        <v>22</v>
      </c>
      <c r="J19" s="1">
        <v>12</v>
      </c>
      <c r="K19" s="1" t="s">
        <v>151</v>
      </c>
      <c r="L19" s="1" t="s">
        <v>1088</v>
      </c>
      <c r="M19" s="1" t="s">
        <v>23</v>
      </c>
    </row>
    <row r="20" spans="1:13">
      <c r="A20" s="1">
        <v>17</v>
      </c>
      <c r="B20" s="1" t="s">
        <v>1097</v>
      </c>
      <c r="C20" s="5">
        <v>46184</v>
      </c>
      <c r="D20" s="1" t="s">
        <v>73</v>
      </c>
      <c r="E20" s="6" t="s">
        <v>91</v>
      </c>
      <c r="F20" s="6" t="s">
        <v>92</v>
      </c>
      <c r="G20" s="1" t="s">
        <v>95</v>
      </c>
      <c r="H20" s="1" t="s">
        <v>15</v>
      </c>
      <c r="I20" s="1" t="s">
        <v>22</v>
      </c>
      <c r="J20" s="1">
        <v>29</v>
      </c>
      <c r="K20" s="1" t="s">
        <v>164</v>
      </c>
      <c r="L20" s="1" t="s">
        <v>1079</v>
      </c>
      <c r="M20" s="1" t="s">
        <v>9</v>
      </c>
    </row>
    <row r="21" spans="1:13">
      <c r="A21" s="1">
        <v>18</v>
      </c>
      <c r="B21" s="1" t="s">
        <v>1098</v>
      </c>
      <c r="C21" s="5">
        <v>46211</v>
      </c>
      <c r="D21" s="1" t="s">
        <v>76</v>
      </c>
      <c r="E21" s="6" t="s">
        <v>4</v>
      </c>
      <c r="F21" s="6" t="s">
        <v>89</v>
      </c>
      <c r="G21" s="1" t="s">
        <v>51</v>
      </c>
      <c r="H21" s="1" t="s">
        <v>22</v>
      </c>
      <c r="I21" s="1" t="s">
        <v>15</v>
      </c>
      <c r="J21" s="1">
        <v>0</v>
      </c>
      <c r="K21" s="1" t="s">
        <v>164</v>
      </c>
      <c r="L21" s="1" t="s">
        <v>1081</v>
      </c>
      <c r="M21" s="1" t="s">
        <v>23</v>
      </c>
    </row>
    <row r="22" spans="1:13">
      <c r="A22" s="1">
        <v>19</v>
      </c>
      <c r="B22" s="1" t="s">
        <v>1099</v>
      </c>
      <c r="C22" s="5">
        <v>46206</v>
      </c>
      <c r="D22" s="1" t="s">
        <v>76</v>
      </c>
      <c r="E22" s="6" t="s">
        <v>16</v>
      </c>
      <c r="F22" s="6" t="s">
        <v>13</v>
      </c>
      <c r="G22" s="1" t="s">
        <v>77</v>
      </c>
      <c r="H22" s="1" t="s">
        <v>104</v>
      </c>
      <c r="I22" s="1" t="s">
        <v>93</v>
      </c>
      <c r="J22" s="1">
        <v>17</v>
      </c>
      <c r="K22" s="1" t="s">
        <v>151</v>
      </c>
      <c r="L22" s="1" t="s">
        <v>1088</v>
      </c>
      <c r="M22" s="1" t="s">
        <v>23</v>
      </c>
    </row>
    <row r="23" spans="1:13">
      <c r="A23" s="1">
        <v>20</v>
      </c>
      <c r="B23" s="1" t="s">
        <v>1100</v>
      </c>
      <c r="C23" s="5">
        <v>46212</v>
      </c>
      <c r="D23" s="1" t="s">
        <v>76</v>
      </c>
      <c r="E23" s="6" t="s">
        <v>57</v>
      </c>
      <c r="F23" s="6" t="s">
        <v>13</v>
      </c>
      <c r="G23" s="1" t="s">
        <v>40</v>
      </c>
      <c r="H23" s="1" t="s">
        <v>104</v>
      </c>
      <c r="I23" s="1" t="s">
        <v>41</v>
      </c>
      <c r="J23" s="1">
        <v>8</v>
      </c>
      <c r="K23" s="1" t="s">
        <v>151</v>
      </c>
      <c r="L23" s="1" t="s">
        <v>1079</v>
      </c>
      <c r="M23" s="1" t="s">
        <v>9</v>
      </c>
    </row>
    <row r="24" spans="1:13">
      <c r="A24" s="1">
        <v>21</v>
      </c>
      <c r="B24" s="1" t="s">
        <v>1101</v>
      </c>
      <c r="C24" s="5">
        <v>46206</v>
      </c>
      <c r="D24" s="1" t="s">
        <v>76</v>
      </c>
      <c r="E24" s="6" t="s">
        <v>20</v>
      </c>
      <c r="F24" s="6" t="s">
        <v>50</v>
      </c>
      <c r="G24" s="1" t="s">
        <v>87</v>
      </c>
      <c r="H24" s="1" t="s">
        <v>104</v>
      </c>
      <c r="I24" s="1" t="s">
        <v>68</v>
      </c>
      <c r="J24" s="1">
        <v>15</v>
      </c>
      <c r="K24" s="1" t="s">
        <v>164</v>
      </c>
      <c r="L24" s="1" t="s">
        <v>1079</v>
      </c>
      <c r="M24" s="1" t="s">
        <v>23</v>
      </c>
    </row>
    <row r="25" spans="1:13">
      <c r="A25" s="1">
        <v>22</v>
      </c>
      <c r="B25" s="1" t="s">
        <v>1102</v>
      </c>
      <c r="C25" s="5">
        <v>46206</v>
      </c>
      <c r="D25" s="1" t="s">
        <v>76</v>
      </c>
      <c r="E25" s="6" t="s">
        <v>91</v>
      </c>
      <c r="F25" s="6" t="s">
        <v>58</v>
      </c>
      <c r="G25" s="1" t="s">
        <v>40</v>
      </c>
      <c r="H25" s="1" t="s">
        <v>28</v>
      </c>
      <c r="I25" s="1" t="s">
        <v>62</v>
      </c>
      <c r="J25" s="1">
        <v>0</v>
      </c>
      <c r="K25" s="1" t="s">
        <v>164</v>
      </c>
      <c r="L25" s="1" t="s">
        <v>1081</v>
      </c>
      <c r="M25" s="1" t="s">
        <v>9</v>
      </c>
    </row>
    <row r="26" spans="1:13">
      <c r="A26" s="1">
        <v>23</v>
      </c>
      <c r="B26" s="1" t="s">
        <v>1103</v>
      </c>
      <c r="C26" s="5">
        <v>46206</v>
      </c>
      <c r="D26" s="1" t="s">
        <v>76</v>
      </c>
      <c r="E26" s="6" t="s">
        <v>30</v>
      </c>
      <c r="F26" s="6" t="s">
        <v>50</v>
      </c>
      <c r="G26" s="1" t="s">
        <v>21</v>
      </c>
      <c r="H26" s="1" t="s">
        <v>41</v>
      </c>
      <c r="I26" s="1" t="s">
        <v>15</v>
      </c>
      <c r="J26" s="1">
        <v>30</v>
      </c>
      <c r="K26" s="1" t="s">
        <v>164</v>
      </c>
      <c r="L26" s="1" t="s">
        <v>1081</v>
      </c>
      <c r="M26" s="1" t="s">
        <v>9</v>
      </c>
    </row>
    <row r="27" spans="1:13">
      <c r="A27" s="1">
        <v>24</v>
      </c>
      <c r="B27" s="1" t="s">
        <v>1104</v>
      </c>
      <c r="C27" s="5">
        <v>46250</v>
      </c>
      <c r="D27" s="1" t="s">
        <v>86</v>
      </c>
      <c r="E27" s="6" t="s">
        <v>16</v>
      </c>
      <c r="F27" s="6" t="s">
        <v>27</v>
      </c>
      <c r="G27" s="1" t="s">
        <v>80</v>
      </c>
      <c r="H27" s="1" t="s">
        <v>32</v>
      </c>
      <c r="I27" s="1" t="s">
        <v>28</v>
      </c>
      <c r="J27" s="1">
        <v>14</v>
      </c>
      <c r="K27" s="1" t="s">
        <v>164</v>
      </c>
      <c r="L27" s="1" t="s">
        <v>1088</v>
      </c>
      <c r="M27" s="1" t="s">
        <v>23</v>
      </c>
    </row>
    <row r="28" spans="1:13">
      <c r="A28" s="1">
        <v>25</v>
      </c>
      <c r="B28" s="1" t="s">
        <v>1105</v>
      </c>
      <c r="C28" s="5">
        <v>46259</v>
      </c>
      <c r="D28" s="1" t="s">
        <v>86</v>
      </c>
      <c r="E28" s="6" t="s">
        <v>54</v>
      </c>
      <c r="F28" s="6" t="s">
        <v>50</v>
      </c>
      <c r="G28" s="1" t="s">
        <v>14</v>
      </c>
      <c r="H28" s="1" t="s">
        <v>36</v>
      </c>
      <c r="I28" s="1" t="s">
        <v>22</v>
      </c>
      <c r="J28" s="1">
        <v>7</v>
      </c>
      <c r="K28" s="1" t="s">
        <v>147</v>
      </c>
      <c r="L28" s="1" t="s">
        <v>1079</v>
      </c>
      <c r="M28" s="1" t="s">
        <v>9</v>
      </c>
    </row>
    <row r="29" spans="1:13">
      <c r="A29" s="1">
        <v>26</v>
      </c>
      <c r="B29" s="1" t="s">
        <v>1106</v>
      </c>
      <c r="C29" s="5">
        <v>46244</v>
      </c>
      <c r="D29" s="1" t="s">
        <v>86</v>
      </c>
      <c r="E29" s="6" t="s">
        <v>61</v>
      </c>
      <c r="F29" s="6" t="s">
        <v>65</v>
      </c>
      <c r="G29" s="1" t="s">
        <v>14</v>
      </c>
      <c r="H29" s="1" t="s">
        <v>70</v>
      </c>
      <c r="I29" s="1" t="s">
        <v>66</v>
      </c>
      <c r="J29" s="1">
        <v>20</v>
      </c>
      <c r="K29" s="1" t="s">
        <v>164</v>
      </c>
      <c r="L29" s="1" t="s">
        <v>1081</v>
      </c>
      <c r="M29" s="1" t="s">
        <v>23</v>
      </c>
    </row>
    <row r="30" spans="1:13">
      <c r="A30" s="1">
        <v>27</v>
      </c>
      <c r="B30" s="1" t="s">
        <v>1107</v>
      </c>
      <c r="C30" s="5">
        <v>46256</v>
      </c>
      <c r="D30" s="1" t="s">
        <v>86</v>
      </c>
      <c r="E30" s="6" t="s">
        <v>16</v>
      </c>
      <c r="F30" s="6" t="s">
        <v>92</v>
      </c>
      <c r="G30" s="1" t="s">
        <v>95</v>
      </c>
      <c r="H30" s="1" t="s">
        <v>70</v>
      </c>
      <c r="I30" s="1" t="s">
        <v>62</v>
      </c>
      <c r="J30" s="1">
        <v>20</v>
      </c>
      <c r="K30" s="1" t="s">
        <v>147</v>
      </c>
      <c r="L30" s="1" t="s">
        <v>1081</v>
      </c>
      <c r="M30" s="1" t="s">
        <v>9</v>
      </c>
    </row>
    <row r="31" spans="1:13">
      <c r="A31" s="1">
        <v>28</v>
      </c>
      <c r="B31" s="1" t="s">
        <v>1108</v>
      </c>
      <c r="C31" s="5">
        <v>46252</v>
      </c>
      <c r="D31" s="1" t="s">
        <v>86</v>
      </c>
      <c r="E31" s="6" t="s">
        <v>57</v>
      </c>
      <c r="F31" s="6" t="s">
        <v>13</v>
      </c>
      <c r="G31" s="1" t="s">
        <v>40</v>
      </c>
      <c r="H31" s="1" t="s">
        <v>32</v>
      </c>
      <c r="I31" s="1" t="s">
        <v>78</v>
      </c>
      <c r="J31" s="1">
        <v>10</v>
      </c>
      <c r="K31" s="1" t="s">
        <v>164</v>
      </c>
      <c r="L31" s="1" t="s">
        <v>1088</v>
      </c>
      <c r="M31" s="1" t="s">
        <v>23</v>
      </c>
    </row>
    <row r="32" spans="1:13">
      <c r="A32" s="1">
        <v>29</v>
      </c>
      <c r="B32" s="1" t="s">
        <v>1109</v>
      </c>
      <c r="C32" s="5">
        <v>46260</v>
      </c>
      <c r="D32" s="1" t="s">
        <v>86</v>
      </c>
      <c r="E32" s="6" t="s">
        <v>12</v>
      </c>
      <c r="F32" s="6" t="s">
        <v>92</v>
      </c>
      <c r="G32" s="1" t="s">
        <v>21</v>
      </c>
      <c r="H32" s="1" t="s">
        <v>41</v>
      </c>
      <c r="I32" s="1" t="s">
        <v>36</v>
      </c>
      <c r="J32" s="1">
        <v>14</v>
      </c>
      <c r="K32" s="1" t="s">
        <v>164</v>
      </c>
      <c r="L32" s="1" t="s">
        <v>1079</v>
      </c>
      <c r="M32" s="1" t="s">
        <v>23</v>
      </c>
    </row>
    <row r="33" spans="1:13">
      <c r="A33" s="1">
        <v>30</v>
      </c>
      <c r="B33" s="1" t="s">
        <v>1110</v>
      </c>
      <c r="C33" s="5">
        <v>46284</v>
      </c>
      <c r="D33" s="1" t="s">
        <v>102</v>
      </c>
      <c r="E33" s="6" t="s">
        <v>64</v>
      </c>
      <c r="F33" s="6" t="s">
        <v>5</v>
      </c>
      <c r="G33" s="1" t="s">
        <v>40</v>
      </c>
      <c r="H33" s="1" t="s">
        <v>15</v>
      </c>
      <c r="I33" s="1" t="s">
        <v>68</v>
      </c>
      <c r="J33" s="1">
        <v>11</v>
      </c>
      <c r="K33" s="1" t="s">
        <v>164</v>
      </c>
      <c r="L33" s="1" t="s">
        <v>1079</v>
      </c>
      <c r="M33" s="1" t="s">
        <v>23</v>
      </c>
    </row>
    <row r="34" spans="1:13">
      <c r="A34" s="1">
        <v>31</v>
      </c>
      <c r="B34" s="1" t="s">
        <v>1111</v>
      </c>
      <c r="C34" s="5">
        <v>46267</v>
      </c>
      <c r="D34" s="1" t="s">
        <v>102</v>
      </c>
      <c r="E34" s="6" t="s">
        <v>12</v>
      </c>
      <c r="F34" s="6" t="s">
        <v>65</v>
      </c>
      <c r="G34" s="1" t="s">
        <v>21</v>
      </c>
      <c r="H34" s="1" t="s">
        <v>104</v>
      </c>
      <c r="I34" s="1" t="s">
        <v>68</v>
      </c>
      <c r="J34" s="1">
        <v>25</v>
      </c>
      <c r="K34" s="1" t="s">
        <v>147</v>
      </c>
      <c r="L34" s="1" t="s">
        <v>1088</v>
      </c>
      <c r="M34" s="1" t="s">
        <v>23</v>
      </c>
    </row>
    <row r="35" spans="1:13">
      <c r="A35" s="1">
        <v>32</v>
      </c>
      <c r="B35" s="1" t="s">
        <v>1112</v>
      </c>
      <c r="C35" s="5">
        <v>46269</v>
      </c>
      <c r="D35" s="1" t="s">
        <v>102</v>
      </c>
      <c r="E35" s="6" t="s">
        <v>38</v>
      </c>
      <c r="F35" s="6" t="s">
        <v>92</v>
      </c>
      <c r="G35" s="1" t="s">
        <v>80</v>
      </c>
      <c r="H35" s="1" t="s">
        <v>7</v>
      </c>
      <c r="I35" s="1" t="s">
        <v>68</v>
      </c>
      <c r="J35" s="1">
        <v>18</v>
      </c>
      <c r="K35" s="1" t="s">
        <v>164</v>
      </c>
      <c r="L35" s="1" t="s">
        <v>1081</v>
      </c>
      <c r="M35" s="1" t="s">
        <v>9</v>
      </c>
    </row>
    <row r="36" spans="1:13">
      <c r="A36" s="1">
        <v>33</v>
      </c>
      <c r="B36" s="1" t="s">
        <v>1113</v>
      </c>
      <c r="C36" s="5">
        <v>46301</v>
      </c>
      <c r="D36" s="1" t="s">
        <v>106</v>
      </c>
      <c r="E36" s="6" t="s">
        <v>64</v>
      </c>
      <c r="F36" s="6" t="s">
        <v>65</v>
      </c>
      <c r="G36" s="1" t="s">
        <v>51</v>
      </c>
      <c r="H36" s="1" t="s">
        <v>68</v>
      </c>
      <c r="I36" s="1" t="s">
        <v>41</v>
      </c>
      <c r="J36" s="1">
        <v>22</v>
      </c>
      <c r="K36" s="1" t="s">
        <v>147</v>
      </c>
      <c r="L36" s="1" t="s">
        <v>1079</v>
      </c>
      <c r="M36" s="1" t="s">
        <v>9</v>
      </c>
    </row>
    <row r="37" spans="1:13">
      <c r="A37" s="1">
        <v>34</v>
      </c>
      <c r="B37" s="1" t="s">
        <v>1114</v>
      </c>
      <c r="C37" s="5">
        <v>46298</v>
      </c>
      <c r="D37" s="1" t="s">
        <v>106</v>
      </c>
      <c r="E37" s="6" t="s">
        <v>12</v>
      </c>
      <c r="F37" s="6" t="s">
        <v>58</v>
      </c>
      <c r="G37" s="1" t="s">
        <v>21</v>
      </c>
      <c r="H37" s="1" t="s">
        <v>62</v>
      </c>
      <c r="I37" s="1" t="s">
        <v>41</v>
      </c>
      <c r="J37" s="1">
        <v>6</v>
      </c>
      <c r="K37" s="1" t="s">
        <v>164</v>
      </c>
      <c r="L37" s="1" t="s">
        <v>1079</v>
      </c>
      <c r="M37" s="1" t="s">
        <v>23</v>
      </c>
    </row>
    <row r="38" spans="1:13">
      <c r="A38" s="1">
        <v>35</v>
      </c>
      <c r="B38" s="1" t="s">
        <v>1115</v>
      </c>
      <c r="C38" s="5">
        <v>46306</v>
      </c>
      <c r="D38" s="1" t="s">
        <v>106</v>
      </c>
      <c r="E38" s="6" t="s">
        <v>61</v>
      </c>
      <c r="F38" s="6" t="s">
        <v>27</v>
      </c>
      <c r="G38" s="1" t="s">
        <v>14</v>
      </c>
      <c r="H38" s="1" t="s">
        <v>32</v>
      </c>
      <c r="I38" s="1" t="s">
        <v>78</v>
      </c>
      <c r="J38" s="1">
        <v>27</v>
      </c>
      <c r="K38" s="1" t="s">
        <v>164</v>
      </c>
      <c r="L38" s="1" t="s">
        <v>1088</v>
      </c>
      <c r="M38" s="1" t="s">
        <v>9</v>
      </c>
    </row>
    <row r="39" spans="1:13">
      <c r="A39" s="1">
        <v>36</v>
      </c>
      <c r="B39" s="1" t="s">
        <v>1116</v>
      </c>
      <c r="C39" s="5">
        <v>46301</v>
      </c>
      <c r="D39" s="1" t="s">
        <v>106</v>
      </c>
      <c r="E39" s="6" t="s">
        <v>20</v>
      </c>
      <c r="F39" s="6" t="s">
        <v>65</v>
      </c>
      <c r="G39" s="1" t="s">
        <v>31</v>
      </c>
      <c r="H39" s="1" t="s">
        <v>15</v>
      </c>
      <c r="I39" s="1" t="s">
        <v>28</v>
      </c>
      <c r="J39" s="1">
        <v>24</v>
      </c>
      <c r="K39" s="1" t="s">
        <v>164</v>
      </c>
      <c r="L39" s="1" t="s">
        <v>1079</v>
      </c>
      <c r="M39" s="1" t="s">
        <v>9</v>
      </c>
    </row>
    <row r="40" spans="1:13">
      <c r="A40" s="1">
        <v>37</v>
      </c>
      <c r="B40" s="1" t="s">
        <v>1117</v>
      </c>
      <c r="C40" s="5">
        <v>46309</v>
      </c>
      <c r="D40" s="1" t="s">
        <v>106</v>
      </c>
      <c r="E40" s="6" t="s">
        <v>45</v>
      </c>
      <c r="F40" s="6" t="s">
        <v>27</v>
      </c>
      <c r="G40" s="1" t="s">
        <v>35</v>
      </c>
      <c r="H40" s="1" t="s">
        <v>70</v>
      </c>
      <c r="I40" s="1" t="s">
        <v>15</v>
      </c>
      <c r="J40" s="1">
        <v>26</v>
      </c>
      <c r="K40" s="1" t="s">
        <v>151</v>
      </c>
      <c r="L40" s="1" t="s">
        <v>1088</v>
      </c>
      <c r="M40" s="1" t="s">
        <v>9</v>
      </c>
    </row>
    <row r="41" spans="1:13">
      <c r="A41" s="1">
        <v>38</v>
      </c>
      <c r="B41" s="1" t="s">
        <v>1118</v>
      </c>
      <c r="C41" s="5">
        <v>46303</v>
      </c>
      <c r="D41" s="1" t="s">
        <v>106</v>
      </c>
      <c r="E41" s="6" t="s">
        <v>57</v>
      </c>
      <c r="F41" s="6" t="s">
        <v>27</v>
      </c>
      <c r="G41" s="1" t="s">
        <v>95</v>
      </c>
      <c r="H41" s="1" t="s">
        <v>62</v>
      </c>
      <c r="I41" s="1" t="s">
        <v>28</v>
      </c>
      <c r="J41" s="1">
        <v>28</v>
      </c>
      <c r="K41" s="1" t="s">
        <v>151</v>
      </c>
      <c r="L41" s="1" t="s">
        <v>1081</v>
      </c>
      <c r="M41" s="1" t="s">
        <v>23</v>
      </c>
    </row>
    <row r="42" spans="1:13">
      <c r="A42" s="1">
        <v>39</v>
      </c>
      <c r="B42" s="1" t="s">
        <v>1119</v>
      </c>
      <c r="C42" s="5">
        <v>46329</v>
      </c>
      <c r="D42" s="1" t="s">
        <v>111</v>
      </c>
      <c r="E42" s="6" t="s">
        <v>20</v>
      </c>
      <c r="F42" s="6" t="s">
        <v>39</v>
      </c>
      <c r="G42" s="1" t="s">
        <v>51</v>
      </c>
      <c r="H42" s="1" t="s">
        <v>78</v>
      </c>
      <c r="I42" s="1" t="s">
        <v>32</v>
      </c>
      <c r="J42" s="1">
        <v>22</v>
      </c>
      <c r="K42" s="1" t="s">
        <v>147</v>
      </c>
      <c r="L42" s="1" t="s">
        <v>1079</v>
      </c>
      <c r="M42" s="1" t="s">
        <v>23</v>
      </c>
    </row>
    <row r="43" spans="1:13">
      <c r="A43" s="1">
        <v>40</v>
      </c>
      <c r="B43" s="1" t="s">
        <v>1120</v>
      </c>
      <c r="C43" s="5">
        <v>46348</v>
      </c>
      <c r="D43" s="1" t="s">
        <v>111</v>
      </c>
      <c r="E43" s="6" t="s">
        <v>16</v>
      </c>
      <c r="F43" s="6" t="s">
        <v>58</v>
      </c>
      <c r="G43" s="1" t="s">
        <v>51</v>
      </c>
      <c r="H43" s="1" t="s">
        <v>70</v>
      </c>
      <c r="I43" s="1" t="s">
        <v>15</v>
      </c>
      <c r="J43" s="1">
        <v>6</v>
      </c>
      <c r="K43" s="1" t="s">
        <v>164</v>
      </c>
      <c r="L43" s="1" t="s">
        <v>1081</v>
      </c>
      <c r="M43" s="1" t="s">
        <v>23</v>
      </c>
    </row>
    <row r="44" spans="1:13">
      <c r="A44" s="1">
        <v>41</v>
      </c>
      <c r="B44" s="1" t="s">
        <v>1121</v>
      </c>
      <c r="C44" s="5">
        <v>46333</v>
      </c>
      <c r="D44" s="1" t="s">
        <v>111</v>
      </c>
      <c r="E44" s="6" t="s">
        <v>30</v>
      </c>
      <c r="F44" s="6" t="s">
        <v>13</v>
      </c>
      <c r="G44" s="1" t="s">
        <v>21</v>
      </c>
      <c r="H44" s="1" t="s">
        <v>28</v>
      </c>
      <c r="I44" s="1" t="s">
        <v>28</v>
      </c>
      <c r="J44" s="1">
        <v>21</v>
      </c>
      <c r="K44" s="1" t="s">
        <v>147</v>
      </c>
      <c r="L44" s="1" t="s">
        <v>1079</v>
      </c>
      <c r="M44" s="1" t="s">
        <v>23</v>
      </c>
    </row>
    <row r="45" spans="1:13">
      <c r="A45" s="1">
        <v>42</v>
      </c>
      <c r="B45" s="1" t="s">
        <v>1122</v>
      </c>
      <c r="C45" s="5">
        <v>46348</v>
      </c>
      <c r="D45" s="1" t="s">
        <v>111</v>
      </c>
      <c r="E45" s="6" t="s">
        <v>30</v>
      </c>
      <c r="F45" s="6" t="s">
        <v>5</v>
      </c>
      <c r="G45" s="1" t="s">
        <v>51</v>
      </c>
      <c r="H45" s="1" t="s">
        <v>104</v>
      </c>
      <c r="I45" s="1" t="s">
        <v>22</v>
      </c>
      <c r="J45" s="1">
        <v>12</v>
      </c>
      <c r="K45" s="1" t="s">
        <v>151</v>
      </c>
      <c r="L45" s="1" t="s">
        <v>1079</v>
      </c>
      <c r="M45" s="1" t="s">
        <v>9</v>
      </c>
    </row>
    <row r="46" spans="1:13">
      <c r="A46" s="1">
        <v>43</v>
      </c>
      <c r="B46" s="1" t="s">
        <v>1123</v>
      </c>
      <c r="C46" s="5">
        <v>46339</v>
      </c>
      <c r="D46" s="1" t="s">
        <v>111</v>
      </c>
      <c r="E46" s="6" t="s">
        <v>91</v>
      </c>
      <c r="F46" s="6" t="s">
        <v>65</v>
      </c>
      <c r="G46" s="1" t="s">
        <v>80</v>
      </c>
      <c r="H46" s="1" t="s">
        <v>68</v>
      </c>
      <c r="I46" s="1" t="s">
        <v>62</v>
      </c>
      <c r="J46" s="1">
        <v>29</v>
      </c>
      <c r="K46" s="1" t="s">
        <v>151</v>
      </c>
      <c r="L46" s="1" t="s">
        <v>1081</v>
      </c>
      <c r="M46" s="1" t="s">
        <v>9</v>
      </c>
    </row>
    <row r="47" spans="1:13">
      <c r="A47" s="1">
        <v>44</v>
      </c>
      <c r="B47" s="1" t="s">
        <v>1124</v>
      </c>
      <c r="C47" s="5">
        <v>46382</v>
      </c>
      <c r="D47" s="1" t="s">
        <v>122</v>
      </c>
      <c r="E47" s="6" t="s">
        <v>26</v>
      </c>
      <c r="F47" s="6" t="s">
        <v>58</v>
      </c>
      <c r="G47" s="1" t="s">
        <v>6</v>
      </c>
      <c r="H47" s="1" t="s">
        <v>66</v>
      </c>
      <c r="I47" s="1" t="s">
        <v>70</v>
      </c>
      <c r="J47" s="1">
        <v>29</v>
      </c>
      <c r="K47" s="1" t="s">
        <v>151</v>
      </c>
      <c r="L47" s="1" t="s">
        <v>1079</v>
      </c>
      <c r="M47" s="1" t="s">
        <v>9</v>
      </c>
    </row>
    <row r="48" spans="1:13">
      <c r="A48" s="1">
        <v>45</v>
      </c>
      <c r="B48" s="1" t="s">
        <v>1125</v>
      </c>
      <c r="C48" s="5">
        <v>46383</v>
      </c>
      <c r="D48" s="1" t="s">
        <v>122</v>
      </c>
      <c r="E48" s="6" t="s">
        <v>38</v>
      </c>
      <c r="F48" s="6" t="s">
        <v>50</v>
      </c>
      <c r="G48" s="1" t="s">
        <v>80</v>
      </c>
      <c r="H48" s="1" t="s">
        <v>41</v>
      </c>
      <c r="I48" s="1" t="s">
        <v>32</v>
      </c>
      <c r="J48" s="1">
        <v>2</v>
      </c>
      <c r="K48" s="1" t="s">
        <v>151</v>
      </c>
      <c r="L48" s="1" t="s">
        <v>1079</v>
      </c>
      <c r="M48" s="1" t="s">
        <v>23</v>
      </c>
    </row>
    <row r="49" spans="1:13">
      <c r="A49" s="1">
        <v>46</v>
      </c>
      <c r="B49" s="1" t="s">
        <v>1126</v>
      </c>
      <c r="C49" s="5">
        <v>46382</v>
      </c>
      <c r="D49" s="1" t="s">
        <v>122</v>
      </c>
      <c r="E49" s="6" t="s">
        <v>64</v>
      </c>
      <c r="F49" s="6" t="s">
        <v>92</v>
      </c>
      <c r="G49" s="1" t="s">
        <v>51</v>
      </c>
      <c r="H49" s="1" t="s">
        <v>68</v>
      </c>
      <c r="I49" s="1" t="s">
        <v>68</v>
      </c>
      <c r="J49" s="1">
        <v>22</v>
      </c>
      <c r="K49" s="1" t="s">
        <v>164</v>
      </c>
      <c r="L49" s="1" t="s">
        <v>1088</v>
      </c>
      <c r="M49" s="1" t="s">
        <v>9</v>
      </c>
    </row>
    <row r="50" spans="1:13">
      <c r="A50" s="1">
        <v>47</v>
      </c>
      <c r="B50" s="1" t="s">
        <v>1127</v>
      </c>
      <c r="C50" s="5">
        <v>46381</v>
      </c>
      <c r="D50" s="1" t="s">
        <v>122</v>
      </c>
      <c r="E50" s="6" t="s">
        <v>12</v>
      </c>
      <c r="F50" s="6" t="s">
        <v>13</v>
      </c>
      <c r="G50" s="1" t="s">
        <v>82</v>
      </c>
      <c r="H50" s="1" t="s">
        <v>104</v>
      </c>
      <c r="I50" s="1" t="s">
        <v>104</v>
      </c>
      <c r="J50" s="1">
        <v>8</v>
      </c>
      <c r="K50" s="1" t="s">
        <v>147</v>
      </c>
      <c r="L50" s="1" t="s">
        <v>1081</v>
      </c>
      <c r="M50" s="1" t="s">
        <v>23</v>
      </c>
    </row>
    <row r="51" spans="1:13">
      <c r="A51" s="1">
        <v>48</v>
      </c>
      <c r="B51" s="1" t="s">
        <v>1128</v>
      </c>
      <c r="C51" s="5">
        <v>46377</v>
      </c>
      <c r="D51" s="1" t="s">
        <v>122</v>
      </c>
      <c r="E51" s="6" t="s">
        <v>91</v>
      </c>
      <c r="F51" s="6" t="s">
        <v>58</v>
      </c>
      <c r="G51" s="1" t="s">
        <v>82</v>
      </c>
      <c r="H51" s="1" t="s">
        <v>22</v>
      </c>
      <c r="I51" s="1" t="s">
        <v>36</v>
      </c>
      <c r="J51" s="1">
        <v>16</v>
      </c>
      <c r="K51" s="1" t="s">
        <v>151</v>
      </c>
      <c r="L51" s="1" t="s">
        <v>1081</v>
      </c>
      <c r="M51" s="1" t="s">
        <v>9</v>
      </c>
    </row>
  </sheetData>
  <mergeCells count="2">
    <mergeCell ref="A1:M1"/>
    <mergeCell ref="A2:M2"/>
  </mergeCells>
  <dataValidations count="3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K4:K100003">
      <formula1>L_Risk</formula1>
    </dataValidation>
  </dataValidations>
  <hyperlinks>
    <hyperlink ref="O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>
    <tabColor rgb="FF64748B"/>
    <pageSetUpPr fitToPage="1"/>
  </sheetPr>
  <dimension ref="A1:L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4" width="9.7109375" style="1" customWidth="1"/>
    <col min="5" max="5" width="12.7109375" style="1" customWidth="1"/>
    <col min="6" max="6" width="17.7109375" style="1" customWidth="1"/>
    <col min="7" max="7" width="11.7109375" style="1" customWidth="1"/>
    <col min="8" max="8" width="9.7109375" style="1" customWidth="1"/>
    <col min="9" max="9" width="11.7109375" style="1" customWidth="1"/>
    <col min="10" max="10" width="9.7109375" style="1" customWidth="1"/>
  </cols>
  <sheetData>
    <row r="1" spans="1:12" ht="22" customHeight="1">
      <c r="A1" s="3" t="s">
        <v>1137</v>
      </c>
      <c r="B1" s="3"/>
      <c r="C1" s="3"/>
      <c r="D1" s="3"/>
      <c r="E1" s="3"/>
      <c r="F1" s="3"/>
      <c r="G1" s="3"/>
      <c r="H1" s="3"/>
      <c r="I1" s="3"/>
      <c r="J1" s="3"/>
      <c r="L1" s="4" t="s">
        <v>139</v>
      </c>
    </row>
    <row r="2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2">
      <c r="A3" s="1" t="s">
        <v>124</v>
      </c>
      <c r="B3" s="1" t="s">
        <v>1193</v>
      </c>
      <c r="C3" s="1" t="s">
        <v>126</v>
      </c>
      <c r="D3" s="1" t="s">
        <v>127</v>
      </c>
      <c r="E3" s="1" t="s">
        <v>129</v>
      </c>
      <c r="F3" s="1" t="s">
        <v>1194</v>
      </c>
      <c r="G3" s="1" t="s">
        <v>1195</v>
      </c>
      <c r="H3" s="1" t="s">
        <v>1196</v>
      </c>
      <c r="I3" s="1" t="s">
        <v>1197</v>
      </c>
      <c r="J3" s="1" t="s">
        <v>288</v>
      </c>
    </row>
    <row r="4" spans="1:12">
      <c r="A4" s="1">
        <v>1</v>
      </c>
      <c r="B4" s="1" t="s">
        <v>1138</v>
      </c>
      <c r="C4" s="5">
        <v>46054</v>
      </c>
      <c r="D4" s="1" t="s">
        <v>19</v>
      </c>
      <c r="E4" s="6" t="s">
        <v>13</v>
      </c>
      <c r="F4" s="6" t="s">
        <v>78</v>
      </c>
      <c r="G4" s="1" t="s">
        <v>1139</v>
      </c>
      <c r="H4" s="1" t="s">
        <v>1140</v>
      </c>
      <c r="I4" s="1" t="s">
        <v>41</v>
      </c>
      <c r="J4" s="1" t="s">
        <v>582</v>
      </c>
    </row>
    <row r="5" spans="1:12">
      <c r="A5" s="1">
        <v>2</v>
      </c>
      <c r="B5" s="1" t="s">
        <v>1141</v>
      </c>
      <c r="C5" s="5">
        <v>46089</v>
      </c>
      <c r="D5" s="1" t="s">
        <v>44</v>
      </c>
      <c r="E5" s="6" t="s">
        <v>65</v>
      </c>
      <c r="F5" s="6" t="s">
        <v>36</v>
      </c>
      <c r="G5" s="1" t="s">
        <v>1142</v>
      </c>
      <c r="H5" s="1" t="s">
        <v>1143</v>
      </c>
      <c r="I5" s="1" t="s">
        <v>93</v>
      </c>
      <c r="J5" s="1" t="s">
        <v>1144</v>
      </c>
    </row>
    <row r="6" spans="1:12">
      <c r="A6" s="1">
        <v>3</v>
      </c>
      <c r="B6" s="1" t="s">
        <v>1145</v>
      </c>
      <c r="C6" s="5">
        <v>46084</v>
      </c>
      <c r="D6" s="1" t="s">
        <v>44</v>
      </c>
      <c r="E6" s="6" t="s">
        <v>46</v>
      </c>
      <c r="F6" s="6" t="s">
        <v>41</v>
      </c>
      <c r="G6" s="1" t="s">
        <v>1139</v>
      </c>
      <c r="H6" s="1" t="s">
        <v>1143</v>
      </c>
      <c r="I6" s="1" t="s">
        <v>104</v>
      </c>
      <c r="J6" s="1" t="s">
        <v>582</v>
      </c>
    </row>
    <row r="7" spans="1:12">
      <c r="A7" s="1">
        <v>4</v>
      </c>
      <c r="B7" s="1" t="s">
        <v>1146</v>
      </c>
      <c r="C7" s="5">
        <v>46101</v>
      </c>
      <c r="D7" s="1" t="s">
        <v>44</v>
      </c>
      <c r="E7" s="6" t="s">
        <v>65</v>
      </c>
      <c r="F7" s="6" t="s">
        <v>78</v>
      </c>
      <c r="G7" s="1" t="s">
        <v>1147</v>
      </c>
      <c r="H7" s="1" t="s">
        <v>1143</v>
      </c>
      <c r="I7" s="1" t="s">
        <v>22</v>
      </c>
      <c r="J7" s="1" t="s">
        <v>582</v>
      </c>
    </row>
    <row r="8" spans="1:12">
      <c r="A8" s="1">
        <v>5</v>
      </c>
      <c r="B8" s="1" t="s">
        <v>1148</v>
      </c>
      <c r="C8" s="5">
        <v>46118</v>
      </c>
      <c r="D8" s="1" t="s">
        <v>53</v>
      </c>
      <c r="E8" s="6" t="s">
        <v>13</v>
      </c>
      <c r="F8" s="6" t="s">
        <v>68</v>
      </c>
      <c r="G8" s="1" t="s">
        <v>1147</v>
      </c>
      <c r="H8" s="1" t="s">
        <v>1143</v>
      </c>
      <c r="I8" s="1" t="s">
        <v>70</v>
      </c>
      <c r="J8" s="1" t="s">
        <v>582</v>
      </c>
    </row>
    <row r="9" spans="1:12">
      <c r="A9" s="1">
        <v>6</v>
      </c>
      <c r="B9" s="1" t="s">
        <v>1149</v>
      </c>
      <c r="C9" s="5">
        <v>46117</v>
      </c>
      <c r="D9" s="1" t="s">
        <v>53</v>
      </c>
      <c r="E9" s="6" t="s">
        <v>27</v>
      </c>
      <c r="F9" s="6" t="s">
        <v>22</v>
      </c>
      <c r="G9" s="1" t="s">
        <v>1147</v>
      </c>
      <c r="H9" s="1" t="s">
        <v>1143</v>
      </c>
      <c r="I9" s="1" t="s">
        <v>41</v>
      </c>
      <c r="J9" s="1" t="s">
        <v>226</v>
      </c>
    </row>
    <row r="10" spans="1:12">
      <c r="A10" s="1">
        <v>7</v>
      </c>
      <c r="B10" s="1" t="s">
        <v>1150</v>
      </c>
      <c r="C10" s="5">
        <v>46126</v>
      </c>
      <c r="D10" s="1" t="s">
        <v>53</v>
      </c>
      <c r="E10" s="6" t="s">
        <v>58</v>
      </c>
      <c r="F10" s="6" t="s">
        <v>104</v>
      </c>
      <c r="G10" s="1" t="s">
        <v>1142</v>
      </c>
      <c r="H10" s="1" t="s">
        <v>1143</v>
      </c>
      <c r="I10" s="1" t="s">
        <v>32</v>
      </c>
      <c r="J10" s="1" t="s">
        <v>226</v>
      </c>
    </row>
    <row r="11" spans="1:12">
      <c r="A11" s="1">
        <v>8</v>
      </c>
      <c r="B11" s="1" t="s">
        <v>1151</v>
      </c>
      <c r="C11" s="5">
        <v>46121</v>
      </c>
      <c r="D11" s="1" t="s">
        <v>53</v>
      </c>
      <c r="E11" s="6" t="s">
        <v>46</v>
      </c>
      <c r="F11" s="6" t="s">
        <v>28</v>
      </c>
      <c r="G11" s="1" t="s">
        <v>1152</v>
      </c>
      <c r="H11" s="1" t="s">
        <v>1140</v>
      </c>
      <c r="I11" s="1" t="s">
        <v>7</v>
      </c>
      <c r="J11" s="1" t="s">
        <v>582</v>
      </c>
    </row>
    <row r="12" spans="1:12">
      <c r="A12" s="1">
        <v>9</v>
      </c>
      <c r="B12" s="1" t="s">
        <v>1153</v>
      </c>
      <c r="C12" s="5">
        <v>46137</v>
      </c>
      <c r="D12" s="1" t="s">
        <v>53</v>
      </c>
      <c r="E12" s="6" t="s">
        <v>58</v>
      </c>
      <c r="F12" s="6" t="s">
        <v>36</v>
      </c>
      <c r="G12" s="1" t="s">
        <v>1142</v>
      </c>
      <c r="H12" s="1" t="s">
        <v>1143</v>
      </c>
      <c r="I12" s="1" t="s">
        <v>41</v>
      </c>
      <c r="J12" s="1" t="s">
        <v>1144</v>
      </c>
    </row>
    <row r="13" spans="1:12">
      <c r="A13" s="1">
        <v>10</v>
      </c>
      <c r="B13" s="1" t="s">
        <v>1154</v>
      </c>
      <c r="C13" s="5">
        <v>46147</v>
      </c>
      <c r="D13" s="1" t="s">
        <v>60</v>
      </c>
      <c r="E13" s="6" t="s">
        <v>58</v>
      </c>
      <c r="F13" s="6" t="s">
        <v>28</v>
      </c>
      <c r="G13" s="1" t="s">
        <v>1147</v>
      </c>
      <c r="H13" s="1" t="s">
        <v>1140</v>
      </c>
      <c r="I13" s="1" t="s">
        <v>70</v>
      </c>
      <c r="J13" s="1" t="s">
        <v>582</v>
      </c>
    </row>
    <row r="14" spans="1:12">
      <c r="A14" s="1">
        <v>11</v>
      </c>
      <c r="B14" s="1" t="s">
        <v>1155</v>
      </c>
      <c r="C14" s="5">
        <v>46163</v>
      </c>
      <c r="D14" s="1" t="s">
        <v>60</v>
      </c>
      <c r="E14" s="6" t="s">
        <v>27</v>
      </c>
      <c r="F14" s="6" t="s">
        <v>32</v>
      </c>
      <c r="G14" s="1" t="s">
        <v>1152</v>
      </c>
      <c r="H14" s="1" t="s">
        <v>1140</v>
      </c>
      <c r="I14" s="1" t="s">
        <v>70</v>
      </c>
      <c r="J14" s="1" t="s">
        <v>582</v>
      </c>
    </row>
    <row r="15" spans="1:12">
      <c r="A15" s="1">
        <v>12</v>
      </c>
      <c r="B15" s="1" t="s">
        <v>1156</v>
      </c>
      <c r="C15" s="5">
        <v>46160</v>
      </c>
      <c r="D15" s="1" t="s">
        <v>60</v>
      </c>
      <c r="E15" s="6" t="s">
        <v>13</v>
      </c>
      <c r="F15" s="6" t="s">
        <v>62</v>
      </c>
      <c r="G15" s="1" t="s">
        <v>1152</v>
      </c>
      <c r="H15" s="1" t="s">
        <v>1140</v>
      </c>
      <c r="I15" s="1" t="s">
        <v>104</v>
      </c>
      <c r="J15" s="1" t="s">
        <v>582</v>
      </c>
    </row>
    <row r="16" spans="1:12">
      <c r="A16" s="1">
        <v>13</v>
      </c>
      <c r="B16" s="1" t="s">
        <v>1157</v>
      </c>
      <c r="C16" s="5">
        <v>46147</v>
      </c>
      <c r="D16" s="1" t="s">
        <v>60</v>
      </c>
      <c r="E16" s="6" t="s">
        <v>39</v>
      </c>
      <c r="F16" s="6" t="s">
        <v>104</v>
      </c>
      <c r="G16" s="1" t="s">
        <v>1139</v>
      </c>
      <c r="H16" s="1" t="s">
        <v>1140</v>
      </c>
      <c r="I16" s="1" t="s">
        <v>41</v>
      </c>
      <c r="J16" s="1" t="s">
        <v>1144</v>
      </c>
    </row>
    <row r="17" spans="1:10">
      <c r="A17" s="1">
        <v>14</v>
      </c>
      <c r="B17" s="1" t="s">
        <v>1158</v>
      </c>
      <c r="C17" s="5">
        <v>46163</v>
      </c>
      <c r="D17" s="1" t="s">
        <v>60</v>
      </c>
      <c r="E17" s="6" t="s">
        <v>39</v>
      </c>
      <c r="F17" s="6" t="s">
        <v>32</v>
      </c>
      <c r="G17" s="1" t="s">
        <v>1142</v>
      </c>
      <c r="H17" s="1" t="s">
        <v>1140</v>
      </c>
      <c r="I17" s="1" t="s">
        <v>93</v>
      </c>
      <c r="J17" s="1" t="s">
        <v>226</v>
      </c>
    </row>
    <row r="18" spans="1:10">
      <c r="A18" s="1">
        <v>15</v>
      </c>
      <c r="B18" s="1" t="s">
        <v>1159</v>
      </c>
      <c r="C18" s="5">
        <v>46169</v>
      </c>
      <c r="D18" s="1" t="s">
        <v>60</v>
      </c>
      <c r="E18" s="6" t="s">
        <v>65</v>
      </c>
      <c r="F18" s="6" t="s">
        <v>41</v>
      </c>
      <c r="G18" s="1" t="s">
        <v>1139</v>
      </c>
      <c r="H18" s="1" t="s">
        <v>1143</v>
      </c>
      <c r="I18" s="1" t="s">
        <v>22</v>
      </c>
      <c r="J18" s="1" t="s">
        <v>582</v>
      </c>
    </row>
    <row r="19" spans="1:10">
      <c r="A19" s="1">
        <v>16</v>
      </c>
      <c r="B19" s="1" t="s">
        <v>1160</v>
      </c>
      <c r="C19" s="5">
        <v>46149</v>
      </c>
      <c r="D19" s="1" t="s">
        <v>60</v>
      </c>
      <c r="E19" s="6" t="s">
        <v>5</v>
      </c>
      <c r="F19" s="6" t="s">
        <v>15</v>
      </c>
      <c r="G19" s="1" t="s">
        <v>1152</v>
      </c>
      <c r="H19" s="1" t="s">
        <v>1143</v>
      </c>
      <c r="I19" s="1" t="s">
        <v>41</v>
      </c>
      <c r="J19" s="1" t="s">
        <v>582</v>
      </c>
    </row>
    <row r="20" spans="1:10">
      <c r="A20" s="1">
        <v>17</v>
      </c>
      <c r="B20" s="1" t="s">
        <v>1161</v>
      </c>
      <c r="C20" s="5">
        <v>46194</v>
      </c>
      <c r="D20" s="1" t="s">
        <v>73</v>
      </c>
      <c r="E20" s="6" t="s">
        <v>58</v>
      </c>
      <c r="F20" s="6" t="s">
        <v>28</v>
      </c>
      <c r="G20" s="1" t="s">
        <v>1142</v>
      </c>
      <c r="H20" s="1" t="s">
        <v>1143</v>
      </c>
      <c r="I20" s="1" t="s">
        <v>104</v>
      </c>
      <c r="J20" s="1" t="s">
        <v>226</v>
      </c>
    </row>
    <row r="21" spans="1:10">
      <c r="A21" s="1">
        <v>18</v>
      </c>
      <c r="B21" s="1" t="s">
        <v>1162</v>
      </c>
      <c r="C21" s="5">
        <v>46187</v>
      </c>
      <c r="D21" s="1" t="s">
        <v>73</v>
      </c>
      <c r="E21" s="6" t="s">
        <v>46</v>
      </c>
      <c r="F21" s="6" t="s">
        <v>28</v>
      </c>
      <c r="G21" s="1" t="s">
        <v>1152</v>
      </c>
      <c r="H21" s="1" t="s">
        <v>1140</v>
      </c>
      <c r="I21" s="1" t="s">
        <v>28</v>
      </c>
      <c r="J21" s="1" t="s">
        <v>582</v>
      </c>
    </row>
    <row r="22" spans="1:10">
      <c r="A22" s="1">
        <v>19</v>
      </c>
      <c r="B22" s="1" t="s">
        <v>1163</v>
      </c>
      <c r="C22" s="5">
        <v>46178</v>
      </c>
      <c r="D22" s="1" t="s">
        <v>73</v>
      </c>
      <c r="E22" s="6" t="s">
        <v>46</v>
      </c>
      <c r="F22" s="6" t="s">
        <v>78</v>
      </c>
      <c r="G22" s="1" t="s">
        <v>1152</v>
      </c>
      <c r="H22" s="1" t="s">
        <v>1143</v>
      </c>
      <c r="I22" s="1" t="s">
        <v>7</v>
      </c>
      <c r="J22" s="1" t="s">
        <v>1144</v>
      </c>
    </row>
    <row r="23" spans="1:10">
      <c r="A23" s="1">
        <v>20</v>
      </c>
      <c r="B23" s="1" t="s">
        <v>1164</v>
      </c>
      <c r="C23" s="5">
        <v>46182</v>
      </c>
      <c r="D23" s="1" t="s">
        <v>73</v>
      </c>
      <c r="E23" s="6" t="s">
        <v>27</v>
      </c>
      <c r="F23" s="6" t="s">
        <v>7</v>
      </c>
      <c r="G23" s="1" t="s">
        <v>1147</v>
      </c>
      <c r="H23" s="1" t="s">
        <v>1143</v>
      </c>
      <c r="I23" s="1" t="s">
        <v>66</v>
      </c>
      <c r="J23" s="1" t="s">
        <v>582</v>
      </c>
    </row>
    <row r="24" spans="1:10">
      <c r="A24" s="1">
        <v>21</v>
      </c>
      <c r="B24" s="1" t="s">
        <v>1165</v>
      </c>
      <c r="C24" s="5">
        <v>46209</v>
      </c>
      <c r="D24" s="1" t="s">
        <v>76</v>
      </c>
      <c r="E24" s="6" t="s">
        <v>39</v>
      </c>
      <c r="F24" s="6" t="s">
        <v>78</v>
      </c>
      <c r="G24" s="1" t="s">
        <v>1147</v>
      </c>
      <c r="H24" s="1" t="s">
        <v>1143</v>
      </c>
      <c r="I24" s="1" t="s">
        <v>66</v>
      </c>
      <c r="J24" s="1" t="s">
        <v>582</v>
      </c>
    </row>
    <row r="25" spans="1:10">
      <c r="A25" s="1">
        <v>22</v>
      </c>
      <c r="B25" s="1" t="s">
        <v>1166</v>
      </c>
      <c r="C25" s="5">
        <v>46221</v>
      </c>
      <c r="D25" s="1" t="s">
        <v>76</v>
      </c>
      <c r="E25" s="6" t="s">
        <v>27</v>
      </c>
      <c r="F25" s="6" t="s">
        <v>68</v>
      </c>
      <c r="G25" s="1" t="s">
        <v>1152</v>
      </c>
      <c r="H25" s="1" t="s">
        <v>1143</v>
      </c>
      <c r="I25" s="1" t="s">
        <v>22</v>
      </c>
      <c r="J25" s="1" t="s">
        <v>582</v>
      </c>
    </row>
    <row r="26" spans="1:10">
      <c r="A26" s="1">
        <v>23</v>
      </c>
      <c r="B26" s="1" t="s">
        <v>1167</v>
      </c>
      <c r="C26" s="5">
        <v>46207</v>
      </c>
      <c r="D26" s="1" t="s">
        <v>76</v>
      </c>
      <c r="E26" s="6" t="s">
        <v>58</v>
      </c>
      <c r="F26" s="6" t="s">
        <v>93</v>
      </c>
      <c r="G26" s="1" t="s">
        <v>1152</v>
      </c>
      <c r="H26" s="1" t="s">
        <v>1143</v>
      </c>
      <c r="I26" s="1" t="s">
        <v>28</v>
      </c>
      <c r="J26" s="1" t="s">
        <v>582</v>
      </c>
    </row>
    <row r="27" spans="1:10">
      <c r="A27" s="1">
        <v>24</v>
      </c>
      <c r="B27" s="1" t="s">
        <v>1168</v>
      </c>
      <c r="C27" s="5">
        <v>46214</v>
      </c>
      <c r="D27" s="1" t="s">
        <v>76</v>
      </c>
      <c r="E27" s="6" t="s">
        <v>27</v>
      </c>
      <c r="F27" s="6" t="s">
        <v>78</v>
      </c>
      <c r="G27" s="1" t="s">
        <v>1139</v>
      </c>
      <c r="H27" s="1" t="s">
        <v>1143</v>
      </c>
      <c r="I27" s="1" t="s">
        <v>15</v>
      </c>
      <c r="J27" s="1" t="s">
        <v>582</v>
      </c>
    </row>
    <row r="28" spans="1:10">
      <c r="A28" s="1">
        <v>25</v>
      </c>
      <c r="B28" s="1" t="s">
        <v>1169</v>
      </c>
      <c r="C28" s="5">
        <v>46221</v>
      </c>
      <c r="D28" s="1" t="s">
        <v>76</v>
      </c>
      <c r="E28" s="6" t="s">
        <v>50</v>
      </c>
      <c r="F28" s="6" t="s">
        <v>104</v>
      </c>
      <c r="G28" s="1" t="s">
        <v>1142</v>
      </c>
      <c r="H28" s="1" t="s">
        <v>1140</v>
      </c>
      <c r="I28" s="1" t="s">
        <v>68</v>
      </c>
      <c r="J28" s="1" t="s">
        <v>1144</v>
      </c>
    </row>
    <row r="29" spans="1:10">
      <c r="A29" s="1">
        <v>26</v>
      </c>
      <c r="B29" s="1" t="s">
        <v>1170</v>
      </c>
      <c r="C29" s="5">
        <v>46240</v>
      </c>
      <c r="D29" s="1" t="s">
        <v>86</v>
      </c>
      <c r="E29" s="6" t="s">
        <v>13</v>
      </c>
      <c r="F29" s="6" t="s">
        <v>36</v>
      </c>
      <c r="G29" s="1" t="s">
        <v>1142</v>
      </c>
      <c r="H29" s="1" t="s">
        <v>1140</v>
      </c>
      <c r="I29" s="1" t="s">
        <v>22</v>
      </c>
      <c r="J29" s="1" t="s">
        <v>331</v>
      </c>
    </row>
    <row r="30" spans="1:10">
      <c r="A30" s="1">
        <v>27</v>
      </c>
      <c r="B30" s="1" t="s">
        <v>1171</v>
      </c>
      <c r="C30" s="5">
        <v>46249</v>
      </c>
      <c r="D30" s="1" t="s">
        <v>86</v>
      </c>
      <c r="E30" s="6" t="s">
        <v>5</v>
      </c>
      <c r="F30" s="6" t="s">
        <v>41</v>
      </c>
      <c r="G30" s="1" t="s">
        <v>1139</v>
      </c>
      <c r="H30" s="1" t="s">
        <v>1140</v>
      </c>
      <c r="I30" s="1" t="s">
        <v>15</v>
      </c>
      <c r="J30" s="1" t="s">
        <v>226</v>
      </c>
    </row>
    <row r="31" spans="1:10">
      <c r="A31" s="1">
        <v>28</v>
      </c>
      <c r="B31" s="1" t="s">
        <v>1172</v>
      </c>
      <c r="C31" s="5">
        <v>46241</v>
      </c>
      <c r="D31" s="1" t="s">
        <v>86</v>
      </c>
      <c r="E31" s="6" t="s">
        <v>89</v>
      </c>
      <c r="F31" s="6" t="s">
        <v>28</v>
      </c>
      <c r="G31" s="1" t="s">
        <v>1147</v>
      </c>
      <c r="H31" s="1" t="s">
        <v>1140</v>
      </c>
      <c r="I31" s="1" t="s">
        <v>15</v>
      </c>
      <c r="J31" s="1" t="s">
        <v>226</v>
      </c>
    </row>
    <row r="32" spans="1:10">
      <c r="A32" s="1">
        <v>29</v>
      </c>
      <c r="B32" s="1" t="s">
        <v>1173</v>
      </c>
      <c r="C32" s="5">
        <v>46259</v>
      </c>
      <c r="D32" s="1" t="s">
        <v>86</v>
      </c>
      <c r="E32" s="6" t="s">
        <v>13</v>
      </c>
      <c r="F32" s="6" t="s">
        <v>36</v>
      </c>
      <c r="G32" s="1" t="s">
        <v>1139</v>
      </c>
      <c r="H32" s="1" t="s">
        <v>1143</v>
      </c>
      <c r="I32" s="1" t="s">
        <v>93</v>
      </c>
      <c r="J32" s="1" t="s">
        <v>331</v>
      </c>
    </row>
    <row r="33" spans="1:10">
      <c r="A33" s="1">
        <v>30</v>
      </c>
      <c r="B33" s="1" t="s">
        <v>1174</v>
      </c>
      <c r="C33" s="5">
        <v>46289</v>
      </c>
      <c r="D33" s="1" t="s">
        <v>102</v>
      </c>
      <c r="E33" s="6" t="s">
        <v>89</v>
      </c>
      <c r="F33" s="6" t="s">
        <v>28</v>
      </c>
      <c r="G33" s="1" t="s">
        <v>1139</v>
      </c>
      <c r="H33" s="1" t="s">
        <v>1140</v>
      </c>
      <c r="I33" s="1" t="s">
        <v>36</v>
      </c>
      <c r="J33" s="1" t="s">
        <v>582</v>
      </c>
    </row>
    <row r="34" spans="1:10">
      <c r="A34" s="1">
        <v>31</v>
      </c>
      <c r="B34" s="1" t="s">
        <v>1175</v>
      </c>
      <c r="C34" s="5">
        <v>46290</v>
      </c>
      <c r="D34" s="1" t="s">
        <v>102</v>
      </c>
      <c r="E34" s="6" t="s">
        <v>58</v>
      </c>
      <c r="F34" s="6" t="s">
        <v>68</v>
      </c>
      <c r="G34" s="1" t="s">
        <v>1142</v>
      </c>
      <c r="H34" s="1" t="s">
        <v>1143</v>
      </c>
      <c r="I34" s="1" t="s">
        <v>68</v>
      </c>
      <c r="J34" s="1" t="s">
        <v>226</v>
      </c>
    </row>
    <row r="35" spans="1:10">
      <c r="A35" s="1">
        <v>32</v>
      </c>
      <c r="B35" s="1" t="s">
        <v>1176</v>
      </c>
      <c r="C35" s="5">
        <v>46279</v>
      </c>
      <c r="D35" s="1" t="s">
        <v>102</v>
      </c>
      <c r="E35" s="6" t="s">
        <v>65</v>
      </c>
      <c r="F35" s="6" t="s">
        <v>7</v>
      </c>
      <c r="G35" s="1" t="s">
        <v>1152</v>
      </c>
      <c r="H35" s="1" t="s">
        <v>1143</v>
      </c>
      <c r="I35" s="1" t="s">
        <v>32</v>
      </c>
      <c r="J35" s="1" t="s">
        <v>582</v>
      </c>
    </row>
    <row r="36" spans="1:10">
      <c r="A36" s="1">
        <v>33</v>
      </c>
      <c r="B36" s="1" t="s">
        <v>1177</v>
      </c>
      <c r="C36" s="5">
        <v>46317</v>
      </c>
      <c r="D36" s="1" t="s">
        <v>106</v>
      </c>
      <c r="E36" s="6" t="s">
        <v>65</v>
      </c>
      <c r="F36" s="6" t="s">
        <v>70</v>
      </c>
      <c r="G36" s="1" t="s">
        <v>1147</v>
      </c>
      <c r="H36" s="1" t="s">
        <v>1140</v>
      </c>
      <c r="I36" s="1" t="s">
        <v>68</v>
      </c>
      <c r="J36" s="1" t="s">
        <v>331</v>
      </c>
    </row>
    <row r="37" spans="1:10">
      <c r="A37" s="1">
        <v>34</v>
      </c>
      <c r="B37" s="1" t="s">
        <v>1178</v>
      </c>
      <c r="C37" s="5">
        <v>46312</v>
      </c>
      <c r="D37" s="1" t="s">
        <v>106</v>
      </c>
      <c r="E37" s="6" t="s">
        <v>58</v>
      </c>
      <c r="F37" s="6" t="s">
        <v>62</v>
      </c>
      <c r="G37" s="1" t="s">
        <v>1147</v>
      </c>
      <c r="H37" s="1" t="s">
        <v>1140</v>
      </c>
      <c r="I37" s="1" t="s">
        <v>78</v>
      </c>
      <c r="J37" s="1" t="s">
        <v>582</v>
      </c>
    </row>
    <row r="38" spans="1:10">
      <c r="A38" s="1">
        <v>35</v>
      </c>
      <c r="B38" s="1" t="s">
        <v>1179</v>
      </c>
      <c r="C38" s="5">
        <v>46297</v>
      </c>
      <c r="D38" s="1" t="s">
        <v>106</v>
      </c>
      <c r="E38" s="6" t="s">
        <v>39</v>
      </c>
      <c r="F38" s="6" t="s">
        <v>36</v>
      </c>
      <c r="G38" s="1" t="s">
        <v>1152</v>
      </c>
      <c r="H38" s="1" t="s">
        <v>1143</v>
      </c>
      <c r="I38" s="1" t="s">
        <v>15</v>
      </c>
      <c r="J38" s="1" t="s">
        <v>226</v>
      </c>
    </row>
    <row r="39" spans="1:10">
      <c r="A39" s="1">
        <v>36</v>
      </c>
      <c r="B39" s="1" t="s">
        <v>1180</v>
      </c>
      <c r="C39" s="5">
        <v>46316</v>
      </c>
      <c r="D39" s="1" t="s">
        <v>106</v>
      </c>
      <c r="E39" s="6" t="s">
        <v>39</v>
      </c>
      <c r="F39" s="6" t="s">
        <v>22</v>
      </c>
      <c r="G39" s="1" t="s">
        <v>1139</v>
      </c>
      <c r="H39" s="1" t="s">
        <v>1140</v>
      </c>
      <c r="I39" s="1" t="s">
        <v>70</v>
      </c>
      <c r="J39" s="1" t="s">
        <v>582</v>
      </c>
    </row>
    <row r="40" spans="1:10">
      <c r="A40" s="1">
        <v>37</v>
      </c>
      <c r="B40" s="1" t="s">
        <v>1181</v>
      </c>
      <c r="C40" s="5">
        <v>46298</v>
      </c>
      <c r="D40" s="1" t="s">
        <v>106</v>
      </c>
      <c r="E40" s="6" t="s">
        <v>13</v>
      </c>
      <c r="F40" s="6" t="s">
        <v>93</v>
      </c>
      <c r="G40" s="1" t="s">
        <v>1152</v>
      </c>
      <c r="H40" s="1" t="s">
        <v>1140</v>
      </c>
      <c r="I40" s="1" t="s">
        <v>68</v>
      </c>
      <c r="J40" s="1" t="s">
        <v>582</v>
      </c>
    </row>
    <row r="41" spans="1:10">
      <c r="A41" s="1">
        <v>38</v>
      </c>
      <c r="B41" s="1" t="s">
        <v>1182</v>
      </c>
      <c r="C41" s="5">
        <v>46304</v>
      </c>
      <c r="D41" s="1" t="s">
        <v>106</v>
      </c>
      <c r="E41" s="6" t="s">
        <v>5</v>
      </c>
      <c r="F41" s="6" t="s">
        <v>28</v>
      </c>
      <c r="G41" s="1" t="s">
        <v>1142</v>
      </c>
      <c r="H41" s="1" t="s">
        <v>1143</v>
      </c>
      <c r="I41" s="1" t="s">
        <v>62</v>
      </c>
      <c r="J41" s="1" t="s">
        <v>582</v>
      </c>
    </row>
    <row r="42" spans="1:10">
      <c r="A42" s="1">
        <v>39</v>
      </c>
      <c r="B42" s="1" t="s">
        <v>1183</v>
      </c>
      <c r="C42" s="5">
        <v>46349</v>
      </c>
      <c r="D42" s="1" t="s">
        <v>111</v>
      </c>
      <c r="E42" s="6" t="s">
        <v>13</v>
      </c>
      <c r="F42" s="6" t="s">
        <v>15</v>
      </c>
      <c r="G42" s="1" t="s">
        <v>1139</v>
      </c>
      <c r="H42" s="1" t="s">
        <v>1143</v>
      </c>
      <c r="I42" s="1" t="s">
        <v>70</v>
      </c>
      <c r="J42" s="1" t="s">
        <v>226</v>
      </c>
    </row>
    <row r="43" spans="1:10">
      <c r="A43" s="1">
        <v>40</v>
      </c>
      <c r="B43" s="1" t="s">
        <v>1184</v>
      </c>
      <c r="C43" s="5">
        <v>46353</v>
      </c>
      <c r="D43" s="1" t="s">
        <v>111</v>
      </c>
      <c r="E43" s="6" t="s">
        <v>46</v>
      </c>
      <c r="F43" s="6" t="s">
        <v>28</v>
      </c>
      <c r="G43" s="1" t="s">
        <v>1152</v>
      </c>
      <c r="H43" s="1" t="s">
        <v>1143</v>
      </c>
      <c r="I43" s="1" t="s">
        <v>28</v>
      </c>
      <c r="J43" s="1" t="s">
        <v>226</v>
      </c>
    </row>
    <row r="44" spans="1:10">
      <c r="A44" s="1">
        <v>41</v>
      </c>
      <c r="B44" s="1" t="s">
        <v>1185</v>
      </c>
      <c r="C44" s="5">
        <v>46329</v>
      </c>
      <c r="D44" s="1" t="s">
        <v>111</v>
      </c>
      <c r="E44" s="6" t="s">
        <v>65</v>
      </c>
      <c r="F44" s="6" t="s">
        <v>28</v>
      </c>
      <c r="G44" s="1" t="s">
        <v>1139</v>
      </c>
      <c r="H44" s="1" t="s">
        <v>1140</v>
      </c>
      <c r="I44" s="1" t="s">
        <v>15</v>
      </c>
      <c r="J44" s="1" t="s">
        <v>1144</v>
      </c>
    </row>
    <row r="45" spans="1:10">
      <c r="A45" s="1">
        <v>42</v>
      </c>
      <c r="B45" s="1" t="s">
        <v>1186</v>
      </c>
      <c r="C45" s="5">
        <v>46349</v>
      </c>
      <c r="D45" s="1" t="s">
        <v>111</v>
      </c>
      <c r="E45" s="6" t="s">
        <v>89</v>
      </c>
      <c r="F45" s="6" t="s">
        <v>28</v>
      </c>
      <c r="G45" s="1" t="s">
        <v>1142</v>
      </c>
      <c r="H45" s="1" t="s">
        <v>1143</v>
      </c>
      <c r="I45" s="1" t="s">
        <v>78</v>
      </c>
      <c r="J45" s="1" t="s">
        <v>582</v>
      </c>
    </row>
    <row r="46" spans="1:10">
      <c r="A46" s="1">
        <v>43</v>
      </c>
      <c r="B46" s="1" t="s">
        <v>1187</v>
      </c>
      <c r="C46" s="5">
        <v>46341</v>
      </c>
      <c r="D46" s="1" t="s">
        <v>111</v>
      </c>
      <c r="E46" s="6" t="s">
        <v>89</v>
      </c>
      <c r="F46" s="6" t="s">
        <v>62</v>
      </c>
      <c r="G46" s="1" t="s">
        <v>1147</v>
      </c>
      <c r="H46" s="1" t="s">
        <v>1140</v>
      </c>
      <c r="I46" s="1" t="s">
        <v>7</v>
      </c>
      <c r="J46" s="1" t="s">
        <v>226</v>
      </c>
    </row>
    <row r="47" spans="1:10">
      <c r="A47" s="1">
        <v>44</v>
      </c>
      <c r="B47" s="1" t="s">
        <v>1188</v>
      </c>
      <c r="C47" s="5">
        <v>46333</v>
      </c>
      <c r="D47" s="1" t="s">
        <v>111</v>
      </c>
      <c r="E47" s="6" t="s">
        <v>58</v>
      </c>
      <c r="F47" s="6" t="s">
        <v>104</v>
      </c>
      <c r="G47" s="1" t="s">
        <v>1142</v>
      </c>
      <c r="H47" s="1" t="s">
        <v>1143</v>
      </c>
      <c r="I47" s="1" t="s">
        <v>62</v>
      </c>
      <c r="J47" s="1" t="s">
        <v>582</v>
      </c>
    </row>
    <row r="48" spans="1:10">
      <c r="A48" s="1">
        <v>45</v>
      </c>
      <c r="B48" s="1" t="s">
        <v>1189</v>
      </c>
      <c r="C48" s="5">
        <v>46332</v>
      </c>
      <c r="D48" s="1" t="s">
        <v>111</v>
      </c>
      <c r="E48" s="6" t="s">
        <v>39</v>
      </c>
      <c r="F48" s="6" t="s">
        <v>68</v>
      </c>
      <c r="G48" s="1" t="s">
        <v>1152</v>
      </c>
      <c r="H48" s="1" t="s">
        <v>1140</v>
      </c>
      <c r="I48" s="1" t="s">
        <v>62</v>
      </c>
      <c r="J48" s="1" t="s">
        <v>226</v>
      </c>
    </row>
    <row r="49" spans="1:10">
      <c r="A49" s="1">
        <v>46</v>
      </c>
      <c r="B49" s="1" t="s">
        <v>1190</v>
      </c>
      <c r="C49" s="5">
        <v>46347</v>
      </c>
      <c r="D49" s="1" t="s">
        <v>111</v>
      </c>
      <c r="E49" s="6" t="s">
        <v>46</v>
      </c>
      <c r="F49" s="6" t="s">
        <v>66</v>
      </c>
      <c r="G49" s="1" t="s">
        <v>1142</v>
      </c>
      <c r="H49" s="1" t="s">
        <v>1143</v>
      </c>
      <c r="I49" s="1" t="s">
        <v>78</v>
      </c>
      <c r="J49" s="1" t="s">
        <v>582</v>
      </c>
    </row>
    <row r="50" spans="1:10">
      <c r="A50" s="1">
        <v>47</v>
      </c>
      <c r="B50" s="1" t="s">
        <v>1191</v>
      </c>
      <c r="C50" s="5">
        <v>46371</v>
      </c>
      <c r="D50" s="1" t="s">
        <v>122</v>
      </c>
      <c r="E50" s="6" t="s">
        <v>27</v>
      </c>
      <c r="F50" s="6" t="s">
        <v>66</v>
      </c>
      <c r="G50" s="1" t="s">
        <v>1147</v>
      </c>
      <c r="H50" s="1" t="s">
        <v>1140</v>
      </c>
      <c r="I50" s="1" t="s">
        <v>22</v>
      </c>
      <c r="J50" s="1" t="s">
        <v>582</v>
      </c>
    </row>
    <row r="51" spans="1:10">
      <c r="A51" s="1">
        <v>48</v>
      </c>
      <c r="B51" s="1" t="s">
        <v>1192</v>
      </c>
      <c r="C51" s="5">
        <v>46357</v>
      </c>
      <c r="D51" s="1" t="s">
        <v>122</v>
      </c>
      <c r="E51" s="6" t="s">
        <v>46</v>
      </c>
      <c r="F51" s="6" t="s">
        <v>7</v>
      </c>
      <c r="G51" s="1" t="s">
        <v>1152</v>
      </c>
      <c r="H51" s="1" t="s">
        <v>1140</v>
      </c>
      <c r="I51" s="1" t="s">
        <v>62</v>
      </c>
      <c r="J51" s="1" t="s">
        <v>226</v>
      </c>
    </row>
  </sheetData>
  <mergeCells count="2">
    <mergeCell ref="A1:J1"/>
    <mergeCell ref="A2:J2"/>
  </mergeCells>
  <dataValidations count="2">
    <dataValidation type="list" allowBlank="1" showInputMessage="1" showErrorMessage="1" sqref="E4:E100003">
      <formula1>L_Dept</formula1>
    </dataValidation>
    <dataValidation type="list" allowBlank="1" showInputMessage="1" showErrorMessage="1" sqref="J4:J100003">
      <formula1>L_Status</formula1>
    </dataValidation>
  </dataValidations>
  <hyperlinks>
    <hyperlink ref="L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>
    <tabColor rgb="FF64748B"/>
    <pageSetUpPr fitToPage="1"/>
  </sheetPr>
  <dimension ref="A1:P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1.7109375" style="1" customWidth="1"/>
    <col min="3" max="4" width="9.7109375" style="1" customWidth="1"/>
    <col min="5" max="5" width="21.7109375" style="1" customWidth="1"/>
    <col min="6" max="6" width="12.7109375" style="1" customWidth="1"/>
    <col min="7" max="7" width="10.7109375" style="1" customWidth="1"/>
    <col min="8" max="8" width="9.7109375" style="1" customWidth="1"/>
    <col min="9" max="10" width="18.7109375" style="1" customWidth="1"/>
    <col min="11" max="11" width="19.7109375" style="1" customWidth="1"/>
    <col min="12" max="12" width="14.7109375" style="2" customWidth="1"/>
    <col min="13" max="13" width="9.7109375" style="1" customWidth="1"/>
    <col min="14" max="14" width="17.7109375" style="1" customWidth="1"/>
  </cols>
  <sheetData>
    <row r="1" spans="1:16" ht="22" customHeight="1">
      <c r="A1" s="3" t="s">
        <v>1198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4" t="s">
        <v>139</v>
      </c>
    </row>
    <row r="2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>
      <c r="A3" s="1" t="s">
        <v>124</v>
      </c>
      <c r="B3" s="1" t="s">
        <v>772</v>
      </c>
      <c r="C3" s="1" t="s">
        <v>126</v>
      </c>
      <c r="D3" s="1" t="s">
        <v>127</v>
      </c>
      <c r="E3" s="1" t="s">
        <v>1252</v>
      </c>
      <c r="F3" s="1" t="s">
        <v>129</v>
      </c>
      <c r="G3" s="1" t="s">
        <v>130</v>
      </c>
      <c r="H3" s="1" t="s">
        <v>1253</v>
      </c>
      <c r="I3" s="1" t="s">
        <v>1254</v>
      </c>
      <c r="J3" s="1" t="s">
        <v>1255</v>
      </c>
      <c r="K3" s="1" t="s">
        <v>1256</v>
      </c>
      <c r="L3" s="2" t="s">
        <v>1257</v>
      </c>
      <c r="M3" s="1" t="s">
        <v>1258</v>
      </c>
      <c r="N3" s="1" t="s">
        <v>137</v>
      </c>
    </row>
    <row r="4" spans="1:16">
      <c r="A4" s="1">
        <v>1</v>
      </c>
      <c r="B4" s="1" t="s">
        <v>1199</v>
      </c>
      <c r="C4" s="5">
        <v>46039</v>
      </c>
      <c r="D4" s="1" t="s">
        <v>3</v>
      </c>
      <c r="E4" s="6" t="s">
        <v>1200</v>
      </c>
      <c r="F4" s="6" t="s">
        <v>39</v>
      </c>
      <c r="G4" s="1" t="s">
        <v>77</v>
      </c>
      <c r="H4" s="1" t="s">
        <v>62</v>
      </c>
      <c r="I4" s="1">
        <v>25</v>
      </c>
      <c r="J4" s="1">
        <v>4</v>
      </c>
      <c r="K4" s="1">
        <v>49</v>
      </c>
      <c r="L4" s="2">
        <f>IFERROR((K4-J4)/K4*100,0)</f>
        <v>0</v>
      </c>
      <c r="M4" s="1" t="s">
        <v>159</v>
      </c>
      <c r="N4" s="1" t="s">
        <v>23</v>
      </c>
    </row>
    <row r="5" spans="1:16">
      <c r="A5" s="1">
        <v>2</v>
      </c>
      <c r="B5" s="1" t="s">
        <v>1201</v>
      </c>
      <c r="C5" s="5">
        <v>46026</v>
      </c>
      <c r="D5" s="1" t="s">
        <v>3</v>
      </c>
      <c r="E5" s="6" t="s">
        <v>1200</v>
      </c>
      <c r="F5" s="6" t="s">
        <v>65</v>
      </c>
      <c r="G5" s="1" t="s">
        <v>80</v>
      </c>
      <c r="H5" s="1" t="s">
        <v>36</v>
      </c>
      <c r="I5" s="1">
        <v>45</v>
      </c>
      <c r="J5" s="1">
        <v>8</v>
      </c>
      <c r="K5" s="1">
        <v>21</v>
      </c>
      <c r="L5" s="2">
        <f>IFERROR((K5-J5)/K5*100,0)</f>
        <v>0</v>
      </c>
      <c r="M5" s="1" t="s">
        <v>159</v>
      </c>
      <c r="N5" s="1" t="s">
        <v>9</v>
      </c>
    </row>
    <row r="6" spans="1:16">
      <c r="A6" s="1">
        <v>3</v>
      </c>
      <c r="B6" s="1" t="s">
        <v>1202</v>
      </c>
      <c r="C6" s="5">
        <v>46033</v>
      </c>
      <c r="D6" s="1" t="s">
        <v>3</v>
      </c>
      <c r="E6" s="6" t="s">
        <v>1203</v>
      </c>
      <c r="F6" s="6" t="s">
        <v>89</v>
      </c>
      <c r="G6" s="1" t="s">
        <v>95</v>
      </c>
      <c r="H6" s="1" t="s">
        <v>104</v>
      </c>
      <c r="I6" s="1">
        <v>25</v>
      </c>
      <c r="J6" s="1">
        <v>7</v>
      </c>
      <c r="K6" s="1">
        <v>32</v>
      </c>
      <c r="L6" s="2">
        <f>IFERROR((K6-J6)/K6*100,0)</f>
        <v>0</v>
      </c>
      <c r="M6" s="1" t="s">
        <v>159</v>
      </c>
      <c r="N6" s="1" t="s">
        <v>23</v>
      </c>
    </row>
    <row r="7" spans="1:16">
      <c r="A7" s="1">
        <v>4</v>
      </c>
      <c r="B7" s="1" t="s">
        <v>1204</v>
      </c>
      <c r="C7" s="5">
        <v>46055</v>
      </c>
      <c r="D7" s="1" t="s">
        <v>19</v>
      </c>
      <c r="E7" s="6" t="s">
        <v>61</v>
      </c>
      <c r="F7" s="6" t="s">
        <v>58</v>
      </c>
      <c r="G7" s="1" t="s">
        <v>80</v>
      </c>
      <c r="H7" s="1" t="s">
        <v>28</v>
      </c>
      <c r="I7" s="1">
        <v>34</v>
      </c>
      <c r="J7" s="1">
        <v>8</v>
      </c>
      <c r="K7" s="1">
        <v>19</v>
      </c>
      <c r="L7" s="2">
        <f>IFERROR((K7-J7)/K7*100,0)</f>
        <v>0</v>
      </c>
      <c r="M7" s="1" t="s">
        <v>159</v>
      </c>
      <c r="N7" s="1" t="s">
        <v>9</v>
      </c>
    </row>
    <row r="8" spans="1:16">
      <c r="A8" s="1">
        <v>5</v>
      </c>
      <c r="B8" s="1" t="s">
        <v>1205</v>
      </c>
      <c r="C8" s="5">
        <v>46067</v>
      </c>
      <c r="D8" s="1" t="s">
        <v>19</v>
      </c>
      <c r="E8" s="6" t="s">
        <v>61</v>
      </c>
      <c r="F8" s="6" t="s">
        <v>65</v>
      </c>
      <c r="G8" s="1" t="s">
        <v>14</v>
      </c>
      <c r="H8" s="1" t="s">
        <v>93</v>
      </c>
      <c r="I8" s="1">
        <v>23</v>
      </c>
      <c r="J8" s="1">
        <v>8</v>
      </c>
      <c r="K8" s="1">
        <v>40</v>
      </c>
      <c r="L8" s="2">
        <f>IFERROR((K8-J8)/K8*100,0)</f>
        <v>0</v>
      </c>
      <c r="M8" s="1" t="s">
        <v>149</v>
      </c>
      <c r="N8" s="1" t="s">
        <v>9</v>
      </c>
    </row>
    <row r="9" spans="1:16">
      <c r="A9" s="1">
        <v>6</v>
      </c>
      <c r="B9" s="1" t="s">
        <v>1206</v>
      </c>
      <c r="C9" s="5">
        <v>46068</v>
      </c>
      <c r="D9" s="1" t="s">
        <v>19</v>
      </c>
      <c r="E9" s="6" t="s">
        <v>1200</v>
      </c>
      <c r="F9" s="6" t="s">
        <v>58</v>
      </c>
      <c r="G9" s="1" t="s">
        <v>80</v>
      </c>
      <c r="H9" s="1" t="s">
        <v>41</v>
      </c>
      <c r="I9" s="1">
        <v>16</v>
      </c>
      <c r="J9" s="1">
        <v>6</v>
      </c>
      <c r="K9" s="1">
        <v>46</v>
      </c>
      <c r="L9" s="2">
        <f>IFERROR((K9-J9)/K9*100,0)</f>
        <v>0</v>
      </c>
      <c r="M9" s="1" t="s">
        <v>149</v>
      </c>
      <c r="N9" s="1" t="s">
        <v>9</v>
      </c>
    </row>
    <row r="10" spans="1:16">
      <c r="A10" s="1">
        <v>7</v>
      </c>
      <c r="B10" s="1" t="s">
        <v>1207</v>
      </c>
      <c r="C10" s="5">
        <v>46068</v>
      </c>
      <c r="D10" s="1" t="s">
        <v>19</v>
      </c>
      <c r="E10" s="6" t="s">
        <v>1208</v>
      </c>
      <c r="F10" s="6" t="s">
        <v>89</v>
      </c>
      <c r="G10" s="1" t="s">
        <v>31</v>
      </c>
      <c r="H10" s="1" t="s">
        <v>62</v>
      </c>
      <c r="I10" s="1">
        <v>45</v>
      </c>
      <c r="J10" s="1">
        <v>0</v>
      </c>
      <c r="K10" s="1">
        <v>36</v>
      </c>
      <c r="L10" s="2">
        <f>IFERROR((K10-J10)/K10*100,0)</f>
        <v>0</v>
      </c>
      <c r="M10" s="1" t="s">
        <v>145</v>
      </c>
      <c r="N10" s="1" t="s">
        <v>9</v>
      </c>
    </row>
    <row r="11" spans="1:16">
      <c r="A11" s="1">
        <v>8</v>
      </c>
      <c r="B11" s="1" t="s">
        <v>1209</v>
      </c>
      <c r="C11" s="5">
        <v>46097</v>
      </c>
      <c r="D11" s="1" t="s">
        <v>44</v>
      </c>
      <c r="E11" s="6" t="s">
        <v>30</v>
      </c>
      <c r="F11" s="6" t="s">
        <v>50</v>
      </c>
      <c r="G11" s="1" t="s">
        <v>77</v>
      </c>
      <c r="H11" s="1" t="s">
        <v>15</v>
      </c>
      <c r="I11" s="1">
        <v>11</v>
      </c>
      <c r="J11" s="1">
        <v>4</v>
      </c>
      <c r="K11" s="1">
        <v>28</v>
      </c>
      <c r="L11" s="2">
        <f>IFERROR((K11-J11)/K11*100,0)</f>
        <v>0</v>
      </c>
      <c r="M11" s="1" t="s">
        <v>149</v>
      </c>
      <c r="N11" s="1" t="s">
        <v>9</v>
      </c>
    </row>
    <row r="12" spans="1:16">
      <c r="A12" s="1">
        <v>9</v>
      </c>
      <c r="B12" s="1" t="s">
        <v>1210</v>
      </c>
      <c r="C12" s="5">
        <v>46088</v>
      </c>
      <c r="D12" s="1" t="s">
        <v>44</v>
      </c>
      <c r="E12" s="6" t="s">
        <v>1208</v>
      </c>
      <c r="F12" s="6" t="s">
        <v>58</v>
      </c>
      <c r="G12" s="1" t="s">
        <v>31</v>
      </c>
      <c r="H12" s="1" t="s">
        <v>70</v>
      </c>
      <c r="I12" s="1">
        <v>14</v>
      </c>
      <c r="J12" s="1">
        <v>6</v>
      </c>
      <c r="K12" s="1">
        <v>30</v>
      </c>
      <c r="L12" s="2">
        <f>IFERROR((K12-J12)/K12*100,0)</f>
        <v>0</v>
      </c>
      <c r="M12" s="1" t="s">
        <v>145</v>
      </c>
      <c r="N12" s="1" t="s">
        <v>9</v>
      </c>
    </row>
    <row r="13" spans="1:16">
      <c r="A13" s="1">
        <v>10</v>
      </c>
      <c r="B13" s="1" t="s">
        <v>1211</v>
      </c>
      <c r="C13" s="5">
        <v>46108</v>
      </c>
      <c r="D13" s="1" t="s">
        <v>44</v>
      </c>
      <c r="E13" s="6" t="s">
        <v>1212</v>
      </c>
      <c r="F13" s="6" t="s">
        <v>13</v>
      </c>
      <c r="G13" s="1" t="s">
        <v>87</v>
      </c>
      <c r="H13" s="1" t="s">
        <v>66</v>
      </c>
      <c r="I13" s="1">
        <v>49</v>
      </c>
      <c r="J13" s="1">
        <v>1</v>
      </c>
      <c r="K13" s="1">
        <v>30</v>
      </c>
      <c r="L13" s="2">
        <f>IFERROR((K13-J13)/K13*100,0)</f>
        <v>0</v>
      </c>
      <c r="M13" s="1" t="s">
        <v>149</v>
      </c>
      <c r="N13" s="1" t="s">
        <v>9</v>
      </c>
    </row>
    <row r="14" spans="1:16">
      <c r="A14" s="1">
        <v>11</v>
      </c>
      <c r="B14" s="1" t="s">
        <v>1213</v>
      </c>
      <c r="C14" s="5">
        <v>46127</v>
      </c>
      <c r="D14" s="1" t="s">
        <v>53</v>
      </c>
      <c r="E14" s="6" t="s">
        <v>1203</v>
      </c>
      <c r="F14" s="6" t="s">
        <v>46</v>
      </c>
      <c r="G14" s="1" t="s">
        <v>51</v>
      </c>
      <c r="H14" s="1" t="s">
        <v>62</v>
      </c>
      <c r="I14" s="1">
        <v>34</v>
      </c>
      <c r="J14" s="1">
        <v>4</v>
      </c>
      <c r="K14" s="1">
        <v>20</v>
      </c>
      <c r="L14" s="2">
        <f>IFERROR((K14-J14)/K14*100,0)</f>
        <v>0</v>
      </c>
      <c r="M14" s="1" t="s">
        <v>159</v>
      </c>
      <c r="N14" s="1" t="s">
        <v>23</v>
      </c>
    </row>
    <row r="15" spans="1:16">
      <c r="A15" s="1">
        <v>12</v>
      </c>
      <c r="B15" s="1" t="s">
        <v>1214</v>
      </c>
      <c r="C15" s="5">
        <v>46125</v>
      </c>
      <c r="D15" s="1" t="s">
        <v>53</v>
      </c>
      <c r="E15" s="6" t="s">
        <v>1203</v>
      </c>
      <c r="F15" s="6" t="s">
        <v>27</v>
      </c>
      <c r="G15" s="1" t="s">
        <v>35</v>
      </c>
      <c r="H15" s="1" t="s">
        <v>15</v>
      </c>
      <c r="I15" s="1">
        <v>50</v>
      </c>
      <c r="J15" s="1">
        <v>4</v>
      </c>
      <c r="K15" s="1">
        <v>45</v>
      </c>
      <c r="L15" s="2">
        <f>IFERROR((K15-J15)/K15*100,0)</f>
        <v>0</v>
      </c>
      <c r="M15" s="1" t="s">
        <v>159</v>
      </c>
      <c r="N15" s="1" t="s">
        <v>23</v>
      </c>
    </row>
    <row r="16" spans="1:16">
      <c r="A16" s="1">
        <v>13</v>
      </c>
      <c r="B16" s="1" t="s">
        <v>1215</v>
      </c>
      <c r="C16" s="5">
        <v>46126</v>
      </c>
      <c r="D16" s="1" t="s">
        <v>53</v>
      </c>
      <c r="E16" s="6" t="s">
        <v>30</v>
      </c>
      <c r="F16" s="6" t="s">
        <v>92</v>
      </c>
      <c r="G16" s="1" t="s">
        <v>82</v>
      </c>
      <c r="H16" s="1" t="s">
        <v>41</v>
      </c>
      <c r="I16" s="1">
        <v>57</v>
      </c>
      <c r="J16" s="1">
        <v>2</v>
      </c>
      <c r="K16" s="1">
        <v>30</v>
      </c>
      <c r="L16" s="2">
        <f>IFERROR((K16-J16)/K16*100,0)</f>
        <v>0</v>
      </c>
      <c r="M16" s="1" t="s">
        <v>159</v>
      </c>
      <c r="N16" s="1" t="s">
        <v>23</v>
      </c>
    </row>
    <row r="17" spans="1:14">
      <c r="A17" s="1">
        <v>14</v>
      </c>
      <c r="B17" s="1" t="s">
        <v>1216</v>
      </c>
      <c r="C17" s="5">
        <v>46150</v>
      </c>
      <c r="D17" s="1" t="s">
        <v>60</v>
      </c>
      <c r="E17" s="6" t="s">
        <v>61</v>
      </c>
      <c r="F17" s="6" t="s">
        <v>92</v>
      </c>
      <c r="G17" s="1" t="s">
        <v>95</v>
      </c>
      <c r="H17" s="1" t="s">
        <v>93</v>
      </c>
      <c r="I17" s="1">
        <v>22</v>
      </c>
      <c r="J17" s="1">
        <v>8</v>
      </c>
      <c r="K17" s="1">
        <v>46</v>
      </c>
      <c r="L17" s="2">
        <f>IFERROR((K17-J17)/K17*100,0)</f>
        <v>0</v>
      </c>
      <c r="M17" s="1" t="s">
        <v>159</v>
      </c>
      <c r="N17" s="1" t="s">
        <v>23</v>
      </c>
    </row>
    <row r="18" spans="1:14">
      <c r="A18" s="1">
        <v>15</v>
      </c>
      <c r="B18" s="1" t="s">
        <v>1217</v>
      </c>
      <c r="C18" s="5">
        <v>46146</v>
      </c>
      <c r="D18" s="1" t="s">
        <v>60</v>
      </c>
      <c r="E18" s="6" t="s">
        <v>1218</v>
      </c>
      <c r="F18" s="6" t="s">
        <v>58</v>
      </c>
      <c r="G18" s="1" t="s">
        <v>31</v>
      </c>
      <c r="H18" s="1" t="s">
        <v>93</v>
      </c>
      <c r="I18" s="1">
        <v>24</v>
      </c>
      <c r="J18" s="1">
        <v>1</v>
      </c>
      <c r="K18" s="1">
        <v>16</v>
      </c>
      <c r="L18" s="2">
        <f>IFERROR((K18-J18)/K18*100,0)</f>
        <v>0</v>
      </c>
      <c r="M18" s="1" t="s">
        <v>149</v>
      </c>
      <c r="N18" s="1" t="s">
        <v>23</v>
      </c>
    </row>
    <row r="19" spans="1:14">
      <c r="A19" s="1">
        <v>16</v>
      </c>
      <c r="B19" s="1" t="s">
        <v>1219</v>
      </c>
      <c r="C19" s="5">
        <v>46148</v>
      </c>
      <c r="D19" s="1" t="s">
        <v>60</v>
      </c>
      <c r="E19" s="6" t="s">
        <v>30</v>
      </c>
      <c r="F19" s="6" t="s">
        <v>5</v>
      </c>
      <c r="G19" s="1" t="s">
        <v>40</v>
      </c>
      <c r="H19" s="1" t="s">
        <v>66</v>
      </c>
      <c r="I19" s="1">
        <v>38</v>
      </c>
      <c r="J19" s="1">
        <v>5</v>
      </c>
      <c r="K19" s="1">
        <v>49</v>
      </c>
      <c r="L19" s="2">
        <f>IFERROR((K19-J19)/K19*100,0)</f>
        <v>0</v>
      </c>
      <c r="M19" s="1" t="s">
        <v>159</v>
      </c>
      <c r="N19" s="1" t="s">
        <v>9</v>
      </c>
    </row>
    <row r="20" spans="1:14">
      <c r="A20" s="1">
        <v>17</v>
      </c>
      <c r="B20" s="1" t="s">
        <v>1220</v>
      </c>
      <c r="C20" s="5">
        <v>46154</v>
      </c>
      <c r="D20" s="1" t="s">
        <v>60</v>
      </c>
      <c r="E20" s="6" t="s">
        <v>1212</v>
      </c>
      <c r="F20" s="6" t="s">
        <v>65</v>
      </c>
      <c r="G20" s="1" t="s">
        <v>95</v>
      </c>
      <c r="H20" s="1" t="s">
        <v>36</v>
      </c>
      <c r="I20" s="1">
        <v>56</v>
      </c>
      <c r="J20" s="1">
        <v>1</v>
      </c>
      <c r="K20" s="1">
        <v>48</v>
      </c>
      <c r="L20" s="2">
        <f>IFERROR((K20-J20)/K20*100,0)</f>
        <v>0</v>
      </c>
      <c r="M20" s="1" t="s">
        <v>159</v>
      </c>
      <c r="N20" s="1" t="s">
        <v>9</v>
      </c>
    </row>
    <row r="21" spans="1:14">
      <c r="A21" s="1">
        <v>18</v>
      </c>
      <c r="B21" s="1" t="s">
        <v>1221</v>
      </c>
      <c r="C21" s="5">
        <v>46162</v>
      </c>
      <c r="D21" s="1" t="s">
        <v>60</v>
      </c>
      <c r="E21" s="6" t="s">
        <v>61</v>
      </c>
      <c r="F21" s="6" t="s">
        <v>27</v>
      </c>
      <c r="G21" s="1" t="s">
        <v>77</v>
      </c>
      <c r="H21" s="1" t="s">
        <v>62</v>
      </c>
      <c r="I21" s="1">
        <v>51</v>
      </c>
      <c r="J21" s="1">
        <v>2</v>
      </c>
      <c r="K21" s="1">
        <v>48</v>
      </c>
      <c r="L21" s="2">
        <f>IFERROR((K21-J21)/K21*100,0)</f>
        <v>0</v>
      </c>
      <c r="M21" s="1" t="s">
        <v>149</v>
      </c>
      <c r="N21" s="1" t="s">
        <v>23</v>
      </c>
    </row>
    <row r="22" spans="1:14">
      <c r="A22" s="1">
        <v>19</v>
      </c>
      <c r="B22" s="1" t="s">
        <v>1222</v>
      </c>
      <c r="C22" s="5">
        <v>46157</v>
      </c>
      <c r="D22" s="1" t="s">
        <v>60</v>
      </c>
      <c r="E22" s="6" t="s">
        <v>1218</v>
      </c>
      <c r="F22" s="6" t="s">
        <v>92</v>
      </c>
      <c r="G22" s="1" t="s">
        <v>35</v>
      </c>
      <c r="H22" s="1" t="s">
        <v>66</v>
      </c>
      <c r="I22" s="1">
        <v>29</v>
      </c>
      <c r="J22" s="1">
        <v>5</v>
      </c>
      <c r="K22" s="1">
        <v>25</v>
      </c>
      <c r="L22" s="2">
        <f>IFERROR((K22-J22)/K22*100,0)</f>
        <v>0</v>
      </c>
      <c r="M22" s="1" t="s">
        <v>159</v>
      </c>
      <c r="N22" s="1" t="s">
        <v>23</v>
      </c>
    </row>
    <row r="23" spans="1:14">
      <c r="A23" s="1">
        <v>20</v>
      </c>
      <c r="B23" s="1" t="s">
        <v>1223</v>
      </c>
      <c r="C23" s="5">
        <v>46187</v>
      </c>
      <c r="D23" s="1" t="s">
        <v>73</v>
      </c>
      <c r="E23" s="6" t="s">
        <v>61</v>
      </c>
      <c r="F23" s="6" t="s">
        <v>89</v>
      </c>
      <c r="G23" s="1" t="s">
        <v>6</v>
      </c>
      <c r="H23" s="1" t="s">
        <v>66</v>
      </c>
      <c r="I23" s="1">
        <v>33</v>
      </c>
      <c r="J23" s="1">
        <v>0</v>
      </c>
      <c r="K23" s="1">
        <v>17</v>
      </c>
      <c r="L23" s="2">
        <f>IFERROR((K23-J23)/K23*100,0)</f>
        <v>0</v>
      </c>
      <c r="M23" s="1" t="s">
        <v>159</v>
      </c>
      <c r="N23" s="1" t="s">
        <v>9</v>
      </c>
    </row>
    <row r="24" spans="1:14">
      <c r="A24" s="1">
        <v>21</v>
      </c>
      <c r="B24" s="1" t="s">
        <v>1224</v>
      </c>
      <c r="C24" s="5">
        <v>46181</v>
      </c>
      <c r="D24" s="1" t="s">
        <v>73</v>
      </c>
      <c r="E24" s="6" t="s">
        <v>1200</v>
      </c>
      <c r="F24" s="6" t="s">
        <v>65</v>
      </c>
      <c r="G24" s="1" t="s">
        <v>77</v>
      </c>
      <c r="H24" s="1" t="s">
        <v>32</v>
      </c>
      <c r="I24" s="1">
        <v>45</v>
      </c>
      <c r="J24" s="1">
        <v>3</v>
      </c>
      <c r="K24" s="1">
        <v>17</v>
      </c>
      <c r="L24" s="2">
        <f>IFERROR((K24-J24)/K24*100,0)</f>
        <v>0</v>
      </c>
      <c r="M24" s="1" t="s">
        <v>149</v>
      </c>
      <c r="N24" s="1" t="s">
        <v>9</v>
      </c>
    </row>
    <row r="25" spans="1:14">
      <c r="A25" s="1">
        <v>22</v>
      </c>
      <c r="B25" s="1" t="s">
        <v>1225</v>
      </c>
      <c r="C25" s="5">
        <v>46195</v>
      </c>
      <c r="D25" s="1" t="s">
        <v>73</v>
      </c>
      <c r="E25" s="6" t="s">
        <v>1200</v>
      </c>
      <c r="F25" s="6" t="s">
        <v>39</v>
      </c>
      <c r="G25" s="1" t="s">
        <v>80</v>
      </c>
      <c r="H25" s="1" t="s">
        <v>70</v>
      </c>
      <c r="I25" s="1">
        <v>45</v>
      </c>
      <c r="J25" s="1">
        <v>7</v>
      </c>
      <c r="K25" s="1">
        <v>34</v>
      </c>
      <c r="L25" s="2">
        <f>IFERROR((K25-J25)/K25*100,0)</f>
        <v>0</v>
      </c>
      <c r="M25" s="1" t="s">
        <v>149</v>
      </c>
      <c r="N25" s="1" t="s">
        <v>23</v>
      </c>
    </row>
    <row r="26" spans="1:14">
      <c r="A26" s="1">
        <v>23</v>
      </c>
      <c r="B26" s="1" t="s">
        <v>1226</v>
      </c>
      <c r="C26" s="5">
        <v>46183</v>
      </c>
      <c r="D26" s="1" t="s">
        <v>73</v>
      </c>
      <c r="E26" s="6" t="s">
        <v>1200</v>
      </c>
      <c r="F26" s="6" t="s">
        <v>65</v>
      </c>
      <c r="G26" s="1" t="s">
        <v>14</v>
      </c>
      <c r="H26" s="1" t="s">
        <v>36</v>
      </c>
      <c r="I26" s="1">
        <v>10</v>
      </c>
      <c r="J26" s="1">
        <v>2</v>
      </c>
      <c r="K26" s="1">
        <v>16</v>
      </c>
      <c r="L26" s="2">
        <f>IFERROR((K26-J26)/K26*100,0)</f>
        <v>0</v>
      </c>
      <c r="M26" s="1" t="s">
        <v>159</v>
      </c>
      <c r="N26" s="1" t="s">
        <v>9</v>
      </c>
    </row>
    <row r="27" spans="1:14">
      <c r="A27" s="1">
        <v>24</v>
      </c>
      <c r="B27" s="1" t="s">
        <v>1227</v>
      </c>
      <c r="C27" s="5">
        <v>46193</v>
      </c>
      <c r="D27" s="1" t="s">
        <v>73</v>
      </c>
      <c r="E27" s="6" t="s">
        <v>61</v>
      </c>
      <c r="F27" s="6" t="s">
        <v>39</v>
      </c>
      <c r="G27" s="1" t="s">
        <v>14</v>
      </c>
      <c r="H27" s="1" t="s">
        <v>28</v>
      </c>
      <c r="I27" s="1">
        <v>31</v>
      </c>
      <c r="J27" s="1">
        <v>0</v>
      </c>
      <c r="K27" s="1">
        <v>50</v>
      </c>
      <c r="L27" s="2">
        <f>IFERROR((K27-J27)/K27*100,0)</f>
        <v>0</v>
      </c>
      <c r="M27" s="1" t="s">
        <v>159</v>
      </c>
      <c r="N27" s="1" t="s">
        <v>9</v>
      </c>
    </row>
    <row r="28" spans="1:14">
      <c r="A28" s="1">
        <v>25</v>
      </c>
      <c r="B28" s="1" t="s">
        <v>1228</v>
      </c>
      <c r="C28" s="5">
        <v>46217</v>
      </c>
      <c r="D28" s="1" t="s">
        <v>76</v>
      </c>
      <c r="E28" s="6" t="s">
        <v>61</v>
      </c>
      <c r="F28" s="6" t="s">
        <v>92</v>
      </c>
      <c r="G28" s="1" t="s">
        <v>82</v>
      </c>
      <c r="H28" s="1" t="s">
        <v>68</v>
      </c>
      <c r="I28" s="1">
        <v>45</v>
      </c>
      <c r="J28" s="1">
        <v>3</v>
      </c>
      <c r="K28" s="1">
        <v>22</v>
      </c>
      <c r="L28" s="2">
        <f>IFERROR((K28-J28)/K28*100,0)</f>
        <v>0</v>
      </c>
      <c r="M28" s="1" t="s">
        <v>159</v>
      </c>
      <c r="N28" s="1" t="s">
        <v>23</v>
      </c>
    </row>
    <row r="29" spans="1:14">
      <c r="A29" s="1">
        <v>26</v>
      </c>
      <c r="B29" s="1" t="s">
        <v>1229</v>
      </c>
      <c r="C29" s="5">
        <v>46213</v>
      </c>
      <c r="D29" s="1" t="s">
        <v>76</v>
      </c>
      <c r="E29" s="6" t="s">
        <v>1208</v>
      </c>
      <c r="F29" s="6" t="s">
        <v>92</v>
      </c>
      <c r="G29" s="1" t="s">
        <v>87</v>
      </c>
      <c r="H29" s="1" t="s">
        <v>70</v>
      </c>
      <c r="I29" s="1">
        <v>17</v>
      </c>
      <c r="J29" s="1">
        <v>5</v>
      </c>
      <c r="K29" s="1">
        <v>44</v>
      </c>
      <c r="L29" s="2">
        <f>IFERROR((K29-J29)/K29*100,0)</f>
        <v>0</v>
      </c>
      <c r="M29" s="1" t="s">
        <v>149</v>
      </c>
      <c r="N29" s="1" t="s">
        <v>23</v>
      </c>
    </row>
    <row r="30" spans="1:14">
      <c r="A30" s="1">
        <v>27</v>
      </c>
      <c r="B30" s="1" t="s">
        <v>1230</v>
      </c>
      <c r="C30" s="5">
        <v>46228</v>
      </c>
      <c r="D30" s="1" t="s">
        <v>76</v>
      </c>
      <c r="E30" s="6" t="s">
        <v>30</v>
      </c>
      <c r="F30" s="6" t="s">
        <v>13</v>
      </c>
      <c r="G30" s="1" t="s">
        <v>77</v>
      </c>
      <c r="H30" s="1" t="s">
        <v>62</v>
      </c>
      <c r="I30" s="1">
        <v>31</v>
      </c>
      <c r="J30" s="1">
        <v>3</v>
      </c>
      <c r="K30" s="1">
        <v>36</v>
      </c>
      <c r="L30" s="2">
        <f>IFERROR((K30-J30)/K30*100,0)</f>
        <v>0</v>
      </c>
      <c r="M30" s="1" t="s">
        <v>145</v>
      </c>
      <c r="N30" s="1" t="s">
        <v>9</v>
      </c>
    </row>
    <row r="31" spans="1:14">
      <c r="A31" s="1">
        <v>28</v>
      </c>
      <c r="B31" s="1" t="s">
        <v>1231</v>
      </c>
      <c r="C31" s="5">
        <v>46240</v>
      </c>
      <c r="D31" s="1" t="s">
        <v>86</v>
      </c>
      <c r="E31" s="6" t="s">
        <v>1200</v>
      </c>
      <c r="F31" s="6" t="s">
        <v>50</v>
      </c>
      <c r="G31" s="1" t="s">
        <v>6</v>
      </c>
      <c r="H31" s="1" t="s">
        <v>15</v>
      </c>
      <c r="I31" s="1">
        <v>45</v>
      </c>
      <c r="J31" s="1">
        <v>1</v>
      </c>
      <c r="K31" s="1">
        <v>46</v>
      </c>
      <c r="L31" s="2">
        <f>IFERROR((K31-J31)/K31*100,0)</f>
        <v>0</v>
      </c>
      <c r="M31" s="1" t="s">
        <v>159</v>
      </c>
      <c r="N31" s="1" t="s">
        <v>9</v>
      </c>
    </row>
    <row r="32" spans="1:14">
      <c r="A32" s="1">
        <v>29</v>
      </c>
      <c r="B32" s="1" t="s">
        <v>1232</v>
      </c>
      <c r="C32" s="5">
        <v>46256</v>
      </c>
      <c r="D32" s="1" t="s">
        <v>86</v>
      </c>
      <c r="E32" s="6" t="s">
        <v>30</v>
      </c>
      <c r="F32" s="6" t="s">
        <v>27</v>
      </c>
      <c r="G32" s="1" t="s">
        <v>77</v>
      </c>
      <c r="H32" s="1" t="s">
        <v>68</v>
      </c>
      <c r="I32" s="1">
        <v>51</v>
      </c>
      <c r="J32" s="1">
        <v>3</v>
      </c>
      <c r="K32" s="1">
        <v>29</v>
      </c>
      <c r="L32" s="2">
        <f>IFERROR((K32-J32)/K32*100,0)</f>
        <v>0</v>
      </c>
      <c r="M32" s="1" t="s">
        <v>159</v>
      </c>
      <c r="N32" s="1" t="s">
        <v>9</v>
      </c>
    </row>
    <row r="33" spans="1:14">
      <c r="A33" s="1">
        <v>30</v>
      </c>
      <c r="B33" s="1" t="s">
        <v>1233</v>
      </c>
      <c r="C33" s="5">
        <v>46239</v>
      </c>
      <c r="D33" s="1" t="s">
        <v>86</v>
      </c>
      <c r="E33" s="6" t="s">
        <v>61</v>
      </c>
      <c r="F33" s="6" t="s">
        <v>13</v>
      </c>
      <c r="G33" s="1" t="s">
        <v>87</v>
      </c>
      <c r="H33" s="1" t="s">
        <v>28</v>
      </c>
      <c r="I33" s="1">
        <v>29</v>
      </c>
      <c r="J33" s="1">
        <v>4</v>
      </c>
      <c r="K33" s="1">
        <v>24</v>
      </c>
      <c r="L33" s="2">
        <f>IFERROR((K33-J33)/K33*100,0)</f>
        <v>0</v>
      </c>
      <c r="M33" s="1" t="s">
        <v>159</v>
      </c>
      <c r="N33" s="1" t="s">
        <v>9</v>
      </c>
    </row>
    <row r="34" spans="1:14">
      <c r="A34" s="1">
        <v>31</v>
      </c>
      <c r="B34" s="1" t="s">
        <v>1234</v>
      </c>
      <c r="C34" s="5">
        <v>46255</v>
      </c>
      <c r="D34" s="1" t="s">
        <v>86</v>
      </c>
      <c r="E34" s="6" t="s">
        <v>61</v>
      </c>
      <c r="F34" s="6" t="s">
        <v>92</v>
      </c>
      <c r="G34" s="1" t="s">
        <v>40</v>
      </c>
      <c r="H34" s="1" t="s">
        <v>70</v>
      </c>
      <c r="I34" s="1">
        <v>45</v>
      </c>
      <c r="J34" s="1">
        <v>4</v>
      </c>
      <c r="K34" s="1">
        <v>23</v>
      </c>
      <c r="L34" s="2">
        <f>IFERROR((K34-J34)/K34*100,0)</f>
        <v>0</v>
      </c>
      <c r="M34" s="1" t="s">
        <v>159</v>
      </c>
      <c r="N34" s="1" t="s">
        <v>9</v>
      </c>
    </row>
    <row r="35" spans="1:14">
      <c r="A35" s="1">
        <v>32</v>
      </c>
      <c r="B35" s="1" t="s">
        <v>1235</v>
      </c>
      <c r="C35" s="5">
        <v>46241</v>
      </c>
      <c r="D35" s="1" t="s">
        <v>86</v>
      </c>
      <c r="E35" s="6" t="s">
        <v>1203</v>
      </c>
      <c r="F35" s="6" t="s">
        <v>92</v>
      </c>
      <c r="G35" s="1" t="s">
        <v>6</v>
      </c>
      <c r="H35" s="1" t="s">
        <v>22</v>
      </c>
      <c r="I35" s="1">
        <v>57</v>
      </c>
      <c r="J35" s="1">
        <v>3</v>
      </c>
      <c r="K35" s="1">
        <v>23</v>
      </c>
      <c r="L35" s="2">
        <f>IFERROR((K35-J35)/K35*100,0)</f>
        <v>0</v>
      </c>
      <c r="M35" s="1" t="s">
        <v>149</v>
      </c>
      <c r="N35" s="1" t="s">
        <v>9</v>
      </c>
    </row>
    <row r="36" spans="1:14">
      <c r="A36" s="1">
        <v>33</v>
      </c>
      <c r="B36" s="1" t="s">
        <v>1236</v>
      </c>
      <c r="C36" s="5">
        <v>46249</v>
      </c>
      <c r="D36" s="1" t="s">
        <v>86</v>
      </c>
      <c r="E36" s="6" t="s">
        <v>61</v>
      </c>
      <c r="F36" s="6" t="s">
        <v>50</v>
      </c>
      <c r="G36" s="1" t="s">
        <v>21</v>
      </c>
      <c r="H36" s="1" t="s">
        <v>62</v>
      </c>
      <c r="I36" s="1">
        <v>46</v>
      </c>
      <c r="J36" s="1">
        <v>3</v>
      </c>
      <c r="K36" s="1">
        <v>40</v>
      </c>
      <c r="L36" s="2">
        <f>IFERROR((K36-J36)/K36*100,0)</f>
        <v>0</v>
      </c>
      <c r="M36" s="1" t="s">
        <v>159</v>
      </c>
      <c r="N36" s="1" t="s">
        <v>23</v>
      </c>
    </row>
    <row r="37" spans="1:14">
      <c r="A37" s="1">
        <v>34</v>
      </c>
      <c r="B37" s="1" t="s">
        <v>1237</v>
      </c>
      <c r="C37" s="5">
        <v>46257</v>
      </c>
      <c r="D37" s="1" t="s">
        <v>86</v>
      </c>
      <c r="E37" s="6" t="s">
        <v>1200</v>
      </c>
      <c r="F37" s="6" t="s">
        <v>27</v>
      </c>
      <c r="G37" s="1" t="s">
        <v>31</v>
      </c>
      <c r="H37" s="1" t="s">
        <v>93</v>
      </c>
      <c r="I37" s="1">
        <v>41</v>
      </c>
      <c r="J37" s="1">
        <v>3</v>
      </c>
      <c r="K37" s="1">
        <v>50</v>
      </c>
      <c r="L37" s="2">
        <f>IFERROR((K37-J37)/K37*100,0)</f>
        <v>0</v>
      </c>
      <c r="M37" s="1" t="s">
        <v>149</v>
      </c>
      <c r="N37" s="1" t="s">
        <v>9</v>
      </c>
    </row>
    <row r="38" spans="1:14">
      <c r="A38" s="1">
        <v>35</v>
      </c>
      <c r="B38" s="1" t="s">
        <v>1238</v>
      </c>
      <c r="C38" s="5">
        <v>46271</v>
      </c>
      <c r="D38" s="1" t="s">
        <v>102</v>
      </c>
      <c r="E38" s="6" t="s">
        <v>30</v>
      </c>
      <c r="F38" s="6" t="s">
        <v>5</v>
      </c>
      <c r="G38" s="1" t="s">
        <v>35</v>
      </c>
      <c r="H38" s="1" t="s">
        <v>28</v>
      </c>
      <c r="I38" s="1">
        <v>17</v>
      </c>
      <c r="J38" s="1">
        <v>2</v>
      </c>
      <c r="K38" s="1">
        <v>44</v>
      </c>
      <c r="L38" s="2">
        <f>IFERROR((K38-J38)/K38*100,0)</f>
        <v>0</v>
      </c>
      <c r="M38" s="1" t="s">
        <v>159</v>
      </c>
      <c r="N38" s="1" t="s">
        <v>9</v>
      </c>
    </row>
    <row r="39" spans="1:14">
      <c r="A39" s="1">
        <v>36</v>
      </c>
      <c r="B39" s="1" t="s">
        <v>1239</v>
      </c>
      <c r="C39" s="5">
        <v>46267</v>
      </c>
      <c r="D39" s="1" t="s">
        <v>102</v>
      </c>
      <c r="E39" s="6" t="s">
        <v>1203</v>
      </c>
      <c r="F39" s="6" t="s">
        <v>50</v>
      </c>
      <c r="G39" s="1" t="s">
        <v>14</v>
      </c>
      <c r="H39" s="1" t="s">
        <v>22</v>
      </c>
      <c r="I39" s="1">
        <v>19</v>
      </c>
      <c r="J39" s="1">
        <v>7</v>
      </c>
      <c r="K39" s="1">
        <v>47</v>
      </c>
      <c r="L39" s="2">
        <f>IFERROR((K39-J39)/K39*100,0)</f>
        <v>0</v>
      </c>
      <c r="M39" s="1" t="s">
        <v>145</v>
      </c>
      <c r="N39" s="1" t="s">
        <v>9</v>
      </c>
    </row>
    <row r="40" spans="1:14">
      <c r="A40" s="1">
        <v>37</v>
      </c>
      <c r="B40" s="1" t="s">
        <v>1240</v>
      </c>
      <c r="C40" s="5">
        <v>46278</v>
      </c>
      <c r="D40" s="1" t="s">
        <v>102</v>
      </c>
      <c r="E40" s="6" t="s">
        <v>1218</v>
      </c>
      <c r="F40" s="6" t="s">
        <v>50</v>
      </c>
      <c r="G40" s="1" t="s">
        <v>82</v>
      </c>
      <c r="H40" s="1" t="s">
        <v>32</v>
      </c>
      <c r="I40" s="1">
        <v>21</v>
      </c>
      <c r="J40" s="1">
        <v>6</v>
      </c>
      <c r="K40" s="1">
        <v>30</v>
      </c>
      <c r="L40" s="2">
        <f>IFERROR((K40-J40)/K40*100,0)</f>
        <v>0</v>
      </c>
      <c r="M40" s="1" t="s">
        <v>159</v>
      </c>
      <c r="N40" s="1" t="s">
        <v>23</v>
      </c>
    </row>
    <row r="41" spans="1:14">
      <c r="A41" s="1">
        <v>38</v>
      </c>
      <c r="B41" s="1" t="s">
        <v>1241</v>
      </c>
      <c r="C41" s="5">
        <v>46303</v>
      </c>
      <c r="D41" s="1" t="s">
        <v>106</v>
      </c>
      <c r="E41" s="6" t="s">
        <v>30</v>
      </c>
      <c r="F41" s="6" t="s">
        <v>92</v>
      </c>
      <c r="G41" s="1" t="s">
        <v>87</v>
      </c>
      <c r="H41" s="1" t="s">
        <v>36</v>
      </c>
      <c r="I41" s="1">
        <v>59</v>
      </c>
      <c r="J41" s="1">
        <v>6</v>
      </c>
      <c r="K41" s="1">
        <v>43</v>
      </c>
      <c r="L41" s="2">
        <f>IFERROR((K41-J41)/K41*100,0)</f>
        <v>0</v>
      </c>
      <c r="M41" s="1" t="s">
        <v>145</v>
      </c>
      <c r="N41" s="1" t="s">
        <v>23</v>
      </c>
    </row>
    <row r="42" spans="1:14">
      <c r="A42" s="1">
        <v>39</v>
      </c>
      <c r="B42" s="1" t="s">
        <v>1242</v>
      </c>
      <c r="C42" s="5">
        <v>46313</v>
      </c>
      <c r="D42" s="1" t="s">
        <v>106</v>
      </c>
      <c r="E42" s="6" t="s">
        <v>1203</v>
      </c>
      <c r="F42" s="6" t="s">
        <v>27</v>
      </c>
      <c r="G42" s="1" t="s">
        <v>40</v>
      </c>
      <c r="H42" s="1" t="s">
        <v>15</v>
      </c>
      <c r="I42" s="1">
        <v>26</v>
      </c>
      <c r="J42" s="1">
        <v>6</v>
      </c>
      <c r="K42" s="1">
        <v>47</v>
      </c>
      <c r="L42" s="2">
        <f>IFERROR((K42-J42)/K42*100,0)</f>
        <v>0</v>
      </c>
      <c r="M42" s="1" t="s">
        <v>149</v>
      </c>
      <c r="N42" s="1" t="s">
        <v>9</v>
      </c>
    </row>
    <row r="43" spans="1:14">
      <c r="A43" s="1">
        <v>40</v>
      </c>
      <c r="B43" s="1" t="s">
        <v>1243</v>
      </c>
      <c r="C43" s="5">
        <v>46302</v>
      </c>
      <c r="D43" s="1" t="s">
        <v>106</v>
      </c>
      <c r="E43" s="6" t="s">
        <v>30</v>
      </c>
      <c r="F43" s="6" t="s">
        <v>58</v>
      </c>
      <c r="G43" s="1" t="s">
        <v>21</v>
      </c>
      <c r="H43" s="1" t="s">
        <v>41</v>
      </c>
      <c r="I43" s="1">
        <v>49</v>
      </c>
      <c r="J43" s="1">
        <v>0</v>
      </c>
      <c r="K43" s="1">
        <v>36</v>
      </c>
      <c r="L43" s="2">
        <f>IFERROR((K43-J43)/K43*100,0)</f>
        <v>0</v>
      </c>
      <c r="M43" s="1" t="s">
        <v>145</v>
      </c>
      <c r="N43" s="1" t="s">
        <v>23</v>
      </c>
    </row>
    <row r="44" spans="1:14">
      <c r="A44" s="1">
        <v>41</v>
      </c>
      <c r="B44" s="1" t="s">
        <v>1244</v>
      </c>
      <c r="C44" s="5">
        <v>46304</v>
      </c>
      <c r="D44" s="1" t="s">
        <v>106</v>
      </c>
      <c r="E44" s="6" t="s">
        <v>1200</v>
      </c>
      <c r="F44" s="6" t="s">
        <v>50</v>
      </c>
      <c r="G44" s="1" t="s">
        <v>51</v>
      </c>
      <c r="H44" s="1" t="s">
        <v>104</v>
      </c>
      <c r="I44" s="1">
        <v>27</v>
      </c>
      <c r="J44" s="1">
        <v>2</v>
      </c>
      <c r="K44" s="1">
        <v>28</v>
      </c>
      <c r="L44" s="2">
        <f>IFERROR((K44-J44)/K44*100,0)</f>
        <v>0</v>
      </c>
      <c r="M44" s="1" t="s">
        <v>145</v>
      </c>
      <c r="N44" s="1" t="s">
        <v>23</v>
      </c>
    </row>
    <row r="45" spans="1:14">
      <c r="A45" s="1">
        <v>42</v>
      </c>
      <c r="B45" s="1" t="s">
        <v>1245</v>
      </c>
      <c r="C45" s="5">
        <v>46296</v>
      </c>
      <c r="D45" s="1" t="s">
        <v>106</v>
      </c>
      <c r="E45" s="6" t="s">
        <v>1212</v>
      </c>
      <c r="F45" s="6" t="s">
        <v>5</v>
      </c>
      <c r="G45" s="1" t="s">
        <v>95</v>
      </c>
      <c r="H45" s="1" t="s">
        <v>32</v>
      </c>
      <c r="I45" s="1">
        <v>40</v>
      </c>
      <c r="J45" s="1">
        <v>6</v>
      </c>
      <c r="K45" s="1">
        <v>26</v>
      </c>
      <c r="L45" s="2">
        <f>IFERROR((K45-J45)/K45*100,0)</f>
        <v>0</v>
      </c>
      <c r="M45" s="1" t="s">
        <v>149</v>
      </c>
      <c r="N45" s="1" t="s">
        <v>23</v>
      </c>
    </row>
    <row r="46" spans="1:14">
      <c r="A46" s="1">
        <v>43</v>
      </c>
      <c r="B46" s="1" t="s">
        <v>1246</v>
      </c>
      <c r="C46" s="5">
        <v>46344</v>
      </c>
      <c r="D46" s="1" t="s">
        <v>111</v>
      </c>
      <c r="E46" s="6" t="s">
        <v>1218</v>
      </c>
      <c r="F46" s="6" t="s">
        <v>89</v>
      </c>
      <c r="G46" s="1" t="s">
        <v>14</v>
      </c>
      <c r="H46" s="1" t="s">
        <v>28</v>
      </c>
      <c r="I46" s="1">
        <v>11</v>
      </c>
      <c r="J46" s="1">
        <v>3</v>
      </c>
      <c r="K46" s="1">
        <v>45</v>
      </c>
      <c r="L46" s="2">
        <f>IFERROR((K46-J46)/K46*100,0)</f>
        <v>0</v>
      </c>
      <c r="M46" s="1" t="s">
        <v>149</v>
      </c>
      <c r="N46" s="1" t="s">
        <v>23</v>
      </c>
    </row>
    <row r="47" spans="1:14">
      <c r="A47" s="1">
        <v>44</v>
      </c>
      <c r="B47" s="1" t="s">
        <v>1247</v>
      </c>
      <c r="C47" s="5">
        <v>46334</v>
      </c>
      <c r="D47" s="1" t="s">
        <v>111</v>
      </c>
      <c r="E47" s="6" t="s">
        <v>1218</v>
      </c>
      <c r="F47" s="6" t="s">
        <v>89</v>
      </c>
      <c r="G47" s="1" t="s">
        <v>31</v>
      </c>
      <c r="H47" s="1" t="s">
        <v>36</v>
      </c>
      <c r="I47" s="1">
        <v>12</v>
      </c>
      <c r="J47" s="1">
        <v>2</v>
      </c>
      <c r="K47" s="1">
        <v>39</v>
      </c>
      <c r="L47" s="2">
        <f>IFERROR((K47-J47)/K47*100,0)</f>
        <v>0</v>
      </c>
      <c r="M47" s="1" t="s">
        <v>145</v>
      </c>
      <c r="N47" s="1" t="s">
        <v>23</v>
      </c>
    </row>
    <row r="48" spans="1:14">
      <c r="A48" s="1">
        <v>45</v>
      </c>
      <c r="B48" s="1" t="s">
        <v>1248</v>
      </c>
      <c r="C48" s="5">
        <v>46375</v>
      </c>
      <c r="D48" s="1" t="s">
        <v>122</v>
      </c>
      <c r="E48" s="6" t="s">
        <v>1200</v>
      </c>
      <c r="F48" s="6" t="s">
        <v>58</v>
      </c>
      <c r="G48" s="1" t="s">
        <v>21</v>
      </c>
      <c r="H48" s="1" t="s">
        <v>32</v>
      </c>
      <c r="I48" s="1">
        <v>45</v>
      </c>
      <c r="J48" s="1">
        <v>0</v>
      </c>
      <c r="K48" s="1">
        <v>23</v>
      </c>
      <c r="L48" s="2">
        <f>IFERROR((K48-J48)/K48*100,0)</f>
        <v>0</v>
      </c>
      <c r="M48" s="1" t="s">
        <v>145</v>
      </c>
      <c r="N48" s="1" t="s">
        <v>23</v>
      </c>
    </row>
    <row r="49" spans="1:14">
      <c r="A49" s="1">
        <v>46</v>
      </c>
      <c r="B49" s="1" t="s">
        <v>1249</v>
      </c>
      <c r="C49" s="5">
        <v>46383</v>
      </c>
      <c r="D49" s="1" t="s">
        <v>122</v>
      </c>
      <c r="E49" s="6" t="s">
        <v>30</v>
      </c>
      <c r="F49" s="6" t="s">
        <v>46</v>
      </c>
      <c r="G49" s="1" t="s">
        <v>35</v>
      </c>
      <c r="H49" s="1" t="s">
        <v>36</v>
      </c>
      <c r="I49" s="1">
        <v>35</v>
      </c>
      <c r="J49" s="1">
        <v>3</v>
      </c>
      <c r="K49" s="1">
        <v>26</v>
      </c>
      <c r="L49" s="2">
        <f>IFERROR((K49-J49)/K49*100,0)</f>
        <v>0</v>
      </c>
      <c r="M49" s="1" t="s">
        <v>159</v>
      </c>
      <c r="N49" s="1" t="s">
        <v>9</v>
      </c>
    </row>
    <row r="50" spans="1:14">
      <c r="A50" s="1">
        <v>47</v>
      </c>
      <c r="B50" s="1" t="s">
        <v>1250</v>
      </c>
      <c r="C50" s="5">
        <v>46380</v>
      </c>
      <c r="D50" s="1" t="s">
        <v>122</v>
      </c>
      <c r="E50" s="6" t="s">
        <v>1203</v>
      </c>
      <c r="F50" s="6" t="s">
        <v>92</v>
      </c>
      <c r="G50" s="1" t="s">
        <v>95</v>
      </c>
      <c r="H50" s="1" t="s">
        <v>104</v>
      </c>
      <c r="I50" s="1">
        <v>30</v>
      </c>
      <c r="J50" s="1">
        <v>5</v>
      </c>
      <c r="K50" s="1">
        <v>22</v>
      </c>
      <c r="L50" s="2">
        <f>IFERROR((K50-J50)/K50*100,0)</f>
        <v>0</v>
      </c>
      <c r="M50" s="1" t="s">
        <v>149</v>
      </c>
      <c r="N50" s="1" t="s">
        <v>9</v>
      </c>
    </row>
    <row r="51" spans="1:14">
      <c r="A51" s="1">
        <v>48</v>
      </c>
      <c r="B51" s="1" t="s">
        <v>1251</v>
      </c>
      <c r="C51" s="5">
        <v>46371</v>
      </c>
      <c r="D51" s="1" t="s">
        <v>122</v>
      </c>
      <c r="E51" s="6" t="s">
        <v>30</v>
      </c>
      <c r="F51" s="6" t="s">
        <v>65</v>
      </c>
      <c r="G51" s="1" t="s">
        <v>95</v>
      </c>
      <c r="H51" s="1" t="s">
        <v>15</v>
      </c>
      <c r="I51" s="1">
        <v>25</v>
      </c>
      <c r="J51" s="1">
        <v>4</v>
      </c>
      <c r="K51" s="1">
        <v>16</v>
      </c>
      <c r="L51" s="2">
        <f>IFERROR((K51-J51)/K51*100,0)</f>
        <v>0</v>
      </c>
      <c r="M51" s="1" t="s">
        <v>159</v>
      </c>
      <c r="N51" s="1" t="s">
        <v>23</v>
      </c>
    </row>
    <row r="52" spans="1:14">
      <c r="L52" s="2">
        <f>IFERROR((K52-J52)/K52*100,0)</f>
        <v>0</v>
      </c>
    </row>
    <row r="53" spans="1:14">
      <c r="L53" s="2">
        <f>IFERROR((K53-J53)/K53*100,0)</f>
        <v>0</v>
      </c>
    </row>
    <row r="54" spans="1:14">
      <c r="L54" s="2">
        <f>IFERROR((K54-J54)/K54*100,0)</f>
        <v>0</v>
      </c>
    </row>
    <row r="55" spans="1:14">
      <c r="L55" s="2">
        <f>IFERROR((K55-J55)/K55*100,0)</f>
        <v>0</v>
      </c>
    </row>
    <row r="56" spans="1:14">
      <c r="L56" s="2">
        <f>IFERROR((K56-J56)/K56*100,0)</f>
        <v>0</v>
      </c>
    </row>
    <row r="57" spans="1:14">
      <c r="L57" s="2">
        <f>IFERROR((K57-J57)/K57*100,0)</f>
        <v>0</v>
      </c>
    </row>
    <row r="58" spans="1:14">
      <c r="L58" s="2">
        <f>IFERROR((K58-J58)/K58*100,0)</f>
        <v>0</v>
      </c>
    </row>
    <row r="59" spans="1:14">
      <c r="L59" s="2">
        <f>IFERROR((K59-J59)/K59*100,0)</f>
        <v>0</v>
      </c>
    </row>
    <row r="60" spans="1:14">
      <c r="L60" s="2">
        <f>IFERROR((K60-J60)/K60*100,0)</f>
        <v>0</v>
      </c>
    </row>
    <row r="61" spans="1:14">
      <c r="L61" s="2">
        <f>IFERROR((K61-J61)/K61*100,0)</f>
        <v>0</v>
      </c>
    </row>
    <row r="62" spans="1:14">
      <c r="L62" s="2">
        <f>IFERROR((K62-J62)/K62*100,0)</f>
        <v>0</v>
      </c>
    </row>
    <row r="63" spans="1:14">
      <c r="L63" s="2">
        <f>IFERROR((K63-J63)/K63*100,0)</f>
        <v>0</v>
      </c>
    </row>
    <row r="64" spans="1:14">
      <c r="L64" s="2">
        <f>IFERROR((K64-J64)/K64*100,0)</f>
        <v>0</v>
      </c>
    </row>
    <row r="65" spans="12:12">
      <c r="L65" s="2">
        <f>IFERROR((K65-J65)/K65*100,0)</f>
        <v>0</v>
      </c>
    </row>
    <row r="66" spans="12:12">
      <c r="L66" s="2">
        <f>IFERROR((K66-J66)/K66*100,0)</f>
        <v>0</v>
      </c>
    </row>
    <row r="67" spans="12:12">
      <c r="L67" s="2">
        <f>IFERROR((K67-J67)/K67*100,0)</f>
        <v>0</v>
      </c>
    </row>
    <row r="68" spans="12:12">
      <c r="L68" s="2">
        <f>IFERROR((K68-J68)/K68*100,0)</f>
        <v>0</v>
      </c>
    </row>
    <row r="69" spans="12:12">
      <c r="L69" s="2">
        <f>IFERROR((K69-J69)/K69*100,0)</f>
        <v>0</v>
      </c>
    </row>
    <row r="70" spans="12:12">
      <c r="L70" s="2">
        <f>IFERROR((K70-J70)/K70*100,0)</f>
        <v>0</v>
      </c>
    </row>
    <row r="71" spans="12:12">
      <c r="L71" s="2">
        <f>IFERROR((K71-J71)/K71*100,0)</f>
        <v>0</v>
      </c>
    </row>
    <row r="72" spans="12:12">
      <c r="L72" s="2">
        <f>IFERROR((K72-J72)/K72*100,0)</f>
        <v>0</v>
      </c>
    </row>
    <row r="73" spans="12:12">
      <c r="L73" s="2">
        <f>IFERROR((K73-J73)/K73*100,0)</f>
        <v>0</v>
      </c>
    </row>
    <row r="74" spans="12:12">
      <c r="L74" s="2">
        <f>IFERROR((K74-J74)/K74*100,0)</f>
        <v>0</v>
      </c>
    </row>
    <row r="75" spans="12:12">
      <c r="L75" s="2">
        <f>IFERROR((K75-J75)/K75*100,0)</f>
        <v>0</v>
      </c>
    </row>
    <row r="76" spans="12:12">
      <c r="L76" s="2">
        <f>IFERROR((K76-J76)/K76*100,0)</f>
        <v>0</v>
      </c>
    </row>
    <row r="77" spans="12:12">
      <c r="L77" s="2">
        <f>IFERROR((K77-J77)/K77*100,0)</f>
        <v>0</v>
      </c>
    </row>
    <row r="78" spans="12:12">
      <c r="L78" s="2">
        <f>IFERROR((K78-J78)/K78*100,0)</f>
        <v>0</v>
      </c>
    </row>
    <row r="79" spans="12:12">
      <c r="L79" s="2">
        <f>IFERROR((K79-J79)/K79*100,0)</f>
        <v>0</v>
      </c>
    </row>
    <row r="80" spans="12:12">
      <c r="L80" s="2">
        <f>IFERROR((K80-J80)/K80*100,0)</f>
        <v>0</v>
      </c>
    </row>
    <row r="81" spans="12:12">
      <c r="L81" s="2">
        <f>IFERROR((K81-J81)/K81*100,0)</f>
        <v>0</v>
      </c>
    </row>
    <row r="82" spans="12:12">
      <c r="L82" s="2">
        <f>IFERROR((K82-J82)/K82*100,0)</f>
        <v>0</v>
      </c>
    </row>
    <row r="83" spans="12:12">
      <c r="L83" s="2">
        <f>IFERROR((K83-J83)/K83*100,0)</f>
        <v>0</v>
      </c>
    </row>
    <row r="84" spans="12:12">
      <c r="L84" s="2">
        <f>IFERROR((K84-J84)/K84*100,0)</f>
        <v>0</v>
      </c>
    </row>
    <row r="85" spans="12:12">
      <c r="L85" s="2">
        <f>IFERROR((K85-J85)/K85*100,0)</f>
        <v>0</v>
      </c>
    </row>
    <row r="86" spans="12:12">
      <c r="L86" s="2">
        <f>IFERROR((K86-J86)/K86*100,0)</f>
        <v>0</v>
      </c>
    </row>
    <row r="87" spans="12:12">
      <c r="L87" s="2">
        <f>IFERROR((K87-J87)/K87*100,0)</f>
        <v>0</v>
      </c>
    </row>
    <row r="88" spans="12:12">
      <c r="L88" s="2">
        <f>IFERROR((K88-J88)/K88*100,0)</f>
        <v>0</v>
      </c>
    </row>
    <row r="89" spans="12:12">
      <c r="L89" s="2">
        <f>IFERROR((K89-J89)/K89*100,0)</f>
        <v>0</v>
      </c>
    </row>
    <row r="90" spans="12:12">
      <c r="L90" s="2">
        <f>IFERROR((K90-J90)/K90*100,0)</f>
        <v>0</v>
      </c>
    </row>
    <row r="91" spans="12:12">
      <c r="L91" s="2">
        <f>IFERROR((K91-J91)/K91*100,0)</f>
        <v>0</v>
      </c>
    </row>
    <row r="92" spans="12:12">
      <c r="L92" s="2">
        <f>IFERROR((K92-J92)/K92*100,0)</f>
        <v>0</v>
      </c>
    </row>
    <row r="93" spans="12:12">
      <c r="L93" s="2">
        <f>IFERROR((K93-J93)/K93*100,0)</f>
        <v>0</v>
      </c>
    </row>
    <row r="94" spans="12:12">
      <c r="L94" s="2">
        <f>IFERROR((K94-J94)/K94*100,0)</f>
        <v>0</v>
      </c>
    </row>
    <row r="95" spans="12:12">
      <c r="L95" s="2">
        <f>IFERROR((K95-J95)/K95*100,0)</f>
        <v>0</v>
      </c>
    </row>
    <row r="96" spans="12:12">
      <c r="L96" s="2">
        <f>IFERROR((K96-J96)/K96*100,0)</f>
        <v>0</v>
      </c>
    </row>
    <row r="97" spans="12:12">
      <c r="L97" s="2">
        <f>IFERROR((K97-J97)/K97*100,0)</f>
        <v>0</v>
      </c>
    </row>
    <row r="98" spans="12:12">
      <c r="L98" s="2">
        <f>IFERROR((K98-J98)/K98*100,0)</f>
        <v>0</v>
      </c>
    </row>
    <row r="99" spans="12:12">
      <c r="L99" s="2">
        <f>IFERROR((K99-J99)/K99*100,0)</f>
        <v>0</v>
      </c>
    </row>
    <row r="100" spans="12:12">
      <c r="L100" s="2">
        <f>IFERROR((K100-J100)/K100*100,0)</f>
        <v>0</v>
      </c>
    </row>
    <row r="101" spans="12:12">
      <c r="L101" s="2">
        <f>IFERROR((K101-J101)/K101*100,0)</f>
        <v>0</v>
      </c>
    </row>
    <row r="102" spans="12:12">
      <c r="L102" s="2">
        <f>IFERROR((K102-J102)/K102*100,0)</f>
        <v>0</v>
      </c>
    </row>
    <row r="103" spans="12:12">
      <c r="L103" s="2">
        <f>IFERROR((K103-J103)/K103*100,0)</f>
        <v>0</v>
      </c>
    </row>
    <row r="104" spans="12:12">
      <c r="L104" s="2">
        <f>IFERROR((K104-J104)/K104*100,0)</f>
        <v>0</v>
      </c>
    </row>
    <row r="105" spans="12:12">
      <c r="L105" s="2">
        <f>IFERROR((K105-J105)/K105*100,0)</f>
        <v>0</v>
      </c>
    </row>
    <row r="106" spans="12:12">
      <c r="L106" s="2">
        <f>IFERROR((K106-J106)/K106*100,0)</f>
        <v>0</v>
      </c>
    </row>
    <row r="107" spans="12:12">
      <c r="L107" s="2">
        <f>IFERROR((K107-J107)/K107*100,0)</f>
        <v>0</v>
      </c>
    </row>
    <row r="108" spans="12:12">
      <c r="L108" s="2">
        <f>IFERROR((K108-J108)/K108*100,0)</f>
        <v>0</v>
      </c>
    </row>
    <row r="109" spans="12:12">
      <c r="L109" s="2">
        <f>IFERROR((K109-J109)/K109*100,0)</f>
        <v>0</v>
      </c>
    </row>
    <row r="110" spans="12:12">
      <c r="L110" s="2">
        <f>IFERROR((K110-J110)/K110*100,0)</f>
        <v>0</v>
      </c>
    </row>
    <row r="111" spans="12:12">
      <c r="L111" s="2">
        <f>IFERROR((K111-J111)/K111*100,0)</f>
        <v>0</v>
      </c>
    </row>
    <row r="112" spans="12:12">
      <c r="L112" s="2">
        <f>IFERROR((K112-J112)/K112*100,0)</f>
        <v>0</v>
      </c>
    </row>
    <row r="113" spans="12:12">
      <c r="L113" s="2">
        <f>IFERROR((K113-J113)/K113*100,0)</f>
        <v>0</v>
      </c>
    </row>
    <row r="114" spans="12:12">
      <c r="L114" s="2">
        <f>IFERROR((K114-J114)/K114*100,0)</f>
        <v>0</v>
      </c>
    </row>
    <row r="115" spans="12:12">
      <c r="L115" s="2">
        <f>IFERROR((K115-J115)/K115*100,0)</f>
        <v>0</v>
      </c>
    </row>
    <row r="116" spans="12:12">
      <c r="L116" s="2">
        <f>IFERROR((K116-J116)/K116*100,0)</f>
        <v>0</v>
      </c>
    </row>
    <row r="117" spans="12:12">
      <c r="L117" s="2">
        <f>IFERROR((K117-J117)/K117*100,0)</f>
        <v>0</v>
      </c>
    </row>
    <row r="118" spans="12:12">
      <c r="L118" s="2">
        <f>IFERROR((K118-J118)/K118*100,0)</f>
        <v>0</v>
      </c>
    </row>
    <row r="119" spans="12:12">
      <c r="L119" s="2">
        <f>IFERROR((K119-J119)/K119*100,0)</f>
        <v>0</v>
      </c>
    </row>
    <row r="120" spans="12:12">
      <c r="L120" s="2">
        <f>IFERROR((K120-J120)/K120*100,0)</f>
        <v>0</v>
      </c>
    </row>
    <row r="121" spans="12:12">
      <c r="L121" s="2">
        <f>IFERROR((K121-J121)/K121*100,0)</f>
        <v>0</v>
      </c>
    </row>
    <row r="122" spans="12:12">
      <c r="L122" s="2">
        <f>IFERROR((K122-J122)/K122*100,0)</f>
        <v>0</v>
      </c>
    </row>
    <row r="123" spans="12:12">
      <c r="L123" s="2">
        <f>IFERROR((K123-J123)/K123*100,0)</f>
        <v>0</v>
      </c>
    </row>
    <row r="124" spans="12:12">
      <c r="L124" s="2">
        <f>IFERROR((K124-J124)/K124*100,0)</f>
        <v>0</v>
      </c>
    </row>
    <row r="125" spans="12:12">
      <c r="L125" s="2">
        <f>IFERROR((K125-J125)/K125*100,0)</f>
        <v>0</v>
      </c>
    </row>
    <row r="126" spans="12:12">
      <c r="L126" s="2">
        <f>IFERROR((K126-J126)/K126*100,0)</f>
        <v>0</v>
      </c>
    </row>
    <row r="127" spans="12:12">
      <c r="L127" s="2">
        <f>IFERROR((K127-J127)/K127*100,0)</f>
        <v>0</v>
      </c>
    </row>
    <row r="128" spans="12:12">
      <c r="L128" s="2">
        <f>IFERROR((K128-J128)/K128*100,0)</f>
        <v>0</v>
      </c>
    </row>
    <row r="129" spans="12:12">
      <c r="L129" s="2">
        <f>IFERROR((K129-J129)/K129*100,0)</f>
        <v>0</v>
      </c>
    </row>
    <row r="130" spans="12:12">
      <c r="L130" s="2">
        <f>IFERROR((K130-J130)/K130*100,0)</f>
        <v>0</v>
      </c>
    </row>
    <row r="131" spans="12:12">
      <c r="L131" s="2">
        <f>IFERROR((K131-J131)/K131*100,0)</f>
        <v>0</v>
      </c>
    </row>
    <row r="132" spans="12:12">
      <c r="L132" s="2">
        <f>IFERROR((K132-J132)/K132*100,0)</f>
        <v>0</v>
      </c>
    </row>
    <row r="133" spans="12:12">
      <c r="L133" s="2">
        <f>IFERROR((K133-J133)/K133*100,0)</f>
        <v>0</v>
      </c>
    </row>
    <row r="134" spans="12:12">
      <c r="L134" s="2">
        <f>IFERROR((K134-J134)/K134*100,0)</f>
        <v>0</v>
      </c>
    </row>
    <row r="135" spans="12:12">
      <c r="L135" s="2">
        <f>IFERROR((K135-J135)/K135*100,0)</f>
        <v>0</v>
      </c>
    </row>
    <row r="136" spans="12:12">
      <c r="L136" s="2">
        <f>IFERROR((K136-J136)/K136*100,0)</f>
        <v>0</v>
      </c>
    </row>
    <row r="137" spans="12:12">
      <c r="L137" s="2">
        <f>IFERROR((K137-J137)/K137*100,0)</f>
        <v>0</v>
      </c>
    </row>
    <row r="138" spans="12:12">
      <c r="L138" s="2">
        <f>IFERROR((K138-J138)/K138*100,0)</f>
        <v>0</v>
      </c>
    </row>
    <row r="139" spans="12:12">
      <c r="L139" s="2">
        <f>IFERROR((K139-J139)/K139*100,0)</f>
        <v>0</v>
      </c>
    </row>
    <row r="140" spans="12:12">
      <c r="L140" s="2">
        <f>IFERROR((K140-J140)/K140*100,0)</f>
        <v>0</v>
      </c>
    </row>
    <row r="141" spans="12:12">
      <c r="L141" s="2">
        <f>IFERROR((K141-J141)/K141*100,0)</f>
        <v>0</v>
      </c>
    </row>
    <row r="142" spans="12:12">
      <c r="L142" s="2">
        <f>IFERROR((K142-J142)/K142*100,0)</f>
        <v>0</v>
      </c>
    </row>
    <row r="143" spans="12:12">
      <c r="L143" s="2">
        <f>IFERROR((K143-J143)/K143*100,0)</f>
        <v>0</v>
      </c>
    </row>
    <row r="144" spans="12:12">
      <c r="L144" s="2">
        <f>IFERROR((K144-J144)/K144*100,0)</f>
        <v>0</v>
      </c>
    </row>
    <row r="145" spans="12:12">
      <c r="L145" s="2">
        <f>IFERROR((K145-J145)/K145*100,0)</f>
        <v>0</v>
      </c>
    </row>
    <row r="146" spans="12:12">
      <c r="L146" s="2">
        <f>IFERROR((K146-J146)/K146*100,0)</f>
        <v>0</v>
      </c>
    </row>
    <row r="147" spans="12:12">
      <c r="L147" s="2">
        <f>IFERROR((K147-J147)/K147*100,0)</f>
        <v>0</v>
      </c>
    </row>
    <row r="148" spans="12:12">
      <c r="L148" s="2">
        <f>IFERROR((K148-J148)/K148*100,0)</f>
        <v>0</v>
      </c>
    </row>
    <row r="149" spans="12:12">
      <c r="L149" s="2">
        <f>IFERROR((K149-J149)/K149*100,0)</f>
        <v>0</v>
      </c>
    </row>
    <row r="150" spans="12:12">
      <c r="L150" s="2">
        <f>IFERROR((K150-J150)/K150*100,0)</f>
        <v>0</v>
      </c>
    </row>
    <row r="151" spans="12:12">
      <c r="L151" s="2">
        <f>IFERROR((K151-J151)/K151*100,0)</f>
        <v>0</v>
      </c>
    </row>
    <row r="152" spans="12:12">
      <c r="L152" s="2">
        <f>IFERROR((K152-J152)/K152*100,0)</f>
        <v>0</v>
      </c>
    </row>
    <row r="153" spans="12:12">
      <c r="L153" s="2">
        <f>IFERROR((K153-J153)/K153*100,0)</f>
        <v>0</v>
      </c>
    </row>
    <row r="154" spans="12:12">
      <c r="L154" s="2">
        <f>IFERROR((K154-J154)/K154*100,0)</f>
        <v>0</v>
      </c>
    </row>
    <row r="155" spans="12:12">
      <c r="L155" s="2">
        <f>IFERROR((K155-J155)/K155*100,0)</f>
        <v>0</v>
      </c>
    </row>
    <row r="156" spans="12:12">
      <c r="L156" s="2">
        <f>IFERROR((K156-J156)/K156*100,0)</f>
        <v>0</v>
      </c>
    </row>
    <row r="157" spans="12:12">
      <c r="L157" s="2">
        <f>IFERROR((K157-J157)/K157*100,0)</f>
        <v>0</v>
      </c>
    </row>
    <row r="158" spans="12:12">
      <c r="L158" s="2">
        <f>IFERROR((K158-J158)/K158*100,0)</f>
        <v>0</v>
      </c>
    </row>
    <row r="159" spans="12:12">
      <c r="L159" s="2">
        <f>IFERROR((K159-J159)/K159*100,0)</f>
        <v>0</v>
      </c>
    </row>
    <row r="160" spans="12:12">
      <c r="L160" s="2">
        <f>IFERROR((K160-J160)/K160*100,0)</f>
        <v>0</v>
      </c>
    </row>
    <row r="161" spans="12:12">
      <c r="L161" s="2">
        <f>IFERROR((K161-J161)/K161*100,0)</f>
        <v>0</v>
      </c>
    </row>
    <row r="162" spans="12:12">
      <c r="L162" s="2">
        <f>IFERROR((K162-J162)/K162*100,0)</f>
        <v>0</v>
      </c>
    </row>
    <row r="163" spans="12:12">
      <c r="L163" s="2">
        <f>IFERROR((K163-J163)/K163*100,0)</f>
        <v>0</v>
      </c>
    </row>
    <row r="164" spans="12:12">
      <c r="L164" s="2">
        <f>IFERROR((K164-J164)/K164*100,0)</f>
        <v>0</v>
      </c>
    </row>
    <row r="165" spans="12:12">
      <c r="L165" s="2">
        <f>IFERROR((K165-J165)/K165*100,0)</f>
        <v>0</v>
      </c>
    </row>
    <row r="166" spans="12:12">
      <c r="L166" s="2">
        <f>IFERROR((K166-J166)/K166*100,0)</f>
        <v>0</v>
      </c>
    </row>
    <row r="167" spans="12:12">
      <c r="L167" s="2">
        <f>IFERROR((K167-J167)/K167*100,0)</f>
        <v>0</v>
      </c>
    </row>
    <row r="168" spans="12:12">
      <c r="L168" s="2">
        <f>IFERROR((K168-J168)/K168*100,0)</f>
        <v>0</v>
      </c>
    </row>
    <row r="169" spans="12:12">
      <c r="L169" s="2">
        <f>IFERROR((K169-J169)/K169*100,0)</f>
        <v>0</v>
      </c>
    </row>
    <row r="170" spans="12:12">
      <c r="L170" s="2">
        <f>IFERROR((K170-J170)/K170*100,0)</f>
        <v>0</v>
      </c>
    </row>
    <row r="171" spans="12:12">
      <c r="L171" s="2">
        <f>IFERROR((K171-J171)/K171*100,0)</f>
        <v>0</v>
      </c>
    </row>
    <row r="172" spans="12:12">
      <c r="L172" s="2">
        <f>IFERROR((K172-J172)/K172*100,0)</f>
        <v>0</v>
      </c>
    </row>
    <row r="173" spans="12:12">
      <c r="L173" s="2">
        <f>IFERROR((K173-J173)/K173*100,0)</f>
        <v>0</v>
      </c>
    </row>
    <row r="174" spans="12:12">
      <c r="L174" s="2">
        <f>IFERROR((K174-J174)/K174*100,0)</f>
        <v>0</v>
      </c>
    </row>
    <row r="175" spans="12:12">
      <c r="L175" s="2">
        <f>IFERROR((K175-J175)/K175*100,0)</f>
        <v>0</v>
      </c>
    </row>
    <row r="176" spans="12:12">
      <c r="L176" s="2">
        <f>IFERROR((K176-J176)/K176*100,0)</f>
        <v>0</v>
      </c>
    </row>
    <row r="177" spans="12:12">
      <c r="L177" s="2">
        <f>IFERROR((K177-J177)/K177*100,0)</f>
        <v>0</v>
      </c>
    </row>
    <row r="178" spans="12:12">
      <c r="L178" s="2">
        <f>IFERROR((K178-J178)/K178*100,0)</f>
        <v>0</v>
      </c>
    </row>
    <row r="179" spans="12:12">
      <c r="L179" s="2">
        <f>IFERROR((K179-J179)/K179*100,0)</f>
        <v>0</v>
      </c>
    </row>
    <row r="180" spans="12:12">
      <c r="L180" s="2">
        <f>IFERROR((K180-J180)/K180*100,0)</f>
        <v>0</v>
      </c>
    </row>
    <row r="181" spans="12:12">
      <c r="L181" s="2">
        <f>IFERROR((K181-J181)/K181*100,0)</f>
        <v>0</v>
      </c>
    </row>
    <row r="182" spans="12:12">
      <c r="L182" s="2">
        <f>IFERROR((K182-J182)/K182*100,0)</f>
        <v>0</v>
      </c>
    </row>
    <row r="183" spans="12:12">
      <c r="L183" s="2">
        <f>IFERROR((K183-J183)/K183*100,0)</f>
        <v>0</v>
      </c>
    </row>
    <row r="184" spans="12:12">
      <c r="L184" s="2">
        <f>IFERROR((K184-J184)/K184*100,0)</f>
        <v>0</v>
      </c>
    </row>
    <row r="185" spans="12:12">
      <c r="L185" s="2">
        <f>IFERROR((K185-J185)/K185*100,0)</f>
        <v>0</v>
      </c>
    </row>
    <row r="186" spans="12:12">
      <c r="L186" s="2">
        <f>IFERROR((K186-J186)/K186*100,0)</f>
        <v>0</v>
      </c>
    </row>
    <row r="187" spans="12:12">
      <c r="L187" s="2">
        <f>IFERROR((K187-J187)/K187*100,0)</f>
        <v>0</v>
      </c>
    </row>
    <row r="188" spans="12:12">
      <c r="L188" s="2">
        <f>IFERROR((K188-J188)/K188*100,0)</f>
        <v>0</v>
      </c>
    </row>
    <row r="189" spans="12:12">
      <c r="L189" s="2">
        <f>IFERROR((K189-J189)/K189*100,0)</f>
        <v>0</v>
      </c>
    </row>
    <row r="190" spans="12:12">
      <c r="L190" s="2">
        <f>IFERROR((K190-J190)/K190*100,0)</f>
        <v>0</v>
      </c>
    </row>
    <row r="191" spans="12:12">
      <c r="L191" s="2">
        <f>IFERROR((K191-J191)/K191*100,0)</f>
        <v>0</v>
      </c>
    </row>
    <row r="192" spans="12:12">
      <c r="L192" s="2">
        <f>IFERROR((K192-J192)/K192*100,0)</f>
        <v>0</v>
      </c>
    </row>
    <row r="193" spans="12:12">
      <c r="L193" s="2">
        <f>IFERROR((K193-J193)/K193*100,0)</f>
        <v>0</v>
      </c>
    </row>
    <row r="194" spans="12:12">
      <c r="L194" s="2">
        <f>IFERROR((K194-J194)/K194*100,0)</f>
        <v>0</v>
      </c>
    </row>
    <row r="195" spans="12:12">
      <c r="L195" s="2">
        <f>IFERROR((K195-J195)/K195*100,0)</f>
        <v>0</v>
      </c>
    </row>
    <row r="196" spans="12:12">
      <c r="L196" s="2">
        <f>IFERROR((K196-J196)/K196*100,0)</f>
        <v>0</v>
      </c>
    </row>
    <row r="197" spans="12:12">
      <c r="L197" s="2">
        <f>IFERROR((K197-J197)/K197*100,0)</f>
        <v>0</v>
      </c>
    </row>
    <row r="198" spans="12:12">
      <c r="L198" s="2">
        <f>IFERROR((K198-J198)/K198*100,0)</f>
        <v>0</v>
      </c>
    </row>
    <row r="199" spans="12:12">
      <c r="L199" s="2">
        <f>IFERROR((K199-J199)/K199*100,0)</f>
        <v>0</v>
      </c>
    </row>
    <row r="200" spans="12:12">
      <c r="L200" s="2">
        <f>IFERROR((K200-J200)/K200*100,0)</f>
        <v>0</v>
      </c>
    </row>
    <row r="201" spans="12:12">
      <c r="L201" s="2">
        <f>IFERROR((K201-J201)/K201*100,0)</f>
        <v>0</v>
      </c>
    </row>
    <row r="202" spans="12:12">
      <c r="L202" s="2">
        <f>IFERROR((K202-J202)/K202*100,0)</f>
        <v>0</v>
      </c>
    </row>
    <row r="203" spans="12:12">
      <c r="L203" s="2">
        <f>IFERROR((K203-J203)/K203*100,0)</f>
        <v>0</v>
      </c>
    </row>
    <row r="204" spans="12:12">
      <c r="L204" s="2">
        <f>IFERROR((K204-J204)/K204*100,0)</f>
        <v>0</v>
      </c>
    </row>
    <row r="205" spans="12:12">
      <c r="L205" s="2">
        <f>IFERROR((K205-J205)/K205*100,0)</f>
        <v>0</v>
      </c>
    </row>
    <row r="206" spans="12:12">
      <c r="L206" s="2">
        <f>IFERROR((K206-J206)/K206*100,0)</f>
        <v>0</v>
      </c>
    </row>
    <row r="207" spans="12:12">
      <c r="L207" s="2">
        <f>IFERROR((K207-J207)/K207*100,0)</f>
        <v>0</v>
      </c>
    </row>
    <row r="208" spans="12:12">
      <c r="L208" s="2">
        <f>IFERROR((K208-J208)/K208*100,0)</f>
        <v>0</v>
      </c>
    </row>
    <row r="209" spans="12:12">
      <c r="L209" s="2">
        <f>IFERROR((K209-J209)/K209*100,0)</f>
        <v>0</v>
      </c>
    </row>
    <row r="210" spans="12:12">
      <c r="L210" s="2">
        <f>IFERROR((K210-J210)/K210*100,0)</f>
        <v>0</v>
      </c>
    </row>
    <row r="211" spans="12:12">
      <c r="L211" s="2">
        <f>IFERROR((K211-J211)/K211*100,0)</f>
        <v>0</v>
      </c>
    </row>
    <row r="212" spans="12:12">
      <c r="L212" s="2">
        <f>IFERROR((K212-J212)/K212*100,0)</f>
        <v>0</v>
      </c>
    </row>
    <row r="213" spans="12:12">
      <c r="L213" s="2">
        <f>IFERROR((K213-J213)/K213*100,0)</f>
        <v>0</v>
      </c>
    </row>
    <row r="214" spans="12:12">
      <c r="L214" s="2">
        <f>IFERROR((K214-J214)/K214*100,0)</f>
        <v>0</v>
      </c>
    </row>
    <row r="215" spans="12:12">
      <c r="L215" s="2">
        <f>IFERROR((K215-J215)/K215*100,0)</f>
        <v>0</v>
      </c>
    </row>
    <row r="216" spans="12:12">
      <c r="L216" s="2">
        <f>IFERROR((K216-J216)/K216*100,0)</f>
        <v>0</v>
      </c>
    </row>
    <row r="217" spans="12:12">
      <c r="L217" s="2">
        <f>IFERROR((K217-J217)/K217*100,0)</f>
        <v>0</v>
      </c>
    </row>
    <row r="218" spans="12:12">
      <c r="L218" s="2">
        <f>IFERROR((K218-J218)/K218*100,0)</f>
        <v>0</v>
      </c>
    </row>
    <row r="219" spans="12:12">
      <c r="L219" s="2">
        <f>IFERROR((K219-J219)/K219*100,0)</f>
        <v>0</v>
      </c>
    </row>
    <row r="220" spans="12:12">
      <c r="L220" s="2">
        <f>IFERROR((K220-J220)/K220*100,0)</f>
        <v>0</v>
      </c>
    </row>
    <row r="221" spans="12:12">
      <c r="L221" s="2">
        <f>IFERROR((K221-J221)/K221*100,0)</f>
        <v>0</v>
      </c>
    </row>
    <row r="222" spans="12:12">
      <c r="L222" s="2">
        <f>IFERROR((K222-J222)/K222*100,0)</f>
        <v>0</v>
      </c>
    </row>
    <row r="223" spans="12:12">
      <c r="L223" s="2">
        <f>IFERROR((K223-J223)/K223*100,0)</f>
        <v>0</v>
      </c>
    </row>
    <row r="224" spans="12:12">
      <c r="L224" s="2">
        <f>IFERROR((K224-J224)/K224*100,0)</f>
        <v>0</v>
      </c>
    </row>
    <row r="225" spans="12:12">
      <c r="L225" s="2">
        <f>IFERROR((K225-J225)/K225*100,0)</f>
        <v>0</v>
      </c>
    </row>
    <row r="226" spans="12:12">
      <c r="L226" s="2">
        <f>IFERROR((K226-J226)/K226*100,0)</f>
        <v>0</v>
      </c>
    </row>
    <row r="227" spans="12:12">
      <c r="L227" s="2">
        <f>IFERROR((K227-J227)/K227*100,0)</f>
        <v>0</v>
      </c>
    </row>
    <row r="228" spans="12:12">
      <c r="L228" s="2">
        <f>IFERROR((K228-J228)/K228*100,0)</f>
        <v>0</v>
      </c>
    </row>
    <row r="229" spans="12:12">
      <c r="L229" s="2">
        <f>IFERROR((K229-J229)/K229*100,0)</f>
        <v>0</v>
      </c>
    </row>
    <row r="230" spans="12:12">
      <c r="L230" s="2">
        <f>IFERROR((K230-J230)/K230*100,0)</f>
        <v>0</v>
      </c>
    </row>
    <row r="231" spans="12:12">
      <c r="L231" s="2">
        <f>IFERROR((K231-J231)/K231*100,0)</f>
        <v>0</v>
      </c>
    </row>
    <row r="232" spans="12:12">
      <c r="L232" s="2">
        <f>IFERROR((K232-J232)/K232*100,0)</f>
        <v>0</v>
      </c>
    </row>
    <row r="233" spans="12:12">
      <c r="L233" s="2">
        <f>IFERROR((K233-J233)/K233*100,0)</f>
        <v>0</v>
      </c>
    </row>
    <row r="234" spans="12:12">
      <c r="L234" s="2">
        <f>IFERROR((K234-J234)/K234*100,0)</f>
        <v>0</v>
      </c>
    </row>
    <row r="235" spans="12:12">
      <c r="L235" s="2">
        <f>IFERROR((K235-J235)/K235*100,0)</f>
        <v>0</v>
      </c>
    </row>
    <row r="236" spans="12:12">
      <c r="L236" s="2">
        <f>IFERROR((K236-J236)/K236*100,0)</f>
        <v>0</v>
      </c>
    </row>
    <row r="237" spans="12:12">
      <c r="L237" s="2">
        <f>IFERROR((K237-J237)/K237*100,0)</f>
        <v>0</v>
      </c>
    </row>
    <row r="238" spans="12:12">
      <c r="L238" s="2">
        <f>IFERROR((K238-J238)/K238*100,0)</f>
        <v>0</v>
      </c>
    </row>
    <row r="239" spans="12:12">
      <c r="L239" s="2">
        <f>IFERROR((K239-J239)/K239*100,0)</f>
        <v>0</v>
      </c>
    </row>
    <row r="240" spans="12:12">
      <c r="L240" s="2">
        <f>IFERROR((K240-J240)/K240*100,0)</f>
        <v>0</v>
      </c>
    </row>
    <row r="241" spans="12:12">
      <c r="L241" s="2">
        <f>IFERROR((K241-J241)/K241*100,0)</f>
        <v>0</v>
      </c>
    </row>
    <row r="242" spans="12:12">
      <c r="L242" s="2">
        <f>IFERROR((K242-J242)/K242*100,0)</f>
        <v>0</v>
      </c>
    </row>
    <row r="243" spans="12:12">
      <c r="L243" s="2">
        <f>IFERROR((K243-J243)/K243*100,0)</f>
        <v>0</v>
      </c>
    </row>
    <row r="244" spans="12:12">
      <c r="L244" s="2">
        <f>IFERROR((K244-J244)/K244*100,0)</f>
        <v>0</v>
      </c>
    </row>
    <row r="245" spans="12:12">
      <c r="L245" s="2">
        <f>IFERROR((K245-J245)/K245*100,0)</f>
        <v>0</v>
      </c>
    </row>
    <row r="246" spans="12:12">
      <c r="L246" s="2">
        <f>IFERROR((K246-J246)/K246*100,0)</f>
        <v>0</v>
      </c>
    </row>
    <row r="247" spans="12:12">
      <c r="L247" s="2">
        <f>IFERROR((K247-J247)/K247*100,0)</f>
        <v>0</v>
      </c>
    </row>
    <row r="248" spans="12:12">
      <c r="L248" s="2">
        <f>IFERROR((K248-J248)/K248*100,0)</f>
        <v>0</v>
      </c>
    </row>
    <row r="249" spans="12:12">
      <c r="L249" s="2">
        <f>IFERROR((K249-J249)/K249*100,0)</f>
        <v>0</v>
      </c>
    </row>
    <row r="250" spans="12:12">
      <c r="L250" s="2">
        <f>IFERROR((K250-J250)/K250*100,0)</f>
        <v>0</v>
      </c>
    </row>
    <row r="251" spans="12:12">
      <c r="L251" s="2">
        <f>IFERROR((K251-J251)/K251*100,0)</f>
        <v>0</v>
      </c>
    </row>
    <row r="252" spans="12:12">
      <c r="L252" s="2">
        <f>IFERROR((K252-J252)/K252*100,0)</f>
        <v>0</v>
      </c>
    </row>
    <row r="253" spans="12:12">
      <c r="L253" s="2">
        <f>IFERROR((K253-J253)/K253*100,0)</f>
        <v>0</v>
      </c>
    </row>
    <row r="254" spans="12:12">
      <c r="L254" s="2">
        <f>IFERROR((K254-J254)/K254*100,0)</f>
        <v>0</v>
      </c>
    </row>
    <row r="255" spans="12:12">
      <c r="L255" s="2">
        <f>IFERROR((K255-J255)/K255*100,0)</f>
        <v>0</v>
      </c>
    </row>
    <row r="256" spans="12:12">
      <c r="L256" s="2">
        <f>IFERROR((K256-J256)/K256*100,0)</f>
        <v>0</v>
      </c>
    </row>
    <row r="257" spans="12:12">
      <c r="L257" s="2">
        <f>IFERROR((K257-J257)/K257*100,0)</f>
        <v>0</v>
      </c>
    </row>
    <row r="258" spans="12:12">
      <c r="L258" s="2">
        <f>IFERROR((K258-J258)/K258*100,0)</f>
        <v>0</v>
      </c>
    </row>
    <row r="259" spans="12:12">
      <c r="L259" s="2">
        <f>IFERROR((K259-J259)/K259*100,0)</f>
        <v>0</v>
      </c>
    </row>
    <row r="260" spans="12:12">
      <c r="L260" s="2">
        <f>IFERROR((K260-J260)/K260*100,0)</f>
        <v>0</v>
      </c>
    </row>
    <row r="261" spans="12:12">
      <c r="L261" s="2">
        <f>IFERROR((K261-J261)/K261*100,0)</f>
        <v>0</v>
      </c>
    </row>
    <row r="262" spans="12:12">
      <c r="L262" s="2">
        <f>IFERROR((K262-J262)/K262*100,0)</f>
        <v>0</v>
      </c>
    </row>
    <row r="263" spans="12:12">
      <c r="L263" s="2">
        <f>IFERROR((K263-J263)/K263*100,0)</f>
        <v>0</v>
      </c>
    </row>
    <row r="264" spans="12:12">
      <c r="L264" s="2">
        <f>IFERROR((K264-J264)/K264*100,0)</f>
        <v>0</v>
      </c>
    </row>
    <row r="265" spans="12:12">
      <c r="L265" s="2">
        <f>IFERROR((K265-J265)/K265*100,0)</f>
        <v>0</v>
      </c>
    </row>
    <row r="266" spans="12:12">
      <c r="L266" s="2">
        <f>IFERROR((K266-J266)/K266*100,0)</f>
        <v>0</v>
      </c>
    </row>
    <row r="267" spans="12:12">
      <c r="L267" s="2">
        <f>IFERROR((K267-J267)/K267*100,0)</f>
        <v>0</v>
      </c>
    </row>
    <row r="268" spans="12:12">
      <c r="L268" s="2">
        <f>IFERROR((K268-J268)/K268*100,0)</f>
        <v>0</v>
      </c>
    </row>
    <row r="269" spans="12:12">
      <c r="L269" s="2">
        <f>IFERROR((K269-J269)/K269*100,0)</f>
        <v>0</v>
      </c>
    </row>
    <row r="270" spans="12:12">
      <c r="L270" s="2">
        <f>IFERROR((K270-J270)/K270*100,0)</f>
        <v>0</v>
      </c>
    </row>
    <row r="271" spans="12:12">
      <c r="L271" s="2">
        <f>IFERROR((K271-J271)/K271*100,0)</f>
        <v>0</v>
      </c>
    </row>
    <row r="272" spans="12:12">
      <c r="L272" s="2">
        <f>IFERROR((K272-J272)/K272*100,0)</f>
        <v>0</v>
      </c>
    </row>
    <row r="273" spans="12:12">
      <c r="L273" s="2">
        <f>IFERROR((K273-J273)/K273*100,0)</f>
        <v>0</v>
      </c>
    </row>
    <row r="274" spans="12:12">
      <c r="L274" s="2">
        <f>IFERROR((K274-J274)/K274*100,0)</f>
        <v>0</v>
      </c>
    </row>
    <row r="275" spans="12:12">
      <c r="L275" s="2">
        <f>IFERROR((K275-J275)/K275*100,0)</f>
        <v>0</v>
      </c>
    </row>
    <row r="276" spans="12:12">
      <c r="L276" s="2">
        <f>IFERROR((K276-J276)/K276*100,0)</f>
        <v>0</v>
      </c>
    </row>
    <row r="277" spans="12:12">
      <c r="L277" s="2">
        <f>IFERROR((K277-J277)/K277*100,0)</f>
        <v>0</v>
      </c>
    </row>
    <row r="278" spans="12:12">
      <c r="L278" s="2">
        <f>IFERROR((K278-J278)/K278*100,0)</f>
        <v>0</v>
      </c>
    </row>
    <row r="279" spans="12:12">
      <c r="L279" s="2">
        <f>IFERROR((K279-J279)/K279*100,0)</f>
        <v>0</v>
      </c>
    </row>
    <row r="280" spans="12:12">
      <c r="L280" s="2">
        <f>IFERROR((K280-J280)/K280*100,0)</f>
        <v>0</v>
      </c>
    </row>
    <row r="281" spans="12:12">
      <c r="L281" s="2">
        <f>IFERROR((K281-J281)/K281*100,0)</f>
        <v>0</v>
      </c>
    </row>
    <row r="282" spans="12:12">
      <c r="L282" s="2">
        <f>IFERROR((K282-J282)/K282*100,0)</f>
        <v>0</v>
      </c>
    </row>
    <row r="283" spans="12:12">
      <c r="L283" s="2">
        <f>IFERROR((K283-J283)/K283*100,0)</f>
        <v>0</v>
      </c>
    </row>
    <row r="284" spans="12:12">
      <c r="L284" s="2">
        <f>IFERROR((K284-J284)/K284*100,0)</f>
        <v>0</v>
      </c>
    </row>
    <row r="285" spans="12:12">
      <c r="L285" s="2">
        <f>IFERROR((K285-J285)/K285*100,0)</f>
        <v>0</v>
      </c>
    </row>
    <row r="286" spans="12:12">
      <c r="L286" s="2">
        <f>IFERROR((K286-J286)/K286*100,0)</f>
        <v>0</v>
      </c>
    </row>
    <row r="287" spans="12:12">
      <c r="L287" s="2">
        <f>IFERROR((K287-J287)/K287*100,0)</f>
        <v>0</v>
      </c>
    </row>
    <row r="288" spans="12:12">
      <c r="L288" s="2">
        <f>IFERROR((K288-J288)/K288*100,0)</f>
        <v>0</v>
      </c>
    </row>
    <row r="289" spans="12:12">
      <c r="L289" s="2">
        <f>IFERROR((K289-J289)/K289*100,0)</f>
        <v>0</v>
      </c>
    </row>
    <row r="290" spans="12:12">
      <c r="L290" s="2">
        <f>IFERROR((K290-J290)/K290*100,0)</f>
        <v>0</v>
      </c>
    </row>
    <row r="291" spans="12:12">
      <c r="L291" s="2">
        <f>IFERROR((K291-J291)/K291*100,0)</f>
        <v>0</v>
      </c>
    </row>
    <row r="292" spans="12:12">
      <c r="L292" s="2">
        <f>IFERROR((K292-J292)/K292*100,0)</f>
        <v>0</v>
      </c>
    </row>
    <row r="293" spans="12:12">
      <c r="L293" s="2">
        <f>IFERROR((K293-J293)/K293*100,0)</f>
        <v>0</v>
      </c>
    </row>
    <row r="294" spans="12:12">
      <c r="L294" s="2">
        <f>IFERROR((K294-J294)/K294*100,0)</f>
        <v>0</v>
      </c>
    </row>
    <row r="295" spans="12:12">
      <c r="L295" s="2">
        <f>IFERROR((K295-J295)/K295*100,0)</f>
        <v>0</v>
      </c>
    </row>
    <row r="296" spans="12:12">
      <c r="L296" s="2">
        <f>IFERROR((K296-J296)/K296*100,0)</f>
        <v>0</v>
      </c>
    </row>
    <row r="297" spans="12:12">
      <c r="L297" s="2">
        <f>IFERROR((K297-J297)/K297*100,0)</f>
        <v>0</v>
      </c>
    </row>
    <row r="298" spans="12:12">
      <c r="L298" s="2">
        <f>IFERROR((K298-J298)/K298*100,0)</f>
        <v>0</v>
      </c>
    </row>
    <row r="299" spans="12:12">
      <c r="L299" s="2">
        <f>IFERROR((K299-J299)/K299*100,0)</f>
        <v>0</v>
      </c>
    </row>
    <row r="300" spans="12:12">
      <c r="L300" s="2">
        <f>IFERROR((K300-J300)/K300*100,0)</f>
        <v>0</v>
      </c>
    </row>
    <row r="301" spans="12:12">
      <c r="L301" s="2">
        <f>IFERROR((K301-J301)/K301*100,0)</f>
        <v>0</v>
      </c>
    </row>
    <row r="302" spans="12:12">
      <c r="L302" s="2">
        <f>IFERROR((K302-J302)/K302*100,0)</f>
        <v>0</v>
      </c>
    </row>
    <row r="303" spans="12:12">
      <c r="L303" s="2">
        <f>IFERROR((K303-J303)/K303*100,0)</f>
        <v>0</v>
      </c>
    </row>
    <row r="304" spans="12:12">
      <c r="L304" s="2">
        <f>IFERROR((K304-J304)/K304*100,0)</f>
        <v>0</v>
      </c>
    </row>
    <row r="305" spans="12:12">
      <c r="L305" s="2">
        <f>IFERROR((K305-J305)/K305*100,0)</f>
        <v>0</v>
      </c>
    </row>
    <row r="306" spans="12:12">
      <c r="L306" s="2">
        <f>IFERROR((K306-J306)/K306*100,0)</f>
        <v>0</v>
      </c>
    </row>
    <row r="307" spans="12:12">
      <c r="L307" s="2">
        <f>IFERROR((K307-J307)/K307*100,0)</f>
        <v>0</v>
      </c>
    </row>
    <row r="308" spans="12:12">
      <c r="L308" s="2">
        <f>IFERROR((K308-J308)/K308*100,0)</f>
        <v>0</v>
      </c>
    </row>
    <row r="309" spans="12:12">
      <c r="L309" s="2">
        <f>IFERROR((K309-J309)/K309*100,0)</f>
        <v>0</v>
      </c>
    </row>
    <row r="310" spans="12:12">
      <c r="L310" s="2">
        <f>IFERROR((K310-J310)/K310*100,0)</f>
        <v>0</v>
      </c>
    </row>
    <row r="311" spans="12:12">
      <c r="L311" s="2">
        <f>IFERROR((K311-J311)/K311*100,0)</f>
        <v>0</v>
      </c>
    </row>
    <row r="312" spans="12:12">
      <c r="L312" s="2">
        <f>IFERROR((K312-J312)/K312*100,0)</f>
        <v>0</v>
      </c>
    </row>
    <row r="313" spans="12:12">
      <c r="L313" s="2">
        <f>IFERROR((K313-J313)/K313*100,0)</f>
        <v>0</v>
      </c>
    </row>
    <row r="314" spans="12:12">
      <c r="L314" s="2">
        <f>IFERROR((K314-J314)/K314*100,0)</f>
        <v>0</v>
      </c>
    </row>
    <row r="315" spans="12:12">
      <c r="L315" s="2">
        <f>IFERROR((K315-J315)/K315*100,0)</f>
        <v>0</v>
      </c>
    </row>
    <row r="316" spans="12:12">
      <c r="L316" s="2">
        <f>IFERROR((K316-J316)/K316*100,0)</f>
        <v>0</v>
      </c>
    </row>
    <row r="317" spans="12:12">
      <c r="L317" s="2">
        <f>IFERROR((K317-J317)/K317*100,0)</f>
        <v>0</v>
      </c>
    </row>
    <row r="318" spans="12:12">
      <c r="L318" s="2">
        <f>IFERROR((K318-J318)/K318*100,0)</f>
        <v>0</v>
      </c>
    </row>
    <row r="319" spans="12:12">
      <c r="L319" s="2">
        <f>IFERROR((K319-J319)/K319*100,0)</f>
        <v>0</v>
      </c>
    </row>
    <row r="320" spans="12:12">
      <c r="L320" s="2">
        <f>IFERROR((K320-J320)/K320*100,0)</f>
        <v>0</v>
      </c>
    </row>
    <row r="321" spans="12:12">
      <c r="L321" s="2">
        <f>IFERROR((K321-J321)/K321*100,0)</f>
        <v>0</v>
      </c>
    </row>
    <row r="322" spans="12:12">
      <c r="L322" s="2">
        <f>IFERROR((K322-J322)/K322*100,0)</f>
        <v>0</v>
      </c>
    </row>
    <row r="323" spans="12:12">
      <c r="L323" s="2">
        <f>IFERROR((K323-J323)/K323*100,0)</f>
        <v>0</v>
      </c>
    </row>
    <row r="324" spans="12:12">
      <c r="L324" s="2">
        <f>IFERROR((K324-J324)/K324*100,0)</f>
        <v>0</v>
      </c>
    </row>
    <row r="325" spans="12:12">
      <c r="L325" s="2">
        <f>IFERROR((K325-J325)/K325*100,0)</f>
        <v>0</v>
      </c>
    </row>
    <row r="326" spans="12:12">
      <c r="L326" s="2">
        <f>IFERROR((K326-J326)/K326*100,0)</f>
        <v>0</v>
      </c>
    </row>
    <row r="327" spans="12:12">
      <c r="L327" s="2">
        <f>IFERROR((K327-J327)/K327*100,0)</f>
        <v>0</v>
      </c>
    </row>
    <row r="328" spans="12:12">
      <c r="L328" s="2">
        <f>IFERROR((K328-J328)/K328*100,0)</f>
        <v>0</v>
      </c>
    </row>
    <row r="329" spans="12:12">
      <c r="L329" s="2">
        <f>IFERROR((K329-J329)/K329*100,0)</f>
        <v>0</v>
      </c>
    </row>
    <row r="330" spans="12:12">
      <c r="L330" s="2">
        <f>IFERROR((K330-J330)/K330*100,0)</f>
        <v>0</v>
      </c>
    </row>
    <row r="331" spans="12:12">
      <c r="L331" s="2">
        <f>IFERROR((K331-J331)/K331*100,0)</f>
        <v>0</v>
      </c>
    </row>
    <row r="332" spans="12:12">
      <c r="L332" s="2">
        <f>IFERROR((K332-J332)/K332*100,0)</f>
        <v>0</v>
      </c>
    </row>
    <row r="333" spans="12:12">
      <c r="L333" s="2">
        <f>IFERROR((K333-J333)/K333*100,0)</f>
        <v>0</v>
      </c>
    </row>
    <row r="334" spans="12:12">
      <c r="L334" s="2">
        <f>IFERROR((K334-J334)/K334*100,0)</f>
        <v>0</v>
      </c>
    </row>
    <row r="335" spans="12:12">
      <c r="L335" s="2">
        <f>IFERROR((K335-J335)/K335*100,0)</f>
        <v>0</v>
      </c>
    </row>
    <row r="336" spans="12:12">
      <c r="L336" s="2">
        <f>IFERROR((K336-J336)/K336*100,0)</f>
        <v>0</v>
      </c>
    </row>
    <row r="337" spans="12:12">
      <c r="L337" s="2">
        <f>IFERROR((K337-J337)/K337*100,0)</f>
        <v>0</v>
      </c>
    </row>
    <row r="338" spans="12:12">
      <c r="L338" s="2">
        <f>IFERROR((K338-J338)/K338*100,0)</f>
        <v>0</v>
      </c>
    </row>
    <row r="339" spans="12:12">
      <c r="L339" s="2">
        <f>IFERROR((K339-J339)/K339*100,0)</f>
        <v>0</v>
      </c>
    </row>
    <row r="340" spans="12:12">
      <c r="L340" s="2">
        <f>IFERROR((K340-J340)/K340*100,0)</f>
        <v>0</v>
      </c>
    </row>
    <row r="341" spans="12:12">
      <c r="L341" s="2">
        <f>IFERROR((K341-J341)/K341*100,0)</f>
        <v>0</v>
      </c>
    </row>
    <row r="342" spans="12:12">
      <c r="L342" s="2">
        <f>IFERROR((K342-J342)/K342*100,0)</f>
        <v>0</v>
      </c>
    </row>
    <row r="343" spans="12:12">
      <c r="L343" s="2">
        <f>IFERROR((K343-J343)/K343*100,0)</f>
        <v>0</v>
      </c>
    </row>
    <row r="344" spans="12:12">
      <c r="L344" s="2">
        <f>IFERROR((K344-J344)/K344*100,0)</f>
        <v>0</v>
      </c>
    </row>
    <row r="345" spans="12:12">
      <c r="L345" s="2">
        <f>IFERROR((K345-J345)/K345*100,0)</f>
        <v>0</v>
      </c>
    </row>
    <row r="346" spans="12:12">
      <c r="L346" s="2">
        <f>IFERROR((K346-J346)/K346*100,0)</f>
        <v>0</v>
      </c>
    </row>
    <row r="347" spans="12:12">
      <c r="L347" s="2">
        <f>IFERROR((K347-J347)/K347*100,0)</f>
        <v>0</v>
      </c>
    </row>
    <row r="348" spans="12:12">
      <c r="L348" s="2">
        <f>IFERROR((K348-J348)/K348*100,0)</f>
        <v>0</v>
      </c>
    </row>
    <row r="349" spans="12:12">
      <c r="L349" s="2">
        <f>IFERROR((K349-J349)/K349*100,0)</f>
        <v>0</v>
      </c>
    </row>
    <row r="350" spans="12:12">
      <c r="L350" s="2">
        <f>IFERROR((K350-J350)/K350*100,0)</f>
        <v>0</v>
      </c>
    </row>
    <row r="351" spans="12:12">
      <c r="L351" s="2">
        <f>IFERROR((K351-J351)/K351*100,0)</f>
        <v>0</v>
      </c>
    </row>
    <row r="352" spans="12:12">
      <c r="L352" s="2">
        <f>IFERROR((K352-J352)/K352*100,0)</f>
        <v>0</v>
      </c>
    </row>
    <row r="353" spans="12:12">
      <c r="L353" s="2">
        <f>IFERROR((K353-J353)/K353*100,0)</f>
        <v>0</v>
      </c>
    </row>
    <row r="354" spans="12:12">
      <c r="L354" s="2">
        <f>IFERROR((K354-J354)/K354*100,0)</f>
        <v>0</v>
      </c>
    </row>
    <row r="355" spans="12:12">
      <c r="L355" s="2">
        <f>IFERROR((K355-J355)/K355*100,0)</f>
        <v>0</v>
      </c>
    </row>
    <row r="356" spans="12:12">
      <c r="L356" s="2">
        <f>IFERROR((K356-J356)/K356*100,0)</f>
        <v>0</v>
      </c>
    </row>
    <row r="357" spans="12:12">
      <c r="L357" s="2">
        <f>IFERROR((K357-J357)/K357*100,0)</f>
        <v>0</v>
      </c>
    </row>
    <row r="358" spans="12:12">
      <c r="L358" s="2">
        <f>IFERROR((K358-J358)/K358*100,0)</f>
        <v>0</v>
      </c>
    </row>
    <row r="359" spans="12:12">
      <c r="L359" s="2">
        <f>IFERROR((K359-J359)/K359*100,0)</f>
        <v>0</v>
      </c>
    </row>
    <row r="360" spans="12:12">
      <c r="L360" s="2">
        <f>IFERROR((K360-J360)/K360*100,0)</f>
        <v>0</v>
      </c>
    </row>
    <row r="361" spans="12:12">
      <c r="L361" s="2">
        <f>IFERROR((K361-J361)/K361*100,0)</f>
        <v>0</v>
      </c>
    </row>
    <row r="362" spans="12:12">
      <c r="L362" s="2">
        <f>IFERROR((K362-J362)/K362*100,0)</f>
        <v>0</v>
      </c>
    </row>
    <row r="363" spans="12:12">
      <c r="L363" s="2">
        <f>IFERROR((K363-J363)/K363*100,0)</f>
        <v>0</v>
      </c>
    </row>
    <row r="364" spans="12:12">
      <c r="L364" s="2">
        <f>IFERROR((K364-J364)/K364*100,0)</f>
        <v>0</v>
      </c>
    </row>
    <row r="365" spans="12:12">
      <c r="L365" s="2">
        <f>IFERROR((K365-J365)/K365*100,0)</f>
        <v>0</v>
      </c>
    </row>
    <row r="366" spans="12:12">
      <c r="L366" s="2">
        <f>IFERROR((K366-J366)/K366*100,0)</f>
        <v>0</v>
      </c>
    </row>
    <row r="367" spans="12:12">
      <c r="L367" s="2">
        <f>IFERROR((K367-J367)/K367*100,0)</f>
        <v>0</v>
      </c>
    </row>
    <row r="368" spans="12:12">
      <c r="L368" s="2">
        <f>IFERROR((K368-J368)/K368*100,0)</f>
        <v>0</v>
      </c>
    </row>
    <row r="369" spans="12:12">
      <c r="L369" s="2">
        <f>IFERROR((K369-J369)/K369*100,0)</f>
        <v>0</v>
      </c>
    </row>
    <row r="370" spans="12:12">
      <c r="L370" s="2">
        <f>IFERROR((K370-J370)/K370*100,0)</f>
        <v>0</v>
      </c>
    </row>
    <row r="371" spans="12:12">
      <c r="L371" s="2">
        <f>IFERROR((K371-J371)/K371*100,0)</f>
        <v>0</v>
      </c>
    </row>
    <row r="372" spans="12:12">
      <c r="L372" s="2">
        <f>IFERROR((K372-J372)/K372*100,0)</f>
        <v>0</v>
      </c>
    </row>
    <row r="373" spans="12:12">
      <c r="L373" s="2">
        <f>IFERROR((K373-J373)/K373*100,0)</f>
        <v>0</v>
      </c>
    </row>
    <row r="374" spans="12:12">
      <c r="L374" s="2">
        <f>IFERROR((K374-J374)/K374*100,0)</f>
        <v>0</v>
      </c>
    </row>
    <row r="375" spans="12:12">
      <c r="L375" s="2">
        <f>IFERROR((K375-J375)/K375*100,0)</f>
        <v>0</v>
      </c>
    </row>
    <row r="376" spans="12:12">
      <c r="L376" s="2">
        <f>IFERROR((K376-J376)/K376*100,0)</f>
        <v>0</v>
      </c>
    </row>
    <row r="377" spans="12:12">
      <c r="L377" s="2">
        <f>IFERROR((K377-J377)/K377*100,0)</f>
        <v>0</v>
      </c>
    </row>
    <row r="378" spans="12:12">
      <c r="L378" s="2">
        <f>IFERROR((K378-J378)/K378*100,0)</f>
        <v>0</v>
      </c>
    </row>
    <row r="379" spans="12:12">
      <c r="L379" s="2">
        <f>IFERROR((K379-J379)/K379*100,0)</f>
        <v>0</v>
      </c>
    </row>
    <row r="380" spans="12:12">
      <c r="L380" s="2">
        <f>IFERROR((K380-J380)/K380*100,0)</f>
        <v>0</v>
      </c>
    </row>
    <row r="381" spans="12:12">
      <c r="L381" s="2">
        <f>IFERROR((K381-J381)/K381*100,0)</f>
        <v>0</v>
      </c>
    </row>
    <row r="382" spans="12:12">
      <c r="L382" s="2">
        <f>IFERROR((K382-J382)/K382*100,0)</f>
        <v>0</v>
      </c>
    </row>
    <row r="383" spans="12:12">
      <c r="L383" s="2">
        <f>IFERROR((K383-J383)/K383*100,0)</f>
        <v>0</v>
      </c>
    </row>
    <row r="384" spans="12:12">
      <c r="L384" s="2">
        <f>IFERROR((K384-J384)/K384*100,0)</f>
        <v>0</v>
      </c>
    </row>
    <row r="385" spans="12:12">
      <c r="L385" s="2">
        <f>IFERROR((K385-J385)/K385*100,0)</f>
        <v>0</v>
      </c>
    </row>
    <row r="386" spans="12:12">
      <c r="L386" s="2">
        <f>IFERROR((K386-J386)/K386*100,0)</f>
        <v>0</v>
      </c>
    </row>
    <row r="387" spans="12:12">
      <c r="L387" s="2">
        <f>IFERROR((K387-J387)/K387*100,0)</f>
        <v>0</v>
      </c>
    </row>
    <row r="388" spans="12:12">
      <c r="L388" s="2">
        <f>IFERROR((K388-J388)/K388*100,0)</f>
        <v>0</v>
      </c>
    </row>
    <row r="389" spans="12:12">
      <c r="L389" s="2">
        <f>IFERROR((K389-J389)/K389*100,0)</f>
        <v>0</v>
      </c>
    </row>
    <row r="390" spans="12:12">
      <c r="L390" s="2">
        <f>IFERROR((K390-J390)/K390*100,0)</f>
        <v>0</v>
      </c>
    </row>
    <row r="391" spans="12:12">
      <c r="L391" s="2">
        <f>IFERROR((K391-J391)/K391*100,0)</f>
        <v>0</v>
      </c>
    </row>
    <row r="392" spans="12:12">
      <c r="L392" s="2">
        <f>IFERROR((K392-J392)/K392*100,0)</f>
        <v>0</v>
      </c>
    </row>
    <row r="393" spans="12:12">
      <c r="L393" s="2">
        <f>IFERROR((K393-J393)/K393*100,0)</f>
        <v>0</v>
      </c>
    </row>
    <row r="394" spans="12:12">
      <c r="L394" s="2">
        <f>IFERROR((K394-J394)/K394*100,0)</f>
        <v>0</v>
      </c>
    </row>
    <row r="395" spans="12:12">
      <c r="L395" s="2">
        <f>IFERROR((K395-J395)/K395*100,0)</f>
        <v>0</v>
      </c>
    </row>
    <row r="396" spans="12:12">
      <c r="L396" s="2">
        <f>IFERROR((K396-J396)/K396*100,0)</f>
        <v>0</v>
      </c>
    </row>
    <row r="397" spans="12:12">
      <c r="L397" s="2">
        <f>IFERROR((K397-J397)/K397*100,0)</f>
        <v>0</v>
      </c>
    </row>
    <row r="398" spans="12:12">
      <c r="L398" s="2">
        <f>IFERROR((K398-J398)/K398*100,0)</f>
        <v>0</v>
      </c>
    </row>
    <row r="399" spans="12:12">
      <c r="L399" s="2">
        <f>IFERROR((K399-J399)/K399*100,0)</f>
        <v>0</v>
      </c>
    </row>
    <row r="400" spans="12:12">
      <c r="L400" s="2">
        <f>IFERROR((K400-J400)/K400*100,0)</f>
        <v>0</v>
      </c>
    </row>
    <row r="401" spans="12:12">
      <c r="L401" s="2">
        <f>IFERROR((K401-J401)/K401*100,0)</f>
        <v>0</v>
      </c>
    </row>
    <row r="402" spans="12:12">
      <c r="L402" s="2">
        <f>IFERROR((K402-J402)/K402*100,0)</f>
        <v>0</v>
      </c>
    </row>
    <row r="403" spans="12:12">
      <c r="L403" s="2">
        <f>IFERROR((K403-J403)/K403*100,0)</f>
        <v>0</v>
      </c>
    </row>
    <row r="404" spans="12:12">
      <c r="L404" s="2">
        <f>IFERROR((K404-J404)/K404*100,0)</f>
        <v>0</v>
      </c>
    </row>
    <row r="405" spans="12:12">
      <c r="L405" s="2">
        <f>IFERROR((K405-J405)/K405*100,0)</f>
        <v>0</v>
      </c>
    </row>
    <row r="406" spans="12:12">
      <c r="L406" s="2">
        <f>IFERROR((K406-J406)/K406*100,0)</f>
        <v>0</v>
      </c>
    </row>
    <row r="407" spans="12:12">
      <c r="L407" s="2">
        <f>IFERROR((K407-J407)/K407*100,0)</f>
        <v>0</v>
      </c>
    </row>
    <row r="408" spans="12:12">
      <c r="L408" s="2">
        <f>IFERROR((K408-J408)/K408*100,0)</f>
        <v>0</v>
      </c>
    </row>
    <row r="409" spans="12:12">
      <c r="L409" s="2">
        <f>IFERROR((K409-J409)/K409*100,0)</f>
        <v>0</v>
      </c>
    </row>
    <row r="410" spans="12:12">
      <c r="L410" s="2">
        <f>IFERROR((K410-J410)/K410*100,0)</f>
        <v>0</v>
      </c>
    </row>
    <row r="411" spans="12:12">
      <c r="L411" s="2">
        <f>IFERROR((K411-J411)/K411*100,0)</f>
        <v>0</v>
      </c>
    </row>
    <row r="412" spans="12:12">
      <c r="L412" s="2">
        <f>IFERROR((K412-J412)/K412*100,0)</f>
        <v>0</v>
      </c>
    </row>
    <row r="413" spans="12:12">
      <c r="L413" s="2">
        <f>IFERROR((K413-J413)/K413*100,0)</f>
        <v>0</v>
      </c>
    </row>
    <row r="414" spans="12:12">
      <c r="L414" s="2">
        <f>IFERROR((K414-J414)/K414*100,0)</f>
        <v>0</v>
      </c>
    </row>
    <row r="415" spans="12:12">
      <c r="L415" s="2">
        <f>IFERROR((K415-J415)/K415*100,0)</f>
        <v>0</v>
      </c>
    </row>
    <row r="416" spans="12:12">
      <c r="L416" s="2">
        <f>IFERROR((K416-J416)/K416*100,0)</f>
        <v>0</v>
      </c>
    </row>
    <row r="417" spans="12:12">
      <c r="L417" s="2">
        <f>IFERROR((K417-J417)/K417*100,0)</f>
        <v>0</v>
      </c>
    </row>
    <row r="418" spans="12:12">
      <c r="L418" s="2">
        <f>IFERROR((K418-J418)/K418*100,0)</f>
        <v>0</v>
      </c>
    </row>
    <row r="419" spans="12:12">
      <c r="L419" s="2">
        <f>IFERROR((K419-J419)/K419*100,0)</f>
        <v>0</v>
      </c>
    </row>
    <row r="420" spans="12:12">
      <c r="L420" s="2">
        <f>IFERROR((K420-J420)/K420*100,0)</f>
        <v>0</v>
      </c>
    </row>
    <row r="421" spans="12:12">
      <c r="L421" s="2">
        <f>IFERROR((K421-J421)/K421*100,0)</f>
        <v>0</v>
      </c>
    </row>
    <row r="422" spans="12:12">
      <c r="L422" s="2">
        <f>IFERROR((K422-J422)/K422*100,0)</f>
        <v>0</v>
      </c>
    </row>
    <row r="423" spans="12:12">
      <c r="L423" s="2">
        <f>IFERROR((K423-J423)/K423*100,0)</f>
        <v>0</v>
      </c>
    </row>
    <row r="424" spans="12:12">
      <c r="L424" s="2">
        <f>IFERROR((K424-J424)/K424*100,0)</f>
        <v>0</v>
      </c>
    </row>
    <row r="425" spans="12:12">
      <c r="L425" s="2">
        <f>IFERROR((K425-J425)/K425*100,0)</f>
        <v>0</v>
      </c>
    </row>
    <row r="426" spans="12:12">
      <c r="L426" s="2">
        <f>IFERROR((K426-J426)/K426*100,0)</f>
        <v>0</v>
      </c>
    </row>
    <row r="427" spans="12:12">
      <c r="L427" s="2">
        <f>IFERROR((K427-J427)/K427*100,0)</f>
        <v>0</v>
      </c>
    </row>
    <row r="428" spans="12:12">
      <c r="L428" s="2">
        <f>IFERROR((K428-J428)/K428*100,0)</f>
        <v>0</v>
      </c>
    </row>
    <row r="429" spans="12:12">
      <c r="L429" s="2">
        <f>IFERROR((K429-J429)/K429*100,0)</f>
        <v>0</v>
      </c>
    </row>
    <row r="430" spans="12:12">
      <c r="L430" s="2">
        <f>IFERROR((K430-J430)/K430*100,0)</f>
        <v>0</v>
      </c>
    </row>
    <row r="431" spans="12:12">
      <c r="L431" s="2">
        <f>IFERROR((K431-J431)/K431*100,0)</f>
        <v>0</v>
      </c>
    </row>
    <row r="432" spans="12:12">
      <c r="L432" s="2">
        <f>IFERROR((K432-J432)/K432*100,0)</f>
        <v>0</v>
      </c>
    </row>
    <row r="433" spans="12:12">
      <c r="L433" s="2">
        <f>IFERROR((K433-J433)/K433*100,0)</f>
        <v>0</v>
      </c>
    </row>
    <row r="434" spans="12:12">
      <c r="L434" s="2">
        <f>IFERROR((K434-J434)/K434*100,0)</f>
        <v>0</v>
      </c>
    </row>
    <row r="435" spans="12:12">
      <c r="L435" s="2">
        <f>IFERROR((K435-J435)/K435*100,0)</f>
        <v>0</v>
      </c>
    </row>
    <row r="436" spans="12:12">
      <c r="L436" s="2">
        <f>IFERROR((K436-J436)/K436*100,0)</f>
        <v>0</v>
      </c>
    </row>
    <row r="437" spans="12:12">
      <c r="L437" s="2">
        <f>IFERROR((K437-J437)/K437*100,0)</f>
        <v>0</v>
      </c>
    </row>
    <row r="438" spans="12:12">
      <c r="L438" s="2">
        <f>IFERROR((K438-J438)/K438*100,0)</f>
        <v>0</v>
      </c>
    </row>
    <row r="439" spans="12:12">
      <c r="L439" s="2">
        <f>IFERROR((K439-J439)/K439*100,0)</f>
        <v>0</v>
      </c>
    </row>
    <row r="440" spans="12:12">
      <c r="L440" s="2">
        <f>IFERROR((K440-J440)/K440*100,0)</f>
        <v>0</v>
      </c>
    </row>
    <row r="441" spans="12:12">
      <c r="L441" s="2">
        <f>IFERROR((K441-J441)/K441*100,0)</f>
        <v>0</v>
      </c>
    </row>
    <row r="442" spans="12:12">
      <c r="L442" s="2">
        <f>IFERROR((K442-J442)/K442*100,0)</f>
        <v>0</v>
      </c>
    </row>
    <row r="443" spans="12:12">
      <c r="L443" s="2">
        <f>IFERROR((K443-J443)/K443*100,0)</f>
        <v>0</v>
      </c>
    </row>
    <row r="444" spans="12:12">
      <c r="L444" s="2">
        <f>IFERROR((K444-J444)/K444*100,0)</f>
        <v>0</v>
      </c>
    </row>
    <row r="445" spans="12:12">
      <c r="L445" s="2">
        <f>IFERROR((K445-J445)/K445*100,0)</f>
        <v>0</v>
      </c>
    </row>
    <row r="446" spans="12:12">
      <c r="L446" s="2">
        <f>IFERROR((K446-J446)/K446*100,0)</f>
        <v>0</v>
      </c>
    </row>
    <row r="447" spans="12:12">
      <c r="L447" s="2">
        <f>IFERROR((K447-J447)/K447*100,0)</f>
        <v>0</v>
      </c>
    </row>
    <row r="448" spans="12:12">
      <c r="L448" s="2">
        <f>IFERROR((K448-J448)/K448*100,0)</f>
        <v>0</v>
      </c>
    </row>
    <row r="449" spans="12:12">
      <c r="L449" s="2">
        <f>IFERROR((K449-J449)/K449*100,0)</f>
        <v>0</v>
      </c>
    </row>
    <row r="450" spans="12:12">
      <c r="L450" s="2">
        <f>IFERROR((K450-J450)/K450*100,0)</f>
        <v>0</v>
      </c>
    </row>
    <row r="451" spans="12:12">
      <c r="L451" s="2">
        <f>IFERROR((K451-J451)/K451*100,0)</f>
        <v>0</v>
      </c>
    </row>
    <row r="452" spans="12:12">
      <c r="L452" s="2">
        <f>IFERROR((K452-J452)/K452*100,0)</f>
        <v>0</v>
      </c>
    </row>
    <row r="453" spans="12:12">
      <c r="L453" s="2">
        <f>IFERROR((K453-J453)/K453*100,0)</f>
        <v>0</v>
      </c>
    </row>
    <row r="454" spans="12:12">
      <c r="L454" s="2">
        <f>IFERROR((K454-J454)/K454*100,0)</f>
        <v>0</v>
      </c>
    </row>
    <row r="455" spans="12:12">
      <c r="L455" s="2">
        <f>IFERROR((K455-J455)/K455*100,0)</f>
        <v>0</v>
      </c>
    </row>
    <row r="456" spans="12:12">
      <c r="L456" s="2">
        <f>IFERROR((K456-J456)/K456*100,0)</f>
        <v>0</v>
      </c>
    </row>
    <row r="457" spans="12:12">
      <c r="L457" s="2">
        <f>IFERROR((K457-J457)/K457*100,0)</f>
        <v>0</v>
      </c>
    </row>
    <row r="458" spans="12:12">
      <c r="L458" s="2">
        <f>IFERROR((K458-J458)/K458*100,0)</f>
        <v>0</v>
      </c>
    </row>
    <row r="459" spans="12:12">
      <c r="L459" s="2">
        <f>IFERROR((K459-J459)/K459*100,0)</f>
        <v>0</v>
      </c>
    </row>
    <row r="460" spans="12:12">
      <c r="L460" s="2">
        <f>IFERROR((K460-J460)/K460*100,0)</f>
        <v>0</v>
      </c>
    </row>
    <row r="461" spans="12:12">
      <c r="L461" s="2">
        <f>IFERROR((K461-J461)/K461*100,0)</f>
        <v>0</v>
      </c>
    </row>
    <row r="462" spans="12:12">
      <c r="L462" s="2">
        <f>IFERROR((K462-J462)/K462*100,0)</f>
        <v>0</v>
      </c>
    </row>
    <row r="463" spans="12:12">
      <c r="L463" s="2">
        <f>IFERROR((K463-J463)/K463*100,0)</f>
        <v>0</v>
      </c>
    </row>
    <row r="464" spans="12:12">
      <c r="L464" s="2">
        <f>IFERROR((K464-J464)/K464*100,0)</f>
        <v>0</v>
      </c>
    </row>
    <row r="465" spans="12:12">
      <c r="L465" s="2">
        <f>IFERROR((K465-J465)/K465*100,0)</f>
        <v>0</v>
      </c>
    </row>
    <row r="466" spans="12:12">
      <c r="L466" s="2">
        <f>IFERROR((K466-J466)/K466*100,0)</f>
        <v>0</v>
      </c>
    </row>
    <row r="467" spans="12:12">
      <c r="L467" s="2">
        <f>IFERROR((K467-J467)/K467*100,0)</f>
        <v>0</v>
      </c>
    </row>
    <row r="468" spans="12:12">
      <c r="L468" s="2">
        <f>IFERROR((K468-J468)/K468*100,0)</f>
        <v>0</v>
      </c>
    </row>
    <row r="469" spans="12:12">
      <c r="L469" s="2">
        <f>IFERROR((K469-J469)/K469*100,0)</f>
        <v>0</v>
      </c>
    </row>
    <row r="470" spans="12:12">
      <c r="L470" s="2">
        <f>IFERROR((K470-J470)/K470*100,0)</f>
        <v>0</v>
      </c>
    </row>
    <row r="471" spans="12:12">
      <c r="L471" s="2">
        <f>IFERROR((K471-J471)/K471*100,0)</f>
        <v>0</v>
      </c>
    </row>
    <row r="472" spans="12:12">
      <c r="L472" s="2">
        <f>IFERROR((K472-J472)/K472*100,0)</f>
        <v>0</v>
      </c>
    </row>
    <row r="473" spans="12:12">
      <c r="L473" s="2">
        <f>IFERROR((K473-J473)/K473*100,0)</f>
        <v>0</v>
      </c>
    </row>
    <row r="474" spans="12:12">
      <c r="L474" s="2">
        <f>IFERROR((K474-J474)/K474*100,0)</f>
        <v>0</v>
      </c>
    </row>
    <row r="475" spans="12:12">
      <c r="L475" s="2">
        <f>IFERROR((K475-J475)/K475*100,0)</f>
        <v>0</v>
      </c>
    </row>
    <row r="476" spans="12:12">
      <c r="L476" s="2">
        <f>IFERROR((K476-J476)/K476*100,0)</f>
        <v>0</v>
      </c>
    </row>
    <row r="477" spans="12:12">
      <c r="L477" s="2">
        <f>IFERROR((K477-J477)/K477*100,0)</f>
        <v>0</v>
      </c>
    </row>
    <row r="478" spans="12:12">
      <c r="L478" s="2">
        <f>IFERROR((K478-J478)/K478*100,0)</f>
        <v>0</v>
      </c>
    </row>
    <row r="479" spans="12:12">
      <c r="L479" s="2">
        <f>IFERROR((K479-J479)/K479*100,0)</f>
        <v>0</v>
      </c>
    </row>
    <row r="480" spans="12:12">
      <c r="L480" s="2">
        <f>IFERROR((K480-J480)/K480*100,0)</f>
        <v>0</v>
      </c>
    </row>
    <row r="481" spans="12:12">
      <c r="L481" s="2">
        <f>IFERROR((K481-J481)/K481*100,0)</f>
        <v>0</v>
      </c>
    </row>
    <row r="482" spans="12:12">
      <c r="L482" s="2">
        <f>IFERROR((K482-J482)/K482*100,0)</f>
        <v>0</v>
      </c>
    </row>
    <row r="483" spans="12:12">
      <c r="L483" s="2">
        <f>IFERROR((K483-J483)/K483*100,0)</f>
        <v>0</v>
      </c>
    </row>
    <row r="484" spans="12:12">
      <c r="L484" s="2">
        <f>IFERROR((K484-J484)/K484*100,0)</f>
        <v>0</v>
      </c>
    </row>
    <row r="485" spans="12:12">
      <c r="L485" s="2">
        <f>IFERROR((K485-J485)/K485*100,0)</f>
        <v>0</v>
      </c>
    </row>
    <row r="486" spans="12:12">
      <c r="L486" s="2">
        <f>IFERROR((K486-J486)/K486*100,0)</f>
        <v>0</v>
      </c>
    </row>
    <row r="487" spans="12:12">
      <c r="L487" s="2">
        <f>IFERROR((K487-J487)/K487*100,0)</f>
        <v>0</v>
      </c>
    </row>
    <row r="488" spans="12:12">
      <c r="L488" s="2">
        <f>IFERROR((K488-J488)/K488*100,0)</f>
        <v>0</v>
      </c>
    </row>
    <row r="489" spans="12:12">
      <c r="L489" s="2">
        <f>IFERROR((K489-J489)/K489*100,0)</f>
        <v>0</v>
      </c>
    </row>
    <row r="490" spans="12:12">
      <c r="L490" s="2">
        <f>IFERROR((K490-J490)/K490*100,0)</f>
        <v>0</v>
      </c>
    </row>
    <row r="491" spans="12:12">
      <c r="L491" s="2">
        <f>IFERROR((K491-J491)/K491*100,0)</f>
        <v>0</v>
      </c>
    </row>
    <row r="492" spans="12:12">
      <c r="L492" s="2">
        <f>IFERROR((K492-J492)/K492*100,0)</f>
        <v>0</v>
      </c>
    </row>
    <row r="493" spans="12:12">
      <c r="L493" s="2">
        <f>IFERROR((K493-J493)/K493*100,0)</f>
        <v>0</v>
      </c>
    </row>
    <row r="494" spans="12:12">
      <c r="L494" s="2">
        <f>IFERROR((K494-J494)/K494*100,0)</f>
        <v>0</v>
      </c>
    </row>
    <row r="495" spans="12:12">
      <c r="L495" s="2">
        <f>IFERROR((K495-J495)/K495*100,0)</f>
        <v>0</v>
      </c>
    </row>
    <row r="496" spans="12:12">
      <c r="L496" s="2">
        <f>IFERROR((K496-J496)/K496*100,0)</f>
        <v>0</v>
      </c>
    </row>
    <row r="497" spans="12:12">
      <c r="L497" s="2">
        <f>IFERROR((K497-J497)/K497*100,0)</f>
        <v>0</v>
      </c>
    </row>
    <row r="498" spans="12:12">
      <c r="L498" s="2">
        <f>IFERROR((K498-J498)/K498*100,0)</f>
        <v>0</v>
      </c>
    </row>
    <row r="499" spans="12:12">
      <c r="L499" s="2">
        <f>IFERROR((K499-J499)/K499*100,0)</f>
        <v>0</v>
      </c>
    </row>
    <row r="500" spans="12:12">
      <c r="L500" s="2">
        <f>IFERROR((K500-J500)/K500*100,0)</f>
        <v>0</v>
      </c>
    </row>
    <row r="501" spans="12:12">
      <c r="L501" s="2">
        <f>IFERROR((K501-J501)/K501*100,0)</f>
        <v>0</v>
      </c>
    </row>
    <row r="502" spans="12:12">
      <c r="L502" s="2">
        <f>IFERROR((K502-J502)/K502*100,0)</f>
        <v>0</v>
      </c>
    </row>
    <row r="503" spans="12:12">
      <c r="L503" s="2">
        <f>IFERROR((K503-J503)/K503*100,0)</f>
        <v>0</v>
      </c>
    </row>
    <row r="504" spans="12:12">
      <c r="L504" s="2">
        <f>IFERROR((K504-J504)/K504*100,0)</f>
        <v>0</v>
      </c>
    </row>
    <row r="505" spans="12:12">
      <c r="L505" s="2">
        <f>IFERROR((K505-J505)/K505*100,0)</f>
        <v>0</v>
      </c>
    </row>
    <row r="506" spans="12:12">
      <c r="L506" s="2">
        <f>IFERROR((K506-J506)/K506*100,0)</f>
        <v>0</v>
      </c>
    </row>
    <row r="507" spans="12:12">
      <c r="L507" s="2">
        <f>IFERROR((K507-J507)/K507*100,0)</f>
        <v>0</v>
      </c>
    </row>
    <row r="508" spans="12:12">
      <c r="L508" s="2">
        <f>IFERROR((K508-J508)/K508*100,0)</f>
        <v>0</v>
      </c>
    </row>
    <row r="509" spans="12:12">
      <c r="L509" s="2">
        <f>IFERROR((K509-J509)/K509*100,0)</f>
        <v>0</v>
      </c>
    </row>
    <row r="510" spans="12:12">
      <c r="L510" s="2">
        <f>IFERROR((K510-J510)/K510*100,0)</f>
        <v>0</v>
      </c>
    </row>
    <row r="511" spans="12:12">
      <c r="L511" s="2">
        <f>IFERROR((K511-J511)/K511*100,0)</f>
        <v>0</v>
      </c>
    </row>
    <row r="512" spans="12:12">
      <c r="L512" s="2">
        <f>IFERROR((K512-J512)/K512*100,0)</f>
        <v>0</v>
      </c>
    </row>
    <row r="513" spans="12:12">
      <c r="L513" s="2">
        <f>IFERROR((K513-J513)/K513*100,0)</f>
        <v>0</v>
      </c>
    </row>
    <row r="514" spans="12:12">
      <c r="L514" s="2">
        <f>IFERROR((K514-J514)/K514*100,0)</f>
        <v>0</v>
      </c>
    </row>
    <row r="515" spans="12:12">
      <c r="L515" s="2">
        <f>IFERROR((K515-J515)/K515*100,0)</f>
        <v>0</v>
      </c>
    </row>
    <row r="516" spans="12:12">
      <c r="L516" s="2">
        <f>IFERROR((K516-J516)/K516*100,0)</f>
        <v>0</v>
      </c>
    </row>
    <row r="517" spans="12:12">
      <c r="L517" s="2">
        <f>IFERROR((K517-J517)/K517*100,0)</f>
        <v>0</v>
      </c>
    </row>
    <row r="518" spans="12:12">
      <c r="L518" s="2">
        <f>IFERROR((K518-J518)/K518*100,0)</f>
        <v>0</v>
      </c>
    </row>
    <row r="519" spans="12:12">
      <c r="L519" s="2">
        <f>IFERROR((K519-J519)/K519*100,0)</f>
        <v>0</v>
      </c>
    </row>
    <row r="520" spans="12:12">
      <c r="L520" s="2">
        <f>IFERROR((K520-J520)/K520*100,0)</f>
        <v>0</v>
      </c>
    </row>
    <row r="521" spans="12:12">
      <c r="L521" s="2">
        <f>IFERROR((K521-J521)/K521*100,0)</f>
        <v>0</v>
      </c>
    </row>
    <row r="522" spans="12:12">
      <c r="L522" s="2">
        <f>IFERROR((K522-J522)/K522*100,0)</f>
        <v>0</v>
      </c>
    </row>
    <row r="523" spans="12:12">
      <c r="L523" s="2">
        <f>IFERROR((K523-J523)/K523*100,0)</f>
        <v>0</v>
      </c>
    </row>
    <row r="524" spans="12:12">
      <c r="L524" s="2">
        <f>IFERROR((K524-J524)/K524*100,0)</f>
        <v>0</v>
      </c>
    </row>
    <row r="525" spans="12:12">
      <c r="L525" s="2">
        <f>IFERROR((K525-J525)/K525*100,0)</f>
        <v>0</v>
      </c>
    </row>
    <row r="526" spans="12:12">
      <c r="L526" s="2">
        <f>IFERROR((K526-J526)/K526*100,0)</f>
        <v>0</v>
      </c>
    </row>
    <row r="527" spans="12:12">
      <c r="L527" s="2">
        <f>IFERROR((K527-J527)/K527*100,0)</f>
        <v>0</v>
      </c>
    </row>
    <row r="528" spans="12:12">
      <c r="L528" s="2">
        <f>IFERROR((K528-J528)/K528*100,0)</f>
        <v>0</v>
      </c>
    </row>
    <row r="529" spans="12:12">
      <c r="L529" s="2">
        <f>IFERROR((K529-J529)/K529*100,0)</f>
        <v>0</v>
      </c>
    </row>
    <row r="530" spans="12:12">
      <c r="L530" s="2">
        <f>IFERROR((K530-J530)/K530*100,0)</f>
        <v>0</v>
      </c>
    </row>
    <row r="531" spans="12:12">
      <c r="L531" s="2">
        <f>IFERROR((K531-J531)/K531*100,0)</f>
        <v>0</v>
      </c>
    </row>
    <row r="532" spans="12:12">
      <c r="L532" s="2">
        <f>IFERROR((K532-J532)/K532*100,0)</f>
        <v>0</v>
      </c>
    </row>
    <row r="533" spans="12:12">
      <c r="L533" s="2">
        <f>IFERROR((K533-J533)/K533*100,0)</f>
        <v>0</v>
      </c>
    </row>
    <row r="534" spans="12:12">
      <c r="L534" s="2">
        <f>IFERROR((K534-J534)/K534*100,0)</f>
        <v>0</v>
      </c>
    </row>
    <row r="535" spans="12:12">
      <c r="L535" s="2">
        <f>IFERROR((K535-J535)/K535*100,0)</f>
        <v>0</v>
      </c>
    </row>
    <row r="536" spans="12:12">
      <c r="L536" s="2">
        <f>IFERROR((K536-J536)/K536*100,0)</f>
        <v>0</v>
      </c>
    </row>
    <row r="537" spans="12:12">
      <c r="L537" s="2">
        <f>IFERROR((K537-J537)/K537*100,0)</f>
        <v>0</v>
      </c>
    </row>
    <row r="538" spans="12:12">
      <c r="L538" s="2">
        <f>IFERROR((K538-J538)/K538*100,0)</f>
        <v>0</v>
      </c>
    </row>
    <row r="539" spans="12:12">
      <c r="L539" s="2">
        <f>IFERROR((K539-J539)/K539*100,0)</f>
        <v>0</v>
      </c>
    </row>
    <row r="540" spans="12:12">
      <c r="L540" s="2">
        <f>IFERROR((K540-J540)/K540*100,0)</f>
        <v>0</v>
      </c>
    </row>
    <row r="541" spans="12:12">
      <c r="L541" s="2">
        <f>IFERROR((K541-J541)/K541*100,0)</f>
        <v>0</v>
      </c>
    </row>
    <row r="542" spans="12:12">
      <c r="L542" s="2">
        <f>IFERROR((K542-J542)/K542*100,0)</f>
        <v>0</v>
      </c>
    </row>
    <row r="543" spans="12:12">
      <c r="L543" s="2">
        <f>IFERROR((K543-J543)/K543*100,0)</f>
        <v>0</v>
      </c>
    </row>
    <row r="544" spans="12:12">
      <c r="L544" s="2">
        <f>IFERROR((K544-J544)/K544*100,0)</f>
        <v>0</v>
      </c>
    </row>
    <row r="545" spans="12:12">
      <c r="L545" s="2">
        <f>IFERROR((K545-J545)/K545*100,0)</f>
        <v>0</v>
      </c>
    </row>
    <row r="546" spans="12:12">
      <c r="L546" s="2">
        <f>IFERROR((K546-J546)/K546*100,0)</f>
        <v>0</v>
      </c>
    </row>
    <row r="547" spans="12:12">
      <c r="L547" s="2">
        <f>IFERROR((K547-J547)/K547*100,0)</f>
        <v>0</v>
      </c>
    </row>
    <row r="548" spans="12:12">
      <c r="L548" s="2">
        <f>IFERROR((K548-J548)/K548*100,0)</f>
        <v>0</v>
      </c>
    </row>
    <row r="549" spans="12:12">
      <c r="L549" s="2">
        <f>IFERROR((K549-J549)/K549*100,0)</f>
        <v>0</v>
      </c>
    </row>
    <row r="550" spans="12:12">
      <c r="L550" s="2">
        <f>IFERROR((K550-J550)/K550*100,0)</f>
        <v>0</v>
      </c>
    </row>
    <row r="551" spans="12:12">
      <c r="L551" s="2">
        <f>IFERROR((K551-J551)/K551*100,0)</f>
        <v>0</v>
      </c>
    </row>
    <row r="552" spans="12:12">
      <c r="L552" s="2">
        <f>IFERROR((K552-J552)/K552*100,0)</f>
        <v>0</v>
      </c>
    </row>
    <row r="553" spans="12:12">
      <c r="L553" s="2">
        <f>IFERROR((K553-J553)/K553*100,0)</f>
        <v>0</v>
      </c>
    </row>
    <row r="554" spans="12:12">
      <c r="L554" s="2">
        <f>IFERROR((K554-J554)/K554*100,0)</f>
        <v>0</v>
      </c>
    </row>
    <row r="555" spans="12:12">
      <c r="L555" s="2">
        <f>IFERROR((K555-J555)/K555*100,0)</f>
        <v>0</v>
      </c>
    </row>
    <row r="556" spans="12:12">
      <c r="L556" s="2">
        <f>IFERROR((K556-J556)/K556*100,0)</f>
        <v>0</v>
      </c>
    </row>
    <row r="557" spans="12:12">
      <c r="L557" s="2">
        <f>IFERROR((K557-J557)/K557*100,0)</f>
        <v>0</v>
      </c>
    </row>
    <row r="558" spans="12:12">
      <c r="L558" s="2">
        <f>IFERROR((K558-J558)/K558*100,0)</f>
        <v>0</v>
      </c>
    </row>
    <row r="559" spans="12:12">
      <c r="L559" s="2">
        <f>IFERROR((K559-J559)/K559*100,0)</f>
        <v>0</v>
      </c>
    </row>
    <row r="560" spans="12:12">
      <c r="L560" s="2">
        <f>IFERROR((K560-J560)/K560*100,0)</f>
        <v>0</v>
      </c>
    </row>
    <row r="561" spans="12:12">
      <c r="L561" s="2">
        <f>IFERROR((K561-J561)/K561*100,0)</f>
        <v>0</v>
      </c>
    </row>
    <row r="562" spans="12:12">
      <c r="L562" s="2">
        <f>IFERROR((K562-J562)/K562*100,0)</f>
        <v>0</v>
      </c>
    </row>
    <row r="563" spans="12:12">
      <c r="L563" s="2">
        <f>IFERROR((K563-J563)/K563*100,0)</f>
        <v>0</v>
      </c>
    </row>
    <row r="564" spans="12:12">
      <c r="L564" s="2">
        <f>IFERROR((K564-J564)/K564*100,0)</f>
        <v>0</v>
      </c>
    </row>
    <row r="565" spans="12:12">
      <c r="L565" s="2">
        <f>IFERROR((K565-J565)/K565*100,0)</f>
        <v>0</v>
      </c>
    </row>
    <row r="566" spans="12:12">
      <c r="L566" s="2">
        <f>IFERROR((K566-J566)/K566*100,0)</f>
        <v>0</v>
      </c>
    </row>
    <row r="567" spans="12:12">
      <c r="L567" s="2">
        <f>IFERROR((K567-J567)/K567*100,0)</f>
        <v>0</v>
      </c>
    </row>
    <row r="568" spans="12:12">
      <c r="L568" s="2">
        <f>IFERROR((K568-J568)/K568*100,0)</f>
        <v>0</v>
      </c>
    </row>
    <row r="569" spans="12:12">
      <c r="L569" s="2">
        <f>IFERROR((K569-J569)/K569*100,0)</f>
        <v>0</v>
      </c>
    </row>
    <row r="570" spans="12:12">
      <c r="L570" s="2">
        <f>IFERROR((K570-J570)/K570*100,0)</f>
        <v>0</v>
      </c>
    </row>
    <row r="571" spans="12:12">
      <c r="L571" s="2">
        <f>IFERROR((K571-J571)/K571*100,0)</f>
        <v>0</v>
      </c>
    </row>
    <row r="572" spans="12:12">
      <c r="L572" s="2">
        <f>IFERROR((K572-J572)/K572*100,0)</f>
        <v>0</v>
      </c>
    </row>
    <row r="573" spans="12:12">
      <c r="L573" s="2">
        <f>IFERROR((K573-J573)/K573*100,0)</f>
        <v>0</v>
      </c>
    </row>
    <row r="574" spans="12:12">
      <c r="L574" s="2">
        <f>IFERROR((K574-J574)/K574*100,0)</f>
        <v>0</v>
      </c>
    </row>
    <row r="575" spans="12:12">
      <c r="L575" s="2">
        <f>IFERROR((K575-J575)/K575*100,0)</f>
        <v>0</v>
      </c>
    </row>
    <row r="576" spans="12:12">
      <c r="L576" s="2">
        <f>IFERROR((K576-J576)/K576*100,0)</f>
        <v>0</v>
      </c>
    </row>
    <row r="577" spans="12:12">
      <c r="L577" s="2">
        <f>IFERROR((K577-J577)/K577*100,0)</f>
        <v>0</v>
      </c>
    </row>
    <row r="578" spans="12:12">
      <c r="L578" s="2">
        <f>IFERROR((K578-J578)/K578*100,0)</f>
        <v>0</v>
      </c>
    </row>
    <row r="579" spans="12:12">
      <c r="L579" s="2">
        <f>IFERROR((K579-J579)/K579*100,0)</f>
        <v>0</v>
      </c>
    </row>
    <row r="580" spans="12:12">
      <c r="L580" s="2">
        <f>IFERROR((K580-J580)/K580*100,0)</f>
        <v>0</v>
      </c>
    </row>
    <row r="581" spans="12:12">
      <c r="L581" s="2">
        <f>IFERROR((K581-J581)/K581*100,0)</f>
        <v>0</v>
      </c>
    </row>
    <row r="582" spans="12:12">
      <c r="L582" s="2">
        <f>IFERROR((K582-J582)/K582*100,0)</f>
        <v>0</v>
      </c>
    </row>
    <row r="583" spans="12:12">
      <c r="L583" s="2">
        <f>IFERROR((K583-J583)/K583*100,0)</f>
        <v>0</v>
      </c>
    </row>
    <row r="584" spans="12:12">
      <c r="L584" s="2">
        <f>IFERROR((K584-J584)/K584*100,0)</f>
        <v>0</v>
      </c>
    </row>
    <row r="585" spans="12:12">
      <c r="L585" s="2">
        <f>IFERROR((K585-J585)/K585*100,0)</f>
        <v>0</v>
      </c>
    </row>
    <row r="586" spans="12:12">
      <c r="L586" s="2">
        <f>IFERROR((K586-J586)/K586*100,0)</f>
        <v>0</v>
      </c>
    </row>
    <row r="587" spans="12:12">
      <c r="L587" s="2">
        <f>IFERROR((K587-J587)/K587*100,0)</f>
        <v>0</v>
      </c>
    </row>
    <row r="588" spans="12:12">
      <c r="L588" s="2">
        <f>IFERROR((K588-J588)/K588*100,0)</f>
        <v>0</v>
      </c>
    </row>
    <row r="589" spans="12:12">
      <c r="L589" s="2">
        <f>IFERROR((K589-J589)/K589*100,0)</f>
        <v>0</v>
      </c>
    </row>
    <row r="590" spans="12:12">
      <c r="L590" s="2">
        <f>IFERROR((K590-J590)/K590*100,0)</f>
        <v>0</v>
      </c>
    </row>
    <row r="591" spans="12:12">
      <c r="L591" s="2">
        <f>IFERROR((K591-J591)/K591*100,0)</f>
        <v>0</v>
      </c>
    </row>
    <row r="592" spans="12:12">
      <c r="L592" s="2">
        <f>IFERROR((K592-J592)/K592*100,0)</f>
        <v>0</v>
      </c>
    </row>
    <row r="593" spans="12:12">
      <c r="L593" s="2">
        <f>IFERROR((K593-J593)/K593*100,0)</f>
        <v>0</v>
      </c>
    </row>
    <row r="594" spans="12:12">
      <c r="L594" s="2">
        <f>IFERROR((K594-J594)/K594*100,0)</f>
        <v>0</v>
      </c>
    </row>
    <row r="595" spans="12:12">
      <c r="L595" s="2">
        <f>IFERROR((K595-J595)/K595*100,0)</f>
        <v>0</v>
      </c>
    </row>
    <row r="596" spans="12:12">
      <c r="L596" s="2">
        <f>IFERROR((K596-J596)/K596*100,0)</f>
        <v>0</v>
      </c>
    </row>
    <row r="597" spans="12:12">
      <c r="L597" s="2">
        <f>IFERROR((K597-J597)/K597*100,0)</f>
        <v>0</v>
      </c>
    </row>
    <row r="598" spans="12:12">
      <c r="L598" s="2">
        <f>IFERROR((K598-J598)/K598*100,0)</f>
        <v>0</v>
      </c>
    </row>
    <row r="599" spans="12:12">
      <c r="L599" s="2">
        <f>IFERROR((K599-J599)/K599*100,0)</f>
        <v>0</v>
      </c>
    </row>
    <row r="600" spans="12:12">
      <c r="L600" s="2">
        <f>IFERROR((K600-J600)/K600*100,0)</f>
        <v>0</v>
      </c>
    </row>
    <row r="601" spans="12:12">
      <c r="L601" s="2">
        <f>IFERROR((K601-J601)/K601*100,0)</f>
        <v>0</v>
      </c>
    </row>
    <row r="602" spans="12:12">
      <c r="L602" s="2">
        <f>IFERROR((K602-J602)/K602*100,0)</f>
        <v>0</v>
      </c>
    </row>
    <row r="603" spans="12:12">
      <c r="L603" s="2">
        <f>IFERROR((K603-J603)/K603*100,0)</f>
        <v>0</v>
      </c>
    </row>
    <row r="604" spans="12:12">
      <c r="L604" s="2">
        <f>IFERROR((K604-J604)/K604*100,0)</f>
        <v>0</v>
      </c>
    </row>
    <row r="605" spans="12:12">
      <c r="L605" s="2">
        <f>IFERROR((K605-J605)/K605*100,0)</f>
        <v>0</v>
      </c>
    </row>
    <row r="606" spans="12:12">
      <c r="L606" s="2">
        <f>IFERROR((K606-J606)/K606*100,0)</f>
        <v>0</v>
      </c>
    </row>
    <row r="607" spans="12:12">
      <c r="L607" s="2">
        <f>IFERROR((K607-J607)/K607*100,0)</f>
        <v>0</v>
      </c>
    </row>
    <row r="608" spans="12:12">
      <c r="L608" s="2">
        <f>IFERROR((K608-J608)/K608*100,0)</f>
        <v>0</v>
      </c>
    </row>
    <row r="609" spans="12:12">
      <c r="L609" s="2">
        <f>IFERROR((K609-J609)/K609*100,0)</f>
        <v>0</v>
      </c>
    </row>
    <row r="610" spans="12:12">
      <c r="L610" s="2">
        <f>IFERROR((K610-J610)/K610*100,0)</f>
        <v>0</v>
      </c>
    </row>
    <row r="611" spans="12:12">
      <c r="L611" s="2">
        <f>IFERROR((K611-J611)/K611*100,0)</f>
        <v>0</v>
      </c>
    </row>
    <row r="612" spans="12:12">
      <c r="L612" s="2">
        <f>IFERROR((K612-J612)/K612*100,0)</f>
        <v>0</v>
      </c>
    </row>
    <row r="613" spans="12:12">
      <c r="L613" s="2">
        <f>IFERROR((K613-J613)/K613*100,0)</f>
        <v>0</v>
      </c>
    </row>
    <row r="614" spans="12:12">
      <c r="L614" s="2">
        <f>IFERROR((K614-J614)/K614*100,0)</f>
        <v>0</v>
      </c>
    </row>
    <row r="615" spans="12:12">
      <c r="L615" s="2">
        <f>IFERROR((K615-J615)/K615*100,0)</f>
        <v>0</v>
      </c>
    </row>
    <row r="616" spans="12:12">
      <c r="L616" s="2">
        <f>IFERROR((K616-J616)/K616*100,0)</f>
        <v>0</v>
      </c>
    </row>
    <row r="617" spans="12:12">
      <c r="L617" s="2">
        <f>IFERROR((K617-J617)/K617*100,0)</f>
        <v>0</v>
      </c>
    </row>
    <row r="618" spans="12:12">
      <c r="L618" s="2">
        <f>IFERROR((K618-J618)/K618*100,0)</f>
        <v>0</v>
      </c>
    </row>
    <row r="619" spans="12:12">
      <c r="L619" s="2">
        <f>IFERROR((K619-J619)/K619*100,0)</f>
        <v>0</v>
      </c>
    </row>
    <row r="620" spans="12:12">
      <c r="L620" s="2">
        <f>IFERROR((K620-J620)/K620*100,0)</f>
        <v>0</v>
      </c>
    </row>
    <row r="621" spans="12:12">
      <c r="L621" s="2">
        <f>IFERROR((K621-J621)/K621*100,0)</f>
        <v>0</v>
      </c>
    </row>
    <row r="622" spans="12:12">
      <c r="L622" s="2">
        <f>IFERROR((K622-J622)/K622*100,0)</f>
        <v>0</v>
      </c>
    </row>
    <row r="623" spans="12:12">
      <c r="L623" s="2">
        <f>IFERROR((K623-J623)/K623*100,0)</f>
        <v>0</v>
      </c>
    </row>
    <row r="624" spans="12:12">
      <c r="L624" s="2">
        <f>IFERROR((K624-J624)/K624*100,0)</f>
        <v>0</v>
      </c>
    </row>
    <row r="625" spans="12:12">
      <c r="L625" s="2">
        <f>IFERROR((K625-J625)/K625*100,0)</f>
        <v>0</v>
      </c>
    </row>
    <row r="626" spans="12:12">
      <c r="L626" s="2">
        <f>IFERROR((K626-J626)/K626*100,0)</f>
        <v>0</v>
      </c>
    </row>
    <row r="627" spans="12:12">
      <c r="L627" s="2">
        <f>IFERROR((K627-J627)/K627*100,0)</f>
        <v>0</v>
      </c>
    </row>
    <row r="628" spans="12:12">
      <c r="L628" s="2">
        <f>IFERROR((K628-J628)/K628*100,0)</f>
        <v>0</v>
      </c>
    </row>
    <row r="629" spans="12:12">
      <c r="L629" s="2">
        <f>IFERROR((K629-J629)/K629*100,0)</f>
        <v>0</v>
      </c>
    </row>
    <row r="630" spans="12:12">
      <c r="L630" s="2">
        <f>IFERROR((K630-J630)/K630*100,0)</f>
        <v>0</v>
      </c>
    </row>
    <row r="631" spans="12:12">
      <c r="L631" s="2">
        <f>IFERROR((K631-J631)/K631*100,0)</f>
        <v>0</v>
      </c>
    </row>
    <row r="632" spans="12:12">
      <c r="L632" s="2">
        <f>IFERROR((K632-J632)/K632*100,0)</f>
        <v>0</v>
      </c>
    </row>
    <row r="633" spans="12:12">
      <c r="L633" s="2">
        <f>IFERROR((K633-J633)/K633*100,0)</f>
        <v>0</v>
      </c>
    </row>
    <row r="634" spans="12:12">
      <c r="L634" s="2">
        <f>IFERROR((K634-J634)/K634*100,0)</f>
        <v>0</v>
      </c>
    </row>
    <row r="635" spans="12:12">
      <c r="L635" s="2">
        <f>IFERROR((K635-J635)/K635*100,0)</f>
        <v>0</v>
      </c>
    </row>
    <row r="636" spans="12:12">
      <c r="L636" s="2">
        <f>IFERROR((K636-J636)/K636*100,0)</f>
        <v>0</v>
      </c>
    </row>
    <row r="637" spans="12:12">
      <c r="L637" s="2">
        <f>IFERROR((K637-J637)/K637*100,0)</f>
        <v>0</v>
      </c>
    </row>
    <row r="638" spans="12:12">
      <c r="L638" s="2">
        <f>IFERROR((K638-J638)/K638*100,0)</f>
        <v>0</v>
      </c>
    </row>
    <row r="639" spans="12:12">
      <c r="L639" s="2">
        <f>IFERROR((K639-J639)/K639*100,0)</f>
        <v>0</v>
      </c>
    </row>
    <row r="640" spans="12:12">
      <c r="L640" s="2">
        <f>IFERROR((K640-J640)/K640*100,0)</f>
        <v>0</v>
      </c>
    </row>
    <row r="641" spans="12:12">
      <c r="L641" s="2">
        <f>IFERROR((K641-J641)/K641*100,0)</f>
        <v>0</v>
      </c>
    </row>
    <row r="642" spans="12:12">
      <c r="L642" s="2">
        <f>IFERROR((K642-J642)/K642*100,0)</f>
        <v>0</v>
      </c>
    </row>
    <row r="643" spans="12:12">
      <c r="L643" s="2">
        <f>IFERROR((K643-J643)/K643*100,0)</f>
        <v>0</v>
      </c>
    </row>
    <row r="644" spans="12:12">
      <c r="L644" s="2">
        <f>IFERROR((K644-J644)/K644*100,0)</f>
        <v>0</v>
      </c>
    </row>
    <row r="645" spans="12:12">
      <c r="L645" s="2">
        <f>IFERROR((K645-J645)/K645*100,0)</f>
        <v>0</v>
      </c>
    </row>
    <row r="646" spans="12:12">
      <c r="L646" s="2">
        <f>IFERROR((K646-J646)/K646*100,0)</f>
        <v>0</v>
      </c>
    </row>
    <row r="647" spans="12:12">
      <c r="L647" s="2">
        <f>IFERROR((K647-J647)/K647*100,0)</f>
        <v>0</v>
      </c>
    </row>
    <row r="648" spans="12:12">
      <c r="L648" s="2">
        <f>IFERROR((K648-J648)/K648*100,0)</f>
        <v>0</v>
      </c>
    </row>
    <row r="649" spans="12:12">
      <c r="L649" s="2">
        <f>IFERROR((K649-J649)/K649*100,0)</f>
        <v>0</v>
      </c>
    </row>
    <row r="650" spans="12:12">
      <c r="L650" s="2">
        <f>IFERROR((K650-J650)/K650*100,0)</f>
        <v>0</v>
      </c>
    </row>
    <row r="651" spans="12:12">
      <c r="L651" s="2">
        <f>IFERROR((K651-J651)/K651*100,0)</f>
        <v>0</v>
      </c>
    </row>
    <row r="652" spans="12:12">
      <c r="L652" s="2">
        <f>IFERROR((K652-J652)/K652*100,0)</f>
        <v>0</v>
      </c>
    </row>
    <row r="653" spans="12:12">
      <c r="L653" s="2">
        <f>IFERROR((K653-J653)/K653*100,0)</f>
        <v>0</v>
      </c>
    </row>
    <row r="654" spans="12:12">
      <c r="L654" s="2">
        <f>IFERROR((K654-J654)/K654*100,0)</f>
        <v>0</v>
      </c>
    </row>
    <row r="655" spans="12:12">
      <c r="L655" s="2">
        <f>IFERROR((K655-J655)/K655*100,0)</f>
        <v>0</v>
      </c>
    </row>
    <row r="656" spans="12:12">
      <c r="L656" s="2">
        <f>IFERROR((K656-J656)/K656*100,0)</f>
        <v>0</v>
      </c>
    </row>
    <row r="657" spans="12:12">
      <c r="L657" s="2">
        <f>IFERROR((K657-J657)/K657*100,0)</f>
        <v>0</v>
      </c>
    </row>
    <row r="658" spans="12:12">
      <c r="L658" s="2">
        <f>IFERROR((K658-J658)/K658*100,0)</f>
        <v>0</v>
      </c>
    </row>
    <row r="659" spans="12:12">
      <c r="L659" s="2">
        <f>IFERROR((K659-J659)/K659*100,0)</f>
        <v>0</v>
      </c>
    </row>
    <row r="660" spans="12:12">
      <c r="L660" s="2">
        <f>IFERROR((K660-J660)/K660*100,0)</f>
        <v>0</v>
      </c>
    </row>
    <row r="661" spans="12:12">
      <c r="L661" s="2">
        <f>IFERROR((K661-J661)/K661*100,0)</f>
        <v>0</v>
      </c>
    </row>
    <row r="662" spans="12:12">
      <c r="L662" s="2">
        <f>IFERROR((K662-J662)/K662*100,0)</f>
        <v>0</v>
      </c>
    </row>
    <row r="663" spans="12:12">
      <c r="L663" s="2">
        <f>IFERROR((K663-J663)/K663*100,0)</f>
        <v>0</v>
      </c>
    </row>
    <row r="664" spans="12:12">
      <c r="L664" s="2">
        <f>IFERROR((K664-J664)/K664*100,0)</f>
        <v>0</v>
      </c>
    </row>
    <row r="665" spans="12:12">
      <c r="L665" s="2">
        <f>IFERROR((K665-J665)/K665*100,0)</f>
        <v>0</v>
      </c>
    </row>
    <row r="666" spans="12:12">
      <c r="L666" s="2">
        <f>IFERROR((K666-J666)/K666*100,0)</f>
        <v>0</v>
      </c>
    </row>
    <row r="667" spans="12:12">
      <c r="L667" s="2">
        <f>IFERROR((K667-J667)/K667*100,0)</f>
        <v>0</v>
      </c>
    </row>
    <row r="668" spans="12:12">
      <c r="L668" s="2">
        <f>IFERROR((K668-J668)/K668*100,0)</f>
        <v>0</v>
      </c>
    </row>
    <row r="669" spans="12:12">
      <c r="L669" s="2">
        <f>IFERROR((K669-J669)/K669*100,0)</f>
        <v>0</v>
      </c>
    </row>
    <row r="670" spans="12:12">
      <c r="L670" s="2">
        <f>IFERROR((K670-J670)/K670*100,0)</f>
        <v>0</v>
      </c>
    </row>
    <row r="671" spans="12:12">
      <c r="L671" s="2">
        <f>IFERROR((K671-J671)/K671*100,0)</f>
        <v>0</v>
      </c>
    </row>
    <row r="672" spans="12:12">
      <c r="L672" s="2">
        <f>IFERROR((K672-J672)/K672*100,0)</f>
        <v>0</v>
      </c>
    </row>
    <row r="673" spans="12:12">
      <c r="L673" s="2">
        <f>IFERROR((K673-J673)/K673*100,0)</f>
        <v>0</v>
      </c>
    </row>
    <row r="674" spans="12:12">
      <c r="L674" s="2">
        <f>IFERROR((K674-J674)/K674*100,0)</f>
        <v>0</v>
      </c>
    </row>
    <row r="675" spans="12:12">
      <c r="L675" s="2">
        <f>IFERROR((K675-J675)/K675*100,0)</f>
        <v>0</v>
      </c>
    </row>
    <row r="676" spans="12:12">
      <c r="L676" s="2">
        <f>IFERROR((K676-J676)/K676*100,0)</f>
        <v>0</v>
      </c>
    </row>
    <row r="677" spans="12:12">
      <c r="L677" s="2">
        <f>IFERROR((K677-J677)/K677*100,0)</f>
        <v>0</v>
      </c>
    </row>
    <row r="678" spans="12:12">
      <c r="L678" s="2">
        <f>IFERROR((K678-J678)/K678*100,0)</f>
        <v>0</v>
      </c>
    </row>
    <row r="679" spans="12:12">
      <c r="L679" s="2">
        <f>IFERROR((K679-J679)/K679*100,0)</f>
        <v>0</v>
      </c>
    </row>
    <row r="680" spans="12:12">
      <c r="L680" s="2">
        <f>IFERROR((K680-J680)/K680*100,0)</f>
        <v>0</v>
      </c>
    </row>
    <row r="681" spans="12:12">
      <c r="L681" s="2">
        <f>IFERROR((K681-J681)/K681*100,0)</f>
        <v>0</v>
      </c>
    </row>
    <row r="682" spans="12:12">
      <c r="L682" s="2">
        <f>IFERROR((K682-J682)/K682*100,0)</f>
        <v>0</v>
      </c>
    </row>
    <row r="683" spans="12:12">
      <c r="L683" s="2">
        <f>IFERROR((K683-J683)/K683*100,0)</f>
        <v>0</v>
      </c>
    </row>
    <row r="684" spans="12:12">
      <c r="L684" s="2">
        <f>IFERROR((K684-J684)/K684*100,0)</f>
        <v>0</v>
      </c>
    </row>
    <row r="685" spans="12:12">
      <c r="L685" s="2">
        <f>IFERROR((K685-J685)/K685*100,0)</f>
        <v>0</v>
      </c>
    </row>
    <row r="686" spans="12:12">
      <c r="L686" s="2">
        <f>IFERROR((K686-J686)/K686*100,0)</f>
        <v>0</v>
      </c>
    </row>
    <row r="687" spans="12:12">
      <c r="L687" s="2">
        <f>IFERROR((K687-J687)/K687*100,0)</f>
        <v>0</v>
      </c>
    </row>
    <row r="688" spans="12:12">
      <c r="L688" s="2">
        <f>IFERROR((K688-J688)/K688*100,0)</f>
        <v>0</v>
      </c>
    </row>
    <row r="689" spans="12:12">
      <c r="L689" s="2">
        <f>IFERROR((K689-J689)/K689*100,0)</f>
        <v>0</v>
      </c>
    </row>
    <row r="690" spans="12:12">
      <c r="L690" s="2">
        <f>IFERROR((K690-J690)/K690*100,0)</f>
        <v>0</v>
      </c>
    </row>
    <row r="691" spans="12:12">
      <c r="L691" s="2">
        <f>IFERROR((K691-J691)/K691*100,0)</f>
        <v>0</v>
      </c>
    </row>
    <row r="692" spans="12:12">
      <c r="L692" s="2">
        <f>IFERROR((K692-J692)/K692*100,0)</f>
        <v>0</v>
      </c>
    </row>
    <row r="693" spans="12:12">
      <c r="L693" s="2">
        <f>IFERROR((K693-J693)/K693*100,0)</f>
        <v>0</v>
      </c>
    </row>
    <row r="694" spans="12:12">
      <c r="L694" s="2">
        <f>IFERROR((K694-J694)/K694*100,0)</f>
        <v>0</v>
      </c>
    </row>
    <row r="695" spans="12:12">
      <c r="L695" s="2">
        <f>IFERROR((K695-J695)/K695*100,0)</f>
        <v>0</v>
      </c>
    </row>
    <row r="696" spans="12:12">
      <c r="L696" s="2">
        <f>IFERROR((K696-J696)/K696*100,0)</f>
        <v>0</v>
      </c>
    </row>
    <row r="697" spans="12:12">
      <c r="L697" s="2">
        <f>IFERROR((K697-J697)/K697*100,0)</f>
        <v>0</v>
      </c>
    </row>
    <row r="698" spans="12:12">
      <c r="L698" s="2">
        <f>IFERROR((K698-J698)/K698*100,0)</f>
        <v>0</v>
      </c>
    </row>
    <row r="699" spans="12:12">
      <c r="L699" s="2">
        <f>IFERROR((K699-J699)/K699*100,0)</f>
        <v>0</v>
      </c>
    </row>
    <row r="700" spans="12:12">
      <c r="L700" s="2">
        <f>IFERROR((K700-J700)/K700*100,0)</f>
        <v>0</v>
      </c>
    </row>
    <row r="701" spans="12:12">
      <c r="L701" s="2">
        <f>IFERROR((K701-J701)/K701*100,0)</f>
        <v>0</v>
      </c>
    </row>
    <row r="702" spans="12:12">
      <c r="L702" s="2">
        <f>IFERROR((K702-J702)/K702*100,0)</f>
        <v>0</v>
      </c>
    </row>
    <row r="703" spans="12:12">
      <c r="L703" s="2">
        <f>IFERROR((K703-J703)/K703*100,0)</f>
        <v>0</v>
      </c>
    </row>
    <row r="704" spans="12:12">
      <c r="L704" s="2">
        <f>IFERROR((K704-J704)/K704*100,0)</f>
        <v>0</v>
      </c>
    </row>
    <row r="705" spans="12:12">
      <c r="L705" s="2">
        <f>IFERROR((K705-J705)/K705*100,0)</f>
        <v>0</v>
      </c>
    </row>
    <row r="706" spans="12:12">
      <c r="L706" s="2">
        <f>IFERROR((K706-J706)/K706*100,0)</f>
        <v>0</v>
      </c>
    </row>
    <row r="707" spans="12:12">
      <c r="L707" s="2">
        <f>IFERROR((K707-J707)/K707*100,0)</f>
        <v>0</v>
      </c>
    </row>
    <row r="708" spans="12:12">
      <c r="L708" s="2">
        <f>IFERROR((K708-J708)/K708*100,0)</f>
        <v>0</v>
      </c>
    </row>
    <row r="709" spans="12:12">
      <c r="L709" s="2">
        <f>IFERROR((K709-J709)/K709*100,0)</f>
        <v>0</v>
      </c>
    </row>
    <row r="710" spans="12:12">
      <c r="L710" s="2">
        <f>IFERROR((K710-J710)/K710*100,0)</f>
        <v>0</v>
      </c>
    </row>
    <row r="711" spans="12:12">
      <c r="L711" s="2">
        <f>IFERROR((K711-J711)/K711*100,0)</f>
        <v>0</v>
      </c>
    </row>
    <row r="712" spans="12:12">
      <c r="L712" s="2">
        <f>IFERROR((K712-J712)/K712*100,0)</f>
        <v>0</v>
      </c>
    </row>
    <row r="713" spans="12:12">
      <c r="L713" s="2">
        <f>IFERROR((K713-J713)/K713*100,0)</f>
        <v>0</v>
      </c>
    </row>
    <row r="714" spans="12:12">
      <c r="L714" s="2">
        <f>IFERROR((K714-J714)/K714*100,0)</f>
        <v>0</v>
      </c>
    </row>
    <row r="715" spans="12:12">
      <c r="L715" s="2">
        <f>IFERROR((K715-J715)/K715*100,0)</f>
        <v>0</v>
      </c>
    </row>
    <row r="716" spans="12:12">
      <c r="L716" s="2">
        <f>IFERROR((K716-J716)/K716*100,0)</f>
        <v>0</v>
      </c>
    </row>
    <row r="717" spans="12:12">
      <c r="L717" s="2">
        <f>IFERROR((K717-J717)/K717*100,0)</f>
        <v>0</v>
      </c>
    </row>
    <row r="718" spans="12:12">
      <c r="L718" s="2">
        <f>IFERROR((K718-J718)/K718*100,0)</f>
        <v>0</v>
      </c>
    </row>
    <row r="719" spans="12:12">
      <c r="L719" s="2">
        <f>IFERROR((K719-J719)/K719*100,0)</f>
        <v>0</v>
      </c>
    </row>
    <row r="720" spans="12:12">
      <c r="L720" s="2">
        <f>IFERROR((K720-J720)/K720*100,0)</f>
        <v>0</v>
      </c>
    </row>
    <row r="721" spans="12:12">
      <c r="L721" s="2">
        <f>IFERROR((K721-J721)/K721*100,0)</f>
        <v>0</v>
      </c>
    </row>
    <row r="722" spans="12:12">
      <c r="L722" s="2">
        <f>IFERROR((K722-J722)/K722*100,0)</f>
        <v>0</v>
      </c>
    </row>
    <row r="723" spans="12:12">
      <c r="L723" s="2">
        <f>IFERROR((K723-J723)/K723*100,0)</f>
        <v>0</v>
      </c>
    </row>
    <row r="724" spans="12:12">
      <c r="L724" s="2">
        <f>IFERROR((K724-J724)/K724*100,0)</f>
        <v>0</v>
      </c>
    </row>
    <row r="725" spans="12:12">
      <c r="L725" s="2">
        <f>IFERROR((K725-J725)/K725*100,0)</f>
        <v>0</v>
      </c>
    </row>
    <row r="726" spans="12:12">
      <c r="L726" s="2">
        <f>IFERROR((K726-J726)/K726*100,0)</f>
        <v>0</v>
      </c>
    </row>
    <row r="727" spans="12:12">
      <c r="L727" s="2">
        <f>IFERROR((K727-J727)/K727*100,0)</f>
        <v>0</v>
      </c>
    </row>
    <row r="728" spans="12:12">
      <c r="L728" s="2">
        <f>IFERROR((K728-J728)/K728*100,0)</f>
        <v>0</v>
      </c>
    </row>
    <row r="729" spans="12:12">
      <c r="L729" s="2">
        <f>IFERROR((K729-J729)/K729*100,0)</f>
        <v>0</v>
      </c>
    </row>
    <row r="730" spans="12:12">
      <c r="L730" s="2">
        <f>IFERROR((K730-J730)/K730*100,0)</f>
        <v>0</v>
      </c>
    </row>
    <row r="731" spans="12:12">
      <c r="L731" s="2">
        <f>IFERROR((K731-J731)/K731*100,0)</f>
        <v>0</v>
      </c>
    </row>
    <row r="732" spans="12:12">
      <c r="L732" s="2">
        <f>IFERROR((K732-J732)/K732*100,0)</f>
        <v>0</v>
      </c>
    </row>
    <row r="733" spans="12:12">
      <c r="L733" s="2">
        <f>IFERROR((K733-J733)/K733*100,0)</f>
        <v>0</v>
      </c>
    </row>
    <row r="734" spans="12:12">
      <c r="L734" s="2">
        <f>IFERROR((K734-J734)/K734*100,0)</f>
        <v>0</v>
      </c>
    </row>
    <row r="735" spans="12:12">
      <c r="L735" s="2">
        <f>IFERROR((K735-J735)/K735*100,0)</f>
        <v>0</v>
      </c>
    </row>
    <row r="736" spans="12:12">
      <c r="L736" s="2">
        <f>IFERROR((K736-J736)/K736*100,0)</f>
        <v>0</v>
      </c>
    </row>
    <row r="737" spans="12:12">
      <c r="L737" s="2">
        <f>IFERROR((K737-J737)/K737*100,0)</f>
        <v>0</v>
      </c>
    </row>
    <row r="738" spans="12:12">
      <c r="L738" s="2">
        <f>IFERROR((K738-J738)/K738*100,0)</f>
        <v>0</v>
      </c>
    </row>
    <row r="739" spans="12:12">
      <c r="L739" s="2">
        <f>IFERROR((K739-J739)/K739*100,0)</f>
        <v>0</v>
      </c>
    </row>
    <row r="740" spans="12:12">
      <c r="L740" s="2">
        <f>IFERROR((K740-J740)/K740*100,0)</f>
        <v>0</v>
      </c>
    </row>
    <row r="741" spans="12:12">
      <c r="L741" s="2">
        <f>IFERROR((K741-J741)/K741*100,0)</f>
        <v>0</v>
      </c>
    </row>
    <row r="742" spans="12:12">
      <c r="L742" s="2">
        <f>IFERROR((K742-J742)/K742*100,0)</f>
        <v>0</v>
      </c>
    </row>
    <row r="743" spans="12:12">
      <c r="L743" s="2">
        <f>IFERROR((K743-J743)/K743*100,0)</f>
        <v>0</v>
      </c>
    </row>
    <row r="744" spans="12:12">
      <c r="L744" s="2">
        <f>IFERROR((K744-J744)/K744*100,0)</f>
        <v>0</v>
      </c>
    </row>
    <row r="745" spans="12:12">
      <c r="L745" s="2">
        <f>IFERROR((K745-J745)/K745*100,0)</f>
        <v>0</v>
      </c>
    </row>
    <row r="746" spans="12:12">
      <c r="L746" s="2">
        <f>IFERROR((K746-J746)/K746*100,0)</f>
        <v>0</v>
      </c>
    </row>
    <row r="747" spans="12:12">
      <c r="L747" s="2">
        <f>IFERROR((K747-J747)/K747*100,0)</f>
        <v>0</v>
      </c>
    </row>
    <row r="748" spans="12:12">
      <c r="L748" s="2">
        <f>IFERROR((K748-J748)/K748*100,0)</f>
        <v>0</v>
      </c>
    </row>
    <row r="749" spans="12:12">
      <c r="L749" s="2">
        <f>IFERROR((K749-J749)/K749*100,0)</f>
        <v>0</v>
      </c>
    </row>
    <row r="750" spans="12:12">
      <c r="L750" s="2">
        <f>IFERROR((K750-J750)/K750*100,0)</f>
        <v>0</v>
      </c>
    </row>
    <row r="751" spans="12:12">
      <c r="L751" s="2">
        <f>IFERROR((K751-J751)/K751*100,0)</f>
        <v>0</v>
      </c>
    </row>
    <row r="752" spans="12:12">
      <c r="L752" s="2">
        <f>IFERROR((K752-J752)/K752*100,0)</f>
        <v>0</v>
      </c>
    </row>
    <row r="753" spans="12:12">
      <c r="L753" s="2">
        <f>IFERROR((K753-J753)/K753*100,0)</f>
        <v>0</v>
      </c>
    </row>
    <row r="754" spans="12:12">
      <c r="L754" s="2">
        <f>IFERROR((K754-J754)/K754*100,0)</f>
        <v>0</v>
      </c>
    </row>
    <row r="755" spans="12:12">
      <c r="L755" s="2">
        <f>IFERROR((K755-J755)/K755*100,0)</f>
        <v>0</v>
      </c>
    </row>
    <row r="756" spans="12:12">
      <c r="L756" s="2">
        <f>IFERROR((K756-J756)/K756*100,0)</f>
        <v>0</v>
      </c>
    </row>
    <row r="757" spans="12:12">
      <c r="L757" s="2">
        <f>IFERROR((K757-J757)/K757*100,0)</f>
        <v>0</v>
      </c>
    </row>
    <row r="758" spans="12:12">
      <c r="L758" s="2">
        <f>IFERROR((K758-J758)/K758*100,0)</f>
        <v>0</v>
      </c>
    </row>
    <row r="759" spans="12:12">
      <c r="L759" s="2">
        <f>IFERROR((K759-J759)/K759*100,0)</f>
        <v>0</v>
      </c>
    </row>
    <row r="760" spans="12:12">
      <c r="L760" s="2">
        <f>IFERROR((K760-J760)/K760*100,0)</f>
        <v>0</v>
      </c>
    </row>
    <row r="761" spans="12:12">
      <c r="L761" s="2">
        <f>IFERROR((K761-J761)/K761*100,0)</f>
        <v>0</v>
      </c>
    </row>
    <row r="762" spans="12:12">
      <c r="L762" s="2">
        <f>IFERROR((K762-J762)/K762*100,0)</f>
        <v>0</v>
      </c>
    </row>
    <row r="763" spans="12:12">
      <c r="L763" s="2">
        <f>IFERROR((K763-J763)/K763*100,0)</f>
        <v>0</v>
      </c>
    </row>
    <row r="764" spans="12:12">
      <c r="L764" s="2">
        <f>IFERROR((K764-J764)/K764*100,0)</f>
        <v>0</v>
      </c>
    </row>
    <row r="765" spans="12:12">
      <c r="L765" s="2">
        <f>IFERROR((K765-J765)/K765*100,0)</f>
        <v>0</v>
      </c>
    </row>
    <row r="766" spans="12:12">
      <c r="L766" s="2">
        <f>IFERROR((K766-J766)/K766*100,0)</f>
        <v>0</v>
      </c>
    </row>
    <row r="767" spans="12:12">
      <c r="L767" s="2">
        <f>IFERROR((K767-J767)/K767*100,0)</f>
        <v>0</v>
      </c>
    </row>
    <row r="768" spans="12:12">
      <c r="L768" s="2">
        <f>IFERROR((K768-J768)/K768*100,0)</f>
        <v>0</v>
      </c>
    </row>
    <row r="769" spans="12:12">
      <c r="L769" s="2">
        <f>IFERROR((K769-J769)/K769*100,0)</f>
        <v>0</v>
      </c>
    </row>
    <row r="770" spans="12:12">
      <c r="L770" s="2">
        <f>IFERROR((K770-J770)/K770*100,0)</f>
        <v>0</v>
      </c>
    </row>
    <row r="771" spans="12:12">
      <c r="L771" s="2">
        <f>IFERROR((K771-J771)/K771*100,0)</f>
        <v>0</v>
      </c>
    </row>
    <row r="772" spans="12:12">
      <c r="L772" s="2">
        <f>IFERROR((K772-J772)/K772*100,0)</f>
        <v>0</v>
      </c>
    </row>
    <row r="773" spans="12:12">
      <c r="L773" s="2">
        <f>IFERROR((K773-J773)/K773*100,0)</f>
        <v>0</v>
      </c>
    </row>
    <row r="774" spans="12:12">
      <c r="L774" s="2">
        <f>IFERROR((K774-J774)/K774*100,0)</f>
        <v>0</v>
      </c>
    </row>
    <row r="775" spans="12:12">
      <c r="L775" s="2">
        <f>IFERROR((K775-J775)/K775*100,0)</f>
        <v>0</v>
      </c>
    </row>
    <row r="776" spans="12:12">
      <c r="L776" s="2">
        <f>IFERROR((K776-J776)/K776*100,0)</f>
        <v>0</v>
      </c>
    </row>
    <row r="777" spans="12:12">
      <c r="L777" s="2">
        <f>IFERROR((K777-J777)/K777*100,0)</f>
        <v>0</v>
      </c>
    </row>
    <row r="778" spans="12:12">
      <c r="L778" s="2">
        <f>IFERROR((K778-J778)/K778*100,0)</f>
        <v>0</v>
      </c>
    </row>
    <row r="779" spans="12:12">
      <c r="L779" s="2">
        <f>IFERROR((K779-J779)/K779*100,0)</f>
        <v>0</v>
      </c>
    </row>
    <row r="780" spans="12:12">
      <c r="L780" s="2">
        <f>IFERROR((K780-J780)/K780*100,0)</f>
        <v>0</v>
      </c>
    </row>
    <row r="781" spans="12:12">
      <c r="L781" s="2">
        <f>IFERROR((K781-J781)/K781*100,0)</f>
        <v>0</v>
      </c>
    </row>
    <row r="782" spans="12:12">
      <c r="L782" s="2">
        <f>IFERROR((K782-J782)/K782*100,0)</f>
        <v>0</v>
      </c>
    </row>
    <row r="783" spans="12:12">
      <c r="L783" s="2">
        <f>IFERROR((K783-J783)/K783*100,0)</f>
        <v>0</v>
      </c>
    </row>
    <row r="784" spans="12:12">
      <c r="L784" s="2">
        <f>IFERROR((K784-J784)/K784*100,0)</f>
        <v>0</v>
      </c>
    </row>
    <row r="785" spans="12:12">
      <c r="L785" s="2">
        <f>IFERROR((K785-J785)/K785*100,0)</f>
        <v>0</v>
      </c>
    </row>
    <row r="786" spans="12:12">
      <c r="L786" s="2">
        <f>IFERROR((K786-J786)/K786*100,0)</f>
        <v>0</v>
      </c>
    </row>
    <row r="787" spans="12:12">
      <c r="L787" s="2">
        <f>IFERROR((K787-J787)/K787*100,0)</f>
        <v>0</v>
      </c>
    </row>
    <row r="788" spans="12:12">
      <c r="L788" s="2">
        <f>IFERROR((K788-J788)/K788*100,0)</f>
        <v>0</v>
      </c>
    </row>
    <row r="789" spans="12:12">
      <c r="L789" s="2">
        <f>IFERROR((K789-J789)/K789*100,0)</f>
        <v>0</v>
      </c>
    </row>
    <row r="790" spans="12:12">
      <c r="L790" s="2">
        <f>IFERROR((K790-J790)/K790*100,0)</f>
        <v>0</v>
      </c>
    </row>
    <row r="791" spans="12:12">
      <c r="L791" s="2">
        <f>IFERROR((K791-J791)/K791*100,0)</f>
        <v>0</v>
      </c>
    </row>
    <row r="792" spans="12:12">
      <c r="L792" s="2">
        <f>IFERROR((K792-J792)/K792*100,0)</f>
        <v>0</v>
      </c>
    </row>
    <row r="793" spans="12:12">
      <c r="L793" s="2">
        <f>IFERROR((K793-J793)/K793*100,0)</f>
        <v>0</v>
      </c>
    </row>
    <row r="794" spans="12:12">
      <c r="L794" s="2">
        <f>IFERROR((K794-J794)/K794*100,0)</f>
        <v>0</v>
      </c>
    </row>
    <row r="795" spans="12:12">
      <c r="L795" s="2">
        <f>IFERROR((K795-J795)/K795*100,0)</f>
        <v>0</v>
      </c>
    </row>
    <row r="796" spans="12:12">
      <c r="L796" s="2">
        <f>IFERROR((K796-J796)/K796*100,0)</f>
        <v>0</v>
      </c>
    </row>
    <row r="797" spans="12:12">
      <c r="L797" s="2">
        <f>IFERROR((K797-J797)/K797*100,0)</f>
        <v>0</v>
      </c>
    </row>
    <row r="798" spans="12:12">
      <c r="L798" s="2">
        <f>IFERROR((K798-J798)/K798*100,0)</f>
        <v>0</v>
      </c>
    </row>
    <row r="799" spans="12:12">
      <c r="L799" s="2">
        <f>IFERROR((K799-J799)/K799*100,0)</f>
        <v>0</v>
      </c>
    </row>
    <row r="800" spans="12:12">
      <c r="L800" s="2">
        <f>IFERROR((K800-J800)/K800*100,0)</f>
        <v>0</v>
      </c>
    </row>
    <row r="801" spans="12:12">
      <c r="L801" s="2">
        <f>IFERROR((K801-J801)/K801*100,0)</f>
        <v>0</v>
      </c>
    </row>
    <row r="802" spans="12:12">
      <c r="L802" s="2">
        <f>IFERROR((K802-J802)/K802*100,0)</f>
        <v>0</v>
      </c>
    </row>
    <row r="803" spans="12:12">
      <c r="L803" s="2">
        <f>IFERROR((K803-J803)/K803*100,0)</f>
        <v>0</v>
      </c>
    </row>
    <row r="804" spans="12:12">
      <c r="L804" s="2">
        <f>IFERROR((K804-J804)/K804*100,0)</f>
        <v>0</v>
      </c>
    </row>
    <row r="805" spans="12:12">
      <c r="L805" s="2">
        <f>IFERROR((K805-J805)/K805*100,0)</f>
        <v>0</v>
      </c>
    </row>
    <row r="806" spans="12:12">
      <c r="L806" s="2">
        <f>IFERROR((K806-J806)/K806*100,0)</f>
        <v>0</v>
      </c>
    </row>
    <row r="807" spans="12:12">
      <c r="L807" s="2">
        <f>IFERROR((K807-J807)/K807*100,0)</f>
        <v>0</v>
      </c>
    </row>
    <row r="808" spans="12:12">
      <c r="L808" s="2">
        <f>IFERROR((K808-J808)/K808*100,0)</f>
        <v>0</v>
      </c>
    </row>
    <row r="809" spans="12:12">
      <c r="L809" s="2">
        <f>IFERROR((K809-J809)/K809*100,0)</f>
        <v>0</v>
      </c>
    </row>
    <row r="810" spans="12:12">
      <c r="L810" s="2">
        <f>IFERROR((K810-J810)/K810*100,0)</f>
        <v>0</v>
      </c>
    </row>
    <row r="811" spans="12:12">
      <c r="L811" s="2">
        <f>IFERROR((K811-J811)/K811*100,0)</f>
        <v>0</v>
      </c>
    </row>
    <row r="812" spans="12:12">
      <c r="L812" s="2">
        <f>IFERROR((K812-J812)/K812*100,0)</f>
        <v>0</v>
      </c>
    </row>
    <row r="813" spans="12:12">
      <c r="L813" s="2">
        <f>IFERROR((K813-J813)/K813*100,0)</f>
        <v>0</v>
      </c>
    </row>
    <row r="814" spans="12:12">
      <c r="L814" s="2">
        <f>IFERROR((K814-J814)/K814*100,0)</f>
        <v>0</v>
      </c>
    </row>
    <row r="815" spans="12:12">
      <c r="L815" s="2">
        <f>IFERROR((K815-J815)/K815*100,0)</f>
        <v>0</v>
      </c>
    </row>
    <row r="816" spans="12:12">
      <c r="L816" s="2">
        <f>IFERROR((K816-J816)/K816*100,0)</f>
        <v>0</v>
      </c>
    </row>
    <row r="817" spans="12:12">
      <c r="L817" s="2">
        <f>IFERROR((K817-J817)/K817*100,0)</f>
        <v>0</v>
      </c>
    </row>
    <row r="818" spans="12:12">
      <c r="L818" s="2">
        <f>IFERROR((K818-J818)/K818*100,0)</f>
        <v>0</v>
      </c>
    </row>
    <row r="819" spans="12:12">
      <c r="L819" s="2">
        <f>IFERROR((K819-J819)/K819*100,0)</f>
        <v>0</v>
      </c>
    </row>
    <row r="820" spans="12:12">
      <c r="L820" s="2">
        <f>IFERROR((K820-J820)/K820*100,0)</f>
        <v>0</v>
      </c>
    </row>
    <row r="821" spans="12:12">
      <c r="L821" s="2">
        <f>IFERROR((K821-J821)/K821*100,0)</f>
        <v>0</v>
      </c>
    </row>
    <row r="822" spans="12:12">
      <c r="L822" s="2">
        <f>IFERROR((K822-J822)/K822*100,0)</f>
        <v>0</v>
      </c>
    </row>
    <row r="823" spans="12:12">
      <c r="L823" s="2">
        <f>IFERROR((K823-J823)/K823*100,0)</f>
        <v>0</v>
      </c>
    </row>
    <row r="824" spans="12:12">
      <c r="L824" s="2">
        <f>IFERROR((K824-J824)/K824*100,0)</f>
        <v>0</v>
      </c>
    </row>
    <row r="825" spans="12:12">
      <c r="L825" s="2">
        <f>IFERROR((K825-J825)/K825*100,0)</f>
        <v>0</v>
      </c>
    </row>
    <row r="826" spans="12:12">
      <c r="L826" s="2">
        <f>IFERROR((K826-J826)/K826*100,0)</f>
        <v>0</v>
      </c>
    </row>
    <row r="827" spans="12:12">
      <c r="L827" s="2">
        <f>IFERROR((K827-J827)/K827*100,0)</f>
        <v>0</v>
      </c>
    </row>
    <row r="828" spans="12:12">
      <c r="L828" s="2">
        <f>IFERROR((K828-J828)/K828*100,0)</f>
        <v>0</v>
      </c>
    </row>
    <row r="829" spans="12:12">
      <c r="L829" s="2">
        <f>IFERROR((K829-J829)/K829*100,0)</f>
        <v>0</v>
      </c>
    </row>
    <row r="830" spans="12:12">
      <c r="L830" s="2">
        <f>IFERROR((K830-J830)/K830*100,0)</f>
        <v>0</v>
      </c>
    </row>
    <row r="831" spans="12:12">
      <c r="L831" s="2">
        <f>IFERROR((K831-J831)/K831*100,0)</f>
        <v>0</v>
      </c>
    </row>
    <row r="832" spans="12:12">
      <c r="L832" s="2">
        <f>IFERROR((K832-J832)/K832*100,0)</f>
        <v>0</v>
      </c>
    </row>
    <row r="833" spans="12:12">
      <c r="L833" s="2">
        <f>IFERROR((K833-J833)/K833*100,0)</f>
        <v>0</v>
      </c>
    </row>
    <row r="834" spans="12:12">
      <c r="L834" s="2">
        <f>IFERROR((K834-J834)/K834*100,0)</f>
        <v>0</v>
      </c>
    </row>
    <row r="835" spans="12:12">
      <c r="L835" s="2">
        <f>IFERROR((K835-J835)/K835*100,0)</f>
        <v>0</v>
      </c>
    </row>
    <row r="836" spans="12:12">
      <c r="L836" s="2">
        <f>IFERROR((K836-J836)/K836*100,0)</f>
        <v>0</v>
      </c>
    </row>
    <row r="837" spans="12:12">
      <c r="L837" s="2">
        <f>IFERROR((K837-J837)/K837*100,0)</f>
        <v>0</v>
      </c>
    </row>
    <row r="838" spans="12:12">
      <c r="L838" s="2">
        <f>IFERROR((K838-J838)/K838*100,0)</f>
        <v>0</v>
      </c>
    </row>
    <row r="839" spans="12:12">
      <c r="L839" s="2">
        <f>IFERROR((K839-J839)/K839*100,0)</f>
        <v>0</v>
      </c>
    </row>
    <row r="840" spans="12:12">
      <c r="L840" s="2">
        <f>IFERROR((K840-J840)/K840*100,0)</f>
        <v>0</v>
      </c>
    </row>
    <row r="841" spans="12:12">
      <c r="L841" s="2">
        <f>IFERROR((K841-J841)/K841*100,0)</f>
        <v>0</v>
      </c>
    </row>
    <row r="842" spans="12:12">
      <c r="L842" s="2">
        <f>IFERROR((K842-J842)/K842*100,0)</f>
        <v>0</v>
      </c>
    </row>
    <row r="843" spans="12:12">
      <c r="L843" s="2">
        <f>IFERROR((K843-J843)/K843*100,0)</f>
        <v>0</v>
      </c>
    </row>
    <row r="844" spans="12:12">
      <c r="L844" s="2">
        <f>IFERROR((K844-J844)/K844*100,0)</f>
        <v>0</v>
      </c>
    </row>
    <row r="845" spans="12:12">
      <c r="L845" s="2">
        <f>IFERROR((K845-J845)/K845*100,0)</f>
        <v>0</v>
      </c>
    </row>
    <row r="846" spans="12:12">
      <c r="L846" s="2">
        <f>IFERROR((K846-J846)/K846*100,0)</f>
        <v>0</v>
      </c>
    </row>
    <row r="847" spans="12:12">
      <c r="L847" s="2">
        <f>IFERROR((K847-J847)/K847*100,0)</f>
        <v>0</v>
      </c>
    </row>
    <row r="848" spans="12:12">
      <c r="L848" s="2">
        <f>IFERROR((K848-J848)/K848*100,0)</f>
        <v>0</v>
      </c>
    </row>
    <row r="849" spans="12:12">
      <c r="L849" s="2">
        <f>IFERROR((K849-J849)/K849*100,0)</f>
        <v>0</v>
      </c>
    </row>
    <row r="850" spans="12:12">
      <c r="L850" s="2">
        <f>IFERROR((K850-J850)/K850*100,0)</f>
        <v>0</v>
      </c>
    </row>
    <row r="851" spans="12:12">
      <c r="L851" s="2">
        <f>IFERROR((K851-J851)/K851*100,0)</f>
        <v>0</v>
      </c>
    </row>
    <row r="852" spans="12:12">
      <c r="L852" s="2">
        <f>IFERROR((K852-J852)/K852*100,0)</f>
        <v>0</v>
      </c>
    </row>
    <row r="853" spans="12:12">
      <c r="L853" s="2">
        <f>IFERROR((K853-J853)/K853*100,0)</f>
        <v>0</v>
      </c>
    </row>
    <row r="854" spans="12:12">
      <c r="L854" s="2">
        <f>IFERROR((K854-J854)/K854*100,0)</f>
        <v>0</v>
      </c>
    </row>
    <row r="855" spans="12:12">
      <c r="L855" s="2">
        <f>IFERROR((K855-J855)/K855*100,0)</f>
        <v>0</v>
      </c>
    </row>
    <row r="856" spans="12:12">
      <c r="L856" s="2">
        <f>IFERROR((K856-J856)/K856*100,0)</f>
        <v>0</v>
      </c>
    </row>
    <row r="857" spans="12:12">
      <c r="L857" s="2">
        <f>IFERROR((K857-J857)/K857*100,0)</f>
        <v>0</v>
      </c>
    </row>
    <row r="858" spans="12:12">
      <c r="L858" s="2">
        <f>IFERROR((K858-J858)/K858*100,0)</f>
        <v>0</v>
      </c>
    </row>
    <row r="859" spans="12:12">
      <c r="L859" s="2">
        <f>IFERROR((K859-J859)/K859*100,0)</f>
        <v>0</v>
      </c>
    </row>
    <row r="860" spans="12:12">
      <c r="L860" s="2">
        <f>IFERROR((K860-J860)/K860*100,0)</f>
        <v>0</v>
      </c>
    </row>
    <row r="861" spans="12:12">
      <c r="L861" s="2">
        <f>IFERROR((K861-J861)/K861*100,0)</f>
        <v>0</v>
      </c>
    </row>
    <row r="862" spans="12:12">
      <c r="L862" s="2">
        <f>IFERROR((K862-J862)/K862*100,0)</f>
        <v>0</v>
      </c>
    </row>
    <row r="863" spans="12:12">
      <c r="L863" s="2">
        <f>IFERROR((K863-J863)/K863*100,0)</f>
        <v>0</v>
      </c>
    </row>
    <row r="864" spans="12:12">
      <c r="L864" s="2">
        <f>IFERROR((K864-J864)/K864*100,0)</f>
        <v>0</v>
      </c>
    </row>
    <row r="865" spans="12:12">
      <c r="L865" s="2">
        <f>IFERROR((K865-J865)/K865*100,0)</f>
        <v>0</v>
      </c>
    </row>
    <row r="866" spans="12:12">
      <c r="L866" s="2">
        <f>IFERROR((K866-J866)/K866*100,0)</f>
        <v>0</v>
      </c>
    </row>
    <row r="867" spans="12:12">
      <c r="L867" s="2">
        <f>IFERROR((K867-J867)/K867*100,0)</f>
        <v>0</v>
      </c>
    </row>
    <row r="868" spans="12:12">
      <c r="L868" s="2">
        <f>IFERROR((K868-J868)/K868*100,0)</f>
        <v>0</v>
      </c>
    </row>
    <row r="869" spans="12:12">
      <c r="L869" s="2">
        <f>IFERROR((K869-J869)/K869*100,0)</f>
        <v>0</v>
      </c>
    </row>
    <row r="870" spans="12:12">
      <c r="L870" s="2">
        <f>IFERROR((K870-J870)/K870*100,0)</f>
        <v>0</v>
      </c>
    </row>
    <row r="871" spans="12:12">
      <c r="L871" s="2">
        <f>IFERROR((K871-J871)/K871*100,0)</f>
        <v>0</v>
      </c>
    </row>
    <row r="872" spans="12:12">
      <c r="L872" s="2">
        <f>IFERROR((K872-J872)/K872*100,0)</f>
        <v>0</v>
      </c>
    </row>
    <row r="873" spans="12:12">
      <c r="L873" s="2">
        <f>IFERROR((K873-J873)/K873*100,0)</f>
        <v>0</v>
      </c>
    </row>
    <row r="874" spans="12:12">
      <c r="L874" s="2">
        <f>IFERROR((K874-J874)/K874*100,0)</f>
        <v>0</v>
      </c>
    </row>
    <row r="875" spans="12:12">
      <c r="L875" s="2">
        <f>IFERROR((K875-J875)/K875*100,0)</f>
        <v>0</v>
      </c>
    </row>
    <row r="876" spans="12:12">
      <c r="L876" s="2">
        <f>IFERROR((K876-J876)/K876*100,0)</f>
        <v>0</v>
      </c>
    </row>
    <row r="877" spans="12:12">
      <c r="L877" s="2">
        <f>IFERROR((K877-J877)/K877*100,0)</f>
        <v>0</v>
      </c>
    </row>
    <row r="878" spans="12:12">
      <c r="L878" s="2">
        <f>IFERROR((K878-J878)/K878*100,0)</f>
        <v>0</v>
      </c>
    </row>
    <row r="879" spans="12:12">
      <c r="L879" s="2">
        <f>IFERROR((K879-J879)/K879*100,0)</f>
        <v>0</v>
      </c>
    </row>
    <row r="880" spans="12:12">
      <c r="L880" s="2">
        <f>IFERROR((K880-J880)/K880*100,0)</f>
        <v>0</v>
      </c>
    </row>
    <row r="881" spans="12:12">
      <c r="L881" s="2">
        <f>IFERROR((K881-J881)/K881*100,0)</f>
        <v>0</v>
      </c>
    </row>
    <row r="882" spans="12:12">
      <c r="L882" s="2">
        <f>IFERROR((K882-J882)/K882*100,0)</f>
        <v>0</v>
      </c>
    </row>
    <row r="883" spans="12:12">
      <c r="L883" s="2">
        <f>IFERROR((K883-J883)/K883*100,0)</f>
        <v>0</v>
      </c>
    </row>
    <row r="884" spans="12:12">
      <c r="L884" s="2">
        <f>IFERROR((K884-J884)/K884*100,0)</f>
        <v>0</v>
      </c>
    </row>
    <row r="885" spans="12:12">
      <c r="L885" s="2">
        <f>IFERROR((K885-J885)/K885*100,0)</f>
        <v>0</v>
      </c>
    </row>
    <row r="886" spans="12:12">
      <c r="L886" s="2">
        <f>IFERROR((K886-J886)/K886*100,0)</f>
        <v>0</v>
      </c>
    </row>
    <row r="887" spans="12:12">
      <c r="L887" s="2">
        <f>IFERROR((K887-J887)/K887*100,0)</f>
        <v>0</v>
      </c>
    </row>
    <row r="888" spans="12:12">
      <c r="L888" s="2">
        <f>IFERROR((K888-J888)/K888*100,0)</f>
        <v>0</v>
      </c>
    </row>
    <row r="889" spans="12:12">
      <c r="L889" s="2">
        <f>IFERROR((K889-J889)/K889*100,0)</f>
        <v>0</v>
      </c>
    </row>
    <row r="890" spans="12:12">
      <c r="L890" s="2">
        <f>IFERROR((K890-J890)/K890*100,0)</f>
        <v>0</v>
      </c>
    </row>
    <row r="891" spans="12:12">
      <c r="L891" s="2">
        <f>IFERROR((K891-J891)/K891*100,0)</f>
        <v>0</v>
      </c>
    </row>
    <row r="892" spans="12:12">
      <c r="L892" s="2">
        <f>IFERROR((K892-J892)/K892*100,0)</f>
        <v>0</v>
      </c>
    </row>
    <row r="893" spans="12:12">
      <c r="L893" s="2">
        <f>IFERROR((K893-J893)/K893*100,0)</f>
        <v>0</v>
      </c>
    </row>
    <row r="894" spans="12:12">
      <c r="L894" s="2">
        <f>IFERROR((K894-J894)/K894*100,0)</f>
        <v>0</v>
      </c>
    </row>
    <row r="895" spans="12:12">
      <c r="L895" s="2">
        <f>IFERROR((K895-J895)/K895*100,0)</f>
        <v>0</v>
      </c>
    </row>
    <row r="896" spans="12:12">
      <c r="L896" s="2">
        <f>IFERROR((K896-J896)/K896*100,0)</f>
        <v>0</v>
      </c>
    </row>
    <row r="897" spans="12:12">
      <c r="L897" s="2">
        <f>IFERROR((K897-J897)/K897*100,0)</f>
        <v>0</v>
      </c>
    </row>
    <row r="898" spans="12:12">
      <c r="L898" s="2">
        <f>IFERROR((K898-J898)/K898*100,0)</f>
        <v>0</v>
      </c>
    </row>
    <row r="899" spans="12:12">
      <c r="L899" s="2">
        <f>IFERROR((K899-J899)/K899*100,0)</f>
        <v>0</v>
      </c>
    </row>
    <row r="900" spans="12:12">
      <c r="L900" s="2">
        <f>IFERROR((K900-J900)/K900*100,0)</f>
        <v>0</v>
      </c>
    </row>
    <row r="901" spans="12:12">
      <c r="L901" s="2">
        <f>IFERROR((K901-J901)/K901*100,0)</f>
        <v>0</v>
      </c>
    </row>
    <row r="902" spans="12:12">
      <c r="L902" s="2">
        <f>IFERROR((K902-J902)/K902*100,0)</f>
        <v>0</v>
      </c>
    </row>
    <row r="903" spans="12:12">
      <c r="L903" s="2">
        <f>IFERROR((K903-J903)/K903*100,0)</f>
        <v>0</v>
      </c>
    </row>
    <row r="904" spans="12:12">
      <c r="L904" s="2">
        <f>IFERROR((K904-J904)/K904*100,0)</f>
        <v>0</v>
      </c>
    </row>
    <row r="905" spans="12:12">
      <c r="L905" s="2">
        <f>IFERROR((K905-J905)/K905*100,0)</f>
        <v>0</v>
      </c>
    </row>
    <row r="906" spans="12:12">
      <c r="L906" s="2">
        <f>IFERROR((K906-J906)/K906*100,0)</f>
        <v>0</v>
      </c>
    </row>
    <row r="907" spans="12:12">
      <c r="L907" s="2">
        <f>IFERROR((K907-J907)/K907*100,0)</f>
        <v>0</v>
      </c>
    </row>
    <row r="908" spans="12:12">
      <c r="L908" s="2">
        <f>IFERROR((K908-J908)/K908*100,0)</f>
        <v>0</v>
      </c>
    </row>
    <row r="909" spans="12:12">
      <c r="L909" s="2">
        <f>IFERROR((K909-J909)/K909*100,0)</f>
        <v>0</v>
      </c>
    </row>
    <row r="910" spans="12:12">
      <c r="L910" s="2">
        <f>IFERROR((K910-J910)/K910*100,0)</f>
        <v>0</v>
      </c>
    </row>
    <row r="911" spans="12:12">
      <c r="L911" s="2">
        <f>IFERROR((K911-J911)/K911*100,0)</f>
        <v>0</v>
      </c>
    </row>
    <row r="912" spans="12:12">
      <c r="L912" s="2">
        <f>IFERROR((K912-J912)/K912*100,0)</f>
        <v>0</v>
      </c>
    </row>
    <row r="913" spans="12:12">
      <c r="L913" s="2">
        <f>IFERROR((K913-J913)/K913*100,0)</f>
        <v>0</v>
      </c>
    </row>
    <row r="914" spans="12:12">
      <c r="L914" s="2">
        <f>IFERROR((K914-J914)/K914*100,0)</f>
        <v>0</v>
      </c>
    </row>
    <row r="915" spans="12:12">
      <c r="L915" s="2">
        <f>IFERROR((K915-J915)/K915*100,0)</f>
        <v>0</v>
      </c>
    </row>
    <row r="916" spans="12:12">
      <c r="L916" s="2">
        <f>IFERROR((K916-J916)/K916*100,0)</f>
        <v>0</v>
      </c>
    </row>
    <row r="917" spans="12:12">
      <c r="L917" s="2">
        <f>IFERROR((K917-J917)/K917*100,0)</f>
        <v>0</v>
      </c>
    </row>
    <row r="918" spans="12:12">
      <c r="L918" s="2">
        <f>IFERROR((K918-J918)/K918*100,0)</f>
        <v>0</v>
      </c>
    </row>
    <row r="919" spans="12:12">
      <c r="L919" s="2">
        <f>IFERROR((K919-J919)/K919*100,0)</f>
        <v>0</v>
      </c>
    </row>
    <row r="920" spans="12:12">
      <c r="L920" s="2">
        <f>IFERROR((K920-J920)/K920*100,0)</f>
        <v>0</v>
      </c>
    </row>
    <row r="921" spans="12:12">
      <c r="L921" s="2">
        <f>IFERROR((K921-J921)/K921*100,0)</f>
        <v>0</v>
      </c>
    </row>
    <row r="922" spans="12:12">
      <c r="L922" s="2">
        <f>IFERROR((K922-J922)/K922*100,0)</f>
        <v>0</v>
      </c>
    </row>
    <row r="923" spans="12:12">
      <c r="L923" s="2">
        <f>IFERROR((K923-J923)/K923*100,0)</f>
        <v>0</v>
      </c>
    </row>
    <row r="924" spans="12:12">
      <c r="L924" s="2">
        <f>IFERROR((K924-J924)/K924*100,0)</f>
        <v>0</v>
      </c>
    </row>
    <row r="925" spans="12:12">
      <c r="L925" s="2">
        <f>IFERROR((K925-J925)/K925*100,0)</f>
        <v>0</v>
      </c>
    </row>
    <row r="926" spans="12:12">
      <c r="L926" s="2">
        <f>IFERROR((K926-J926)/K926*100,0)</f>
        <v>0</v>
      </c>
    </row>
    <row r="927" spans="12:12">
      <c r="L927" s="2">
        <f>IFERROR((K927-J927)/K927*100,0)</f>
        <v>0</v>
      </c>
    </row>
    <row r="928" spans="12:12">
      <c r="L928" s="2">
        <f>IFERROR((K928-J928)/K928*100,0)</f>
        <v>0</v>
      </c>
    </row>
    <row r="929" spans="12:12">
      <c r="L929" s="2">
        <f>IFERROR((K929-J929)/K929*100,0)</f>
        <v>0</v>
      </c>
    </row>
    <row r="930" spans="12:12">
      <c r="L930" s="2">
        <f>IFERROR((K930-J930)/K930*100,0)</f>
        <v>0</v>
      </c>
    </row>
    <row r="931" spans="12:12">
      <c r="L931" s="2">
        <f>IFERROR((K931-J931)/K931*100,0)</f>
        <v>0</v>
      </c>
    </row>
    <row r="932" spans="12:12">
      <c r="L932" s="2">
        <f>IFERROR((K932-J932)/K932*100,0)</f>
        <v>0</v>
      </c>
    </row>
    <row r="933" spans="12:12">
      <c r="L933" s="2">
        <f>IFERROR((K933-J933)/K933*100,0)</f>
        <v>0</v>
      </c>
    </row>
    <row r="934" spans="12:12">
      <c r="L934" s="2">
        <f>IFERROR((K934-J934)/K934*100,0)</f>
        <v>0</v>
      </c>
    </row>
    <row r="935" spans="12:12">
      <c r="L935" s="2">
        <f>IFERROR((K935-J935)/K935*100,0)</f>
        <v>0</v>
      </c>
    </row>
    <row r="936" spans="12:12">
      <c r="L936" s="2">
        <f>IFERROR((K936-J936)/K936*100,0)</f>
        <v>0</v>
      </c>
    </row>
    <row r="937" spans="12:12">
      <c r="L937" s="2">
        <f>IFERROR((K937-J937)/K937*100,0)</f>
        <v>0</v>
      </c>
    </row>
    <row r="938" spans="12:12">
      <c r="L938" s="2">
        <f>IFERROR((K938-J938)/K938*100,0)</f>
        <v>0</v>
      </c>
    </row>
    <row r="939" spans="12:12">
      <c r="L939" s="2">
        <f>IFERROR((K939-J939)/K939*100,0)</f>
        <v>0</v>
      </c>
    </row>
    <row r="940" spans="12:12">
      <c r="L940" s="2">
        <f>IFERROR((K940-J940)/K940*100,0)</f>
        <v>0</v>
      </c>
    </row>
    <row r="941" spans="12:12">
      <c r="L941" s="2">
        <f>IFERROR((K941-J941)/K941*100,0)</f>
        <v>0</v>
      </c>
    </row>
    <row r="942" spans="12:12">
      <c r="L942" s="2">
        <f>IFERROR((K942-J942)/K942*100,0)</f>
        <v>0</v>
      </c>
    </row>
    <row r="943" spans="12:12">
      <c r="L943" s="2">
        <f>IFERROR((K943-J943)/K943*100,0)</f>
        <v>0</v>
      </c>
    </row>
    <row r="944" spans="12:12">
      <c r="L944" s="2">
        <f>IFERROR((K944-J944)/K944*100,0)</f>
        <v>0</v>
      </c>
    </row>
    <row r="945" spans="12:12">
      <c r="L945" s="2">
        <f>IFERROR((K945-J945)/K945*100,0)</f>
        <v>0</v>
      </c>
    </row>
    <row r="946" spans="12:12">
      <c r="L946" s="2">
        <f>IFERROR((K946-J946)/K946*100,0)</f>
        <v>0</v>
      </c>
    </row>
    <row r="947" spans="12:12">
      <c r="L947" s="2">
        <f>IFERROR((K947-J947)/K947*100,0)</f>
        <v>0</v>
      </c>
    </row>
    <row r="948" spans="12:12">
      <c r="L948" s="2">
        <f>IFERROR((K948-J948)/K948*100,0)</f>
        <v>0</v>
      </c>
    </row>
    <row r="949" spans="12:12">
      <c r="L949" s="2">
        <f>IFERROR((K949-J949)/K949*100,0)</f>
        <v>0</v>
      </c>
    </row>
    <row r="950" spans="12:12">
      <c r="L950" s="2">
        <f>IFERROR((K950-J950)/K950*100,0)</f>
        <v>0</v>
      </c>
    </row>
    <row r="951" spans="12:12">
      <c r="L951" s="2">
        <f>IFERROR((K951-J951)/K951*100,0)</f>
        <v>0</v>
      </c>
    </row>
    <row r="952" spans="12:12">
      <c r="L952" s="2">
        <f>IFERROR((K952-J952)/K952*100,0)</f>
        <v>0</v>
      </c>
    </row>
    <row r="953" spans="12:12">
      <c r="L953" s="2">
        <f>IFERROR((K953-J953)/K953*100,0)</f>
        <v>0</v>
      </c>
    </row>
    <row r="954" spans="12:12">
      <c r="L954" s="2">
        <f>IFERROR((K954-J954)/K954*100,0)</f>
        <v>0</v>
      </c>
    </row>
    <row r="955" spans="12:12">
      <c r="L955" s="2">
        <f>IFERROR((K955-J955)/K955*100,0)</f>
        <v>0</v>
      </c>
    </row>
    <row r="956" spans="12:12">
      <c r="L956" s="2">
        <f>IFERROR((K956-J956)/K956*100,0)</f>
        <v>0</v>
      </c>
    </row>
    <row r="957" spans="12:12">
      <c r="L957" s="2">
        <f>IFERROR((K957-J957)/K957*100,0)</f>
        <v>0</v>
      </c>
    </row>
    <row r="958" spans="12:12">
      <c r="L958" s="2">
        <f>IFERROR((K958-J958)/K958*100,0)</f>
        <v>0</v>
      </c>
    </row>
    <row r="959" spans="12:12">
      <c r="L959" s="2">
        <f>IFERROR((K959-J959)/K959*100,0)</f>
        <v>0</v>
      </c>
    </row>
    <row r="960" spans="12:12">
      <c r="L960" s="2">
        <f>IFERROR((K960-J960)/K960*100,0)</f>
        <v>0</v>
      </c>
    </row>
    <row r="961" spans="12:12">
      <c r="L961" s="2">
        <f>IFERROR((K961-J961)/K961*100,0)</f>
        <v>0</v>
      </c>
    </row>
    <row r="962" spans="12:12">
      <c r="L962" s="2">
        <f>IFERROR((K962-J962)/K962*100,0)</f>
        <v>0</v>
      </c>
    </row>
    <row r="963" spans="12:12">
      <c r="L963" s="2">
        <f>IFERROR((K963-J963)/K963*100,0)</f>
        <v>0</v>
      </c>
    </row>
    <row r="964" spans="12:12">
      <c r="L964" s="2">
        <f>IFERROR((K964-J964)/K964*100,0)</f>
        <v>0</v>
      </c>
    </row>
    <row r="965" spans="12:12">
      <c r="L965" s="2">
        <f>IFERROR((K965-J965)/K965*100,0)</f>
        <v>0</v>
      </c>
    </row>
    <row r="966" spans="12:12">
      <c r="L966" s="2">
        <f>IFERROR((K966-J966)/K966*100,0)</f>
        <v>0</v>
      </c>
    </row>
    <row r="967" spans="12:12">
      <c r="L967" s="2">
        <f>IFERROR((K967-J967)/K967*100,0)</f>
        <v>0</v>
      </c>
    </row>
    <row r="968" spans="12:12">
      <c r="L968" s="2">
        <f>IFERROR((K968-J968)/K968*100,0)</f>
        <v>0</v>
      </c>
    </row>
    <row r="969" spans="12:12">
      <c r="L969" s="2">
        <f>IFERROR((K969-J969)/K969*100,0)</f>
        <v>0</v>
      </c>
    </row>
    <row r="970" spans="12:12">
      <c r="L970" s="2">
        <f>IFERROR((K970-J970)/K970*100,0)</f>
        <v>0</v>
      </c>
    </row>
    <row r="971" spans="12:12">
      <c r="L971" s="2">
        <f>IFERROR((K971-J971)/K971*100,0)</f>
        <v>0</v>
      </c>
    </row>
    <row r="972" spans="12:12">
      <c r="L972" s="2">
        <f>IFERROR((K972-J972)/K972*100,0)</f>
        <v>0</v>
      </c>
    </row>
    <row r="973" spans="12:12">
      <c r="L973" s="2">
        <f>IFERROR((K973-J973)/K973*100,0)</f>
        <v>0</v>
      </c>
    </row>
    <row r="974" spans="12:12">
      <c r="L974" s="2">
        <f>IFERROR((K974-J974)/K974*100,0)</f>
        <v>0</v>
      </c>
    </row>
    <row r="975" spans="12:12">
      <c r="L975" s="2">
        <f>IFERROR((K975-J975)/K975*100,0)</f>
        <v>0</v>
      </c>
    </row>
    <row r="976" spans="12:12">
      <c r="L976" s="2">
        <f>IFERROR((K976-J976)/K976*100,0)</f>
        <v>0</v>
      </c>
    </row>
    <row r="977" spans="12:12">
      <c r="L977" s="2">
        <f>IFERROR((K977-J977)/K977*100,0)</f>
        <v>0</v>
      </c>
    </row>
    <row r="978" spans="12:12">
      <c r="L978" s="2">
        <f>IFERROR((K978-J978)/K978*100,0)</f>
        <v>0</v>
      </c>
    </row>
    <row r="979" spans="12:12">
      <c r="L979" s="2">
        <f>IFERROR((K979-J979)/K979*100,0)</f>
        <v>0</v>
      </c>
    </row>
    <row r="980" spans="12:12">
      <c r="L980" s="2">
        <f>IFERROR((K980-J980)/K980*100,0)</f>
        <v>0</v>
      </c>
    </row>
    <row r="981" spans="12:12">
      <c r="L981" s="2">
        <f>IFERROR((K981-J981)/K981*100,0)</f>
        <v>0</v>
      </c>
    </row>
    <row r="982" spans="12:12">
      <c r="L982" s="2">
        <f>IFERROR((K982-J982)/K982*100,0)</f>
        <v>0</v>
      </c>
    </row>
    <row r="983" spans="12:12">
      <c r="L983" s="2">
        <f>IFERROR((K983-J983)/K983*100,0)</f>
        <v>0</v>
      </c>
    </row>
    <row r="984" spans="12:12">
      <c r="L984" s="2">
        <f>IFERROR((K984-J984)/K984*100,0)</f>
        <v>0</v>
      </c>
    </row>
    <row r="985" spans="12:12">
      <c r="L985" s="2">
        <f>IFERROR((K985-J985)/K985*100,0)</f>
        <v>0</v>
      </c>
    </row>
    <row r="986" spans="12:12">
      <c r="L986" s="2">
        <f>IFERROR((K986-J986)/K986*100,0)</f>
        <v>0</v>
      </c>
    </row>
    <row r="987" spans="12:12">
      <c r="L987" s="2">
        <f>IFERROR((K987-J987)/K987*100,0)</f>
        <v>0</v>
      </c>
    </row>
    <row r="988" spans="12:12">
      <c r="L988" s="2">
        <f>IFERROR((K988-J988)/K988*100,0)</f>
        <v>0</v>
      </c>
    </row>
    <row r="989" spans="12:12">
      <c r="L989" s="2">
        <f>IFERROR((K989-J989)/K989*100,0)</f>
        <v>0</v>
      </c>
    </row>
    <row r="990" spans="12:12">
      <c r="L990" s="2">
        <f>IFERROR((K990-J990)/K990*100,0)</f>
        <v>0</v>
      </c>
    </row>
    <row r="991" spans="12:12">
      <c r="L991" s="2">
        <f>IFERROR((K991-J991)/K991*100,0)</f>
        <v>0</v>
      </c>
    </row>
    <row r="992" spans="12:12">
      <c r="L992" s="2">
        <f>IFERROR((K992-J992)/K992*100,0)</f>
        <v>0</v>
      </c>
    </row>
    <row r="993" spans="12:12">
      <c r="L993" s="2">
        <f>IFERROR((K993-J993)/K993*100,0)</f>
        <v>0</v>
      </c>
    </row>
    <row r="994" spans="12:12">
      <c r="L994" s="2">
        <f>IFERROR((K994-J994)/K994*100,0)</f>
        <v>0</v>
      </c>
    </row>
    <row r="995" spans="12:12">
      <c r="L995" s="2">
        <f>IFERROR((K995-J995)/K995*100,0)</f>
        <v>0</v>
      </c>
    </row>
    <row r="996" spans="12:12">
      <c r="L996" s="2">
        <f>IFERROR((K996-J996)/K996*100,0)</f>
        <v>0</v>
      </c>
    </row>
    <row r="997" spans="12:12">
      <c r="L997" s="2">
        <f>IFERROR((K997-J997)/K997*100,0)</f>
        <v>0</v>
      </c>
    </row>
    <row r="998" spans="12:12">
      <c r="L998" s="2">
        <f>IFERROR((K998-J998)/K998*100,0)</f>
        <v>0</v>
      </c>
    </row>
    <row r="999" spans="12:12">
      <c r="L999" s="2">
        <f>IFERROR((K999-J999)/K999*100,0)</f>
        <v>0</v>
      </c>
    </row>
    <row r="1000" spans="12:12">
      <c r="L1000" s="2">
        <f>IFERROR((K1000-J1000)/K1000*100,0)</f>
        <v>0</v>
      </c>
    </row>
    <row r="1001" spans="12:12">
      <c r="L1001" s="2">
        <f>IFERROR((K1001-J1001)/K1001*100,0)</f>
        <v>0</v>
      </c>
    </row>
    <row r="1002" spans="12:12">
      <c r="L1002" s="2">
        <f>IFERROR((K1002-J1002)/K1002*100,0)</f>
        <v>0</v>
      </c>
    </row>
    <row r="1003" spans="12:12">
      <c r="L1003" s="2">
        <f>IFERROR((K1003-J1003)/K1003*100,0)</f>
        <v>0</v>
      </c>
    </row>
  </sheetData>
  <mergeCells count="2">
    <mergeCell ref="A1:N1"/>
    <mergeCell ref="A2:N2"/>
  </mergeCells>
  <dataValidations count="2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</dataValidations>
  <hyperlinks>
    <hyperlink ref="P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>
    <tabColor rgb="FF64748B"/>
    <pageSetUpPr fitToPage="1"/>
  </sheetPr>
  <dimension ref="A1:Q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2" width="9.7109375" style="1" customWidth="1"/>
    <col min="3" max="3" width="13.7109375" style="1" customWidth="1"/>
    <col min="4" max="5" width="9.7109375" style="1" customWidth="1"/>
    <col min="6" max="6" width="12.7109375" style="1" customWidth="1"/>
    <col min="7" max="7" width="10.7109375" style="1" customWidth="1"/>
    <col min="8" max="8" width="19.7109375" style="1" customWidth="1"/>
    <col min="9" max="9" width="10.7109375" style="1" customWidth="1"/>
    <col min="10" max="11" width="13.7109375" style="1" customWidth="1"/>
    <col min="12" max="12" width="10.7109375" style="1" customWidth="1"/>
    <col min="13" max="13" width="17.7109375" style="1" customWidth="1"/>
    <col min="14" max="14" width="9.7109375" style="1" customWidth="1"/>
    <col min="15" max="15" width="12.7109375" style="8" customWidth="1"/>
  </cols>
  <sheetData>
    <row r="1" spans="1:17" ht="22" customHeight="1">
      <c r="A1" s="3" t="s">
        <v>1259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Q1" s="4" t="s">
        <v>139</v>
      </c>
    </row>
    <row r="2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7">
      <c r="A3" s="1" t="s">
        <v>124</v>
      </c>
      <c r="B3" s="1" t="s">
        <v>1315</v>
      </c>
      <c r="C3" s="1" t="s">
        <v>1316</v>
      </c>
      <c r="D3" s="1" t="s">
        <v>127</v>
      </c>
      <c r="E3" s="1" t="s">
        <v>1317</v>
      </c>
      <c r="F3" s="1" t="s">
        <v>129</v>
      </c>
      <c r="G3" s="1" t="s">
        <v>130</v>
      </c>
      <c r="H3" s="1" t="s">
        <v>416</v>
      </c>
      <c r="I3" s="1" t="s">
        <v>647</v>
      </c>
      <c r="J3" s="1" t="s">
        <v>1318</v>
      </c>
      <c r="K3" s="1" t="s">
        <v>1319</v>
      </c>
      <c r="L3" s="1" t="s">
        <v>360</v>
      </c>
      <c r="M3" s="1" t="s">
        <v>1320</v>
      </c>
      <c r="N3" s="1" t="s">
        <v>288</v>
      </c>
      <c r="O3" s="8" t="s">
        <v>1321</v>
      </c>
    </row>
    <row r="4" spans="1:17">
      <c r="A4" s="1">
        <v>1</v>
      </c>
      <c r="B4" s="1" t="s">
        <v>1260</v>
      </c>
      <c r="C4" s="5">
        <v>46044</v>
      </c>
      <c r="D4" s="1" t="s">
        <v>3</v>
      </c>
      <c r="E4" s="6" t="s">
        <v>1261</v>
      </c>
      <c r="F4" s="6" t="s">
        <v>89</v>
      </c>
      <c r="G4" s="1" t="s">
        <v>31</v>
      </c>
      <c r="H4" s="1" t="s">
        <v>45</v>
      </c>
      <c r="I4" s="1" t="s">
        <v>147</v>
      </c>
      <c r="J4" s="1" t="s">
        <v>68</v>
      </c>
      <c r="K4" s="1" t="s">
        <v>22</v>
      </c>
      <c r="L4" s="5">
        <v>46059</v>
      </c>
      <c r="M4" s="5">
        <v>46055</v>
      </c>
      <c r="N4" s="1" t="s">
        <v>303</v>
      </c>
      <c r="O4" s="8">
        <f>IF(N4="","",IF(N4="Closed",IF(M4&lt;=L4,"On-Time","Delayed"),"Pending"))</f>
        <v>0</v>
      </c>
    </row>
    <row r="5" spans="1:17">
      <c r="A5" s="1">
        <v>2</v>
      </c>
      <c r="B5" s="1" t="s">
        <v>1262</v>
      </c>
      <c r="C5" s="5">
        <v>46025</v>
      </c>
      <c r="D5" s="1" t="s">
        <v>3</v>
      </c>
      <c r="E5" s="6" t="s">
        <v>1263</v>
      </c>
      <c r="F5" s="6" t="s">
        <v>65</v>
      </c>
      <c r="G5" s="1" t="s">
        <v>77</v>
      </c>
      <c r="H5" s="1" t="s">
        <v>61</v>
      </c>
      <c r="I5" s="1" t="s">
        <v>151</v>
      </c>
      <c r="J5" s="1" t="s">
        <v>104</v>
      </c>
      <c r="K5" s="1" t="s">
        <v>7</v>
      </c>
      <c r="L5" s="5">
        <v>46040</v>
      </c>
      <c r="M5" s="5">
        <v>46031</v>
      </c>
      <c r="N5" s="1" t="s">
        <v>222</v>
      </c>
      <c r="O5" s="8">
        <f>IF(N5="","",IF(N5="Closed",IF(M5&lt;=L5,"On-Time","Delayed"),"Pending"))</f>
        <v>0</v>
      </c>
    </row>
    <row r="6" spans="1:17">
      <c r="A6" s="1">
        <v>3</v>
      </c>
      <c r="B6" s="1" t="s">
        <v>1264</v>
      </c>
      <c r="C6" s="5">
        <v>46030</v>
      </c>
      <c r="D6" s="1" t="s">
        <v>3</v>
      </c>
      <c r="E6" s="6" t="s">
        <v>1265</v>
      </c>
      <c r="F6" s="6" t="s">
        <v>65</v>
      </c>
      <c r="G6" s="1" t="s">
        <v>82</v>
      </c>
      <c r="H6" s="1" t="s">
        <v>26</v>
      </c>
      <c r="I6" s="1" t="s">
        <v>147</v>
      </c>
      <c r="J6" s="1" t="s">
        <v>62</v>
      </c>
      <c r="K6" s="1" t="s">
        <v>32</v>
      </c>
      <c r="L6" s="5">
        <v>46073</v>
      </c>
      <c r="M6" s="5">
        <v>46064</v>
      </c>
      <c r="N6" s="1" t="s">
        <v>1266</v>
      </c>
      <c r="O6" s="8">
        <f>IF(N6="","",IF(N6="Closed",IF(M6&lt;=L6,"On-Time","Delayed"),"Pending"))</f>
        <v>0</v>
      </c>
    </row>
    <row r="7" spans="1:17">
      <c r="A7" s="1">
        <v>4</v>
      </c>
      <c r="B7" s="1" t="s">
        <v>1267</v>
      </c>
      <c r="C7" s="5">
        <v>46028</v>
      </c>
      <c r="D7" s="1" t="s">
        <v>3</v>
      </c>
      <c r="E7" s="6" t="s">
        <v>1265</v>
      </c>
      <c r="F7" s="6" t="s">
        <v>27</v>
      </c>
      <c r="G7" s="1" t="s">
        <v>77</v>
      </c>
      <c r="H7" s="1" t="s">
        <v>45</v>
      </c>
      <c r="I7" s="1" t="s">
        <v>147</v>
      </c>
      <c r="J7" s="1" t="s">
        <v>104</v>
      </c>
      <c r="K7" s="1" t="s">
        <v>32</v>
      </c>
      <c r="L7" s="5">
        <v>46056</v>
      </c>
      <c r="M7" s="5">
        <v>46070</v>
      </c>
      <c r="N7" s="1" t="s">
        <v>1266</v>
      </c>
      <c r="O7" s="8">
        <f>IF(N7="","",IF(N7="Closed",IF(M7&lt;=L7,"On-Time","Delayed"),"Pending"))</f>
        <v>0</v>
      </c>
    </row>
    <row r="8" spans="1:17">
      <c r="A8" s="1">
        <v>5</v>
      </c>
      <c r="B8" s="1" t="s">
        <v>1268</v>
      </c>
      <c r="C8" s="5">
        <v>46062</v>
      </c>
      <c r="D8" s="1" t="s">
        <v>19</v>
      </c>
      <c r="E8" s="6" t="s">
        <v>1269</v>
      </c>
      <c r="F8" s="6" t="s">
        <v>89</v>
      </c>
      <c r="G8" s="1" t="s">
        <v>95</v>
      </c>
      <c r="H8" s="1" t="s">
        <v>4</v>
      </c>
      <c r="I8" s="1" t="s">
        <v>151</v>
      </c>
      <c r="J8" s="1" t="s">
        <v>104</v>
      </c>
      <c r="K8" s="1" t="s">
        <v>28</v>
      </c>
      <c r="L8" s="5">
        <v>46093</v>
      </c>
      <c r="M8" s="5">
        <v>46088</v>
      </c>
      <c r="N8" s="1" t="s">
        <v>1266</v>
      </c>
      <c r="O8" s="8">
        <f>IF(N8="","",IF(N8="Closed",IF(M8&lt;=L8,"On-Time","Delayed"),"Pending"))</f>
        <v>0</v>
      </c>
    </row>
    <row r="9" spans="1:17">
      <c r="A9" s="1">
        <v>6</v>
      </c>
      <c r="B9" s="1" t="s">
        <v>1270</v>
      </c>
      <c r="C9" s="5">
        <v>46078</v>
      </c>
      <c r="D9" s="1" t="s">
        <v>19</v>
      </c>
      <c r="E9" s="6" t="s">
        <v>1271</v>
      </c>
      <c r="F9" s="6" t="s">
        <v>5</v>
      </c>
      <c r="G9" s="1" t="s">
        <v>95</v>
      </c>
      <c r="H9" s="1" t="s">
        <v>45</v>
      </c>
      <c r="I9" s="1" t="s">
        <v>164</v>
      </c>
      <c r="J9" s="1" t="s">
        <v>66</v>
      </c>
      <c r="K9" s="1" t="s">
        <v>78</v>
      </c>
      <c r="L9" s="5">
        <v>46122</v>
      </c>
      <c r="M9" s="5">
        <v>46090</v>
      </c>
      <c r="N9" s="1" t="s">
        <v>303</v>
      </c>
      <c r="O9" s="8">
        <f>IF(N9="","",IF(N9="Closed",IF(M9&lt;=L9,"On-Time","Delayed"),"Pending"))</f>
        <v>0</v>
      </c>
    </row>
    <row r="10" spans="1:17">
      <c r="A10" s="1">
        <v>7</v>
      </c>
      <c r="B10" s="1" t="s">
        <v>1272</v>
      </c>
      <c r="C10" s="5">
        <v>46107</v>
      </c>
      <c r="D10" s="1" t="s">
        <v>44</v>
      </c>
      <c r="E10" s="6" t="s">
        <v>1265</v>
      </c>
      <c r="F10" s="6" t="s">
        <v>50</v>
      </c>
      <c r="G10" s="1" t="s">
        <v>21</v>
      </c>
      <c r="H10" s="1" t="s">
        <v>20</v>
      </c>
      <c r="I10" s="1" t="s">
        <v>164</v>
      </c>
      <c r="J10" s="1" t="s">
        <v>15</v>
      </c>
      <c r="K10" s="1" t="s">
        <v>36</v>
      </c>
      <c r="L10" s="5">
        <v>46126</v>
      </c>
      <c r="M10" s="5">
        <v>46124</v>
      </c>
      <c r="N10" s="1" t="s">
        <v>303</v>
      </c>
      <c r="O10" s="8">
        <f>IF(N10="","",IF(N10="Closed",IF(M10&lt;=L10,"On-Time","Delayed"),"Pending"))</f>
        <v>0</v>
      </c>
    </row>
    <row r="11" spans="1:17">
      <c r="A11" s="1">
        <v>8</v>
      </c>
      <c r="B11" s="1" t="s">
        <v>1273</v>
      </c>
      <c r="C11" s="5">
        <v>46107</v>
      </c>
      <c r="D11" s="1" t="s">
        <v>44</v>
      </c>
      <c r="E11" s="6" t="s">
        <v>1263</v>
      </c>
      <c r="F11" s="6" t="s">
        <v>92</v>
      </c>
      <c r="G11" s="1" t="s">
        <v>14</v>
      </c>
      <c r="H11" s="1" t="s">
        <v>12</v>
      </c>
      <c r="I11" s="1" t="s">
        <v>142</v>
      </c>
      <c r="J11" s="1" t="s">
        <v>32</v>
      </c>
      <c r="K11" s="1" t="s">
        <v>36</v>
      </c>
      <c r="L11" s="5">
        <v>46124</v>
      </c>
      <c r="M11" s="5">
        <v>46121</v>
      </c>
      <c r="N11" s="1" t="s">
        <v>226</v>
      </c>
      <c r="O11" s="8">
        <f>IF(N11="","",IF(N11="Closed",IF(M11&lt;=L11,"On-Time","Delayed"),"Pending"))</f>
        <v>0</v>
      </c>
    </row>
    <row r="12" spans="1:17">
      <c r="A12" s="1">
        <v>9</v>
      </c>
      <c r="B12" s="1" t="s">
        <v>1274</v>
      </c>
      <c r="C12" s="5">
        <v>46083</v>
      </c>
      <c r="D12" s="1" t="s">
        <v>44</v>
      </c>
      <c r="E12" s="6" t="s">
        <v>1269</v>
      </c>
      <c r="F12" s="6" t="s">
        <v>89</v>
      </c>
      <c r="G12" s="1" t="s">
        <v>51</v>
      </c>
      <c r="H12" s="1" t="s">
        <v>91</v>
      </c>
      <c r="I12" s="1" t="s">
        <v>142</v>
      </c>
      <c r="J12" s="1" t="s">
        <v>78</v>
      </c>
      <c r="K12" s="1" t="s">
        <v>93</v>
      </c>
      <c r="L12" s="5">
        <v>46105</v>
      </c>
      <c r="M12" s="5">
        <v>46100</v>
      </c>
      <c r="N12" s="1" t="s">
        <v>222</v>
      </c>
      <c r="O12" s="8">
        <f>IF(N12="","",IF(N12="Closed",IF(M12&lt;=L12,"On-Time","Delayed"),"Pending"))</f>
        <v>0</v>
      </c>
    </row>
    <row r="13" spans="1:17">
      <c r="A13" s="1">
        <v>10</v>
      </c>
      <c r="B13" s="1" t="s">
        <v>1275</v>
      </c>
      <c r="C13" s="5">
        <v>46107</v>
      </c>
      <c r="D13" s="1" t="s">
        <v>44</v>
      </c>
      <c r="E13" s="6" t="s">
        <v>1271</v>
      </c>
      <c r="F13" s="6" t="s">
        <v>65</v>
      </c>
      <c r="G13" s="1" t="s">
        <v>35</v>
      </c>
      <c r="H13" s="1" t="s">
        <v>64</v>
      </c>
      <c r="I13" s="1" t="s">
        <v>142</v>
      </c>
      <c r="J13" s="1" t="s">
        <v>15</v>
      </c>
      <c r="K13" s="1" t="s">
        <v>22</v>
      </c>
      <c r="L13" s="5">
        <v>46130</v>
      </c>
      <c r="M13" s="5">
        <v>46144</v>
      </c>
      <c r="N13" s="1" t="s">
        <v>222</v>
      </c>
      <c r="O13" s="8">
        <f>IF(N13="","",IF(N13="Closed",IF(M13&lt;=L13,"On-Time","Delayed"),"Pending"))</f>
        <v>0</v>
      </c>
    </row>
    <row r="14" spans="1:17">
      <c r="A14" s="1">
        <v>11</v>
      </c>
      <c r="B14" s="1" t="s">
        <v>1276</v>
      </c>
      <c r="C14" s="5">
        <v>46094</v>
      </c>
      <c r="D14" s="1" t="s">
        <v>44</v>
      </c>
      <c r="E14" s="6" t="s">
        <v>1269</v>
      </c>
      <c r="F14" s="6" t="s">
        <v>27</v>
      </c>
      <c r="G14" s="1" t="s">
        <v>21</v>
      </c>
      <c r="H14" s="1" t="s">
        <v>54</v>
      </c>
      <c r="I14" s="1" t="s">
        <v>151</v>
      </c>
      <c r="J14" s="1" t="s">
        <v>93</v>
      </c>
      <c r="K14" s="1" t="s">
        <v>41</v>
      </c>
      <c r="L14" s="5">
        <v>46104</v>
      </c>
      <c r="M14" s="5">
        <v>46119</v>
      </c>
      <c r="N14" s="1" t="s">
        <v>331</v>
      </c>
      <c r="O14" s="8">
        <f>IF(N14="","",IF(N14="Closed",IF(M14&lt;=L14,"On-Time","Delayed"),"Pending"))</f>
        <v>0</v>
      </c>
    </row>
    <row r="15" spans="1:17">
      <c r="A15" s="1">
        <v>12</v>
      </c>
      <c r="B15" s="1" t="s">
        <v>1277</v>
      </c>
      <c r="C15" s="5">
        <v>46083</v>
      </c>
      <c r="D15" s="1" t="s">
        <v>44</v>
      </c>
      <c r="E15" s="6" t="s">
        <v>1269</v>
      </c>
      <c r="F15" s="6" t="s">
        <v>13</v>
      </c>
      <c r="G15" s="1" t="s">
        <v>14</v>
      </c>
      <c r="H15" s="1" t="s">
        <v>91</v>
      </c>
      <c r="I15" s="1" t="s">
        <v>164</v>
      </c>
      <c r="J15" s="1" t="s">
        <v>32</v>
      </c>
      <c r="K15" s="1" t="s">
        <v>78</v>
      </c>
      <c r="L15" s="5">
        <v>46110</v>
      </c>
      <c r="M15" s="5">
        <v>46105</v>
      </c>
      <c r="N15" s="1" t="s">
        <v>331</v>
      </c>
      <c r="O15" s="8">
        <f>IF(N15="","",IF(N15="Closed",IF(M15&lt;=L15,"On-Time","Delayed"),"Pending"))</f>
        <v>0</v>
      </c>
    </row>
    <row r="16" spans="1:17">
      <c r="A16" s="1">
        <v>13</v>
      </c>
      <c r="B16" s="1" t="s">
        <v>1278</v>
      </c>
      <c r="C16" s="5">
        <v>46106</v>
      </c>
      <c r="D16" s="1" t="s">
        <v>44</v>
      </c>
      <c r="E16" s="6" t="s">
        <v>1279</v>
      </c>
      <c r="F16" s="6" t="s">
        <v>5</v>
      </c>
      <c r="G16" s="1" t="s">
        <v>51</v>
      </c>
      <c r="H16" s="1" t="s">
        <v>12</v>
      </c>
      <c r="I16" s="1" t="s">
        <v>147</v>
      </c>
      <c r="J16" s="1" t="s">
        <v>68</v>
      </c>
      <c r="K16" s="1" t="s">
        <v>70</v>
      </c>
      <c r="L16" s="5">
        <v>46127</v>
      </c>
      <c r="M16" s="5">
        <v>46133</v>
      </c>
      <c r="N16" s="1" t="s">
        <v>222</v>
      </c>
      <c r="O16" s="8">
        <f>IF(N16="","",IF(N16="Closed",IF(M16&lt;=L16,"On-Time","Delayed"),"Pending"))</f>
        <v>0</v>
      </c>
    </row>
    <row r="17" spans="1:15">
      <c r="A17" s="1">
        <v>14</v>
      </c>
      <c r="B17" s="1" t="s">
        <v>1280</v>
      </c>
      <c r="C17" s="5">
        <v>46130</v>
      </c>
      <c r="D17" s="1" t="s">
        <v>53</v>
      </c>
      <c r="E17" s="6" t="s">
        <v>1263</v>
      </c>
      <c r="F17" s="6" t="s">
        <v>46</v>
      </c>
      <c r="G17" s="1" t="s">
        <v>40</v>
      </c>
      <c r="H17" s="1" t="s">
        <v>91</v>
      </c>
      <c r="I17" s="1" t="s">
        <v>151</v>
      </c>
      <c r="J17" s="1" t="s">
        <v>36</v>
      </c>
      <c r="K17" s="1" t="s">
        <v>15</v>
      </c>
      <c r="L17" s="5">
        <v>46162</v>
      </c>
      <c r="M17" s="5">
        <v>46145</v>
      </c>
      <c r="N17" s="1" t="s">
        <v>226</v>
      </c>
      <c r="O17" s="8">
        <f>IF(N17="","",IF(N17="Closed",IF(M17&lt;=L17,"On-Time","Delayed"),"Pending"))</f>
        <v>0</v>
      </c>
    </row>
    <row r="18" spans="1:15">
      <c r="A18" s="1">
        <v>15</v>
      </c>
      <c r="B18" s="1" t="s">
        <v>1281</v>
      </c>
      <c r="C18" s="5">
        <v>46156</v>
      </c>
      <c r="D18" s="1" t="s">
        <v>60</v>
      </c>
      <c r="E18" s="6" t="s">
        <v>1265</v>
      </c>
      <c r="F18" s="6" t="s">
        <v>39</v>
      </c>
      <c r="G18" s="1" t="s">
        <v>77</v>
      </c>
      <c r="H18" s="1" t="s">
        <v>57</v>
      </c>
      <c r="I18" s="1" t="s">
        <v>147</v>
      </c>
      <c r="J18" s="1" t="s">
        <v>7</v>
      </c>
      <c r="K18" s="1" t="s">
        <v>70</v>
      </c>
      <c r="L18" s="5">
        <v>46184</v>
      </c>
      <c r="M18" s="5">
        <v>46173</v>
      </c>
      <c r="N18" s="1" t="s">
        <v>303</v>
      </c>
      <c r="O18" s="8">
        <f>IF(N18="","",IF(N18="Closed",IF(M18&lt;=L18,"On-Time","Delayed"),"Pending"))</f>
        <v>0</v>
      </c>
    </row>
    <row r="19" spans="1:15">
      <c r="A19" s="1">
        <v>16</v>
      </c>
      <c r="B19" s="1" t="s">
        <v>1282</v>
      </c>
      <c r="C19" s="5">
        <v>46167</v>
      </c>
      <c r="D19" s="1" t="s">
        <v>60</v>
      </c>
      <c r="E19" s="6" t="s">
        <v>1265</v>
      </c>
      <c r="F19" s="6" t="s">
        <v>27</v>
      </c>
      <c r="G19" s="1" t="s">
        <v>87</v>
      </c>
      <c r="H19" s="1" t="s">
        <v>30</v>
      </c>
      <c r="I19" s="1" t="s">
        <v>142</v>
      </c>
      <c r="J19" s="1" t="s">
        <v>68</v>
      </c>
      <c r="K19" s="1" t="s">
        <v>68</v>
      </c>
      <c r="L19" s="5">
        <v>46193</v>
      </c>
      <c r="M19" s="5">
        <v>46179</v>
      </c>
      <c r="N19" s="1" t="s">
        <v>222</v>
      </c>
      <c r="O19" s="8">
        <f>IF(N19="","",IF(N19="Closed",IF(M19&lt;=L19,"On-Time","Delayed"),"Pending"))</f>
        <v>0</v>
      </c>
    </row>
    <row r="20" spans="1:15">
      <c r="A20" s="1">
        <v>17</v>
      </c>
      <c r="B20" s="1" t="s">
        <v>1283</v>
      </c>
      <c r="C20" s="5">
        <v>46189</v>
      </c>
      <c r="D20" s="1" t="s">
        <v>73</v>
      </c>
      <c r="E20" s="6" t="s">
        <v>1271</v>
      </c>
      <c r="F20" s="6" t="s">
        <v>27</v>
      </c>
      <c r="G20" s="1" t="s">
        <v>31</v>
      </c>
      <c r="H20" s="1" t="s">
        <v>54</v>
      </c>
      <c r="I20" s="1" t="s">
        <v>164</v>
      </c>
      <c r="J20" s="1" t="s">
        <v>32</v>
      </c>
      <c r="K20" s="1" t="s">
        <v>68</v>
      </c>
      <c r="L20" s="5">
        <v>46232</v>
      </c>
      <c r="M20" s="5">
        <v>46218</v>
      </c>
      <c r="N20" s="1" t="s">
        <v>222</v>
      </c>
      <c r="O20" s="8">
        <f>IF(N20="","",IF(N20="Closed",IF(M20&lt;=L20,"On-Time","Delayed"),"Pending"))</f>
        <v>0</v>
      </c>
    </row>
    <row r="21" spans="1:15">
      <c r="A21" s="1">
        <v>18</v>
      </c>
      <c r="B21" s="1" t="s">
        <v>1284</v>
      </c>
      <c r="C21" s="5">
        <v>46183</v>
      </c>
      <c r="D21" s="1" t="s">
        <v>73</v>
      </c>
      <c r="E21" s="6" t="s">
        <v>1269</v>
      </c>
      <c r="F21" s="6" t="s">
        <v>39</v>
      </c>
      <c r="G21" s="1" t="s">
        <v>77</v>
      </c>
      <c r="H21" s="1" t="s">
        <v>54</v>
      </c>
      <c r="I21" s="1" t="s">
        <v>147</v>
      </c>
      <c r="J21" s="1" t="s">
        <v>15</v>
      </c>
      <c r="K21" s="1" t="s">
        <v>68</v>
      </c>
      <c r="L21" s="5">
        <v>46202</v>
      </c>
      <c r="M21" s="5">
        <v>46209</v>
      </c>
      <c r="N21" s="1" t="s">
        <v>222</v>
      </c>
      <c r="O21" s="8">
        <f>IF(N21="","",IF(N21="Closed",IF(M21&lt;=L21,"On-Time","Delayed"),"Pending"))</f>
        <v>0</v>
      </c>
    </row>
    <row r="22" spans="1:15">
      <c r="A22" s="1">
        <v>19</v>
      </c>
      <c r="B22" s="1" t="s">
        <v>1285</v>
      </c>
      <c r="C22" s="5">
        <v>46182</v>
      </c>
      <c r="D22" s="1" t="s">
        <v>73</v>
      </c>
      <c r="E22" s="6" t="s">
        <v>1263</v>
      </c>
      <c r="F22" s="6" t="s">
        <v>13</v>
      </c>
      <c r="G22" s="1" t="s">
        <v>95</v>
      </c>
      <c r="H22" s="1" t="s">
        <v>45</v>
      </c>
      <c r="I22" s="1" t="s">
        <v>164</v>
      </c>
      <c r="J22" s="1" t="s">
        <v>15</v>
      </c>
      <c r="K22" s="1" t="s">
        <v>28</v>
      </c>
      <c r="L22" s="5">
        <v>46210</v>
      </c>
      <c r="M22" s="5">
        <v>46221</v>
      </c>
      <c r="N22" s="1" t="s">
        <v>1266</v>
      </c>
      <c r="O22" s="8">
        <f>IF(N22="","",IF(N22="Closed",IF(M22&lt;=L22,"On-Time","Delayed"),"Pending"))</f>
        <v>0</v>
      </c>
    </row>
    <row r="23" spans="1:15">
      <c r="A23" s="1">
        <v>20</v>
      </c>
      <c r="B23" s="1" t="s">
        <v>1286</v>
      </c>
      <c r="C23" s="5">
        <v>46179</v>
      </c>
      <c r="D23" s="1" t="s">
        <v>73</v>
      </c>
      <c r="E23" s="6" t="s">
        <v>1279</v>
      </c>
      <c r="F23" s="6" t="s">
        <v>50</v>
      </c>
      <c r="G23" s="1" t="s">
        <v>21</v>
      </c>
      <c r="H23" s="1" t="s">
        <v>16</v>
      </c>
      <c r="I23" s="1" t="s">
        <v>164</v>
      </c>
      <c r="J23" s="1" t="s">
        <v>68</v>
      </c>
      <c r="K23" s="1" t="s">
        <v>70</v>
      </c>
      <c r="L23" s="5">
        <v>46192</v>
      </c>
      <c r="M23" s="5">
        <v>46217</v>
      </c>
      <c r="N23" s="1" t="s">
        <v>303</v>
      </c>
      <c r="O23" s="8">
        <f>IF(N23="","",IF(N23="Closed",IF(M23&lt;=L23,"On-Time","Delayed"),"Pending"))</f>
        <v>0</v>
      </c>
    </row>
    <row r="24" spans="1:15">
      <c r="A24" s="1">
        <v>21</v>
      </c>
      <c r="B24" s="1" t="s">
        <v>1287</v>
      </c>
      <c r="C24" s="5">
        <v>46227</v>
      </c>
      <c r="D24" s="1" t="s">
        <v>76</v>
      </c>
      <c r="E24" s="6" t="s">
        <v>1279</v>
      </c>
      <c r="F24" s="6" t="s">
        <v>5</v>
      </c>
      <c r="G24" s="1" t="s">
        <v>40</v>
      </c>
      <c r="H24" s="1" t="s">
        <v>38</v>
      </c>
      <c r="I24" s="1" t="s">
        <v>164</v>
      </c>
      <c r="J24" s="1" t="s">
        <v>62</v>
      </c>
      <c r="K24" s="1" t="s">
        <v>78</v>
      </c>
      <c r="L24" s="5">
        <v>46269</v>
      </c>
      <c r="M24" s="5">
        <v>46260</v>
      </c>
      <c r="N24" s="1" t="s">
        <v>1266</v>
      </c>
      <c r="O24" s="8">
        <f>IF(N24="","",IF(N24="Closed",IF(M24&lt;=L24,"On-Time","Delayed"),"Pending"))</f>
        <v>0</v>
      </c>
    </row>
    <row r="25" spans="1:15">
      <c r="A25" s="1">
        <v>22</v>
      </c>
      <c r="B25" s="1" t="s">
        <v>1288</v>
      </c>
      <c r="C25" s="5">
        <v>46204</v>
      </c>
      <c r="D25" s="1" t="s">
        <v>76</v>
      </c>
      <c r="E25" s="6" t="s">
        <v>1279</v>
      </c>
      <c r="F25" s="6" t="s">
        <v>50</v>
      </c>
      <c r="G25" s="1" t="s">
        <v>77</v>
      </c>
      <c r="H25" s="1" t="s">
        <v>49</v>
      </c>
      <c r="I25" s="1" t="s">
        <v>151</v>
      </c>
      <c r="J25" s="1" t="s">
        <v>32</v>
      </c>
      <c r="K25" s="1" t="s">
        <v>78</v>
      </c>
      <c r="L25" s="5">
        <v>46244</v>
      </c>
      <c r="M25" s="5">
        <v>46222</v>
      </c>
      <c r="N25" s="1" t="s">
        <v>1266</v>
      </c>
      <c r="O25" s="8">
        <f>IF(N25="","",IF(N25="Closed",IF(M25&lt;=L25,"On-Time","Delayed"),"Pending"))</f>
        <v>0</v>
      </c>
    </row>
    <row r="26" spans="1:15">
      <c r="A26" s="1">
        <v>23</v>
      </c>
      <c r="B26" s="1" t="s">
        <v>1289</v>
      </c>
      <c r="C26" s="5">
        <v>46222</v>
      </c>
      <c r="D26" s="1" t="s">
        <v>76</v>
      </c>
      <c r="E26" s="6" t="s">
        <v>1263</v>
      </c>
      <c r="F26" s="6" t="s">
        <v>46</v>
      </c>
      <c r="G26" s="1" t="s">
        <v>80</v>
      </c>
      <c r="H26" s="1" t="s">
        <v>54</v>
      </c>
      <c r="I26" s="1" t="s">
        <v>151</v>
      </c>
      <c r="J26" s="1" t="s">
        <v>70</v>
      </c>
      <c r="K26" s="1" t="s">
        <v>78</v>
      </c>
      <c r="L26" s="5">
        <v>46251</v>
      </c>
      <c r="M26" s="5">
        <v>46246</v>
      </c>
      <c r="N26" s="1" t="s">
        <v>1266</v>
      </c>
      <c r="O26" s="8">
        <f>IF(N26="","",IF(N26="Closed",IF(M26&lt;=L26,"On-Time","Delayed"),"Pending"))</f>
        <v>0</v>
      </c>
    </row>
    <row r="27" spans="1:15">
      <c r="A27" s="1">
        <v>24</v>
      </c>
      <c r="B27" s="1" t="s">
        <v>1290</v>
      </c>
      <c r="C27" s="5">
        <v>46220</v>
      </c>
      <c r="D27" s="1" t="s">
        <v>76</v>
      </c>
      <c r="E27" s="6" t="s">
        <v>1271</v>
      </c>
      <c r="F27" s="6" t="s">
        <v>50</v>
      </c>
      <c r="G27" s="1" t="s">
        <v>6</v>
      </c>
      <c r="H27" s="1" t="s">
        <v>54</v>
      </c>
      <c r="I27" s="1" t="s">
        <v>151</v>
      </c>
      <c r="J27" s="1" t="s">
        <v>7</v>
      </c>
      <c r="K27" s="1" t="s">
        <v>68</v>
      </c>
      <c r="L27" s="5">
        <v>46244</v>
      </c>
      <c r="M27" s="5">
        <v>46257</v>
      </c>
      <c r="N27" s="1" t="s">
        <v>1266</v>
      </c>
      <c r="O27" s="8">
        <f>IF(N27="","",IF(N27="Closed",IF(M27&lt;=L27,"On-Time","Delayed"),"Pending"))</f>
        <v>0</v>
      </c>
    </row>
    <row r="28" spans="1:15">
      <c r="A28" s="1">
        <v>25</v>
      </c>
      <c r="B28" s="1" t="s">
        <v>1291</v>
      </c>
      <c r="C28" s="5">
        <v>46210</v>
      </c>
      <c r="D28" s="1" t="s">
        <v>76</v>
      </c>
      <c r="E28" s="6" t="s">
        <v>1265</v>
      </c>
      <c r="F28" s="6" t="s">
        <v>65</v>
      </c>
      <c r="G28" s="1" t="s">
        <v>21</v>
      </c>
      <c r="H28" s="1" t="s">
        <v>30</v>
      </c>
      <c r="I28" s="1" t="s">
        <v>164</v>
      </c>
      <c r="J28" s="1" t="s">
        <v>7</v>
      </c>
      <c r="K28" s="1" t="s">
        <v>78</v>
      </c>
      <c r="L28" s="5">
        <v>46230</v>
      </c>
      <c r="M28" s="5">
        <v>46240</v>
      </c>
      <c r="N28" s="1" t="s">
        <v>222</v>
      </c>
      <c r="O28" s="8">
        <f>IF(N28="","",IF(N28="Closed",IF(M28&lt;=L28,"On-Time","Delayed"),"Pending"))</f>
        <v>0</v>
      </c>
    </row>
    <row r="29" spans="1:15">
      <c r="A29" s="1">
        <v>26</v>
      </c>
      <c r="B29" s="1" t="s">
        <v>1292</v>
      </c>
      <c r="C29" s="5">
        <v>46218</v>
      </c>
      <c r="D29" s="1" t="s">
        <v>76</v>
      </c>
      <c r="E29" s="6" t="s">
        <v>1279</v>
      </c>
      <c r="F29" s="6" t="s">
        <v>50</v>
      </c>
      <c r="G29" s="1" t="s">
        <v>82</v>
      </c>
      <c r="H29" s="1" t="s">
        <v>30</v>
      </c>
      <c r="I29" s="1" t="s">
        <v>164</v>
      </c>
      <c r="J29" s="1" t="s">
        <v>36</v>
      </c>
      <c r="K29" s="1" t="s">
        <v>62</v>
      </c>
      <c r="L29" s="5">
        <v>46228</v>
      </c>
      <c r="M29" s="5">
        <v>46255</v>
      </c>
      <c r="N29" s="1" t="s">
        <v>303</v>
      </c>
      <c r="O29" s="8">
        <f>IF(N29="","",IF(N29="Closed",IF(M29&lt;=L29,"On-Time","Delayed"),"Pending"))</f>
        <v>0</v>
      </c>
    </row>
    <row r="30" spans="1:15">
      <c r="A30" s="1">
        <v>27</v>
      </c>
      <c r="B30" s="1" t="s">
        <v>1293</v>
      </c>
      <c r="C30" s="5">
        <v>46236</v>
      </c>
      <c r="D30" s="1" t="s">
        <v>86</v>
      </c>
      <c r="E30" s="6" t="s">
        <v>1279</v>
      </c>
      <c r="F30" s="6" t="s">
        <v>50</v>
      </c>
      <c r="G30" s="1" t="s">
        <v>87</v>
      </c>
      <c r="H30" s="1" t="s">
        <v>38</v>
      </c>
      <c r="I30" s="1" t="s">
        <v>147</v>
      </c>
      <c r="J30" s="1" t="s">
        <v>70</v>
      </c>
      <c r="K30" s="1" t="s">
        <v>66</v>
      </c>
      <c r="L30" s="5">
        <v>46262</v>
      </c>
      <c r="M30" s="5">
        <v>46252</v>
      </c>
      <c r="N30" s="1" t="s">
        <v>331</v>
      </c>
      <c r="O30" s="8">
        <f>IF(N30="","",IF(N30="Closed",IF(M30&lt;=L30,"On-Time","Delayed"),"Pending"))</f>
        <v>0</v>
      </c>
    </row>
    <row r="31" spans="1:15">
      <c r="A31" s="1">
        <v>28</v>
      </c>
      <c r="B31" s="1" t="s">
        <v>1294</v>
      </c>
      <c r="C31" s="5">
        <v>46248</v>
      </c>
      <c r="D31" s="1" t="s">
        <v>86</v>
      </c>
      <c r="E31" s="6" t="s">
        <v>1263</v>
      </c>
      <c r="F31" s="6" t="s">
        <v>39</v>
      </c>
      <c r="G31" s="1" t="s">
        <v>80</v>
      </c>
      <c r="H31" s="1" t="s">
        <v>54</v>
      </c>
      <c r="I31" s="1" t="s">
        <v>147</v>
      </c>
      <c r="J31" s="1" t="s">
        <v>22</v>
      </c>
      <c r="K31" s="1" t="s">
        <v>104</v>
      </c>
      <c r="L31" s="5">
        <v>46293</v>
      </c>
      <c r="M31" s="5">
        <v>46264</v>
      </c>
      <c r="N31" s="1" t="s">
        <v>222</v>
      </c>
      <c r="O31" s="8">
        <f>IF(N31="","",IF(N31="Closed",IF(M31&lt;=L31,"On-Time","Delayed"),"Pending"))</f>
        <v>0</v>
      </c>
    </row>
    <row r="32" spans="1:15">
      <c r="A32" s="1">
        <v>29</v>
      </c>
      <c r="B32" s="1" t="s">
        <v>1295</v>
      </c>
      <c r="C32" s="5">
        <v>46255</v>
      </c>
      <c r="D32" s="1" t="s">
        <v>86</v>
      </c>
      <c r="E32" s="6" t="s">
        <v>1269</v>
      </c>
      <c r="F32" s="6" t="s">
        <v>13</v>
      </c>
      <c r="G32" s="1" t="s">
        <v>21</v>
      </c>
      <c r="H32" s="1" t="s">
        <v>38</v>
      </c>
      <c r="I32" s="1" t="s">
        <v>151</v>
      </c>
      <c r="J32" s="1" t="s">
        <v>68</v>
      </c>
      <c r="K32" s="1" t="s">
        <v>41</v>
      </c>
      <c r="L32" s="5">
        <v>46273</v>
      </c>
      <c r="M32" s="5">
        <v>46265</v>
      </c>
      <c r="N32" s="1" t="s">
        <v>303</v>
      </c>
      <c r="O32" s="8">
        <f>IF(N32="","",IF(N32="Closed",IF(M32&lt;=L32,"On-Time","Delayed"),"Pending"))</f>
        <v>0</v>
      </c>
    </row>
    <row r="33" spans="1:15">
      <c r="A33" s="1">
        <v>30</v>
      </c>
      <c r="B33" s="1" t="s">
        <v>1296</v>
      </c>
      <c r="C33" s="5">
        <v>46262</v>
      </c>
      <c r="D33" s="1" t="s">
        <v>86</v>
      </c>
      <c r="E33" s="6" t="s">
        <v>1263</v>
      </c>
      <c r="F33" s="6" t="s">
        <v>58</v>
      </c>
      <c r="G33" s="1" t="s">
        <v>51</v>
      </c>
      <c r="H33" s="1" t="s">
        <v>20</v>
      </c>
      <c r="I33" s="1" t="s">
        <v>142</v>
      </c>
      <c r="J33" s="1" t="s">
        <v>28</v>
      </c>
      <c r="K33" s="1" t="s">
        <v>32</v>
      </c>
      <c r="L33" s="5">
        <v>46305</v>
      </c>
      <c r="M33" s="5">
        <v>46305</v>
      </c>
      <c r="N33" s="1" t="s">
        <v>226</v>
      </c>
      <c r="O33" s="8">
        <f>IF(N33="","",IF(N33="Closed",IF(M33&lt;=L33,"On-Time","Delayed"),"Pending"))</f>
        <v>0</v>
      </c>
    </row>
    <row r="34" spans="1:15">
      <c r="A34" s="1">
        <v>31</v>
      </c>
      <c r="B34" s="1" t="s">
        <v>1297</v>
      </c>
      <c r="C34" s="5">
        <v>46286</v>
      </c>
      <c r="D34" s="1" t="s">
        <v>102</v>
      </c>
      <c r="E34" s="6" t="s">
        <v>1261</v>
      </c>
      <c r="F34" s="6" t="s">
        <v>27</v>
      </c>
      <c r="G34" s="1" t="s">
        <v>35</v>
      </c>
      <c r="H34" s="1" t="s">
        <v>38</v>
      </c>
      <c r="I34" s="1" t="s">
        <v>151</v>
      </c>
      <c r="J34" s="1" t="s">
        <v>41</v>
      </c>
      <c r="K34" s="1" t="s">
        <v>41</v>
      </c>
      <c r="L34" s="5">
        <v>46312</v>
      </c>
      <c r="M34" s="5">
        <v>46294</v>
      </c>
      <c r="N34" s="1" t="s">
        <v>222</v>
      </c>
      <c r="O34" s="8">
        <f>IF(N34="","",IF(N34="Closed",IF(M34&lt;=L34,"On-Time","Delayed"),"Pending"))</f>
        <v>0</v>
      </c>
    </row>
    <row r="35" spans="1:15">
      <c r="A35" s="1">
        <v>32</v>
      </c>
      <c r="B35" s="1" t="s">
        <v>1298</v>
      </c>
      <c r="C35" s="5">
        <v>46281</v>
      </c>
      <c r="D35" s="1" t="s">
        <v>102</v>
      </c>
      <c r="E35" s="6" t="s">
        <v>1269</v>
      </c>
      <c r="F35" s="6" t="s">
        <v>58</v>
      </c>
      <c r="G35" s="1" t="s">
        <v>40</v>
      </c>
      <c r="H35" s="1" t="s">
        <v>12</v>
      </c>
      <c r="I35" s="1" t="s">
        <v>151</v>
      </c>
      <c r="J35" s="1" t="s">
        <v>41</v>
      </c>
      <c r="K35" s="1" t="s">
        <v>41</v>
      </c>
      <c r="L35" s="5">
        <v>46292</v>
      </c>
      <c r="M35" s="5">
        <v>46293</v>
      </c>
      <c r="N35" s="1" t="s">
        <v>222</v>
      </c>
      <c r="O35" s="8">
        <f>IF(N35="","",IF(N35="Closed",IF(M35&lt;=L35,"On-Time","Delayed"),"Pending"))</f>
        <v>0</v>
      </c>
    </row>
    <row r="36" spans="1:15">
      <c r="A36" s="1">
        <v>33</v>
      </c>
      <c r="B36" s="1" t="s">
        <v>1299</v>
      </c>
      <c r="C36" s="5">
        <v>46286</v>
      </c>
      <c r="D36" s="1" t="s">
        <v>102</v>
      </c>
      <c r="E36" s="6" t="s">
        <v>1269</v>
      </c>
      <c r="F36" s="6" t="s">
        <v>39</v>
      </c>
      <c r="G36" s="1" t="s">
        <v>77</v>
      </c>
      <c r="H36" s="1" t="s">
        <v>57</v>
      </c>
      <c r="I36" s="1" t="s">
        <v>147</v>
      </c>
      <c r="J36" s="1" t="s">
        <v>66</v>
      </c>
      <c r="K36" s="1" t="s">
        <v>104</v>
      </c>
      <c r="L36" s="5">
        <v>46318</v>
      </c>
      <c r="M36" s="5">
        <v>46292</v>
      </c>
      <c r="N36" s="1" t="s">
        <v>222</v>
      </c>
      <c r="O36" s="8">
        <f>IF(N36="","",IF(N36="Closed",IF(M36&lt;=L36,"On-Time","Delayed"),"Pending"))</f>
        <v>0</v>
      </c>
    </row>
    <row r="37" spans="1:15">
      <c r="A37" s="1">
        <v>34</v>
      </c>
      <c r="B37" s="1" t="s">
        <v>1300</v>
      </c>
      <c r="C37" s="5">
        <v>46293</v>
      </c>
      <c r="D37" s="1" t="s">
        <v>102</v>
      </c>
      <c r="E37" s="6" t="s">
        <v>1265</v>
      </c>
      <c r="F37" s="6" t="s">
        <v>27</v>
      </c>
      <c r="G37" s="1" t="s">
        <v>95</v>
      </c>
      <c r="H37" s="1" t="s">
        <v>20</v>
      </c>
      <c r="I37" s="1" t="s">
        <v>147</v>
      </c>
      <c r="J37" s="1" t="s">
        <v>22</v>
      </c>
      <c r="K37" s="1" t="s">
        <v>41</v>
      </c>
      <c r="L37" s="5">
        <v>46311</v>
      </c>
      <c r="M37" s="5">
        <v>46336</v>
      </c>
      <c r="N37" s="1" t="s">
        <v>222</v>
      </c>
      <c r="O37" s="8">
        <f>IF(N37="","",IF(N37="Closed",IF(M37&lt;=L37,"On-Time","Delayed"),"Pending"))</f>
        <v>0</v>
      </c>
    </row>
    <row r="38" spans="1:15">
      <c r="A38" s="1">
        <v>35</v>
      </c>
      <c r="B38" s="1" t="s">
        <v>1301</v>
      </c>
      <c r="C38" s="5">
        <v>46317</v>
      </c>
      <c r="D38" s="1" t="s">
        <v>106</v>
      </c>
      <c r="E38" s="6" t="s">
        <v>1271</v>
      </c>
      <c r="F38" s="6" t="s">
        <v>13</v>
      </c>
      <c r="G38" s="1" t="s">
        <v>35</v>
      </c>
      <c r="H38" s="1" t="s">
        <v>64</v>
      </c>
      <c r="I38" s="1" t="s">
        <v>164</v>
      </c>
      <c r="J38" s="1" t="s">
        <v>36</v>
      </c>
      <c r="K38" s="1" t="s">
        <v>104</v>
      </c>
      <c r="L38" s="5">
        <v>46335</v>
      </c>
      <c r="M38" s="5">
        <v>46327</v>
      </c>
      <c r="N38" s="1" t="s">
        <v>226</v>
      </c>
      <c r="O38" s="8">
        <f>IF(N38="","",IF(N38="Closed",IF(M38&lt;=L38,"On-Time","Delayed"),"Pending"))</f>
        <v>0</v>
      </c>
    </row>
    <row r="39" spans="1:15">
      <c r="A39" s="1">
        <v>36</v>
      </c>
      <c r="B39" s="1" t="s">
        <v>1302</v>
      </c>
      <c r="C39" s="5">
        <v>46303</v>
      </c>
      <c r="D39" s="1" t="s">
        <v>106</v>
      </c>
      <c r="E39" s="6" t="s">
        <v>1263</v>
      </c>
      <c r="F39" s="6" t="s">
        <v>65</v>
      </c>
      <c r="G39" s="1" t="s">
        <v>80</v>
      </c>
      <c r="H39" s="1" t="s">
        <v>61</v>
      </c>
      <c r="I39" s="1" t="s">
        <v>142</v>
      </c>
      <c r="J39" s="1" t="s">
        <v>70</v>
      </c>
      <c r="K39" s="1" t="s">
        <v>70</v>
      </c>
      <c r="L39" s="5">
        <v>46323</v>
      </c>
      <c r="M39" s="5">
        <v>46348</v>
      </c>
      <c r="N39" s="1" t="s">
        <v>222</v>
      </c>
      <c r="O39" s="8">
        <f>IF(N39="","",IF(N39="Closed",IF(M39&lt;=L39,"On-Time","Delayed"),"Pending"))</f>
        <v>0</v>
      </c>
    </row>
    <row r="40" spans="1:15">
      <c r="A40" s="1">
        <v>37</v>
      </c>
      <c r="B40" s="1" t="s">
        <v>1303</v>
      </c>
      <c r="C40" s="5">
        <v>46303</v>
      </c>
      <c r="D40" s="1" t="s">
        <v>106</v>
      </c>
      <c r="E40" s="6" t="s">
        <v>1279</v>
      </c>
      <c r="F40" s="6" t="s">
        <v>58</v>
      </c>
      <c r="G40" s="1" t="s">
        <v>31</v>
      </c>
      <c r="H40" s="1" t="s">
        <v>30</v>
      </c>
      <c r="I40" s="1" t="s">
        <v>142</v>
      </c>
      <c r="J40" s="1" t="s">
        <v>68</v>
      </c>
      <c r="K40" s="1" t="s">
        <v>28</v>
      </c>
      <c r="L40" s="5">
        <v>46329</v>
      </c>
      <c r="M40" s="5">
        <v>46336</v>
      </c>
      <c r="N40" s="1" t="s">
        <v>222</v>
      </c>
      <c r="O40" s="8">
        <f>IF(N40="","",IF(N40="Closed",IF(M40&lt;=L40,"On-Time","Delayed"),"Pending"))</f>
        <v>0</v>
      </c>
    </row>
    <row r="41" spans="1:15">
      <c r="A41" s="1">
        <v>38</v>
      </c>
      <c r="B41" s="1" t="s">
        <v>1304</v>
      </c>
      <c r="C41" s="5">
        <v>46312</v>
      </c>
      <c r="D41" s="1" t="s">
        <v>106</v>
      </c>
      <c r="E41" s="6" t="s">
        <v>1263</v>
      </c>
      <c r="F41" s="6" t="s">
        <v>27</v>
      </c>
      <c r="G41" s="1" t="s">
        <v>35</v>
      </c>
      <c r="H41" s="1" t="s">
        <v>30</v>
      </c>
      <c r="I41" s="1" t="s">
        <v>164</v>
      </c>
      <c r="J41" s="1" t="s">
        <v>68</v>
      </c>
      <c r="K41" s="1" t="s">
        <v>70</v>
      </c>
      <c r="L41" s="5">
        <v>46345</v>
      </c>
      <c r="M41" s="5">
        <v>46357</v>
      </c>
      <c r="N41" s="1" t="s">
        <v>226</v>
      </c>
      <c r="O41" s="8">
        <f>IF(N41="","",IF(N41="Closed",IF(M41&lt;=L41,"On-Time","Delayed"),"Pending"))</f>
        <v>0</v>
      </c>
    </row>
    <row r="42" spans="1:15">
      <c r="A42" s="1">
        <v>39</v>
      </c>
      <c r="B42" s="1" t="s">
        <v>1305</v>
      </c>
      <c r="C42" s="5">
        <v>46305</v>
      </c>
      <c r="D42" s="1" t="s">
        <v>106</v>
      </c>
      <c r="E42" s="6" t="s">
        <v>1279</v>
      </c>
      <c r="F42" s="6" t="s">
        <v>13</v>
      </c>
      <c r="G42" s="1" t="s">
        <v>82</v>
      </c>
      <c r="H42" s="1" t="s">
        <v>20</v>
      </c>
      <c r="I42" s="1" t="s">
        <v>142</v>
      </c>
      <c r="J42" s="1" t="s">
        <v>22</v>
      </c>
      <c r="K42" s="1" t="s">
        <v>28</v>
      </c>
      <c r="L42" s="5">
        <v>46333</v>
      </c>
      <c r="M42" s="5">
        <v>46319</v>
      </c>
      <c r="N42" s="1" t="s">
        <v>222</v>
      </c>
      <c r="O42" s="8">
        <f>IF(N42="","",IF(N42="Closed",IF(M42&lt;=L42,"On-Time","Delayed"),"Pending"))</f>
        <v>0</v>
      </c>
    </row>
    <row r="43" spans="1:15">
      <c r="A43" s="1">
        <v>40</v>
      </c>
      <c r="B43" s="1" t="s">
        <v>1306</v>
      </c>
      <c r="C43" s="5">
        <v>46298</v>
      </c>
      <c r="D43" s="1" t="s">
        <v>106</v>
      </c>
      <c r="E43" s="6" t="s">
        <v>1271</v>
      </c>
      <c r="F43" s="6" t="s">
        <v>46</v>
      </c>
      <c r="G43" s="1" t="s">
        <v>77</v>
      </c>
      <c r="H43" s="1" t="s">
        <v>20</v>
      </c>
      <c r="I43" s="1" t="s">
        <v>147</v>
      </c>
      <c r="J43" s="1" t="s">
        <v>78</v>
      </c>
      <c r="K43" s="1" t="s">
        <v>22</v>
      </c>
      <c r="L43" s="5">
        <v>46339</v>
      </c>
      <c r="M43" s="5">
        <v>46320</v>
      </c>
      <c r="N43" s="1" t="s">
        <v>226</v>
      </c>
      <c r="O43" s="8">
        <f>IF(N43="","",IF(N43="Closed",IF(M43&lt;=L43,"On-Time","Delayed"),"Pending"))</f>
        <v>0</v>
      </c>
    </row>
    <row r="44" spans="1:15">
      <c r="A44" s="1">
        <v>41</v>
      </c>
      <c r="B44" s="1" t="s">
        <v>1307</v>
      </c>
      <c r="C44" s="5">
        <v>46297</v>
      </c>
      <c r="D44" s="1" t="s">
        <v>106</v>
      </c>
      <c r="E44" s="6" t="s">
        <v>1263</v>
      </c>
      <c r="F44" s="6" t="s">
        <v>58</v>
      </c>
      <c r="G44" s="1" t="s">
        <v>6</v>
      </c>
      <c r="H44" s="1" t="s">
        <v>26</v>
      </c>
      <c r="I44" s="1" t="s">
        <v>164</v>
      </c>
      <c r="J44" s="1" t="s">
        <v>7</v>
      </c>
      <c r="K44" s="1" t="s">
        <v>62</v>
      </c>
      <c r="L44" s="5">
        <v>46326</v>
      </c>
      <c r="M44" s="5">
        <v>46310</v>
      </c>
      <c r="N44" s="1" t="s">
        <v>303</v>
      </c>
      <c r="O44" s="8">
        <f>IF(N44="","",IF(N44="Closed",IF(M44&lt;=L44,"On-Time","Delayed"),"Pending"))</f>
        <v>0</v>
      </c>
    </row>
    <row r="45" spans="1:15">
      <c r="A45" s="1">
        <v>42</v>
      </c>
      <c r="B45" s="1" t="s">
        <v>1308</v>
      </c>
      <c r="C45" s="5">
        <v>46345</v>
      </c>
      <c r="D45" s="1" t="s">
        <v>111</v>
      </c>
      <c r="E45" s="6" t="s">
        <v>1265</v>
      </c>
      <c r="F45" s="6" t="s">
        <v>46</v>
      </c>
      <c r="G45" s="1" t="s">
        <v>40</v>
      </c>
      <c r="H45" s="1" t="s">
        <v>64</v>
      </c>
      <c r="I45" s="1" t="s">
        <v>164</v>
      </c>
      <c r="J45" s="1" t="s">
        <v>41</v>
      </c>
      <c r="K45" s="1" t="s">
        <v>7</v>
      </c>
      <c r="L45" s="5">
        <v>46387</v>
      </c>
      <c r="M45" s="5">
        <v>46356</v>
      </c>
      <c r="N45" s="1" t="s">
        <v>222</v>
      </c>
      <c r="O45" s="8">
        <f>IF(N45="","",IF(N45="Closed",IF(M45&lt;=L45,"On-Time","Delayed"),"Pending"))</f>
        <v>0</v>
      </c>
    </row>
    <row r="46" spans="1:15">
      <c r="A46" s="1">
        <v>43</v>
      </c>
      <c r="B46" s="1" t="s">
        <v>1309</v>
      </c>
      <c r="C46" s="5">
        <v>46354</v>
      </c>
      <c r="D46" s="1" t="s">
        <v>111</v>
      </c>
      <c r="E46" s="6" t="s">
        <v>1261</v>
      </c>
      <c r="F46" s="6" t="s">
        <v>46</v>
      </c>
      <c r="G46" s="1" t="s">
        <v>87</v>
      </c>
      <c r="H46" s="1" t="s">
        <v>49</v>
      </c>
      <c r="I46" s="1" t="s">
        <v>147</v>
      </c>
      <c r="J46" s="1" t="s">
        <v>68</v>
      </c>
      <c r="K46" s="1" t="s">
        <v>78</v>
      </c>
      <c r="L46" s="5">
        <v>46359</v>
      </c>
      <c r="M46" s="5">
        <v>46362</v>
      </c>
      <c r="N46" s="1" t="s">
        <v>222</v>
      </c>
      <c r="O46" s="8">
        <f>IF(N46="","",IF(N46="Closed",IF(M46&lt;=L46,"On-Time","Delayed"),"Pending"))</f>
        <v>0</v>
      </c>
    </row>
    <row r="47" spans="1:15">
      <c r="A47" s="1">
        <v>44</v>
      </c>
      <c r="B47" s="1" t="s">
        <v>1310</v>
      </c>
      <c r="C47" s="5">
        <v>46354</v>
      </c>
      <c r="D47" s="1" t="s">
        <v>111</v>
      </c>
      <c r="E47" s="6" t="s">
        <v>1271</v>
      </c>
      <c r="F47" s="6" t="s">
        <v>39</v>
      </c>
      <c r="G47" s="1" t="s">
        <v>6</v>
      </c>
      <c r="H47" s="1" t="s">
        <v>20</v>
      </c>
      <c r="I47" s="1" t="s">
        <v>164</v>
      </c>
      <c r="J47" s="1" t="s">
        <v>104</v>
      </c>
      <c r="K47" s="1" t="s">
        <v>7</v>
      </c>
      <c r="L47" s="5">
        <v>46399</v>
      </c>
      <c r="M47" s="5">
        <v>46394</v>
      </c>
      <c r="N47" s="1" t="s">
        <v>303</v>
      </c>
      <c r="O47" s="8">
        <f>IF(N47="","",IF(N47="Closed",IF(M47&lt;=L47,"On-Time","Delayed"),"Pending"))</f>
        <v>0</v>
      </c>
    </row>
    <row r="48" spans="1:15">
      <c r="A48" s="1">
        <v>45</v>
      </c>
      <c r="B48" s="1" t="s">
        <v>1311</v>
      </c>
      <c r="C48" s="5">
        <v>46380</v>
      </c>
      <c r="D48" s="1" t="s">
        <v>122</v>
      </c>
      <c r="E48" s="6" t="s">
        <v>1269</v>
      </c>
      <c r="F48" s="6" t="s">
        <v>50</v>
      </c>
      <c r="G48" s="1" t="s">
        <v>31</v>
      </c>
      <c r="H48" s="1" t="s">
        <v>12</v>
      </c>
      <c r="I48" s="1" t="s">
        <v>164</v>
      </c>
      <c r="J48" s="1" t="s">
        <v>28</v>
      </c>
      <c r="K48" s="1" t="s">
        <v>7</v>
      </c>
      <c r="L48" s="5">
        <v>46413</v>
      </c>
      <c r="M48" s="5">
        <v>46404</v>
      </c>
      <c r="N48" s="1" t="s">
        <v>222</v>
      </c>
      <c r="O48" s="8">
        <f>IF(N48="","",IF(N48="Closed",IF(M48&lt;=L48,"On-Time","Delayed"),"Pending"))</f>
        <v>0</v>
      </c>
    </row>
    <row r="49" spans="1:15">
      <c r="A49" s="1">
        <v>46</v>
      </c>
      <c r="B49" s="1" t="s">
        <v>1312</v>
      </c>
      <c r="C49" s="5">
        <v>46361</v>
      </c>
      <c r="D49" s="1" t="s">
        <v>122</v>
      </c>
      <c r="E49" s="6" t="s">
        <v>1263</v>
      </c>
      <c r="F49" s="6" t="s">
        <v>89</v>
      </c>
      <c r="G49" s="1" t="s">
        <v>77</v>
      </c>
      <c r="H49" s="1" t="s">
        <v>12</v>
      </c>
      <c r="I49" s="1" t="s">
        <v>151</v>
      </c>
      <c r="J49" s="1" t="s">
        <v>66</v>
      </c>
      <c r="K49" s="1" t="s">
        <v>7</v>
      </c>
      <c r="L49" s="5">
        <v>46396</v>
      </c>
      <c r="M49" s="5">
        <v>46396</v>
      </c>
      <c r="N49" s="1" t="s">
        <v>222</v>
      </c>
      <c r="O49" s="8">
        <f>IF(N49="","",IF(N49="Closed",IF(M49&lt;=L49,"On-Time","Delayed"),"Pending"))</f>
        <v>0</v>
      </c>
    </row>
    <row r="50" spans="1:15">
      <c r="A50" s="1">
        <v>47</v>
      </c>
      <c r="B50" s="1" t="s">
        <v>1313</v>
      </c>
      <c r="C50" s="5">
        <v>46376</v>
      </c>
      <c r="D50" s="1" t="s">
        <v>122</v>
      </c>
      <c r="E50" s="6" t="s">
        <v>1265</v>
      </c>
      <c r="F50" s="6" t="s">
        <v>27</v>
      </c>
      <c r="G50" s="1" t="s">
        <v>82</v>
      </c>
      <c r="H50" s="1" t="s">
        <v>4</v>
      </c>
      <c r="I50" s="1" t="s">
        <v>147</v>
      </c>
      <c r="J50" s="1" t="s">
        <v>32</v>
      </c>
      <c r="K50" s="1" t="s">
        <v>41</v>
      </c>
      <c r="L50" s="5">
        <v>46409</v>
      </c>
      <c r="M50" s="5">
        <v>46395</v>
      </c>
      <c r="N50" s="1" t="s">
        <v>226</v>
      </c>
      <c r="O50" s="8">
        <f>IF(N50="","",IF(N50="Closed",IF(M50&lt;=L50,"On-Time","Delayed"),"Pending"))</f>
        <v>0</v>
      </c>
    </row>
    <row r="51" spans="1:15">
      <c r="A51" s="1">
        <v>48</v>
      </c>
      <c r="B51" s="1" t="s">
        <v>1314</v>
      </c>
      <c r="C51" s="5">
        <v>46380</v>
      </c>
      <c r="D51" s="1" t="s">
        <v>122</v>
      </c>
      <c r="E51" s="6" t="s">
        <v>1271</v>
      </c>
      <c r="F51" s="6" t="s">
        <v>92</v>
      </c>
      <c r="G51" s="1" t="s">
        <v>87</v>
      </c>
      <c r="H51" s="1" t="s">
        <v>54</v>
      </c>
      <c r="I51" s="1" t="s">
        <v>151</v>
      </c>
      <c r="J51" s="1" t="s">
        <v>28</v>
      </c>
      <c r="K51" s="1" t="s">
        <v>28</v>
      </c>
      <c r="L51" s="5">
        <v>46420</v>
      </c>
      <c r="M51" s="5">
        <v>46390</v>
      </c>
      <c r="N51" s="1" t="s">
        <v>303</v>
      </c>
      <c r="O51" s="8">
        <f>IF(N51="","",IF(N51="Closed",IF(M51&lt;=L51,"On-Time","Delayed"),"Pending"))</f>
        <v>0</v>
      </c>
    </row>
    <row r="52" spans="1:15">
      <c r="O52" s="8">
        <f>IF(N52="","",IF(N52="Closed",IF(M52&lt;=L52,"On-Time","Delayed"),"Pending"))</f>
        <v>0</v>
      </c>
    </row>
    <row r="53" spans="1:15">
      <c r="O53" s="8">
        <f>IF(N53="","",IF(N53="Closed",IF(M53&lt;=L53,"On-Time","Delayed"),"Pending"))</f>
        <v>0</v>
      </c>
    </row>
    <row r="54" spans="1:15">
      <c r="O54" s="8">
        <f>IF(N54="","",IF(N54="Closed",IF(M54&lt;=L54,"On-Time","Delayed"),"Pending"))</f>
        <v>0</v>
      </c>
    </row>
    <row r="55" spans="1:15">
      <c r="O55" s="8">
        <f>IF(N55="","",IF(N55="Closed",IF(M55&lt;=L55,"On-Time","Delayed"),"Pending"))</f>
        <v>0</v>
      </c>
    </row>
    <row r="56" spans="1:15">
      <c r="O56" s="8">
        <f>IF(N56="","",IF(N56="Closed",IF(M56&lt;=L56,"On-Time","Delayed"),"Pending"))</f>
        <v>0</v>
      </c>
    </row>
    <row r="57" spans="1:15">
      <c r="O57" s="8">
        <f>IF(N57="","",IF(N57="Closed",IF(M57&lt;=L57,"On-Time","Delayed"),"Pending"))</f>
        <v>0</v>
      </c>
    </row>
    <row r="58" spans="1:15">
      <c r="O58" s="8">
        <f>IF(N58="","",IF(N58="Closed",IF(M58&lt;=L58,"On-Time","Delayed"),"Pending"))</f>
        <v>0</v>
      </c>
    </row>
    <row r="59" spans="1:15">
      <c r="O59" s="8">
        <f>IF(N59="","",IF(N59="Closed",IF(M59&lt;=L59,"On-Time","Delayed"),"Pending"))</f>
        <v>0</v>
      </c>
    </row>
    <row r="60" spans="1:15">
      <c r="O60" s="8">
        <f>IF(N60="","",IF(N60="Closed",IF(M60&lt;=L60,"On-Time","Delayed"),"Pending"))</f>
        <v>0</v>
      </c>
    </row>
    <row r="61" spans="1:15">
      <c r="O61" s="8">
        <f>IF(N61="","",IF(N61="Closed",IF(M61&lt;=L61,"On-Time","Delayed"),"Pending"))</f>
        <v>0</v>
      </c>
    </row>
    <row r="62" spans="1:15">
      <c r="O62" s="8">
        <f>IF(N62="","",IF(N62="Closed",IF(M62&lt;=L62,"On-Time","Delayed"),"Pending"))</f>
        <v>0</v>
      </c>
    </row>
    <row r="63" spans="1:15">
      <c r="O63" s="8">
        <f>IF(N63="","",IF(N63="Closed",IF(M63&lt;=L63,"On-Time","Delayed"),"Pending"))</f>
        <v>0</v>
      </c>
    </row>
    <row r="64" spans="1:15">
      <c r="O64" s="8">
        <f>IF(N64="","",IF(N64="Closed",IF(M64&lt;=L64,"On-Time","Delayed"),"Pending"))</f>
        <v>0</v>
      </c>
    </row>
    <row r="65" spans="15:15">
      <c r="O65" s="8">
        <f>IF(N65="","",IF(N65="Closed",IF(M65&lt;=L65,"On-Time","Delayed"),"Pending"))</f>
        <v>0</v>
      </c>
    </row>
    <row r="66" spans="15:15">
      <c r="O66" s="8">
        <f>IF(N66="","",IF(N66="Closed",IF(M66&lt;=L66,"On-Time","Delayed"),"Pending"))</f>
        <v>0</v>
      </c>
    </row>
    <row r="67" spans="15:15">
      <c r="O67" s="8">
        <f>IF(N67="","",IF(N67="Closed",IF(M67&lt;=L67,"On-Time","Delayed"),"Pending"))</f>
        <v>0</v>
      </c>
    </row>
    <row r="68" spans="15:15">
      <c r="O68" s="8">
        <f>IF(N68="","",IF(N68="Closed",IF(M68&lt;=L68,"On-Time","Delayed"),"Pending"))</f>
        <v>0</v>
      </c>
    </row>
    <row r="69" spans="15:15">
      <c r="O69" s="8">
        <f>IF(N69="","",IF(N69="Closed",IF(M69&lt;=L69,"On-Time","Delayed"),"Pending"))</f>
        <v>0</v>
      </c>
    </row>
    <row r="70" spans="15:15">
      <c r="O70" s="8">
        <f>IF(N70="","",IF(N70="Closed",IF(M70&lt;=L70,"On-Time","Delayed"),"Pending"))</f>
        <v>0</v>
      </c>
    </row>
    <row r="71" spans="15:15">
      <c r="O71" s="8">
        <f>IF(N71="","",IF(N71="Closed",IF(M71&lt;=L71,"On-Time","Delayed"),"Pending"))</f>
        <v>0</v>
      </c>
    </row>
    <row r="72" spans="15:15">
      <c r="O72" s="8">
        <f>IF(N72="","",IF(N72="Closed",IF(M72&lt;=L72,"On-Time","Delayed"),"Pending"))</f>
        <v>0</v>
      </c>
    </row>
    <row r="73" spans="15:15">
      <c r="O73" s="8">
        <f>IF(N73="","",IF(N73="Closed",IF(M73&lt;=L73,"On-Time","Delayed"),"Pending"))</f>
        <v>0</v>
      </c>
    </row>
    <row r="74" spans="15:15">
      <c r="O74" s="8">
        <f>IF(N74="","",IF(N74="Closed",IF(M74&lt;=L74,"On-Time","Delayed"),"Pending"))</f>
        <v>0</v>
      </c>
    </row>
    <row r="75" spans="15:15">
      <c r="O75" s="8">
        <f>IF(N75="","",IF(N75="Closed",IF(M75&lt;=L75,"On-Time","Delayed"),"Pending"))</f>
        <v>0</v>
      </c>
    </row>
    <row r="76" spans="15:15">
      <c r="O76" s="8">
        <f>IF(N76="","",IF(N76="Closed",IF(M76&lt;=L76,"On-Time","Delayed"),"Pending"))</f>
        <v>0</v>
      </c>
    </row>
    <row r="77" spans="15:15">
      <c r="O77" s="8">
        <f>IF(N77="","",IF(N77="Closed",IF(M77&lt;=L77,"On-Time","Delayed"),"Pending"))</f>
        <v>0</v>
      </c>
    </row>
    <row r="78" spans="15:15">
      <c r="O78" s="8">
        <f>IF(N78="","",IF(N78="Closed",IF(M78&lt;=L78,"On-Time","Delayed"),"Pending"))</f>
        <v>0</v>
      </c>
    </row>
    <row r="79" spans="15:15">
      <c r="O79" s="8">
        <f>IF(N79="","",IF(N79="Closed",IF(M79&lt;=L79,"On-Time","Delayed"),"Pending"))</f>
        <v>0</v>
      </c>
    </row>
    <row r="80" spans="15:15">
      <c r="O80" s="8">
        <f>IF(N80="","",IF(N80="Closed",IF(M80&lt;=L80,"On-Time","Delayed"),"Pending"))</f>
        <v>0</v>
      </c>
    </row>
    <row r="81" spans="15:15">
      <c r="O81" s="8">
        <f>IF(N81="","",IF(N81="Closed",IF(M81&lt;=L81,"On-Time","Delayed"),"Pending"))</f>
        <v>0</v>
      </c>
    </row>
    <row r="82" spans="15:15">
      <c r="O82" s="8">
        <f>IF(N82="","",IF(N82="Closed",IF(M82&lt;=L82,"On-Time","Delayed"),"Pending"))</f>
        <v>0</v>
      </c>
    </row>
    <row r="83" spans="15:15">
      <c r="O83" s="8">
        <f>IF(N83="","",IF(N83="Closed",IF(M83&lt;=L83,"On-Time","Delayed"),"Pending"))</f>
        <v>0</v>
      </c>
    </row>
    <row r="84" spans="15:15">
      <c r="O84" s="8">
        <f>IF(N84="","",IF(N84="Closed",IF(M84&lt;=L84,"On-Time","Delayed"),"Pending"))</f>
        <v>0</v>
      </c>
    </row>
    <row r="85" spans="15:15">
      <c r="O85" s="8">
        <f>IF(N85="","",IF(N85="Closed",IF(M85&lt;=L85,"On-Time","Delayed"),"Pending"))</f>
        <v>0</v>
      </c>
    </row>
    <row r="86" spans="15:15">
      <c r="O86" s="8">
        <f>IF(N86="","",IF(N86="Closed",IF(M86&lt;=L86,"On-Time","Delayed"),"Pending"))</f>
        <v>0</v>
      </c>
    </row>
    <row r="87" spans="15:15">
      <c r="O87" s="8">
        <f>IF(N87="","",IF(N87="Closed",IF(M87&lt;=L87,"On-Time","Delayed"),"Pending"))</f>
        <v>0</v>
      </c>
    </row>
    <row r="88" spans="15:15">
      <c r="O88" s="8">
        <f>IF(N88="","",IF(N88="Closed",IF(M88&lt;=L88,"On-Time","Delayed"),"Pending"))</f>
        <v>0</v>
      </c>
    </row>
    <row r="89" spans="15:15">
      <c r="O89" s="8">
        <f>IF(N89="","",IF(N89="Closed",IF(M89&lt;=L89,"On-Time","Delayed"),"Pending"))</f>
        <v>0</v>
      </c>
    </row>
    <row r="90" spans="15:15">
      <c r="O90" s="8">
        <f>IF(N90="","",IF(N90="Closed",IF(M90&lt;=L90,"On-Time","Delayed"),"Pending"))</f>
        <v>0</v>
      </c>
    </row>
    <row r="91" spans="15:15">
      <c r="O91" s="8">
        <f>IF(N91="","",IF(N91="Closed",IF(M91&lt;=L91,"On-Time","Delayed"),"Pending"))</f>
        <v>0</v>
      </c>
    </row>
    <row r="92" spans="15:15">
      <c r="O92" s="8">
        <f>IF(N92="","",IF(N92="Closed",IF(M92&lt;=L92,"On-Time","Delayed"),"Pending"))</f>
        <v>0</v>
      </c>
    </row>
    <row r="93" spans="15:15">
      <c r="O93" s="8">
        <f>IF(N93="","",IF(N93="Closed",IF(M93&lt;=L93,"On-Time","Delayed"),"Pending"))</f>
        <v>0</v>
      </c>
    </row>
    <row r="94" spans="15:15">
      <c r="O94" s="8">
        <f>IF(N94="","",IF(N94="Closed",IF(M94&lt;=L94,"On-Time","Delayed"),"Pending"))</f>
        <v>0</v>
      </c>
    </row>
    <row r="95" spans="15:15">
      <c r="O95" s="8">
        <f>IF(N95="","",IF(N95="Closed",IF(M95&lt;=L95,"On-Time","Delayed"),"Pending"))</f>
        <v>0</v>
      </c>
    </row>
    <row r="96" spans="15:15">
      <c r="O96" s="8">
        <f>IF(N96="","",IF(N96="Closed",IF(M96&lt;=L96,"On-Time","Delayed"),"Pending"))</f>
        <v>0</v>
      </c>
    </row>
    <row r="97" spans="15:15">
      <c r="O97" s="8">
        <f>IF(N97="","",IF(N97="Closed",IF(M97&lt;=L97,"On-Time","Delayed"),"Pending"))</f>
        <v>0</v>
      </c>
    </row>
    <row r="98" spans="15:15">
      <c r="O98" s="8">
        <f>IF(N98="","",IF(N98="Closed",IF(M98&lt;=L98,"On-Time","Delayed"),"Pending"))</f>
        <v>0</v>
      </c>
    </row>
    <row r="99" spans="15:15">
      <c r="O99" s="8">
        <f>IF(N99="","",IF(N99="Closed",IF(M99&lt;=L99,"On-Time","Delayed"),"Pending"))</f>
        <v>0</v>
      </c>
    </row>
    <row r="100" spans="15:15">
      <c r="O100" s="8">
        <f>IF(N100="","",IF(N100="Closed",IF(M100&lt;=L100,"On-Time","Delayed"),"Pending"))</f>
        <v>0</v>
      </c>
    </row>
    <row r="101" spans="15:15">
      <c r="O101" s="8">
        <f>IF(N101="","",IF(N101="Closed",IF(M101&lt;=L101,"On-Time","Delayed"),"Pending"))</f>
        <v>0</v>
      </c>
    </row>
    <row r="102" spans="15:15">
      <c r="O102" s="8">
        <f>IF(N102="","",IF(N102="Closed",IF(M102&lt;=L102,"On-Time","Delayed"),"Pending"))</f>
        <v>0</v>
      </c>
    </row>
    <row r="103" spans="15:15">
      <c r="O103" s="8">
        <f>IF(N103="","",IF(N103="Closed",IF(M103&lt;=L103,"On-Time","Delayed"),"Pending"))</f>
        <v>0</v>
      </c>
    </row>
    <row r="104" spans="15:15">
      <c r="O104" s="8">
        <f>IF(N104="","",IF(N104="Closed",IF(M104&lt;=L104,"On-Time","Delayed"),"Pending"))</f>
        <v>0</v>
      </c>
    </row>
    <row r="105" spans="15:15">
      <c r="O105" s="8">
        <f>IF(N105="","",IF(N105="Closed",IF(M105&lt;=L105,"On-Time","Delayed"),"Pending"))</f>
        <v>0</v>
      </c>
    </row>
    <row r="106" spans="15:15">
      <c r="O106" s="8">
        <f>IF(N106="","",IF(N106="Closed",IF(M106&lt;=L106,"On-Time","Delayed"),"Pending"))</f>
        <v>0</v>
      </c>
    </row>
    <row r="107" spans="15:15">
      <c r="O107" s="8">
        <f>IF(N107="","",IF(N107="Closed",IF(M107&lt;=L107,"On-Time","Delayed"),"Pending"))</f>
        <v>0</v>
      </c>
    </row>
    <row r="108" spans="15:15">
      <c r="O108" s="8">
        <f>IF(N108="","",IF(N108="Closed",IF(M108&lt;=L108,"On-Time","Delayed"),"Pending"))</f>
        <v>0</v>
      </c>
    </row>
    <row r="109" spans="15:15">
      <c r="O109" s="8">
        <f>IF(N109="","",IF(N109="Closed",IF(M109&lt;=L109,"On-Time","Delayed"),"Pending"))</f>
        <v>0</v>
      </c>
    </row>
    <row r="110" spans="15:15">
      <c r="O110" s="8">
        <f>IF(N110="","",IF(N110="Closed",IF(M110&lt;=L110,"On-Time","Delayed"),"Pending"))</f>
        <v>0</v>
      </c>
    </row>
    <row r="111" spans="15:15">
      <c r="O111" s="8">
        <f>IF(N111="","",IF(N111="Closed",IF(M111&lt;=L111,"On-Time","Delayed"),"Pending"))</f>
        <v>0</v>
      </c>
    </row>
    <row r="112" spans="15:15">
      <c r="O112" s="8">
        <f>IF(N112="","",IF(N112="Closed",IF(M112&lt;=L112,"On-Time","Delayed"),"Pending"))</f>
        <v>0</v>
      </c>
    </row>
    <row r="113" spans="15:15">
      <c r="O113" s="8">
        <f>IF(N113="","",IF(N113="Closed",IF(M113&lt;=L113,"On-Time","Delayed"),"Pending"))</f>
        <v>0</v>
      </c>
    </row>
    <row r="114" spans="15:15">
      <c r="O114" s="8">
        <f>IF(N114="","",IF(N114="Closed",IF(M114&lt;=L114,"On-Time","Delayed"),"Pending"))</f>
        <v>0</v>
      </c>
    </row>
    <row r="115" spans="15:15">
      <c r="O115" s="8">
        <f>IF(N115="","",IF(N115="Closed",IF(M115&lt;=L115,"On-Time","Delayed"),"Pending"))</f>
        <v>0</v>
      </c>
    </row>
    <row r="116" spans="15:15">
      <c r="O116" s="8">
        <f>IF(N116="","",IF(N116="Closed",IF(M116&lt;=L116,"On-Time","Delayed"),"Pending"))</f>
        <v>0</v>
      </c>
    </row>
    <row r="117" spans="15:15">
      <c r="O117" s="8">
        <f>IF(N117="","",IF(N117="Closed",IF(M117&lt;=L117,"On-Time","Delayed"),"Pending"))</f>
        <v>0</v>
      </c>
    </row>
    <row r="118" spans="15:15">
      <c r="O118" s="8">
        <f>IF(N118="","",IF(N118="Closed",IF(M118&lt;=L118,"On-Time","Delayed"),"Pending"))</f>
        <v>0</v>
      </c>
    </row>
    <row r="119" spans="15:15">
      <c r="O119" s="8">
        <f>IF(N119="","",IF(N119="Closed",IF(M119&lt;=L119,"On-Time","Delayed"),"Pending"))</f>
        <v>0</v>
      </c>
    </row>
    <row r="120" spans="15:15">
      <c r="O120" s="8">
        <f>IF(N120="","",IF(N120="Closed",IF(M120&lt;=L120,"On-Time","Delayed"),"Pending"))</f>
        <v>0</v>
      </c>
    </row>
    <row r="121" spans="15:15">
      <c r="O121" s="8">
        <f>IF(N121="","",IF(N121="Closed",IF(M121&lt;=L121,"On-Time","Delayed"),"Pending"))</f>
        <v>0</v>
      </c>
    </row>
    <row r="122" spans="15:15">
      <c r="O122" s="8">
        <f>IF(N122="","",IF(N122="Closed",IF(M122&lt;=L122,"On-Time","Delayed"),"Pending"))</f>
        <v>0</v>
      </c>
    </row>
    <row r="123" spans="15:15">
      <c r="O123" s="8">
        <f>IF(N123="","",IF(N123="Closed",IF(M123&lt;=L123,"On-Time","Delayed"),"Pending"))</f>
        <v>0</v>
      </c>
    </row>
    <row r="124" spans="15:15">
      <c r="O124" s="8">
        <f>IF(N124="","",IF(N124="Closed",IF(M124&lt;=L124,"On-Time","Delayed"),"Pending"))</f>
        <v>0</v>
      </c>
    </row>
    <row r="125" spans="15:15">
      <c r="O125" s="8">
        <f>IF(N125="","",IF(N125="Closed",IF(M125&lt;=L125,"On-Time","Delayed"),"Pending"))</f>
        <v>0</v>
      </c>
    </row>
    <row r="126" spans="15:15">
      <c r="O126" s="8">
        <f>IF(N126="","",IF(N126="Closed",IF(M126&lt;=L126,"On-Time","Delayed"),"Pending"))</f>
        <v>0</v>
      </c>
    </row>
    <row r="127" spans="15:15">
      <c r="O127" s="8">
        <f>IF(N127="","",IF(N127="Closed",IF(M127&lt;=L127,"On-Time","Delayed"),"Pending"))</f>
        <v>0</v>
      </c>
    </row>
    <row r="128" spans="15:15">
      <c r="O128" s="8">
        <f>IF(N128="","",IF(N128="Closed",IF(M128&lt;=L128,"On-Time","Delayed"),"Pending"))</f>
        <v>0</v>
      </c>
    </row>
    <row r="129" spans="15:15">
      <c r="O129" s="8">
        <f>IF(N129="","",IF(N129="Closed",IF(M129&lt;=L129,"On-Time","Delayed"),"Pending"))</f>
        <v>0</v>
      </c>
    </row>
    <row r="130" spans="15:15">
      <c r="O130" s="8">
        <f>IF(N130="","",IF(N130="Closed",IF(M130&lt;=L130,"On-Time","Delayed"),"Pending"))</f>
        <v>0</v>
      </c>
    </row>
    <row r="131" spans="15:15">
      <c r="O131" s="8">
        <f>IF(N131="","",IF(N131="Closed",IF(M131&lt;=L131,"On-Time","Delayed"),"Pending"))</f>
        <v>0</v>
      </c>
    </row>
    <row r="132" spans="15:15">
      <c r="O132" s="8">
        <f>IF(N132="","",IF(N132="Closed",IF(M132&lt;=L132,"On-Time","Delayed"),"Pending"))</f>
        <v>0</v>
      </c>
    </row>
    <row r="133" spans="15:15">
      <c r="O133" s="8">
        <f>IF(N133="","",IF(N133="Closed",IF(M133&lt;=L133,"On-Time","Delayed"),"Pending"))</f>
        <v>0</v>
      </c>
    </row>
    <row r="134" spans="15:15">
      <c r="O134" s="8">
        <f>IF(N134="","",IF(N134="Closed",IF(M134&lt;=L134,"On-Time","Delayed"),"Pending"))</f>
        <v>0</v>
      </c>
    </row>
    <row r="135" spans="15:15">
      <c r="O135" s="8">
        <f>IF(N135="","",IF(N135="Closed",IF(M135&lt;=L135,"On-Time","Delayed"),"Pending"))</f>
        <v>0</v>
      </c>
    </row>
    <row r="136" spans="15:15">
      <c r="O136" s="8">
        <f>IF(N136="","",IF(N136="Closed",IF(M136&lt;=L136,"On-Time","Delayed"),"Pending"))</f>
        <v>0</v>
      </c>
    </row>
    <row r="137" spans="15:15">
      <c r="O137" s="8">
        <f>IF(N137="","",IF(N137="Closed",IF(M137&lt;=L137,"On-Time","Delayed"),"Pending"))</f>
        <v>0</v>
      </c>
    </row>
    <row r="138" spans="15:15">
      <c r="O138" s="8">
        <f>IF(N138="","",IF(N138="Closed",IF(M138&lt;=L138,"On-Time","Delayed"),"Pending"))</f>
        <v>0</v>
      </c>
    </row>
    <row r="139" spans="15:15">
      <c r="O139" s="8">
        <f>IF(N139="","",IF(N139="Closed",IF(M139&lt;=L139,"On-Time","Delayed"),"Pending"))</f>
        <v>0</v>
      </c>
    </row>
    <row r="140" spans="15:15">
      <c r="O140" s="8">
        <f>IF(N140="","",IF(N140="Closed",IF(M140&lt;=L140,"On-Time","Delayed"),"Pending"))</f>
        <v>0</v>
      </c>
    </row>
    <row r="141" spans="15:15">
      <c r="O141" s="8">
        <f>IF(N141="","",IF(N141="Closed",IF(M141&lt;=L141,"On-Time","Delayed"),"Pending"))</f>
        <v>0</v>
      </c>
    </row>
    <row r="142" spans="15:15">
      <c r="O142" s="8">
        <f>IF(N142="","",IF(N142="Closed",IF(M142&lt;=L142,"On-Time","Delayed"),"Pending"))</f>
        <v>0</v>
      </c>
    </row>
    <row r="143" spans="15:15">
      <c r="O143" s="8">
        <f>IF(N143="","",IF(N143="Closed",IF(M143&lt;=L143,"On-Time","Delayed"),"Pending"))</f>
        <v>0</v>
      </c>
    </row>
    <row r="144" spans="15:15">
      <c r="O144" s="8">
        <f>IF(N144="","",IF(N144="Closed",IF(M144&lt;=L144,"On-Time","Delayed"),"Pending"))</f>
        <v>0</v>
      </c>
    </row>
    <row r="145" spans="15:15">
      <c r="O145" s="8">
        <f>IF(N145="","",IF(N145="Closed",IF(M145&lt;=L145,"On-Time","Delayed"),"Pending"))</f>
        <v>0</v>
      </c>
    </row>
    <row r="146" spans="15:15">
      <c r="O146" s="8">
        <f>IF(N146="","",IF(N146="Closed",IF(M146&lt;=L146,"On-Time","Delayed"),"Pending"))</f>
        <v>0</v>
      </c>
    </row>
    <row r="147" spans="15:15">
      <c r="O147" s="8">
        <f>IF(N147="","",IF(N147="Closed",IF(M147&lt;=L147,"On-Time","Delayed"),"Pending"))</f>
        <v>0</v>
      </c>
    </row>
    <row r="148" spans="15:15">
      <c r="O148" s="8">
        <f>IF(N148="","",IF(N148="Closed",IF(M148&lt;=L148,"On-Time","Delayed"),"Pending"))</f>
        <v>0</v>
      </c>
    </row>
    <row r="149" spans="15:15">
      <c r="O149" s="8">
        <f>IF(N149="","",IF(N149="Closed",IF(M149&lt;=L149,"On-Time","Delayed"),"Pending"))</f>
        <v>0</v>
      </c>
    </row>
    <row r="150" spans="15:15">
      <c r="O150" s="8">
        <f>IF(N150="","",IF(N150="Closed",IF(M150&lt;=L150,"On-Time","Delayed"),"Pending"))</f>
        <v>0</v>
      </c>
    </row>
    <row r="151" spans="15:15">
      <c r="O151" s="8">
        <f>IF(N151="","",IF(N151="Closed",IF(M151&lt;=L151,"On-Time","Delayed"),"Pending"))</f>
        <v>0</v>
      </c>
    </row>
    <row r="152" spans="15:15">
      <c r="O152" s="8">
        <f>IF(N152="","",IF(N152="Closed",IF(M152&lt;=L152,"On-Time","Delayed"),"Pending"))</f>
        <v>0</v>
      </c>
    </row>
    <row r="153" spans="15:15">
      <c r="O153" s="8">
        <f>IF(N153="","",IF(N153="Closed",IF(M153&lt;=L153,"On-Time","Delayed"),"Pending"))</f>
        <v>0</v>
      </c>
    </row>
    <row r="154" spans="15:15">
      <c r="O154" s="8">
        <f>IF(N154="","",IF(N154="Closed",IF(M154&lt;=L154,"On-Time","Delayed"),"Pending"))</f>
        <v>0</v>
      </c>
    </row>
    <row r="155" spans="15:15">
      <c r="O155" s="8">
        <f>IF(N155="","",IF(N155="Closed",IF(M155&lt;=L155,"On-Time","Delayed"),"Pending"))</f>
        <v>0</v>
      </c>
    </row>
    <row r="156" spans="15:15">
      <c r="O156" s="8">
        <f>IF(N156="","",IF(N156="Closed",IF(M156&lt;=L156,"On-Time","Delayed"),"Pending"))</f>
        <v>0</v>
      </c>
    </row>
    <row r="157" spans="15:15">
      <c r="O157" s="8">
        <f>IF(N157="","",IF(N157="Closed",IF(M157&lt;=L157,"On-Time","Delayed"),"Pending"))</f>
        <v>0</v>
      </c>
    </row>
    <row r="158" spans="15:15">
      <c r="O158" s="8">
        <f>IF(N158="","",IF(N158="Closed",IF(M158&lt;=L158,"On-Time","Delayed"),"Pending"))</f>
        <v>0</v>
      </c>
    </row>
    <row r="159" spans="15:15">
      <c r="O159" s="8">
        <f>IF(N159="","",IF(N159="Closed",IF(M159&lt;=L159,"On-Time","Delayed"),"Pending"))</f>
        <v>0</v>
      </c>
    </row>
    <row r="160" spans="15:15">
      <c r="O160" s="8">
        <f>IF(N160="","",IF(N160="Closed",IF(M160&lt;=L160,"On-Time","Delayed"),"Pending"))</f>
        <v>0</v>
      </c>
    </row>
    <row r="161" spans="15:15">
      <c r="O161" s="8">
        <f>IF(N161="","",IF(N161="Closed",IF(M161&lt;=L161,"On-Time","Delayed"),"Pending"))</f>
        <v>0</v>
      </c>
    </row>
    <row r="162" spans="15:15">
      <c r="O162" s="8">
        <f>IF(N162="","",IF(N162="Closed",IF(M162&lt;=L162,"On-Time","Delayed"),"Pending"))</f>
        <v>0</v>
      </c>
    </row>
    <row r="163" spans="15:15">
      <c r="O163" s="8">
        <f>IF(N163="","",IF(N163="Closed",IF(M163&lt;=L163,"On-Time","Delayed"),"Pending"))</f>
        <v>0</v>
      </c>
    </row>
    <row r="164" spans="15:15">
      <c r="O164" s="8">
        <f>IF(N164="","",IF(N164="Closed",IF(M164&lt;=L164,"On-Time","Delayed"),"Pending"))</f>
        <v>0</v>
      </c>
    </row>
    <row r="165" spans="15:15">
      <c r="O165" s="8">
        <f>IF(N165="","",IF(N165="Closed",IF(M165&lt;=L165,"On-Time","Delayed"),"Pending"))</f>
        <v>0</v>
      </c>
    </row>
    <row r="166" spans="15:15">
      <c r="O166" s="8">
        <f>IF(N166="","",IF(N166="Closed",IF(M166&lt;=L166,"On-Time","Delayed"),"Pending"))</f>
        <v>0</v>
      </c>
    </row>
    <row r="167" spans="15:15">
      <c r="O167" s="8">
        <f>IF(N167="","",IF(N167="Closed",IF(M167&lt;=L167,"On-Time","Delayed"),"Pending"))</f>
        <v>0</v>
      </c>
    </row>
    <row r="168" spans="15:15">
      <c r="O168" s="8">
        <f>IF(N168="","",IF(N168="Closed",IF(M168&lt;=L168,"On-Time","Delayed"),"Pending"))</f>
        <v>0</v>
      </c>
    </row>
    <row r="169" spans="15:15">
      <c r="O169" s="8">
        <f>IF(N169="","",IF(N169="Closed",IF(M169&lt;=L169,"On-Time","Delayed"),"Pending"))</f>
        <v>0</v>
      </c>
    </row>
    <row r="170" spans="15:15">
      <c r="O170" s="8">
        <f>IF(N170="","",IF(N170="Closed",IF(M170&lt;=L170,"On-Time","Delayed"),"Pending"))</f>
        <v>0</v>
      </c>
    </row>
    <row r="171" spans="15:15">
      <c r="O171" s="8">
        <f>IF(N171="","",IF(N171="Closed",IF(M171&lt;=L171,"On-Time","Delayed"),"Pending"))</f>
        <v>0</v>
      </c>
    </row>
    <row r="172" spans="15:15">
      <c r="O172" s="8">
        <f>IF(N172="","",IF(N172="Closed",IF(M172&lt;=L172,"On-Time","Delayed"),"Pending"))</f>
        <v>0</v>
      </c>
    </row>
    <row r="173" spans="15:15">
      <c r="O173" s="8">
        <f>IF(N173="","",IF(N173="Closed",IF(M173&lt;=L173,"On-Time","Delayed"),"Pending"))</f>
        <v>0</v>
      </c>
    </row>
    <row r="174" spans="15:15">
      <c r="O174" s="8">
        <f>IF(N174="","",IF(N174="Closed",IF(M174&lt;=L174,"On-Time","Delayed"),"Pending"))</f>
        <v>0</v>
      </c>
    </row>
    <row r="175" spans="15:15">
      <c r="O175" s="8">
        <f>IF(N175="","",IF(N175="Closed",IF(M175&lt;=L175,"On-Time","Delayed"),"Pending"))</f>
        <v>0</v>
      </c>
    </row>
    <row r="176" spans="15:15">
      <c r="O176" s="8">
        <f>IF(N176="","",IF(N176="Closed",IF(M176&lt;=L176,"On-Time","Delayed"),"Pending"))</f>
        <v>0</v>
      </c>
    </row>
    <row r="177" spans="15:15">
      <c r="O177" s="8">
        <f>IF(N177="","",IF(N177="Closed",IF(M177&lt;=L177,"On-Time","Delayed"),"Pending"))</f>
        <v>0</v>
      </c>
    </row>
    <row r="178" spans="15:15">
      <c r="O178" s="8">
        <f>IF(N178="","",IF(N178="Closed",IF(M178&lt;=L178,"On-Time","Delayed"),"Pending"))</f>
        <v>0</v>
      </c>
    </row>
    <row r="179" spans="15:15">
      <c r="O179" s="8">
        <f>IF(N179="","",IF(N179="Closed",IF(M179&lt;=L179,"On-Time","Delayed"),"Pending"))</f>
        <v>0</v>
      </c>
    </row>
    <row r="180" spans="15:15">
      <c r="O180" s="8">
        <f>IF(N180="","",IF(N180="Closed",IF(M180&lt;=L180,"On-Time","Delayed"),"Pending"))</f>
        <v>0</v>
      </c>
    </row>
    <row r="181" spans="15:15">
      <c r="O181" s="8">
        <f>IF(N181="","",IF(N181="Closed",IF(M181&lt;=L181,"On-Time","Delayed"),"Pending"))</f>
        <v>0</v>
      </c>
    </row>
    <row r="182" spans="15:15">
      <c r="O182" s="8">
        <f>IF(N182="","",IF(N182="Closed",IF(M182&lt;=L182,"On-Time","Delayed"),"Pending"))</f>
        <v>0</v>
      </c>
    </row>
    <row r="183" spans="15:15">
      <c r="O183" s="8">
        <f>IF(N183="","",IF(N183="Closed",IF(M183&lt;=L183,"On-Time","Delayed"),"Pending"))</f>
        <v>0</v>
      </c>
    </row>
    <row r="184" spans="15:15">
      <c r="O184" s="8">
        <f>IF(N184="","",IF(N184="Closed",IF(M184&lt;=L184,"On-Time","Delayed"),"Pending"))</f>
        <v>0</v>
      </c>
    </row>
    <row r="185" spans="15:15">
      <c r="O185" s="8">
        <f>IF(N185="","",IF(N185="Closed",IF(M185&lt;=L185,"On-Time","Delayed"),"Pending"))</f>
        <v>0</v>
      </c>
    </row>
    <row r="186" spans="15:15">
      <c r="O186" s="8">
        <f>IF(N186="","",IF(N186="Closed",IF(M186&lt;=L186,"On-Time","Delayed"),"Pending"))</f>
        <v>0</v>
      </c>
    </row>
    <row r="187" spans="15:15">
      <c r="O187" s="8">
        <f>IF(N187="","",IF(N187="Closed",IF(M187&lt;=L187,"On-Time","Delayed"),"Pending"))</f>
        <v>0</v>
      </c>
    </row>
    <row r="188" spans="15:15">
      <c r="O188" s="8">
        <f>IF(N188="","",IF(N188="Closed",IF(M188&lt;=L188,"On-Time","Delayed"),"Pending"))</f>
        <v>0</v>
      </c>
    </row>
    <row r="189" spans="15:15">
      <c r="O189" s="8">
        <f>IF(N189="","",IF(N189="Closed",IF(M189&lt;=L189,"On-Time","Delayed"),"Pending"))</f>
        <v>0</v>
      </c>
    </row>
    <row r="190" spans="15:15">
      <c r="O190" s="8">
        <f>IF(N190="","",IF(N190="Closed",IF(M190&lt;=L190,"On-Time","Delayed"),"Pending"))</f>
        <v>0</v>
      </c>
    </row>
    <row r="191" spans="15:15">
      <c r="O191" s="8">
        <f>IF(N191="","",IF(N191="Closed",IF(M191&lt;=L191,"On-Time","Delayed"),"Pending"))</f>
        <v>0</v>
      </c>
    </row>
    <row r="192" spans="15:15">
      <c r="O192" s="8">
        <f>IF(N192="","",IF(N192="Closed",IF(M192&lt;=L192,"On-Time","Delayed"),"Pending"))</f>
        <v>0</v>
      </c>
    </row>
    <row r="193" spans="15:15">
      <c r="O193" s="8">
        <f>IF(N193="","",IF(N193="Closed",IF(M193&lt;=L193,"On-Time","Delayed"),"Pending"))</f>
        <v>0</v>
      </c>
    </row>
    <row r="194" spans="15:15">
      <c r="O194" s="8">
        <f>IF(N194="","",IF(N194="Closed",IF(M194&lt;=L194,"On-Time","Delayed"),"Pending"))</f>
        <v>0</v>
      </c>
    </row>
    <row r="195" spans="15:15">
      <c r="O195" s="8">
        <f>IF(N195="","",IF(N195="Closed",IF(M195&lt;=L195,"On-Time","Delayed"),"Pending"))</f>
        <v>0</v>
      </c>
    </row>
    <row r="196" spans="15:15">
      <c r="O196" s="8">
        <f>IF(N196="","",IF(N196="Closed",IF(M196&lt;=L196,"On-Time","Delayed"),"Pending"))</f>
        <v>0</v>
      </c>
    </row>
    <row r="197" spans="15:15">
      <c r="O197" s="8">
        <f>IF(N197="","",IF(N197="Closed",IF(M197&lt;=L197,"On-Time","Delayed"),"Pending"))</f>
        <v>0</v>
      </c>
    </row>
    <row r="198" spans="15:15">
      <c r="O198" s="8">
        <f>IF(N198="","",IF(N198="Closed",IF(M198&lt;=L198,"On-Time","Delayed"),"Pending"))</f>
        <v>0</v>
      </c>
    </row>
    <row r="199" spans="15:15">
      <c r="O199" s="8">
        <f>IF(N199="","",IF(N199="Closed",IF(M199&lt;=L199,"On-Time","Delayed"),"Pending"))</f>
        <v>0</v>
      </c>
    </row>
    <row r="200" spans="15:15">
      <c r="O200" s="8">
        <f>IF(N200="","",IF(N200="Closed",IF(M200&lt;=L200,"On-Time","Delayed"),"Pending"))</f>
        <v>0</v>
      </c>
    </row>
    <row r="201" spans="15:15">
      <c r="O201" s="8">
        <f>IF(N201="","",IF(N201="Closed",IF(M201&lt;=L201,"On-Time","Delayed"),"Pending"))</f>
        <v>0</v>
      </c>
    </row>
    <row r="202" spans="15:15">
      <c r="O202" s="8">
        <f>IF(N202="","",IF(N202="Closed",IF(M202&lt;=L202,"On-Time","Delayed"),"Pending"))</f>
        <v>0</v>
      </c>
    </row>
    <row r="203" spans="15:15">
      <c r="O203" s="8">
        <f>IF(N203="","",IF(N203="Closed",IF(M203&lt;=L203,"On-Time","Delayed"),"Pending"))</f>
        <v>0</v>
      </c>
    </row>
    <row r="204" spans="15:15">
      <c r="O204" s="8">
        <f>IF(N204="","",IF(N204="Closed",IF(M204&lt;=L204,"On-Time","Delayed"),"Pending"))</f>
        <v>0</v>
      </c>
    </row>
    <row r="205" spans="15:15">
      <c r="O205" s="8">
        <f>IF(N205="","",IF(N205="Closed",IF(M205&lt;=L205,"On-Time","Delayed"),"Pending"))</f>
        <v>0</v>
      </c>
    </row>
    <row r="206" spans="15:15">
      <c r="O206" s="8">
        <f>IF(N206="","",IF(N206="Closed",IF(M206&lt;=L206,"On-Time","Delayed"),"Pending"))</f>
        <v>0</v>
      </c>
    </row>
    <row r="207" spans="15:15">
      <c r="O207" s="8">
        <f>IF(N207="","",IF(N207="Closed",IF(M207&lt;=L207,"On-Time","Delayed"),"Pending"))</f>
        <v>0</v>
      </c>
    </row>
    <row r="208" spans="15:15">
      <c r="O208" s="8">
        <f>IF(N208="","",IF(N208="Closed",IF(M208&lt;=L208,"On-Time","Delayed"),"Pending"))</f>
        <v>0</v>
      </c>
    </row>
    <row r="209" spans="15:15">
      <c r="O209" s="8">
        <f>IF(N209="","",IF(N209="Closed",IF(M209&lt;=L209,"On-Time","Delayed"),"Pending"))</f>
        <v>0</v>
      </c>
    </row>
    <row r="210" spans="15:15">
      <c r="O210" s="8">
        <f>IF(N210="","",IF(N210="Closed",IF(M210&lt;=L210,"On-Time","Delayed"),"Pending"))</f>
        <v>0</v>
      </c>
    </row>
    <row r="211" spans="15:15">
      <c r="O211" s="8">
        <f>IF(N211="","",IF(N211="Closed",IF(M211&lt;=L211,"On-Time","Delayed"),"Pending"))</f>
        <v>0</v>
      </c>
    </row>
    <row r="212" spans="15:15">
      <c r="O212" s="8">
        <f>IF(N212="","",IF(N212="Closed",IF(M212&lt;=L212,"On-Time","Delayed"),"Pending"))</f>
        <v>0</v>
      </c>
    </row>
    <row r="213" spans="15:15">
      <c r="O213" s="8">
        <f>IF(N213="","",IF(N213="Closed",IF(M213&lt;=L213,"On-Time","Delayed"),"Pending"))</f>
        <v>0</v>
      </c>
    </row>
    <row r="214" spans="15:15">
      <c r="O214" s="8">
        <f>IF(N214="","",IF(N214="Closed",IF(M214&lt;=L214,"On-Time","Delayed"),"Pending"))</f>
        <v>0</v>
      </c>
    </row>
    <row r="215" spans="15:15">
      <c r="O215" s="8">
        <f>IF(N215="","",IF(N215="Closed",IF(M215&lt;=L215,"On-Time","Delayed"),"Pending"))</f>
        <v>0</v>
      </c>
    </row>
    <row r="216" spans="15:15">
      <c r="O216" s="8">
        <f>IF(N216="","",IF(N216="Closed",IF(M216&lt;=L216,"On-Time","Delayed"),"Pending"))</f>
        <v>0</v>
      </c>
    </row>
    <row r="217" spans="15:15">
      <c r="O217" s="8">
        <f>IF(N217="","",IF(N217="Closed",IF(M217&lt;=L217,"On-Time","Delayed"),"Pending"))</f>
        <v>0</v>
      </c>
    </row>
    <row r="218" spans="15:15">
      <c r="O218" s="8">
        <f>IF(N218="","",IF(N218="Closed",IF(M218&lt;=L218,"On-Time","Delayed"),"Pending"))</f>
        <v>0</v>
      </c>
    </row>
    <row r="219" spans="15:15">
      <c r="O219" s="8">
        <f>IF(N219="","",IF(N219="Closed",IF(M219&lt;=L219,"On-Time","Delayed"),"Pending"))</f>
        <v>0</v>
      </c>
    </row>
    <row r="220" spans="15:15">
      <c r="O220" s="8">
        <f>IF(N220="","",IF(N220="Closed",IF(M220&lt;=L220,"On-Time","Delayed"),"Pending"))</f>
        <v>0</v>
      </c>
    </row>
    <row r="221" spans="15:15">
      <c r="O221" s="8">
        <f>IF(N221="","",IF(N221="Closed",IF(M221&lt;=L221,"On-Time","Delayed"),"Pending"))</f>
        <v>0</v>
      </c>
    </row>
    <row r="222" spans="15:15">
      <c r="O222" s="8">
        <f>IF(N222="","",IF(N222="Closed",IF(M222&lt;=L222,"On-Time","Delayed"),"Pending"))</f>
        <v>0</v>
      </c>
    </row>
    <row r="223" spans="15:15">
      <c r="O223" s="8">
        <f>IF(N223="","",IF(N223="Closed",IF(M223&lt;=L223,"On-Time","Delayed"),"Pending"))</f>
        <v>0</v>
      </c>
    </row>
    <row r="224" spans="15:15">
      <c r="O224" s="8">
        <f>IF(N224="","",IF(N224="Closed",IF(M224&lt;=L224,"On-Time","Delayed"),"Pending"))</f>
        <v>0</v>
      </c>
    </row>
    <row r="225" spans="15:15">
      <c r="O225" s="8">
        <f>IF(N225="","",IF(N225="Closed",IF(M225&lt;=L225,"On-Time","Delayed"),"Pending"))</f>
        <v>0</v>
      </c>
    </row>
    <row r="226" spans="15:15">
      <c r="O226" s="8">
        <f>IF(N226="","",IF(N226="Closed",IF(M226&lt;=L226,"On-Time","Delayed"),"Pending"))</f>
        <v>0</v>
      </c>
    </row>
    <row r="227" spans="15:15">
      <c r="O227" s="8">
        <f>IF(N227="","",IF(N227="Closed",IF(M227&lt;=L227,"On-Time","Delayed"),"Pending"))</f>
        <v>0</v>
      </c>
    </row>
    <row r="228" spans="15:15">
      <c r="O228" s="8">
        <f>IF(N228="","",IF(N228="Closed",IF(M228&lt;=L228,"On-Time","Delayed"),"Pending"))</f>
        <v>0</v>
      </c>
    </row>
    <row r="229" spans="15:15">
      <c r="O229" s="8">
        <f>IF(N229="","",IF(N229="Closed",IF(M229&lt;=L229,"On-Time","Delayed"),"Pending"))</f>
        <v>0</v>
      </c>
    </row>
    <row r="230" spans="15:15">
      <c r="O230" s="8">
        <f>IF(N230="","",IF(N230="Closed",IF(M230&lt;=L230,"On-Time","Delayed"),"Pending"))</f>
        <v>0</v>
      </c>
    </row>
    <row r="231" spans="15:15">
      <c r="O231" s="8">
        <f>IF(N231="","",IF(N231="Closed",IF(M231&lt;=L231,"On-Time","Delayed"),"Pending"))</f>
        <v>0</v>
      </c>
    </row>
    <row r="232" spans="15:15">
      <c r="O232" s="8">
        <f>IF(N232="","",IF(N232="Closed",IF(M232&lt;=L232,"On-Time","Delayed"),"Pending"))</f>
        <v>0</v>
      </c>
    </row>
    <row r="233" spans="15:15">
      <c r="O233" s="8">
        <f>IF(N233="","",IF(N233="Closed",IF(M233&lt;=L233,"On-Time","Delayed"),"Pending"))</f>
        <v>0</v>
      </c>
    </row>
    <row r="234" spans="15:15">
      <c r="O234" s="8">
        <f>IF(N234="","",IF(N234="Closed",IF(M234&lt;=L234,"On-Time","Delayed"),"Pending"))</f>
        <v>0</v>
      </c>
    </row>
    <row r="235" spans="15:15">
      <c r="O235" s="8">
        <f>IF(N235="","",IF(N235="Closed",IF(M235&lt;=L235,"On-Time","Delayed"),"Pending"))</f>
        <v>0</v>
      </c>
    </row>
    <row r="236" spans="15:15">
      <c r="O236" s="8">
        <f>IF(N236="","",IF(N236="Closed",IF(M236&lt;=L236,"On-Time","Delayed"),"Pending"))</f>
        <v>0</v>
      </c>
    </row>
    <row r="237" spans="15:15">
      <c r="O237" s="8">
        <f>IF(N237="","",IF(N237="Closed",IF(M237&lt;=L237,"On-Time","Delayed"),"Pending"))</f>
        <v>0</v>
      </c>
    </row>
    <row r="238" spans="15:15">
      <c r="O238" s="8">
        <f>IF(N238="","",IF(N238="Closed",IF(M238&lt;=L238,"On-Time","Delayed"),"Pending"))</f>
        <v>0</v>
      </c>
    </row>
    <row r="239" spans="15:15">
      <c r="O239" s="8">
        <f>IF(N239="","",IF(N239="Closed",IF(M239&lt;=L239,"On-Time","Delayed"),"Pending"))</f>
        <v>0</v>
      </c>
    </row>
    <row r="240" spans="15:15">
      <c r="O240" s="8">
        <f>IF(N240="","",IF(N240="Closed",IF(M240&lt;=L240,"On-Time","Delayed"),"Pending"))</f>
        <v>0</v>
      </c>
    </row>
    <row r="241" spans="15:15">
      <c r="O241" s="8">
        <f>IF(N241="","",IF(N241="Closed",IF(M241&lt;=L241,"On-Time","Delayed"),"Pending"))</f>
        <v>0</v>
      </c>
    </row>
    <row r="242" spans="15:15">
      <c r="O242" s="8">
        <f>IF(N242="","",IF(N242="Closed",IF(M242&lt;=L242,"On-Time","Delayed"),"Pending"))</f>
        <v>0</v>
      </c>
    </row>
    <row r="243" spans="15:15">
      <c r="O243" s="8">
        <f>IF(N243="","",IF(N243="Closed",IF(M243&lt;=L243,"On-Time","Delayed"),"Pending"))</f>
        <v>0</v>
      </c>
    </row>
    <row r="244" spans="15:15">
      <c r="O244" s="8">
        <f>IF(N244="","",IF(N244="Closed",IF(M244&lt;=L244,"On-Time","Delayed"),"Pending"))</f>
        <v>0</v>
      </c>
    </row>
    <row r="245" spans="15:15">
      <c r="O245" s="8">
        <f>IF(N245="","",IF(N245="Closed",IF(M245&lt;=L245,"On-Time","Delayed"),"Pending"))</f>
        <v>0</v>
      </c>
    </row>
    <row r="246" spans="15:15">
      <c r="O246" s="8">
        <f>IF(N246="","",IF(N246="Closed",IF(M246&lt;=L246,"On-Time","Delayed"),"Pending"))</f>
        <v>0</v>
      </c>
    </row>
    <row r="247" spans="15:15">
      <c r="O247" s="8">
        <f>IF(N247="","",IF(N247="Closed",IF(M247&lt;=L247,"On-Time","Delayed"),"Pending"))</f>
        <v>0</v>
      </c>
    </row>
    <row r="248" spans="15:15">
      <c r="O248" s="8">
        <f>IF(N248="","",IF(N248="Closed",IF(M248&lt;=L248,"On-Time","Delayed"),"Pending"))</f>
        <v>0</v>
      </c>
    </row>
    <row r="249" spans="15:15">
      <c r="O249" s="8">
        <f>IF(N249="","",IF(N249="Closed",IF(M249&lt;=L249,"On-Time","Delayed"),"Pending"))</f>
        <v>0</v>
      </c>
    </row>
    <row r="250" spans="15:15">
      <c r="O250" s="8">
        <f>IF(N250="","",IF(N250="Closed",IF(M250&lt;=L250,"On-Time","Delayed"),"Pending"))</f>
        <v>0</v>
      </c>
    </row>
    <row r="251" spans="15:15">
      <c r="O251" s="8">
        <f>IF(N251="","",IF(N251="Closed",IF(M251&lt;=L251,"On-Time","Delayed"),"Pending"))</f>
        <v>0</v>
      </c>
    </row>
    <row r="252" spans="15:15">
      <c r="O252" s="8">
        <f>IF(N252="","",IF(N252="Closed",IF(M252&lt;=L252,"On-Time","Delayed"),"Pending"))</f>
        <v>0</v>
      </c>
    </row>
    <row r="253" spans="15:15">
      <c r="O253" s="8">
        <f>IF(N253="","",IF(N253="Closed",IF(M253&lt;=L253,"On-Time","Delayed"),"Pending"))</f>
        <v>0</v>
      </c>
    </row>
    <row r="254" spans="15:15">
      <c r="O254" s="8">
        <f>IF(N254="","",IF(N254="Closed",IF(M254&lt;=L254,"On-Time","Delayed"),"Pending"))</f>
        <v>0</v>
      </c>
    </row>
    <row r="255" spans="15:15">
      <c r="O255" s="8">
        <f>IF(N255="","",IF(N255="Closed",IF(M255&lt;=L255,"On-Time","Delayed"),"Pending"))</f>
        <v>0</v>
      </c>
    </row>
    <row r="256" spans="15:15">
      <c r="O256" s="8">
        <f>IF(N256="","",IF(N256="Closed",IF(M256&lt;=L256,"On-Time","Delayed"),"Pending"))</f>
        <v>0</v>
      </c>
    </row>
    <row r="257" spans="15:15">
      <c r="O257" s="8">
        <f>IF(N257="","",IF(N257="Closed",IF(M257&lt;=L257,"On-Time","Delayed"),"Pending"))</f>
        <v>0</v>
      </c>
    </row>
    <row r="258" spans="15:15">
      <c r="O258" s="8">
        <f>IF(N258="","",IF(N258="Closed",IF(M258&lt;=L258,"On-Time","Delayed"),"Pending"))</f>
        <v>0</v>
      </c>
    </row>
    <row r="259" spans="15:15">
      <c r="O259" s="8">
        <f>IF(N259="","",IF(N259="Closed",IF(M259&lt;=L259,"On-Time","Delayed"),"Pending"))</f>
        <v>0</v>
      </c>
    </row>
    <row r="260" spans="15:15">
      <c r="O260" s="8">
        <f>IF(N260="","",IF(N260="Closed",IF(M260&lt;=L260,"On-Time","Delayed"),"Pending"))</f>
        <v>0</v>
      </c>
    </row>
    <row r="261" spans="15:15">
      <c r="O261" s="8">
        <f>IF(N261="","",IF(N261="Closed",IF(M261&lt;=L261,"On-Time","Delayed"),"Pending"))</f>
        <v>0</v>
      </c>
    </row>
    <row r="262" spans="15:15">
      <c r="O262" s="8">
        <f>IF(N262="","",IF(N262="Closed",IF(M262&lt;=L262,"On-Time","Delayed"),"Pending"))</f>
        <v>0</v>
      </c>
    </row>
    <row r="263" spans="15:15">
      <c r="O263" s="8">
        <f>IF(N263="","",IF(N263="Closed",IF(M263&lt;=L263,"On-Time","Delayed"),"Pending"))</f>
        <v>0</v>
      </c>
    </row>
    <row r="264" spans="15:15">
      <c r="O264" s="8">
        <f>IF(N264="","",IF(N264="Closed",IF(M264&lt;=L264,"On-Time","Delayed"),"Pending"))</f>
        <v>0</v>
      </c>
    </row>
    <row r="265" spans="15:15">
      <c r="O265" s="8">
        <f>IF(N265="","",IF(N265="Closed",IF(M265&lt;=L265,"On-Time","Delayed"),"Pending"))</f>
        <v>0</v>
      </c>
    </row>
    <row r="266" spans="15:15">
      <c r="O266" s="8">
        <f>IF(N266="","",IF(N266="Closed",IF(M266&lt;=L266,"On-Time","Delayed"),"Pending"))</f>
        <v>0</v>
      </c>
    </row>
    <row r="267" spans="15:15">
      <c r="O267" s="8">
        <f>IF(N267="","",IF(N267="Closed",IF(M267&lt;=L267,"On-Time","Delayed"),"Pending"))</f>
        <v>0</v>
      </c>
    </row>
    <row r="268" spans="15:15">
      <c r="O268" s="8">
        <f>IF(N268="","",IF(N268="Closed",IF(M268&lt;=L268,"On-Time","Delayed"),"Pending"))</f>
        <v>0</v>
      </c>
    </row>
    <row r="269" spans="15:15">
      <c r="O269" s="8">
        <f>IF(N269="","",IF(N269="Closed",IF(M269&lt;=L269,"On-Time","Delayed"),"Pending"))</f>
        <v>0</v>
      </c>
    </row>
    <row r="270" spans="15:15">
      <c r="O270" s="8">
        <f>IF(N270="","",IF(N270="Closed",IF(M270&lt;=L270,"On-Time","Delayed"),"Pending"))</f>
        <v>0</v>
      </c>
    </row>
    <row r="271" spans="15:15">
      <c r="O271" s="8">
        <f>IF(N271="","",IF(N271="Closed",IF(M271&lt;=L271,"On-Time","Delayed"),"Pending"))</f>
        <v>0</v>
      </c>
    </row>
    <row r="272" spans="15:15">
      <c r="O272" s="8">
        <f>IF(N272="","",IF(N272="Closed",IF(M272&lt;=L272,"On-Time","Delayed"),"Pending"))</f>
        <v>0</v>
      </c>
    </row>
    <row r="273" spans="15:15">
      <c r="O273" s="8">
        <f>IF(N273="","",IF(N273="Closed",IF(M273&lt;=L273,"On-Time","Delayed"),"Pending"))</f>
        <v>0</v>
      </c>
    </row>
    <row r="274" spans="15:15">
      <c r="O274" s="8">
        <f>IF(N274="","",IF(N274="Closed",IF(M274&lt;=L274,"On-Time","Delayed"),"Pending"))</f>
        <v>0</v>
      </c>
    </row>
    <row r="275" spans="15:15">
      <c r="O275" s="8">
        <f>IF(N275="","",IF(N275="Closed",IF(M275&lt;=L275,"On-Time","Delayed"),"Pending"))</f>
        <v>0</v>
      </c>
    </row>
    <row r="276" spans="15:15">
      <c r="O276" s="8">
        <f>IF(N276="","",IF(N276="Closed",IF(M276&lt;=L276,"On-Time","Delayed"),"Pending"))</f>
        <v>0</v>
      </c>
    </row>
    <row r="277" spans="15:15">
      <c r="O277" s="8">
        <f>IF(N277="","",IF(N277="Closed",IF(M277&lt;=L277,"On-Time","Delayed"),"Pending"))</f>
        <v>0</v>
      </c>
    </row>
    <row r="278" spans="15:15">
      <c r="O278" s="8">
        <f>IF(N278="","",IF(N278="Closed",IF(M278&lt;=L278,"On-Time","Delayed"),"Pending"))</f>
        <v>0</v>
      </c>
    </row>
    <row r="279" spans="15:15">
      <c r="O279" s="8">
        <f>IF(N279="","",IF(N279="Closed",IF(M279&lt;=L279,"On-Time","Delayed"),"Pending"))</f>
        <v>0</v>
      </c>
    </row>
    <row r="280" spans="15:15">
      <c r="O280" s="8">
        <f>IF(N280="","",IF(N280="Closed",IF(M280&lt;=L280,"On-Time","Delayed"),"Pending"))</f>
        <v>0</v>
      </c>
    </row>
    <row r="281" spans="15:15">
      <c r="O281" s="8">
        <f>IF(N281="","",IF(N281="Closed",IF(M281&lt;=L281,"On-Time","Delayed"),"Pending"))</f>
        <v>0</v>
      </c>
    </row>
    <row r="282" spans="15:15">
      <c r="O282" s="8">
        <f>IF(N282="","",IF(N282="Closed",IF(M282&lt;=L282,"On-Time","Delayed"),"Pending"))</f>
        <v>0</v>
      </c>
    </row>
    <row r="283" spans="15:15">
      <c r="O283" s="8">
        <f>IF(N283="","",IF(N283="Closed",IF(M283&lt;=L283,"On-Time","Delayed"),"Pending"))</f>
        <v>0</v>
      </c>
    </row>
    <row r="284" spans="15:15">
      <c r="O284" s="8">
        <f>IF(N284="","",IF(N284="Closed",IF(M284&lt;=L284,"On-Time","Delayed"),"Pending"))</f>
        <v>0</v>
      </c>
    </row>
    <row r="285" spans="15:15">
      <c r="O285" s="8">
        <f>IF(N285="","",IF(N285="Closed",IF(M285&lt;=L285,"On-Time","Delayed"),"Pending"))</f>
        <v>0</v>
      </c>
    </row>
    <row r="286" spans="15:15">
      <c r="O286" s="8">
        <f>IF(N286="","",IF(N286="Closed",IF(M286&lt;=L286,"On-Time","Delayed"),"Pending"))</f>
        <v>0</v>
      </c>
    </row>
    <row r="287" spans="15:15">
      <c r="O287" s="8">
        <f>IF(N287="","",IF(N287="Closed",IF(M287&lt;=L287,"On-Time","Delayed"),"Pending"))</f>
        <v>0</v>
      </c>
    </row>
    <row r="288" spans="15:15">
      <c r="O288" s="8">
        <f>IF(N288="","",IF(N288="Closed",IF(M288&lt;=L288,"On-Time","Delayed"),"Pending"))</f>
        <v>0</v>
      </c>
    </row>
    <row r="289" spans="15:15">
      <c r="O289" s="8">
        <f>IF(N289="","",IF(N289="Closed",IF(M289&lt;=L289,"On-Time","Delayed"),"Pending"))</f>
        <v>0</v>
      </c>
    </row>
    <row r="290" spans="15:15">
      <c r="O290" s="8">
        <f>IF(N290="","",IF(N290="Closed",IF(M290&lt;=L290,"On-Time","Delayed"),"Pending"))</f>
        <v>0</v>
      </c>
    </row>
    <row r="291" spans="15:15">
      <c r="O291" s="8">
        <f>IF(N291="","",IF(N291="Closed",IF(M291&lt;=L291,"On-Time","Delayed"),"Pending"))</f>
        <v>0</v>
      </c>
    </row>
    <row r="292" spans="15:15">
      <c r="O292" s="8">
        <f>IF(N292="","",IF(N292="Closed",IF(M292&lt;=L292,"On-Time","Delayed"),"Pending"))</f>
        <v>0</v>
      </c>
    </row>
    <row r="293" spans="15:15">
      <c r="O293" s="8">
        <f>IF(N293="","",IF(N293="Closed",IF(M293&lt;=L293,"On-Time","Delayed"),"Pending"))</f>
        <v>0</v>
      </c>
    </row>
    <row r="294" spans="15:15">
      <c r="O294" s="8">
        <f>IF(N294="","",IF(N294="Closed",IF(M294&lt;=L294,"On-Time","Delayed"),"Pending"))</f>
        <v>0</v>
      </c>
    </row>
    <row r="295" spans="15:15">
      <c r="O295" s="8">
        <f>IF(N295="","",IF(N295="Closed",IF(M295&lt;=L295,"On-Time","Delayed"),"Pending"))</f>
        <v>0</v>
      </c>
    </row>
    <row r="296" spans="15:15">
      <c r="O296" s="8">
        <f>IF(N296="","",IF(N296="Closed",IF(M296&lt;=L296,"On-Time","Delayed"),"Pending"))</f>
        <v>0</v>
      </c>
    </row>
    <row r="297" spans="15:15">
      <c r="O297" s="8">
        <f>IF(N297="","",IF(N297="Closed",IF(M297&lt;=L297,"On-Time","Delayed"),"Pending"))</f>
        <v>0</v>
      </c>
    </row>
    <row r="298" spans="15:15">
      <c r="O298" s="8">
        <f>IF(N298="","",IF(N298="Closed",IF(M298&lt;=L298,"On-Time","Delayed"),"Pending"))</f>
        <v>0</v>
      </c>
    </row>
    <row r="299" spans="15:15">
      <c r="O299" s="8">
        <f>IF(N299="","",IF(N299="Closed",IF(M299&lt;=L299,"On-Time","Delayed"),"Pending"))</f>
        <v>0</v>
      </c>
    </row>
    <row r="300" spans="15:15">
      <c r="O300" s="8">
        <f>IF(N300="","",IF(N300="Closed",IF(M300&lt;=L300,"On-Time","Delayed"),"Pending"))</f>
        <v>0</v>
      </c>
    </row>
    <row r="301" spans="15:15">
      <c r="O301" s="8">
        <f>IF(N301="","",IF(N301="Closed",IF(M301&lt;=L301,"On-Time","Delayed"),"Pending"))</f>
        <v>0</v>
      </c>
    </row>
    <row r="302" spans="15:15">
      <c r="O302" s="8">
        <f>IF(N302="","",IF(N302="Closed",IF(M302&lt;=L302,"On-Time","Delayed"),"Pending"))</f>
        <v>0</v>
      </c>
    </row>
    <row r="303" spans="15:15">
      <c r="O303" s="8">
        <f>IF(N303="","",IF(N303="Closed",IF(M303&lt;=L303,"On-Time","Delayed"),"Pending"))</f>
        <v>0</v>
      </c>
    </row>
    <row r="304" spans="15:15">
      <c r="O304" s="8">
        <f>IF(N304="","",IF(N304="Closed",IF(M304&lt;=L304,"On-Time","Delayed"),"Pending"))</f>
        <v>0</v>
      </c>
    </row>
    <row r="305" spans="15:15">
      <c r="O305" s="8">
        <f>IF(N305="","",IF(N305="Closed",IF(M305&lt;=L305,"On-Time","Delayed"),"Pending"))</f>
        <v>0</v>
      </c>
    </row>
    <row r="306" spans="15:15">
      <c r="O306" s="8">
        <f>IF(N306="","",IF(N306="Closed",IF(M306&lt;=L306,"On-Time","Delayed"),"Pending"))</f>
        <v>0</v>
      </c>
    </row>
    <row r="307" spans="15:15">
      <c r="O307" s="8">
        <f>IF(N307="","",IF(N307="Closed",IF(M307&lt;=L307,"On-Time","Delayed"),"Pending"))</f>
        <v>0</v>
      </c>
    </row>
    <row r="308" spans="15:15">
      <c r="O308" s="8">
        <f>IF(N308="","",IF(N308="Closed",IF(M308&lt;=L308,"On-Time","Delayed"),"Pending"))</f>
        <v>0</v>
      </c>
    </row>
    <row r="309" spans="15:15">
      <c r="O309" s="8">
        <f>IF(N309="","",IF(N309="Closed",IF(M309&lt;=L309,"On-Time","Delayed"),"Pending"))</f>
        <v>0</v>
      </c>
    </row>
    <row r="310" spans="15:15">
      <c r="O310" s="8">
        <f>IF(N310="","",IF(N310="Closed",IF(M310&lt;=L310,"On-Time","Delayed"),"Pending"))</f>
        <v>0</v>
      </c>
    </row>
    <row r="311" spans="15:15">
      <c r="O311" s="8">
        <f>IF(N311="","",IF(N311="Closed",IF(M311&lt;=L311,"On-Time","Delayed"),"Pending"))</f>
        <v>0</v>
      </c>
    </row>
    <row r="312" spans="15:15">
      <c r="O312" s="8">
        <f>IF(N312="","",IF(N312="Closed",IF(M312&lt;=L312,"On-Time","Delayed"),"Pending"))</f>
        <v>0</v>
      </c>
    </row>
    <row r="313" spans="15:15">
      <c r="O313" s="8">
        <f>IF(N313="","",IF(N313="Closed",IF(M313&lt;=L313,"On-Time","Delayed"),"Pending"))</f>
        <v>0</v>
      </c>
    </row>
    <row r="314" spans="15:15">
      <c r="O314" s="8">
        <f>IF(N314="","",IF(N314="Closed",IF(M314&lt;=L314,"On-Time","Delayed"),"Pending"))</f>
        <v>0</v>
      </c>
    </row>
    <row r="315" spans="15:15">
      <c r="O315" s="8">
        <f>IF(N315="","",IF(N315="Closed",IF(M315&lt;=L315,"On-Time","Delayed"),"Pending"))</f>
        <v>0</v>
      </c>
    </row>
    <row r="316" spans="15:15">
      <c r="O316" s="8">
        <f>IF(N316="","",IF(N316="Closed",IF(M316&lt;=L316,"On-Time","Delayed"),"Pending"))</f>
        <v>0</v>
      </c>
    </row>
    <row r="317" spans="15:15">
      <c r="O317" s="8">
        <f>IF(N317="","",IF(N317="Closed",IF(M317&lt;=L317,"On-Time","Delayed"),"Pending"))</f>
        <v>0</v>
      </c>
    </row>
    <row r="318" spans="15:15">
      <c r="O318" s="8">
        <f>IF(N318="","",IF(N318="Closed",IF(M318&lt;=L318,"On-Time","Delayed"),"Pending"))</f>
        <v>0</v>
      </c>
    </row>
    <row r="319" spans="15:15">
      <c r="O319" s="8">
        <f>IF(N319="","",IF(N319="Closed",IF(M319&lt;=L319,"On-Time","Delayed"),"Pending"))</f>
        <v>0</v>
      </c>
    </row>
    <row r="320" spans="15:15">
      <c r="O320" s="8">
        <f>IF(N320="","",IF(N320="Closed",IF(M320&lt;=L320,"On-Time","Delayed"),"Pending"))</f>
        <v>0</v>
      </c>
    </row>
    <row r="321" spans="15:15">
      <c r="O321" s="8">
        <f>IF(N321="","",IF(N321="Closed",IF(M321&lt;=L321,"On-Time","Delayed"),"Pending"))</f>
        <v>0</v>
      </c>
    </row>
    <row r="322" spans="15:15">
      <c r="O322" s="8">
        <f>IF(N322="","",IF(N322="Closed",IF(M322&lt;=L322,"On-Time","Delayed"),"Pending"))</f>
        <v>0</v>
      </c>
    </row>
    <row r="323" spans="15:15">
      <c r="O323" s="8">
        <f>IF(N323="","",IF(N323="Closed",IF(M323&lt;=L323,"On-Time","Delayed"),"Pending"))</f>
        <v>0</v>
      </c>
    </row>
    <row r="324" spans="15:15">
      <c r="O324" s="8">
        <f>IF(N324="","",IF(N324="Closed",IF(M324&lt;=L324,"On-Time","Delayed"),"Pending"))</f>
        <v>0</v>
      </c>
    </row>
    <row r="325" spans="15:15">
      <c r="O325" s="8">
        <f>IF(N325="","",IF(N325="Closed",IF(M325&lt;=L325,"On-Time","Delayed"),"Pending"))</f>
        <v>0</v>
      </c>
    </row>
    <row r="326" spans="15:15">
      <c r="O326" s="8">
        <f>IF(N326="","",IF(N326="Closed",IF(M326&lt;=L326,"On-Time","Delayed"),"Pending"))</f>
        <v>0</v>
      </c>
    </row>
    <row r="327" spans="15:15">
      <c r="O327" s="8">
        <f>IF(N327="","",IF(N327="Closed",IF(M327&lt;=L327,"On-Time","Delayed"),"Pending"))</f>
        <v>0</v>
      </c>
    </row>
    <row r="328" spans="15:15">
      <c r="O328" s="8">
        <f>IF(N328="","",IF(N328="Closed",IF(M328&lt;=L328,"On-Time","Delayed"),"Pending"))</f>
        <v>0</v>
      </c>
    </row>
    <row r="329" spans="15:15">
      <c r="O329" s="8">
        <f>IF(N329="","",IF(N329="Closed",IF(M329&lt;=L329,"On-Time","Delayed"),"Pending"))</f>
        <v>0</v>
      </c>
    </row>
    <row r="330" spans="15:15">
      <c r="O330" s="8">
        <f>IF(N330="","",IF(N330="Closed",IF(M330&lt;=L330,"On-Time","Delayed"),"Pending"))</f>
        <v>0</v>
      </c>
    </row>
    <row r="331" spans="15:15">
      <c r="O331" s="8">
        <f>IF(N331="","",IF(N331="Closed",IF(M331&lt;=L331,"On-Time","Delayed"),"Pending"))</f>
        <v>0</v>
      </c>
    </row>
    <row r="332" spans="15:15">
      <c r="O332" s="8">
        <f>IF(N332="","",IF(N332="Closed",IF(M332&lt;=L332,"On-Time","Delayed"),"Pending"))</f>
        <v>0</v>
      </c>
    </row>
    <row r="333" spans="15:15">
      <c r="O333" s="8">
        <f>IF(N333="","",IF(N333="Closed",IF(M333&lt;=L333,"On-Time","Delayed"),"Pending"))</f>
        <v>0</v>
      </c>
    </row>
    <row r="334" spans="15:15">
      <c r="O334" s="8">
        <f>IF(N334="","",IF(N334="Closed",IF(M334&lt;=L334,"On-Time","Delayed"),"Pending"))</f>
        <v>0</v>
      </c>
    </row>
    <row r="335" spans="15:15">
      <c r="O335" s="8">
        <f>IF(N335="","",IF(N335="Closed",IF(M335&lt;=L335,"On-Time","Delayed"),"Pending"))</f>
        <v>0</v>
      </c>
    </row>
    <row r="336" spans="15:15">
      <c r="O336" s="8">
        <f>IF(N336="","",IF(N336="Closed",IF(M336&lt;=L336,"On-Time","Delayed"),"Pending"))</f>
        <v>0</v>
      </c>
    </row>
    <row r="337" spans="15:15">
      <c r="O337" s="8">
        <f>IF(N337="","",IF(N337="Closed",IF(M337&lt;=L337,"On-Time","Delayed"),"Pending"))</f>
        <v>0</v>
      </c>
    </row>
    <row r="338" spans="15:15">
      <c r="O338" s="8">
        <f>IF(N338="","",IF(N338="Closed",IF(M338&lt;=L338,"On-Time","Delayed"),"Pending"))</f>
        <v>0</v>
      </c>
    </row>
    <row r="339" spans="15:15">
      <c r="O339" s="8">
        <f>IF(N339="","",IF(N339="Closed",IF(M339&lt;=L339,"On-Time","Delayed"),"Pending"))</f>
        <v>0</v>
      </c>
    </row>
    <row r="340" spans="15:15">
      <c r="O340" s="8">
        <f>IF(N340="","",IF(N340="Closed",IF(M340&lt;=L340,"On-Time","Delayed"),"Pending"))</f>
        <v>0</v>
      </c>
    </row>
    <row r="341" spans="15:15">
      <c r="O341" s="8">
        <f>IF(N341="","",IF(N341="Closed",IF(M341&lt;=L341,"On-Time","Delayed"),"Pending"))</f>
        <v>0</v>
      </c>
    </row>
    <row r="342" spans="15:15">
      <c r="O342" s="8">
        <f>IF(N342="","",IF(N342="Closed",IF(M342&lt;=L342,"On-Time","Delayed"),"Pending"))</f>
        <v>0</v>
      </c>
    </row>
    <row r="343" spans="15:15">
      <c r="O343" s="8">
        <f>IF(N343="","",IF(N343="Closed",IF(M343&lt;=L343,"On-Time","Delayed"),"Pending"))</f>
        <v>0</v>
      </c>
    </row>
    <row r="344" spans="15:15">
      <c r="O344" s="8">
        <f>IF(N344="","",IF(N344="Closed",IF(M344&lt;=L344,"On-Time","Delayed"),"Pending"))</f>
        <v>0</v>
      </c>
    </row>
    <row r="345" spans="15:15">
      <c r="O345" s="8">
        <f>IF(N345="","",IF(N345="Closed",IF(M345&lt;=L345,"On-Time","Delayed"),"Pending"))</f>
        <v>0</v>
      </c>
    </row>
    <row r="346" spans="15:15">
      <c r="O346" s="8">
        <f>IF(N346="","",IF(N346="Closed",IF(M346&lt;=L346,"On-Time","Delayed"),"Pending"))</f>
        <v>0</v>
      </c>
    </row>
    <row r="347" spans="15:15">
      <c r="O347" s="8">
        <f>IF(N347="","",IF(N347="Closed",IF(M347&lt;=L347,"On-Time","Delayed"),"Pending"))</f>
        <v>0</v>
      </c>
    </row>
    <row r="348" spans="15:15">
      <c r="O348" s="8">
        <f>IF(N348="","",IF(N348="Closed",IF(M348&lt;=L348,"On-Time","Delayed"),"Pending"))</f>
        <v>0</v>
      </c>
    </row>
    <row r="349" spans="15:15">
      <c r="O349" s="8">
        <f>IF(N349="","",IF(N349="Closed",IF(M349&lt;=L349,"On-Time","Delayed"),"Pending"))</f>
        <v>0</v>
      </c>
    </row>
    <row r="350" spans="15:15">
      <c r="O350" s="8">
        <f>IF(N350="","",IF(N350="Closed",IF(M350&lt;=L350,"On-Time","Delayed"),"Pending"))</f>
        <v>0</v>
      </c>
    </row>
    <row r="351" spans="15:15">
      <c r="O351" s="8">
        <f>IF(N351="","",IF(N351="Closed",IF(M351&lt;=L351,"On-Time","Delayed"),"Pending"))</f>
        <v>0</v>
      </c>
    </row>
    <row r="352" spans="15:15">
      <c r="O352" s="8">
        <f>IF(N352="","",IF(N352="Closed",IF(M352&lt;=L352,"On-Time","Delayed"),"Pending"))</f>
        <v>0</v>
      </c>
    </row>
    <row r="353" spans="15:15">
      <c r="O353" s="8">
        <f>IF(N353="","",IF(N353="Closed",IF(M353&lt;=L353,"On-Time","Delayed"),"Pending"))</f>
        <v>0</v>
      </c>
    </row>
    <row r="354" spans="15:15">
      <c r="O354" s="8">
        <f>IF(N354="","",IF(N354="Closed",IF(M354&lt;=L354,"On-Time","Delayed"),"Pending"))</f>
        <v>0</v>
      </c>
    </row>
    <row r="355" spans="15:15">
      <c r="O355" s="8">
        <f>IF(N355="","",IF(N355="Closed",IF(M355&lt;=L355,"On-Time","Delayed"),"Pending"))</f>
        <v>0</v>
      </c>
    </row>
    <row r="356" spans="15:15">
      <c r="O356" s="8">
        <f>IF(N356="","",IF(N356="Closed",IF(M356&lt;=L356,"On-Time","Delayed"),"Pending"))</f>
        <v>0</v>
      </c>
    </row>
    <row r="357" spans="15:15">
      <c r="O357" s="8">
        <f>IF(N357="","",IF(N357="Closed",IF(M357&lt;=L357,"On-Time","Delayed"),"Pending"))</f>
        <v>0</v>
      </c>
    </row>
    <row r="358" spans="15:15">
      <c r="O358" s="8">
        <f>IF(N358="","",IF(N358="Closed",IF(M358&lt;=L358,"On-Time","Delayed"),"Pending"))</f>
        <v>0</v>
      </c>
    </row>
    <row r="359" spans="15:15">
      <c r="O359" s="8">
        <f>IF(N359="","",IF(N359="Closed",IF(M359&lt;=L359,"On-Time","Delayed"),"Pending"))</f>
        <v>0</v>
      </c>
    </row>
    <row r="360" spans="15:15">
      <c r="O360" s="8">
        <f>IF(N360="","",IF(N360="Closed",IF(M360&lt;=L360,"On-Time","Delayed"),"Pending"))</f>
        <v>0</v>
      </c>
    </row>
    <row r="361" spans="15:15">
      <c r="O361" s="8">
        <f>IF(N361="","",IF(N361="Closed",IF(M361&lt;=L361,"On-Time","Delayed"),"Pending"))</f>
        <v>0</v>
      </c>
    </row>
    <row r="362" spans="15:15">
      <c r="O362" s="8">
        <f>IF(N362="","",IF(N362="Closed",IF(M362&lt;=L362,"On-Time","Delayed"),"Pending"))</f>
        <v>0</v>
      </c>
    </row>
    <row r="363" spans="15:15">
      <c r="O363" s="8">
        <f>IF(N363="","",IF(N363="Closed",IF(M363&lt;=L363,"On-Time","Delayed"),"Pending"))</f>
        <v>0</v>
      </c>
    </row>
    <row r="364" spans="15:15">
      <c r="O364" s="8">
        <f>IF(N364="","",IF(N364="Closed",IF(M364&lt;=L364,"On-Time","Delayed"),"Pending"))</f>
        <v>0</v>
      </c>
    </row>
    <row r="365" spans="15:15">
      <c r="O365" s="8">
        <f>IF(N365="","",IF(N365="Closed",IF(M365&lt;=L365,"On-Time","Delayed"),"Pending"))</f>
        <v>0</v>
      </c>
    </row>
    <row r="366" spans="15:15">
      <c r="O366" s="8">
        <f>IF(N366="","",IF(N366="Closed",IF(M366&lt;=L366,"On-Time","Delayed"),"Pending"))</f>
        <v>0</v>
      </c>
    </row>
    <row r="367" spans="15:15">
      <c r="O367" s="8">
        <f>IF(N367="","",IF(N367="Closed",IF(M367&lt;=L367,"On-Time","Delayed"),"Pending"))</f>
        <v>0</v>
      </c>
    </row>
    <row r="368" spans="15:15">
      <c r="O368" s="8">
        <f>IF(N368="","",IF(N368="Closed",IF(M368&lt;=L368,"On-Time","Delayed"),"Pending"))</f>
        <v>0</v>
      </c>
    </row>
    <row r="369" spans="15:15">
      <c r="O369" s="8">
        <f>IF(N369="","",IF(N369="Closed",IF(M369&lt;=L369,"On-Time","Delayed"),"Pending"))</f>
        <v>0</v>
      </c>
    </row>
    <row r="370" spans="15:15">
      <c r="O370" s="8">
        <f>IF(N370="","",IF(N370="Closed",IF(M370&lt;=L370,"On-Time","Delayed"),"Pending"))</f>
        <v>0</v>
      </c>
    </row>
    <row r="371" spans="15:15">
      <c r="O371" s="8">
        <f>IF(N371="","",IF(N371="Closed",IF(M371&lt;=L371,"On-Time","Delayed"),"Pending"))</f>
        <v>0</v>
      </c>
    </row>
    <row r="372" spans="15:15">
      <c r="O372" s="8">
        <f>IF(N372="","",IF(N372="Closed",IF(M372&lt;=L372,"On-Time","Delayed"),"Pending"))</f>
        <v>0</v>
      </c>
    </row>
    <row r="373" spans="15:15">
      <c r="O373" s="8">
        <f>IF(N373="","",IF(N373="Closed",IF(M373&lt;=L373,"On-Time","Delayed"),"Pending"))</f>
        <v>0</v>
      </c>
    </row>
    <row r="374" spans="15:15">
      <c r="O374" s="8">
        <f>IF(N374="","",IF(N374="Closed",IF(M374&lt;=L374,"On-Time","Delayed"),"Pending"))</f>
        <v>0</v>
      </c>
    </row>
    <row r="375" spans="15:15">
      <c r="O375" s="8">
        <f>IF(N375="","",IF(N375="Closed",IF(M375&lt;=L375,"On-Time","Delayed"),"Pending"))</f>
        <v>0</v>
      </c>
    </row>
    <row r="376" spans="15:15">
      <c r="O376" s="8">
        <f>IF(N376="","",IF(N376="Closed",IF(M376&lt;=L376,"On-Time","Delayed"),"Pending"))</f>
        <v>0</v>
      </c>
    </row>
    <row r="377" spans="15:15">
      <c r="O377" s="8">
        <f>IF(N377="","",IF(N377="Closed",IF(M377&lt;=L377,"On-Time","Delayed"),"Pending"))</f>
        <v>0</v>
      </c>
    </row>
    <row r="378" spans="15:15">
      <c r="O378" s="8">
        <f>IF(N378="","",IF(N378="Closed",IF(M378&lt;=L378,"On-Time","Delayed"),"Pending"))</f>
        <v>0</v>
      </c>
    </row>
    <row r="379" spans="15:15">
      <c r="O379" s="8">
        <f>IF(N379="","",IF(N379="Closed",IF(M379&lt;=L379,"On-Time","Delayed"),"Pending"))</f>
        <v>0</v>
      </c>
    </row>
    <row r="380" spans="15:15">
      <c r="O380" s="8">
        <f>IF(N380="","",IF(N380="Closed",IF(M380&lt;=L380,"On-Time","Delayed"),"Pending"))</f>
        <v>0</v>
      </c>
    </row>
    <row r="381" spans="15:15">
      <c r="O381" s="8">
        <f>IF(N381="","",IF(N381="Closed",IF(M381&lt;=L381,"On-Time","Delayed"),"Pending"))</f>
        <v>0</v>
      </c>
    </row>
    <row r="382" spans="15:15">
      <c r="O382" s="8">
        <f>IF(N382="","",IF(N382="Closed",IF(M382&lt;=L382,"On-Time","Delayed"),"Pending"))</f>
        <v>0</v>
      </c>
    </row>
    <row r="383" spans="15:15">
      <c r="O383" s="8">
        <f>IF(N383="","",IF(N383="Closed",IF(M383&lt;=L383,"On-Time","Delayed"),"Pending"))</f>
        <v>0</v>
      </c>
    </row>
    <row r="384" spans="15:15">
      <c r="O384" s="8">
        <f>IF(N384="","",IF(N384="Closed",IF(M384&lt;=L384,"On-Time","Delayed"),"Pending"))</f>
        <v>0</v>
      </c>
    </row>
    <row r="385" spans="15:15">
      <c r="O385" s="8">
        <f>IF(N385="","",IF(N385="Closed",IF(M385&lt;=L385,"On-Time","Delayed"),"Pending"))</f>
        <v>0</v>
      </c>
    </row>
    <row r="386" spans="15:15">
      <c r="O386" s="8">
        <f>IF(N386="","",IF(N386="Closed",IF(M386&lt;=L386,"On-Time","Delayed"),"Pending"))</f>
        <v>0</v>
      </c>
    </row>
    <row r="387" spans="15:15">
      <c r="O387" s="8">
        <f>IF(N387="","",IF(N387="Closed",IF(M387&lt;=L387,"On-Time","Delayed"),"Pending"))</f>
        <v>0</v>
      </c>
    </row>
    <row r="388" spans="15:15">
      <c r="O388" s="8">
        <f>IF(N388="","",IF(N388="Closed",IF(M388&lt;=L388,"On-Time","Delayed"),"Pending"))</f>
        <v>0</v>
      </c>
    </row>
    <row r="389" spans="15:15">
      <c r="O389" s="8">
        <f>IF(N389="","",IF(N389="Closed",IF(M389&lt;=L389,"On-Time","Delayed"),"Pending"))</f>
        <v>0</v>
      </c>
    </row>
    <row r="390" spans="15:15">
      <c r="O390" s="8">
        <f>IF(N390="","",IF(N390="Closed",IF(M390&lt;=L390,"On-Time","Delayed"),"Pending"))</f>
        <v>0</v>
      </c>
    </row>
    <row r="391" spans="15:15">
      <c r="O391" s="8">
        <f>IF(N391="","",IF(N391="Closed",IF(M391&lt;=L391,"On-Time","Delayed"),"Pending"))</f>
        <v>0</v>
      </c>
    </row>
    <row r="392" spans="15:15">
      <c r="O392" s="8">
        <f>IF(N392="","",IF(N392="Closed",IF(M392&lt;=L392,"On-Time","Delayed"),"Pending"))</f>
        <v>0</v>
      </c>
    </row>
    <row r="393" spans="15:15">
      <c r="O393" s="8">
        <f>IF(N393="","",IF(N393="Closed",IF(M393&lt;=L393,"On-Time","Delayed"),"Pending"))</f>
        <v>0</v>
      </c>
    </row>
    <row r="394" spans="15:15">
      <c r="O394" s="8">
        <f>IF(N394="","",IF(N394="Closed",IF(M394&lt;=L394,"On-Time","Delayed"),"Pending"))</f>
        <v>0</v>
      </c>
    </row>
    <row r="395" spans="15:15">
      <c r="O395" s="8">
        <f>IF(N395="","",IF(N395="Closed",IF(M395&lt;=L395,"On-Time","Delayed"),"Pending"))</f>
        <v>0</v>
      </c>
    </row>
    <row r="396" spans="15:15">
      <c r="O396" s="8">
        <f>IF(N396="","",IF(N396="Closed",IF(M396&lt;=L396,"On-Time","Delayed"),"Pending"))</f>
        <v>0</v>
      </c>
    </row>
    <row r="397" spans="15:15">
      <c r="O397" s="8">
        <f>IF(N397="","",IF(N397="Closed",IF(M397&lt;=L397,"On-Time","Delayed"),"Pending"))</f>
        <v>0</v>
      </c>
    </row>
    <row r="398" spans="15:15">
      <c r="O398" s="8">
        <f>IF(N398="","",IF(N398="Closed",IF(M398&lt;=L398,"On-Time","Delayed"),"Pending"))</f>
        <v>0</v>
      </c>
    </row>
    <row r="399" spans="15:15">
      <c r="O399" s="8">
        <f>IF(N399="","",IF(N399="Closed",IF(M399&lt;=L399,"On-Time","Delayed"),"Pending"))</f>
        <v>0</v>
      </c>
    </row>
    <row r="400" spans="15:15">
      <c r="O400" s="8">
        <f>IF(N400="","",IF(N400="Closed",IF(M400&lt;=L400,"On-Time","Delayed"),"Pending"))</f>
        <v>0</v>
      </c>
    </row>
    <row r="401" spans="15:15">
      <c r="O401" s="8">
        <f>IF(N401="","",IF(N401="Closed",IF(M401&lt;=L401,"On-Time","Delayed"),"Pending"))</f>
        <v>0</v>
      </c>
    </row>
    <row r="402" spans="15:15">
      <c r="O402" s="8">
        <f>IF(N402="","",IF(N402="Closed",IF(M402&lt;=L402,"On-Time","Delayed"),"Pending"))</f>
        <v>0</v>
      </c>
    </row>
    <row r="403" spans="15:15">
      <c r="O403" s="8">
        <f>IF(N403="","",IF(N403="Closed",IF(M403&lt;=L403,"On-Time","Delayed"),"Pending"))</f>
        <v>0</v>
      </c>
    </row>
    <row r="404" spans="15:15">
      <c r="O404" s="8">
        <f>IF(N404="","",IF(N404="Closed",IF(M404&lt;=L404,"On-Time","Delayed"),"Pending"))</f>
        <v>0</v>
      </c>
    </row>
    <row r="405" spans="15:15">
      <c r="O405" s="8">
        <f>IF(N405="","",IF(N405="Closed",IF(M405&lt;=L405,"On-Time","Delayed"),"Pending"))</f>
        <v>0</v>
      </c>
    </row>
    <row r="406" spans="15:15">
      <c r="O406" s="8">
        <f>IF(N406="","",IF(N406="Closed",IF(M406&lt;=L406,"On-Time","Delayed"),"Pending"))</f>
        <v>0</v>
      </c>
    </row>
    <row r="407" spans="15:15">
      <c r="O407" s="8">
        <f>IF(N407="","",IF(N407="Closed",IF(M407&lt;=L407,"On-Time","Delayed"),"Pending"))</f>
        <v>0</v>
      </c>
    </row>
    <row r="408" spans="15:15">
      <c r="O408" s="8">
        <f>IF(N408="","",IF(N408="Closed",IF(M408&lt;=L408,"On-Time","Delayed"),"Pending"))</f>
        <v>0</v>
      </c>
    </row>
    <row r="409" spans="15:15">
      <c r="O409" s="8">
        <f>IF(N409="","",IF(N409="Closed",IF(M409&lt;=L409,"On-Time","Delayed"),"Pending"))</f>
        <v>0</v>
      </c>
    </row>
    <row r="410" spans="15:15">
      <c r="O410" s="8">
        <f>IF(N410="","",IF(N410="Closed",IF(M410&lt;=L410,"On-Time","Delayed"),"Pending"))</f>
        <v>0</v>
      </c>
    </row>
    <row r="411" spans="15:15">
      <c r="O411" s="8">
        <f>IF(N411="","",IF(N411="Closed",IF(M411&lt;=L411,"On-Time","Delayed"),"Pending"))</f>
        <v>0</v>
      </c>
    </row>
    <row r="412" spans="15:15">
      <c r="O412" s="8">
        <f>IF(N412="","",IF(N412="Closed",IF(M412&lt;=L412,"On-Time","Delayed"),"Pending"))</f>
        <v>0</v>
      </c>
    </row>
    <row r="413" spans="15:15">
      <c r="O413" s="8">
        <f>IF(N413="","",IF(N413="Closed",IF(M413&lt;=L413,"On-Time","Delayed"),"Pending"))</f>
        <v>0</v>
      </c>
    </row>
    <row r="414" spans="15:15">
      <c r="O414" s="8">
        <f>IF(N414="","",IF(N414="Closed",IF(M414&lt;=L414,"On-Time","Delayed"),"Pending"))</f>
        <v>0</v>
      </c>
    </row>
    <row r="415" spans="15:15">
      <c r="O415" s="8">
        <f>IF(N415="","",IF(N415="Closed",IF(M415&lt;=L415,"On-Time","Delayed"),"Pending"))</f>
        <v>0</v>
      </c>
    </row>
    <row r="416" spans="15:15">
      <c r="O416" s="8">
        <f>IF(N416="","",IF(N416="Closed",IF(M416&lt;=L416,"On-Time","Delayed"),"Pending"))</f>
        <v>0</v>
      </c>
    </row>
    <row r="417" spans="15:15">
      <c r="O417" s="8">
        <f>IF(N417="","",IF(N417="Closed",IF(M417&lt;=L417,"On-Time","Delayed"),"Pending"))</f>
        <v>0</v>
      </c>
    </row>
    <row r="418" spans="15:15">
      <c r="O418" s="8">
        <f>IF(N418="","",IF(N418="Closed",IF(M418&lt;=L418,"On-Time","Delayed"),"Pending"))</f>
        <v>0</v>
      </c>
    </row>
    <row r="419" spans="15:15">
      <c r="O419" s="8">
        <f>IF(N419="","",IF(N419="Closed",IF(M419&lt;=L419,"On-Time","Delayed"),"Pending"))</f>
        <v>0</v>
      </c>
    </row>
    <row r="420" spans="15:15">
      <c r="O420" s="8">
        <f>IF(N420="","",IF(N420="Closed",IF(M420&lt;=L420,"On-Time","Delayed"),"Pending"))</f>
        <v>0</v>
      </c>
    </row>
    <row r="421" spans="15:15">
      <c r="O421" s="8">
        <f>IF(N421="","",IF(N421="Closed",IF(M421&lt;=L421,"On-Time","Delayed"),"Pending"))</f>
        <v>0</v>
      </c>
    </row>
    <row r="422" spans="15:15">
      <c r="O422" s="8">
        <f>IF(N422="","",IF(N422="Closed",IF(M422&lt;=L422,"On-Time","Delayed"),"Pending"))</f>
        <v>0</v>
      </c>
    </row>
    <row r="423" spans="15:15">
      <c r="O423" s="8">
        <f>IF(N423="","",IF(N423="Closed",IF(M423&lt;=L423,"On-Time","Delayed"),"Pending"))</f>
        <v>0</v>
      </c>
    </row>
    <row r="424" spans="15:15">
      <c r="O424" s="8">
        <f>IF(N424="","",IF(N424="Closed",IF(M424&lt;=L424,"On-Time","Delayed"),"Pending"))</f>
        <v>0</v>
      </c>
    </row>
    <row r="425" spans="15:15">
      <c r="O425" s="8">
        <f>IF(N425="","",IF(N425="Closed",IF(M425&lt;=L425,"On-Time","Delayed"),"Pending"))</f>
        <v>0</v>
      </c>
    </row>
    <row r="426" spans="15:15">
      <c r="O426" s="8">
        <f>IF(N426="","",IF(N426="Closed",IF(M426&lt;=L426,"On-Time","Delayed"),"Pending"))</f>
        <v>0</v>
      </c>
    </row>
    <row r="427" spans="15:15">
      <c r="O427" s="8">
        <f>IF(N427="","",IF(N427="Closed",IF(M427&lt;=L427,"On-Time","Delayed"),"Pending"))</f>
        <v>0</v>
      </c>
    </row>
    <row r="428" spans="15:15">
      <c r="O428" s="8">
        <f>IF(N428="","",IF(N428="Closed",IF(M428&lt;=L428,"On-Time","Delayed"),"Pending"))</f>
        <v>0</v>
      </c>
    </row>
    <row r="429" spans="15:15">
      <c r="O429" s="8">
        <f>IF(N429="","",IF(N429="Closed",IF(M429&lt;=L429,"On-Time","Delayed"),"Pending"))</f>
        <v>0</v>
      </c>
    </row>
    <row r="430" spans="15:15">
      <c r="O430" s="8">
        <f>IF(N430="","",IF(N430="Closed",IF(M430&lt;=L430,"On-Time","Delayed"),"Pending"))</f>
        <v>0</v>
      </c>
    </row>
    <row r="431" spans="15:15">
      <c r="O431" s="8">
        <f>IF(N431="","",IF(N431="Closed",IF(M431&lt;=L431,"On-Time","Delayed"),"Pending"))</f>
        <v>0</v>
      </c>
    </row>
    <row r="432" spans="15:15">
      <c r="O432" s="8">
        <f>IF(N432="","",IF(N432="Closed",IF(M432&lt;=L432,"On-Time","Delayed"),"Pending"))</f>
        <v>0</v>
      </c>
    </row>
    <row r="433" spans="15:15">
      <c r="O433" s="8">
        <f>IF(N433="","",IF(N433="Closed",IF(M433&lt;=L433,"On-Time","Delayed"),"Pending"))</f>
        <v>0</v>
      </c>
    </row>
    <row r="434" spans="15:15">
      <c r="O434" s="8">
        <f>IF(N434="","",IF(N434="Closed",IF(M434&lt;=L434,"On-Time","Delayed"),"Pending"))</f>
        <v>0</v>
      </c>
    </row>
    <row r="435" spans="15:15">
      <c r="O435" s="8">
        <f>IF(N435="","",IF(N435="Closed",IF(M435&lt;=L435,"On-Time","Delayed"),"Pending"))</f>
        <v>0</v>
      </c>
    </row>
    <row r="436" spans="15:15">
      <c r="O436" s="8">
        <f>IF(N436="","",IF(N436="Closed",IF(M436&lt;=L436,"On-Time","Delayed"),"Pending"))</f>
        <v>0</v>
      </c>
    </row>
    <row r="437" spans="15:15">
      <c r="O437" s="8">
        <f>IF(N437="","",IF(N437="Closed",IF(M437&lt;=L437,"On-Time","Delayed"),"Pending"))</f>
        <v>0</v>
      </c>
    </row>
    <row r="438" spans="15:15">
      <c r="O438" s="8">
        <f>IF(N438="","",IF(N438="Closed",IF(M438&lt;=L438,"On-Time","Delayed"),"Pending"))</f>
        <v>0</v>
      </c>
    </row>
    <row r="439" spans="15:15">
      <c r="O439" s="8">
        <f>IF(N439="","",IF(N439="Closed",IF(M439&lt;=L439,"On-Time","Delayed"),"Pending"))</f>
        <v>0</v>
      </c>
    </row>
    <row r="440" spans="15:15">
      <c r="O440" s="8">
        <f>IF(N440="","",IF(N440="Closed",IF(M440&lt;=L440,"On-Time","Delayed"),"Pending"))</f>
        <v>0</v>
      </c>
    </row>
    <row r="441" spans="15:15">
      <c r="O441" s="8">
        <f>IF(N441="","",IF(N441="Closed",IF(M441&lt;=L441,"On-Time","Delayed"),"Pending"))</f>
        <v>0</v>
      </c>
    </row>
    <row r="442" spans="15:15">
      <c r="O442" s="8">
        <f>IF(N442="","",IF(N442="Closed",IF(M442&lt;=L442,"On-Time","Delayed"),"Pending"))</f>
        <v>0</v>
      </c>
    </row>
    <row r="443" spans="15:15">
      <c r="O443" s="8">
        <f>IF(N443="","",IF(N443="Closed",IF(M443&lt;=L443,"On-Time","Delayed"),"Pending"))</f>
        <v>0</v>
      </c>
    </row>
    <row r="444" spans="15:15">
      <c r="O444" s="8">
        <f>IF(N444="","",IF(N444="Closed",IF(M444&lt;=L444,"On-Time","Delayed"),"Pending"))</f>
        <v>0</v>
      </c>
    </row>
    <row r="445" spans="15:15">
      <c r="O445" s="8">
        <f>IF(N445="","",IF(N445="Closed",IF(M445&lt;=L445,"On-Time","Delayed"),"Pending"))</f>
        <v>0</v>
      </c>
    </row>
    <row r="446" spans="15:15">
      <c r="O446" s="8">
        <f>IF(N446="","",IF(N446="Closed",IF(M446&lt;=L446,"On-Time","Delayed"),"Pending"))</f>
        <v>0</v>
      </c>
    </row>
    <row r="447" spans="15:15">
      <c r="O447" s="8">
        <f>IF(N447="","",IF(N447="Closed",IF(M447&lt;=L447,"On-Time","Delayed"),"Pending"))</f>
        <v>0</v>
      </c>
    </row>
    <row r="448" spans="15:15">
      <c r="O448" s="8">
        <f>IF(N448="","",IF(N448="Closed",IF(M448&lt;=L448,"On-Time","Delayed"),"Pending"))</f>
        <v>0</v>
      </c>
    </row>
    <row r="449" spans="15:15">
      <c r="O449" s="8">
        <f>IF(N449="","",IF(N449="Closed",IF(M449&lt;=L449,"On-Time","Delayed"),"Pending"))</f>
        <v>0</v>
      </c>
    </row>
    <row r="450" spans="15:15">
      <c r="O450" s="8">
        <f>IF(N450="","",IF(N450="Closed",IF(M450&lt;=L450,"On-Time","Delayed"),"Pending"))</f>
        <v>0</v>
      </c>
    </row>
    <row r="451" spans="15:15">
      <c r="O451" s="8">
        <f>IF(N451="","",IF(N451="Closed",IF(M451&lt;=L451,"On-Time","Delayed"),"Pending"))</f>
        <v>0</v>
      </c>
    </row>
    <row r="452" spans="15:15">
      <c r="O452" s="8">
        <f>IF(N452="","",IF(N452="Closed",IF(M452&lt;=L452,"On-Time","Delayed"),"Pending"))</f>
        <v>0</v>
      </c>
    </row>
    <row r="453" spans="15:15">
      <c r="O453" s="8">
        <f>IF(N453="","",IF(N453="Closed",IF(M453&lt;=L453,"On-Time","Delayed"),"Pending"))</f>
        <v>0</v>
      </c>
    </row>
    <row r="454" spans="15:15">
      <c r="O454" s="8">
        <f>IF(N454="","",IF(N454="Closed",IF(M454&lt;=L454,"On-Time","Delayed"),"Pending"))</f>
        <v>0</v>
      </c>
    </row>
    <row r="455" spans="15:15">
      <c r="O455" s="8">
        <f>IF(N455="","",IF(N455="Closed",IF(M455&lt;=L455,"On-Time","Delayed"),"Pending"))</f>
        <v>0</v>
      </c>
    </row>
    <row r="456" spans="15:15">
      <c r="O456" s="8">
        <f>IF(N456="","",IF(N456="Closed",IF(M456&lt;=L456,"On-Time","Delayed"),"Pending"))</f>
        <v>0</v>
      </c>
    </row>
    <row r="457" spans="15:15">
      <c r="O457" s="8">
        <f>IF(N457="","",IF(N457="Closed",IF(M457&lt;=L457,"On-Time","Delayed"),"Pending"))</f>
        <v>0</v>
      </c>
    </row>
    <row r="458" spans="15:15">
      <c r="O458" s="8">
        <f>IF(N458="","",IF(N458="Closed",IF(M458&lt;=L458,"On-Time","Delayed"),"Pending"))</f>
        <v>0</v>
      </c>
    </row>
    <row r="459" spans="15:15">
      <c r="O459" s="8">
        <f>IF(N459="","",IF(N459="Closed",IF(M459&lt;=L459,"On-Time","Delayed"),"Pending"))</f>
        <v>0</v>
      </c>
    </row>
    <row r="460" spans="15:15">
      <c r="O460" s="8">
        <f>IF(N460="","",IF(N460="Closed",IF(M460&lt;=L460,"On-Time","Delayed"),"Pending"))</f>
        <v>0</v>
      </c>
    </row>
    <row r="461" spans="15:15">
      <c r="O461" s="8">
        <f>IF(N461="","",IF(N461="Closed",IF(M461&lt;=L461,"On-Time","Delayed"),"Pending"))</f>
        <v>0</v>
      </c>
    </row>
    <row r="462" spans="15:15">
      <c r="O462" s="8">
        <f>IF(N462="","",IF(N462="Closed",IF(M462&lt;=L462,"On-Time","Delayed"),"Pending"))</f>
        <v>0</v>
      </c>
    </row>
    <row r="463" spans="15:15">
      <c r="O463" s="8">
        <f>IF(N463="","",IF(N463="Closed",IF(M463&lt;=L463,"On-Time","Delayed"),"Pending"))</f>
        <v>0</v>
      </c>
    </row>
    <row r="464" spans="15:15">
      <c r="O464" s="8">
        <f>IF(N464="","",IF(N464="Closed",IF(M464&lt;=L464,"On-Time","Delayed"),"Pending"))</f>
        <v>0</v>
      </c>
    </row>
    <row r="465" spans="15:15">
      <c r="O465" s="8">
        <f>IF(N465="","",IF(N465="Closed",IF(M465&lt;=L465,"On-Time","Delayed"),"Pending"))</f>
        <v>0</v>
      </c>
    </row>
    <row r="466" spans="15:15">
      <c r="O466" s="8">
        <f>IF(N466="","",IF(N466="Closed",IF(M466&lt;=L466,"On-Time","Delayed"),"Pending"))</f>
        <v>0</v>
      </c>
    </row>
    <row r="467" spans="15:15">
      <c r="O467" s="8">
        <f>IF(N467="","",IF(N467="Closed",IF(M467&lt;=L467,"On-Time","Delayed"),"Pending"))</f>
        <v>0</v>
      </c>
    </row>
    <row r="468" spans="15:15">
      <c r="O468" s="8">
        <f>IF(N468="","",IF(N468="Closed",IF(M468&lt;=L468,"On-Time","Delayed"),"Pending"))</f>
        <v>0</v>
      </c>
    </row>
    <row r="469" spans="15:15">
      <c r="O469" s="8">
        <f>IF(N469="","",IF(N469="Closed",IF(M469&lt;=L469,"On-Time","Delayed"),"Pending"))</f>
        <v>0</v>
      </c>
    </row>
    <row r="470" spans="15:15">
      <c r="O470" s="8">
        <f>IF(N470="","",IF(N470="Closed",IF(M470&lt;=L470,"On-Time","Delayed"),"Pending"))</f>
        <v>0</v>
      </c>
    </row>
    <row r="471" spans="15:15">
      <c r="O471" s="8">
        <f>IF(N471="","",IF(N471="Closed",IF(M471&lt;=L471,"On-Time","Delayed"),"Pending"))</f>
        <v>0</v>
      </c>
    </row>
    <row r="472" spans="15:15">
      <c r="O472" s="8">
        <f>IF(N472="","",IF(N472="Closed",IF(M472&lt;=L472,"On-Time","Delayed"),"Pending"))</f>
        <v>0</v>
      </c>
    </row>
    <row r="473" spans="15:15">
      <c r="O473" s="8">
        <f>IF(N473="","",IF(N473="Closed",IF(M473&lt;=L473,"On-Time","Delayed"),"Pending"))</f>
        <v>0</v>
      </c>
    </row>
    <row r="474" spans="15:15">
      <c r="O474" s="8">
        <f>IF(N474="","",IF(N474="Closed",IF(M474&lt;=L474,"On-Time","Delayed"),"Pending"))</f>
        <v>0</v>
      </c>
    </row>
    <row r="475" spans="15:15">
      <c r="O475" s="8">
        <f>IF(N475="","",IF(N475="Closed",IF(M475&lt;=L475,"On-Time","Delayed"),"Pending"))</f>
        <v>0</v>
      </c>
    </row>
    <row r="476" spans="15:15">
      <c r="O476" s="8">
        <f>IF(N476="","",IF(N476="Closed",IF(M476&lt;=L476,"On-Time","Delayed"),"Pending"))</f>
        <v>0</v>
      </c>
    </row>
    <row r="477" spans="15:15">
      <c r="O477" s="8">
        <f>IF(N477="","",IF(N477="Closed",IF(M477&lt;=L477,"On-Time","Delayed"),"Pending"))</f>
        <v>0</v>
      </c>
    </row>
    <row r="478" spans="15:15">
      <c r="O478" s="8">
        <f>IF(N478="","",IF(N478="Closed",IF(M478&lt;=L478,"On-Time","Delayed"),"Pending"))</f>
        <v>0</v>
      </c>
    </row>
    <row r="479" spans="15:15">
      <c r="O479" s="8">
        <f>IF(N479="","",IF(N479="Closed",IF(M479&lt;=L479,"On-Time","Delayed"),"Pending"))</f>
        <v>0</v>
      </c>
    </row>
    <row r="480" spans="15:15">
      <c r="O480" s="8">
        <f>IF(N480="","",IF(N480="Closed",IF(M480&lt;=L480,"On-Time","Delayed"),"Pending"))</f>
        <v>0</v>
      </c>
    </row>
    <row r="481" spans="15:15">
      <c r="O481" s="8">
        <f>IF(N481="","",IF(N481="Closed",IF(M481&lt;=L481,"On-Time","Delayed"),"Pending"))</f>
        <v>0</v>
      </c>
    </row>
    <row r="482" spans="15:15">
      <c r="O482" s="8">
        <f>IF(N482="","",IF(N482="Closed",IF(M482&lt;=L482,"On-Time","Delayed"),"Pending"))</f>
        <v>0</v>
      </c>
    </row>
    <row r="483" spans="15:15">
      <c r="O483" s="8">
        <f>IF(N483="","",IF(N483="Closed",IF(M483&lt;=L483,"On-Time","Delayed"),"Pending"))</f>
        <v>0</v>
      </c>
    </row>
    <row r="484" spans="15:15">
      <c r="O484" s="8">
        <f>IF(N484="","",IF(N484="Closed",IF(M484&lt;=L484,"On-Time","Delayed"),"Pending"))</f>
        <v>0</v>
      </c>
    </row>
    <row r="485" spans="15:15">
      <c r="O485" s="8">
        <f>IF(N485="","",IF(N485="Closed",IF(M485&lt;=L485,"On-Time","Delayed"),"Pending"))</f>
        <v>0</v>
      </c>
    </row>
    <row r="486" spans="15:15">
      <c r="O486" s="8">
        <f>IF(N486="","",IF(N486="Closed",IF(M486&lt;=L486,"On-Time","Delayed"),"Pending"))</f>
        <v>0</v>
      </c>
    </row>
    <row r="487" spans="15:15">
      <c r="O487" s="8">
        <f>IF(N487="","",IF(N487="Closed",IF(M487&lt;=L487,"On-Time","Delayed"),"Pending"))</f>
        <v>0</v>
      </c>
    </row>
    <row r="488" spans="15:15">
      <c r="O488" s="8">
        <f>IF(N488="","",IF(N488="Closed",IF(M488&lt;=L488,"On-Time","Delayed"),"Pending"))</f>
        <v>0</v>
      </c>
    </row>
    <row r="489" spans="15:15">
      <c r="O489" s="8">
        <f>IF(N489="","",IF(N489="Closed",IF(M489&lt;=L489,"On-Time","Delayed"),"Pending"))</f>
        <v>0</v>
      </c>
    </row>
    <row r="490" spans="15:15">
      <c r="O490" s="8">
        <f>IF(N490="","",IF(N490="Closed",IF(M490&lt;=L490,"On-Time","Delayed"),"Pending"))</f>
        <v>0</v>
      </c>
    </row>
    <row r="491" spans="15:15">
      <c r="O491" s="8">
        <f>IF(N491="","",IF(N491="Closed",IF(M491&lt;=L491,"On-Time","Delayed"),"Pending"))</f>
        <v>0</v>
      </c>
    </row>
    <row r="492" spans="15:15">
      <c r="O492" s="8">
        <f>IF(N492="","",IF(N492="Closed",IF(M492&lt;=L492,"On-Time","Delayed"),"Pending"))</f>
        <v>0</v>
      </c>
    </row>
    <row r="493" spans="15:15">
      <c r="O493" s="8">
        <f>IF(N493="","",IF(N493="Closed",IF(M493&lt;=L493,"On-Time","Delayed"),"Pending"))</f>
        <v>0</v>
      </c>
    </row>
    <row r="494" spans="15:15">
      <c r="O494" s="8">
        <f>IF(N494="","",IF(N494="Closed",IF(M494&lt;=L494,"On-Time","Delayed"),"Pending"))</f>
        <v>0</v>
      </c>
    </row>
    <row r="495" spans="15:15">
      <c r="O495" s="8">
        <f>IF(N495="","",IF(N495="Closed",IF(M495&lt;=L495,"On-Time","Delayed"),"Pending"))</f>
        <v>0</v>
      </c>
    </row>
    <row r="496" spans="15:15">
      <c r="O496" s="8">
        <f>IF(N496="","",IF(N496="Closed",IF(M496&lt;=L496,"On-Time","Delayed"),"Pending"))</f>
        <v>0</v>
      </c>
    </row>
    <row r="497" spans="15:15">
      <c r="O497" s="8">
        <f>IF(N497="","",IF(N497="Closed",IF(M497&lt;=L497,"On-Time","Delayed"),"Pending"))</f>
        <v>0</v>
      </c>
    </row>
    <row r="498" spans="15:15">
      <c r="O498" s="8">
        <f>IF(N498="","",IF(N498="Closed",IF(M498&lt;=L498,"On-Time","Delayed"),"Pending"))</f>
        <v>0</v>
      </c>
    </row>
    <row r="499" spans="15:15">
      <c r="O499" s="8">
        <f>IF(N499="","",IF(N499="Closed",IF(M499&lt;=L499,"On-Time","Delayed"),"Pending"))</f>
        <v>0</v>
      </c>
    </row>
    <row r="500" spans="15:15">
      <c r="O500" s="8">
        <f>IF(N500="","",IF(N500="Closed",IF(M500&lt;=L500,"On-Time","Delayed"),"Pending"))</f>
        <v>0</v>
      </c>
    </row>
    <row r="501" spans="15:15">
      <c r="O501" s="8">
        <f>IF(N501="","",IF(N501="Closed",IF(M501&lt;=L501,"On-Time","Delayed"),"Pending"))</f>
        <v>0</v>
      </c>
    </row>
    <row r="502" spans="15:15">
      <c r="O502" s="8">
        <f>IF(N502="","",IF(N502="Closed",IF(M502&lt;=L502,"On-Time","Delayed"),"Pending"))</f>
        <v>0</v>
      </c>
    </row>
    <row r="503" spans="15:15">
      <c r="O503" s="8">
        <f>IF(N503="","",IF(N503="Closed",IF(M503&lt;=L503,"On-Time","Delayed"),"Pending"))</f>
        <v>0</v>
      </c>
    </row>
    <row r="504" spans="15:15">
      <c r="O504" s="8">
        <f>IF(N504="","",IF(N504="Closed",IF(M504&lt;=L504,"On-Time","Delayed"),"Pending"))</f>
        <v>0</v>
      </c>
    </row>
    <row r="505" spans="15:15">
      <c r="O505" s="8">
        <f>IF(N505="","",IF(N505="Closed",IF(M505&lt;=L505,"On-Time","Delayed"),"Pending"))</f>
        <v>0</v>
      </c>
    </row>
    <row r="506" spans="15:15">
      <c r="O506" s="8">
        <f>IF(N506="","",IF(N506="Closed",IF(M506&lt;=L506,"On-Time","Delayed"),"Pending"))</f>
        <v>0</v>
      </c>
    </row>
    <row r="507" spans="15:15">
      <c r="O507" s="8">
        <f>IF(N507="","",IF(N507="Closed",IF(M507&lt;=L507,"On-Time","Delayed"),"Pending"))</f>
        <v>0</v>
      </c>
    </row>
    <row r="508" spans="15:15">
      <c r="O508" s="8">
        <f>IF(N508="","",IF(N508="Closed",IF(M508&lt;=L508,"On-Time","Delayed"),"Pending"))</f>
        <v>0</v>
      </c>
    </row>
    <row r="509" spans="15:15">
      <c r="O509" s="8">
        <f>IF(N509="","",IF(N509="Closed",IF(M509&lt;=L509,"On-Time","Delayed"),"Pending"))</f>
        <v>0</v>
      </c>
    </row>
    <row r="510" spans="15:15">
      <c r="O510" s="8">
        <f>IF(N510="","",IF(N510="Closed",IF(M510&lt;=L510,"On-Time","Delayed"),"Pending"))</f>
        <v>0</v>
      </c>
    </row>
    <row r="511" spans="15:15">
      <c r="O511" s="8">
        <f>IF(N511="","",IF(N511="Closed",IF(M511&lt;=L511,"On-Time","Delayed"),"Pending"))</f>
        <v>0</v>
      </c>
    </row>
    <row r="512" spans="15:15">
      <c r="O512" s="8">
        <f>IF(N512="","",IF(N512="Closed",IF(M512&lt;=L512,"On-Time","Delayed"),"Pending"))</f>
        <v>0</v>
      </c>
    </row>
    <row r="513" spans="15:15">
      <c r="O513" s="8">
        <f>IF(N513="","",IF(N513="Closed",IF(M513&lt;=L513,"On-Time","Delayed"),"Pending"))</f>
        <v>0</v>
      </c>
    </row>
    <row r="514" spans="15:15">
      <c r="O514" s="8">
        <f>IF(N514="","",IF(N514="Closed",IF(M514&lt;=L514,"On-Time","Delayed"),"Pending"))</f>
        <v>0</v>
      </c>
    </row>
    <row r="515" spans="15:15">
      <c r="O515" s="8">
        <f>IF(N515="","",IF(N515="Closed",IF(M515&lt;=L515,"On-Time","Delayed"),"Pending"))</f>
        <v>0</v>
      </c>
    </row>
    <row r="516" spans="15:15">
      <c r="O516" s="8">
        <f>IF(N516="","",IF(N516="Closed",IF(M516&lt;=L516,"On-Time","Delayed"),"Pending"))</f>
        <v>0</v>
      </c>
    </row>
    <row r="517" spans="15:15">
      <c r="O517" s="8">
        <f>IF(N517="","",IF(N517="Closed",IF(M517&lt;=L517,"On-Time","Delayed"),"Pending"))</f>
        <v>0</v>
      </c>
    </row>
    <row r="518" spans="15:15">
      <c r="O518" s="8">
        <f>IF(N518="","",IF(N518="Closed",IF(M518&lt;=L518,"On-Time","Delayed"),"Pending"))</f>
        <v>0</v>
      </c>
    </row>
    <row r="519" spans="15:15">
      <c r="O519" s="8">
        <f>IF(N519="","",IF(N519="Closed",IF(M519&lt;=L519,"On-Time","Delayed"),"Pending"))</f>
        <v>0</v>
      </c>
    </row>
    <row r="520" spans="15:15">
      <c r="O520" s="8">
        <f>IF(N520="","",IF(N520="Closed",IF(M520&lt;=L520,"On-Time","Delayed"),"Pending"))</f>
        <v>0</v>
      </c>
    </row>
    <row r="521" spans="15:15">
      <c r="O521" s="8">
        <f>IF(N521="","",IF(N521="Closed",IF(M521&lt;=L521,"On-Time","Delayed"),"Pending"))</f>
        <v>0</v>
      </c>
    </row>
    <row r="522" spans="15:15">
      <c r="O522" s="8">
        <f>IF(N522="","",IF(N522="Closed",IF(M522&lt;=L522,"On-Time","Delayed"),"Pending"))</f>
        <v>0</v>
      </c>
    </row>
    <row r="523" spans="15:15">
      <c r="O523" s="8">
        <f>IF(N523="","",IF(N523="Closed",IF(M523&lt;=L523,"On-Time","Delayed"),"Pending"))</f>
        <v>0</v>
      </c>
    </row>
    <row r="524" spans="15:15">
      <c r="O524" s="8">
        <f>IF(N524="","",IF(N524="Closed",IF(M524&lt;=L524,"On-Time","Delayed"),"Pending"))</f>
        <v>0</v>
      </c>
    </row>
    <row r="525" spans="15:15">
      <c r="O525" s="8">
        <f>IF(N525="","",IF(N525="Closed",IF(M525&lt;=L525,"On-Time","Delayed"),"Pending"))</f>
        <v>0</v>
      </c>
    </row>
    <row r="526" spans="15:15">
      <c r="O526" s="8">
        <f>IF(N526="","",IF(N526="Closed",IF(M526&lt;=L526,"On-Time","Delayed"),"Pending"))</f>
        <v>0</v>
      </c>
    </row>
    <row r="527" spans="15:15">
      <c r="O527" s="8">
        <f>IF(N527="","",IF(N527="Closed",IF(M527&lt;=L527,"On-Time","Delayed"),"Pending"))</f>
        <v>0</v>
      </c>
    </row>
    <row r="528" spans="15:15">
      <c r="O528" s="8">
        <f>IF(N528="","",IF(N528="Closed",IF(M528&lt;=L528,"On-Time","Delayed"),"Pending"))</f>
        <v>0</v>
      </c>
    </row>
    <row r="529" spans="15:15">
      <c r="O529" s="8">
        <f>IF(N529="","",IF(N529="Closed",IF(M529&lt;=L529,"On-Time","Delayed"),"Pending"))</f>
        <v>0</v>
      </c>
    </row>
    <row r="530" spans="15:15">
      <c r="O530" s="8">
        <f>IF(N530="","",IF(N530="Closed",IF(M530&lt;=L530,"On-Time","Delayed"),"Pending"))</f>
        <v>0</v>
      </c>
    </row>
    <row r="531" spans="15:15">
      <c r="O531" s="8">
        <f>IF(N531="","",IF(N531="Closed",IF(M531&lt;=L531,"On-Time","Delayed"),"Pending"))</f>
        <v>0</v>
      </c>
    </row>
    <row r="532" spans="15:15">
      <c r="O532" s="8">
        <f>IF(N532="","",IF(N532="Closed",IF(M532&lt;=L532,"On-Time","Delayed"),"Pending"))</f>
        <v>0</v>
      </c>
    </row>
    <row r="533" spans="15:15">
      <c r="O533" s="8">
        <f>IF(N533="","",IF(N533="Closed",IF(M533&lt;=L533,"On-Time","Delayed"),"Pending"))</f>
        <v>0</v>
      </c>
    </row>
    <row r="534" spans="15:15">
      <c r="O534" s="8">
        <f>IF(N534="","",IF(N534="Closed",IF(M534&lt;=L534,"On-Time","Delayed"),"Pending"))</f>
        <v>0</v>
      </c>
    </row>
    <row r="535" spans="15:15">
      <c r="O535" s="8">
        <f>IF(N535="","",IF(N535="Closed",IF(M535&lt;=L535,"On-Time","Delayed"),"Pending"))</f>
        <v>0</v>
      </c>
    </row>
    <row r="536" spans="15:15">
      <c r="O536" s="8">
        <f>IF(N536="","",IF(N536="Closed",IF(M536&lt;=L536,"On-Time","Delayed"),"Pending"))</f>
        <v>0</v>
      </c>
    </row>
    <row r="537" spans="15:15">
      <c r="O537" s="8">
        <f>IF(N537="","",IF(N537="Closed",IF(M537&lt;=L537,"On-Time","Delayed"),"Pending"))</f>
        <v>0</v>
      </c>
    </row>
    <row r="538" spans="15:15">
      <c r="O538" s="8">
        <f>IF(N538="","",IF(N538="Closed",IF(M538&lt;=L538,"On-Time","Delayed"),"Pending"))</f>
        <v>0</v>
      </c>
    </row>
    <row r="539" spans="15:15">
      <c r="O539" s="8">
        <f>IF(N539="","",IF(N539="Closed",IF(M539&lt;=L539,"On-Time","Delayed"),"Pending"))</f>
        <v>0</v>
      </c>
    </row>
    <row r="540" spans="15:15">
      <c r="O540" s="8">
        <f>IF(N540="","",IF(N540="Closed",IF(M540&lt;=L540,"On-Time","Delayed"),"Pending"))</f>
        <v>0</v>
      </c>
    </row>
    <row r="541" spans="15:15">
      <c r="O541" s="8">
        <f>IF(N541="","",IF(N541="Closed",IF(M541&lt;=L541,"On-Time","Delayed"),"Pending"))</f>
        <v>0</v>
      </c>
    </row>
    <row r="542" spans="15:15">
      <c r="O542" s="8">
        <f>IF(N542="","",IF(N542="Closed",IF(M542&lt;=L542,"On-Time","Delayed"),"Pending"))</f>
        <v>0</v>
      </c>
    </row>
    <row r="543" spans="15:15">
      <c r="O543" s="8">
        <f>IF(N543="","",IF(N543="Closed",IF(M543&lt;=L543,"On-Time","Delayed"),"Pending"))</f>
        <v>0</v>
      </c>
    </row>
    <row r="544" spans="15:15">
      <c r="O544" s="8">
        <f>IF(N544="","",IF(N544="Closed",IF(M544&lt;=L544,"On-Time","Delayed"),"Pending"))</f>
        <v>0</v>
      </c>
    </row>
    <row r="545" spans="15:15">
      <c r="O545" s="8">
        <f>IF(N545="","",IF(N545="Closed",IF(M545&lt;=L545,"On-Time","Delayed"),"Pending"))</f>
        <v>0</v>
      </c>
    </row>
    <row r="546" spans="15:15">
      <c r="O546" s="8">
        <f>IF(N546="","",IF(N546="Closed",IF(M546&lt;=L546,"On-Time","Delayed"),"Pending"))</f>
        <v>0</v>
      </c>
    </row>
    <row r="547" spans="15:15">
      <c r="O547" s="8">
        <f>IF(N547="","",IF(N547="Closed",IF(M547&lt;=L547,"On-Time","Delayed"),"Pending"))</f>
        <v>0</v>
      </c>
    </row>
    <row r="548" spans="15:15">
      <c r="O548" s="8">
        <f>IF(N548="","",IF(N548="Closed",IF(M548&lt;=L548,"On-Time","Delayed"),"Pending"))</f>
        <v>0</v>
      </c>
    </row>
    <row r="549" spans="15:15">
      <c r="O549" s="8">
        <f>IF(N549="","",IF(N549="Closed",IF(M549&lt;=L549,"On-Time","Delayed"),"Pending"))</f>
        <v>0</v>
      </c>
    </row>
    <row r="550" spans="15:15">
      <c r="O550" s="8">
        <f>IF(N550="","",IF(N550="Closed",IF(M550&lt;=L550,"On-Time","Delayed"),"Pending"))</f>
        <v>0</v>
      </c>
    </row>
    <row r="551" spans="15:15">
      <c r="O551" s="8">
        <f>IF(N551="","",IF(N551="Closed",IF(M551&lt;=L551,"On-Time","Delayed"),"Pending"))</f>
        <v>0</v>
      </c>
    </row>
    <row r="552" spans="15:15">
      <c r="O552" s="8">
        <f>IF(N552="","",IF(N552="Closed",IF(M552&lt;=L552,"On-Time","Delayed"),"Pending"))</f>
        <v>0</v>
      </c>
    </row>
    <row r="553" spans="15:15">
      <c r="O553" s="8">
        <f>IF(N553="","",IF(N553="Closed",IF(M553&lt;=L553,"On-Time","Delayed"),"Pending"))</f>
        <v>0</v>
      </c>
    </row>
    <row r="554" spans="15:15">
      <c r="O554" s="8">
        <f>IF(N554="","",IF(N554="Closed",IF(M554&lt;=L554,"On-Time","Delayed"),"Pending"))</f>
        <v>0</v>
      </c>
    </row>
    <row r="555" spans="15:15">
      <c r="O555" s="8">
        <f>IF(N555="","",IF(N555="Closed",IF(M555&lt;=L555,"On-Time","Delayed"),"Pending"))</f>
        <v>0</v>
      </c>
    </row>
    <row r="556" spans="15:15">
      <c r="O556" s="8">
        <f>IF(N556="","",IF(N556="Closed",IF(M556&lt;=L556,"On-Time","Delayed"),"Pending"))</f>
        <v>0</v>
      </c>
    </row>
    <row r="557" spans="15:15">
      <c r="O557" s="8">
        <f>IF(N557="","",IF(N557="Closed",IF(M557&lt;=L557,"On-Time","Delayed"),"Pending"))</f>
        <v>0</v>
      </c>
    </row>
    <row r="558" spans="15:15">
      <c r="O558" s="8">
        <f>IF(N558="","",IF(N558="Closed",IF(M558&lt;=L558,"On-Time","Delayed"),"Pending"))</f>
        <v>0</v>
      </c>
    </row>
    <row r="559" spans="15:15">
      <c r="O559" s="8">
        <f>IF(N559="","",IF(N559="Closed",IF(M559&lt;=L559,"On-Time","Delayed"),"Pending"))</f>
        <v>0</v>
      </c>
    </row>
    <row r="560" spans="15:15">
      <c r="O560" s="8">
        <f>IF(N560="","",IF(N560="Closed",IF(M560&lt;=L560,"On-Time","Delayed"),"Pending"))</f>
        <v>0</v>
      </c>
    </row>
    <row r="561" spans="15:15">
      <c r="O561" s="8">
        <f>IF(N561="","",IF(N561="Closed",IF(M561&lt;=L561,"On-Time","Delayed"),"Pending"))</f>
        <v>0</v>
      </c>
    </row>
    <row r="562" spans="15:15">
      <c r="O562" s="8">
        <f>IF(N562="","",IF(N562="Closed",IF(M562&lt;=L562,"On-Time","Delayed"),"Pending"))</f>
        <v>0</v>
      </c>
    </row>
    <row r="563" spans="15:15">
      <c r="O563" s="8">
        <f>IF(N563="","",IF(N563="Closed",IF(M563&lt;=L563,"On-Time","Delayed"),"Pending"))</f>
        <v>0</v>
      </c>
    </row>
    <row r="564" spans="15:15">
      <c r="O564" s="8">
        <f>IF(N564="","",IF(N564="Closed",IF(M564&lt;=L564,"On-Time","Delayed"),"Pending"))</f>
        <v>0</v>
      </c>
    </row>
    <row r="565" spans="15:15">
      <c r="O565" s="8">
        <f>IF(N565="","",IF(N565="Closed",IF(M565&lt;=L565,"On-Time","Delayed"),"Pending"))</f>
        <v>0</v>
      </c>
    </row>
    <row r="566" spans="15:15">
      <c r="O566" s="8">
        <f>IF(N566="","",IF(N566="Closed",IF(M566&lt;=L566,"On-Time","Delayed"),"Pending"))</f>
        <v>0</v>
      </c>
    </row>
    <row r="567" spans="15:15">
      <c r="O567" s="8">
        <f>IF(N567="","",IF(N567="Closed",IF(M567&lt;=L567,"On-Time","Delayed"),"Pending"))</f>
        <v>0</v>
      </c>
    </row>
    <row r="568" spans="15:15">
      <c r="O568" s="8">
        <f>IF(N568="","",IF(N568="Closed",IF(M568&lt;=L568,"On-Time","Delayed"),"Pending"))</f>
        <v>0</v>
      </c>
    </row>
    <row r="569" spans="15:15">
      <c r="O569" s="8">
        <f>IF(N569="","",IF(N569="Closed",IF(M569&lt;=L569,"On-Time","Delayed"),"Pending"))</f>
        <v>0</v>
      </c>
    </row>
    <row r="570" spans="15:15">
      <c r="O570" s="8">
        <f>IF(N570="","",IF(N570="Closed",IF(M570&lt;=L570,"On-Time","Delayed"),"Pending"))</f>
        <v>0</v>
      </c>
    </row>
    <row r="571" spans="15:15">
      <c r="O571" s="8">
        <f>IF(N571="","",IF(N571="Closed",IF(M571&lt;=L571,"On-Time","Delayed"),"Pending"))</f>
        <v>0</v>
      </c>
    </row>
    <row r="572" spans="15:15">
      <c r="O572" s="8">
        <f>IF(N572="","",IF(N572="Closed",IF(M572&lt;=L572,"On-Time","Delayed"),"Pending"))</f>
        <v>0</v>
      </c>
    </row>
    <row r="573" spans="15:15">
      <c r="O573" s="8">
        <f>IF(N573="","",IF(N573="Closed",IF(M573&lt;=L573,"On-Time","Delayed"),"Pending"))</f>
        <v>0</v>
      </c>
    </row>
    <row r="574" spans="15:15">
      <c r="O574" s="8">
        <f>IF(N574="","",IF(N574="Closed",IF(M574&lt;=L574,"On-Time","Delayed"),"Pending"))</f>
        <v>0</v>
      </c>
    </row>
    <row r="575" spans="15:15">
      <c r="O575" s="8">
        <f>IF(N575="","",IF(N575="Closed",IF(M575&lt;=L575,"On-Time","Delayed"),"Pending"))</f>
        <v>0</v>
      </c>
    </row>
    <row r="576" spans="15:15">
      <c r="O576" s="8">
        <f>IF(N576="","",IF(N576="Closed",IF(M576&lt;=L576,"On-Time","Delayed"),"Pending"))</f>
        <v>0</v>
      </c>
    </row>
    <row r="577" spans="15:15">
      <c r="O577" s="8">
        <f>IF(N577="","",IF(N577="Closed",IF(M577&lt;=L577,"On-Time","Delayed"),"Pending"))</f>
        <v>0</v>
      </c>
    </row>
    <row r="578" spans="15:15">
      <c r="O578" s="8">
        <f>IF(N578="","",IF(N578="Closed",IF(M578&lt;=L578,"On-Time","Delayed"),"Pending"))</f>
        <v>0</v>
      </c>
    </row>
    <row r="579" spans="15:15">
      <c r="O579" s="8">
        <f>IF(N579="","",IF(N579="Closed",IF(M579&lt;=L579,"On-Time","Delayed"),"Pending"))</f>
        <v>0</v>
      </c>
    </row>
    <row r="580" spans="15:15">
      <c r="O580" s="8">
        <f>IF(N580="","",IF(N580="Closed",IF(M580&lt;=L580,"On-Time","Delayed"),"Pending"))</f>
        <v>0</v>
      </c>
    </row>
    <row r="581" spans="15:15">
      <c r="O581" s="8">
        <f>IF(N581="","",IF(N581="Closed",IF(M581&lt;=L581,"On-Time","Delayed"),"Pending"))</f>
        <v>0</v>
      </c>
    </row>
    <row r="582" spans="15:15">
      <c r="O582" s="8">
        <f>IF(N582="","",IF(N582="Closed",IF(M582&lt;=L582,"On-Time","Delayed"),"Pending"))</f>
        <v>0</v>
      </c>
    </row>
    <row r="583" spans="15:15">
      <c r="O583" s="8">
        <f>IF(N583="","",IF(N583="Closed",IF(M583&lt;=L583,"On-Time","Delayed"),"Pending"))</f>
        <v>0</v>
      </c>
    </row>
    <row r="584" spans="15:15">
      <c r="O584" s="8">
        <f>IF(N584="","",IF(N584="Closed",IF(M584&lt;=L584,"On-Time","Delayed"),"Pending"))</f>
        <v>0</v>
      </c>
    </row>
    <row r="585" spans="15:15">
      <c r="O585" s="8">
        <f>IF(N585="","",IF(N585="Closed",IF(M585&lt;=L585,"On-Time","Delayed"),"Pending"))</f>
        <v>0</v>
      </c>
    </row>
    <row r="586" spans="15:15">
      <c r="O586" s="8">
        <f>IF(N586="","",IF(N586="Closed",IF(M586&lt;=L586,"On-Time","Delayed"),"Pending"))</f>
        <v>0</v>
      </c>
    </row>
    <row r="587" spans="15:15">
      <c r="O587" s="8">
        <f>IF(N587="","",IF(N587="Closed",IF(M587&lt;=L587,"On-Time","Delayed"),"Pending"))</f>
        <v>0</v>
      </c>
    </row>
    <row r="588" spans="15:15">
      <c r="O588" s="8">
        <f>IF(N588="","",IF(N588="Closed",IF(M588&lt;=L588,"On-Time","Delayed"),"Pending"))</f>
        <v>0</v>
      </c>
    </row>
    <row r="589" spans="15:15">
      <c r="O589" s="8">
        <f>IF(N589="","",IF(N589="Closed",IF(M589&lt;=L589,"On-Time","Delayed"),"Pending"))</f>
        <v>0</v>
      </c>
    </row>
    <row r="590" spans="15:15">
      <c r="O590" s="8">
        <f>IF(N590="","",IF(N590="Closed",IF(M590&lt;=L590,"On-Time","Delayed"),"Pending"))</f>
        <v>0</v>
      </c>
    </row>
    <row r="591" spans="15:15">
      <c r="O591" s="8">
        <f>IF(N591="","",IF(N591="Closed",IF(M591&lt;=L591,"On-Time","Delayed"),"Pending"))</f>
        <v>0</v>
      </c>
    </row>
    <row r="592" spans="15:15">
      <c r="O592" s="8">
        <f>IF(N592="","",IF(N592="Closed",IF(M592&lt;=L592,"On-Time","Delayed"),"Pending"))</f>
        <v>0</v>
      </c>
    </row>
    <row r="593" spans="15:15">
      <c r="O593" s="8">
        <f>IF(N593="","",IF(N593="Closed",IF(M593&lt;=L593,"On-Time","Delayed"),"Pending"))</f>
        <v>0</v>
      </c>
    </row>
    <row r="594" spans="15:15">
      <c r="O594" s="8">
        <f>IF(N594="","",IF(N594="Closed",IF(M594&lt;=L594,"On-Time","Delayed"),"Pending"))</f>
        <v>0</v>
      </c>
    </row>
    <row r="595" spans="15:15">
      <c r="O595" s="8">
        <f>IF(N595="","",IF(N595="Closed",IF(M595&lt;=L595,"On-Time","Delayed"),"Pending"))</f>
        <v>0</v>
      </c>
    </row>
    <row r="596" spans="15:15">
      <c r="O596" s="8">
        <f>IF(N596="","",IF(N596="Closed",IF(M596&lt;=L596,"On-Time","Delayed"),"Pending"))</f>
        <v>0</v>
      </c>
    </row>
    <row r="597" spans="15:15">
      <c r="O597" s="8">
        <f>IF(N597="","",IF(N597="Closed",IF(M597&lt;=L597,"On-Time","Delayed"),"Pending"))</f>
        <v>0</v>
      </c>
    </row>
    <row r="598" spans="15:15">
      <c r="O598" s="8">
        <f>IF(N598="","",IF(N598="Closed",IF(M598&lt;=L598,"On-Time","Delayed"),"Pending"))</f>
        <v>0</v>
      </c>
    </row>
    <row r="599" spans="15:15">
      <c r="O599" s="8">
        <f>IF(N599="","",IF(N599="Closed",IF(M599&lt;=L599,"On-Time","Delayed"),"Pending"))</f>
        <v>0</v>
      </c>
    </row>
    <row r="600" spans="15:15">
      <c r="O600" s="8">
        <f>IF(N600="","",IF(N600="Closed",IF(M600&lt;=L600,"On-Time","Delayed"),"Pending"))</f>
        <v>0</v>
      </c>
    </row>
    <row r="601" spans="15:15">
      <c r="O601" s="8">
        <f>IF(N601="","",IF(N601="Closed",IF(M601&lt;=L601,"On-Time","Delayed"),"Pending"))</f>
        <v>0</v>
      </c>
    </row>
    <row r="602" spans="15:15">
      <c r="O602" s="8">
        <f>IF(N602="","",IF(N602="Closed",IF(M602&lt;=L602,"On-Time","Delayed"),"Pending"))</f>
        <v>0</v>
      </c>
    </row>
    <row r="603" spans="15:15">
      <c r="O603" s="8">
        <f>IF(N603="","",IF(N603="Closed",IF(M603&lt;=L603,"On-Time","Delayed"),"Pending"))</f>
        <v>0</v>
      </c>
    </row>
    <row r="604" spans="15:15">
      <c r="O604" s="8">
        <f>IF(N604="","",IF(N604="Closed",IF(M604&lt;=L604,"On-Time","Delayed"),"Pending"))</f>
        <v>0</v>
      </c>
    </row>
    <row r="605" spans="15:15">
      <c r="O605" s="8">
        <f>IF(N605="","",IF(N605="Closed",IF(M605&lt;=L605,"On-Time","Delayed"),"Pending"))</f>
        <v>0</v>
      </c>
    </row>
    <row r="606" spans="15:15">
      <c r="O606" s="8">
        <f>IF(N606="","",IF(N606="Closed",IF(M606&lt;=L606,"On-Time","Delayed"),"Pending"))</f>
        <v>0</v>
      </c>
    </row>
    <row r="607" spans="15:15">
      <c r="O607" s="8">
        <f>IF(N607="","",IF(N607="Closed",IF(M607&lt;=L607,"On-Time","Delayed"),"Pending"))</f>
        <v>0</v>
      </c>
    </row>
    <row r="608" spans="15:15">
      <c r="O608" s="8">
        <f>IF(N608="","",IF(N608="Closed",IF(M608&lt;=L608,"On-Time","Delayed"),"Pending"))</f>
        <v>0</v>
      </c>
    </row>
    <row r="609" spans="15:15">
      <c r="O609" s="8">
        <f>IF(N609="","",IF(N609="Closed",IF(M609&lt;=L609,"On-Time","Delayed"),"Pending"))</f>
        <v>0</v>
      </c>
    </row>
    <row r="610" spans="15:15">
      <c r="O610" s="8">
        <f>IF(N610="","",IF(N610="Closed",IF(M610&lt;=L610,"On-Time","Delayed"),"Pending"))</f>
        <v>0</v>
      </c>
    </row>
    <row r="611" spans="15:15">
      <c r="O611" s="8">
        <f>IF(N611="","",IF(N611="Closed",IF(M611&lt;=L611,"On-Time","Delayed"),"Pending"))</f>
        <v>0</v>
      </c>
    </row>
    <row r="612" spans="15:15">
      <c r="O612" s="8">
        <f>IF(N612="","",IF(N612="Closed",IF(M612&lt;=L612,"On-Time","Delayed"),"Pending"))</f>
        <v>0</v>
      </c>
    </row>
    <row r="613" spans="15:15">
      <c r="O613" s="8">
        <f>IF(N613="","",IF(N613="Closed",IF(M613&lt;=L613,"On-Time","Delayed"),"Pending"))</f>
        <v>0</v>
      </c>
    </row>
    <row r="614" spans="15:15">
      <c r="O614" s="8">
        <f>IF(N614="","",IF(N614="Closed",IF(M614&lt;=L614,"On-Time","Delayed"),"Pending"))</f>
        <v>0</v>
      </c>
    </row>
    <row r="615" spans="15:15">
      <c r="O615" s="8">
        <f>IF(N615="","",IF(N615="Closed",IF(M615&lt;=L615,"On-Time","Delayed"),"Pending"))</f>
        <v>0</v>
      </c>
    </row>
    <row r="616" spans="15:15">
      <c r="O616" s="8">
        <f>IF(N616="","",IF(N616="Closed",IF(M616&lt;=L616,"On-Time","Delayed"),"Pending"))</f>
        <v>0</v>
      </c>
    </row>
    <row r="617" spans="15:15">
      <c r="O617" s="8">
        <f>IF(N617="","",IF(N617="Closed",IF(M617&lt;=L617,"On-Time","Delayed"),"Pending"))</f>
        <v>0</v>
      </c>
    </row>
    <row r="618" spans="15:15">
      <c r="O618" s="8">
        <f>IF(N618="","",IF(N618="Closed",IF(M618&lt;=L618,"On-Time","Delayed"),"Pending"))</f>
        <v>0</v>
      </c>
    </row>
    <row r="619" spans="15:15">
      <c r="O619" s="8">
        <f>IF(N619="","",IF(N619="Closed",IF(M619&lt;=L619,"On-Time","Delayed"),"Pending"))</f>
        <v>0</v>
      </c>
    </row>
    <row r="620" spans="15:15">
      <c r="O620" s="8">
        <f>IF(N620="","",IF(N620="Closed",IF(M620&lt;=L620,"On-Time","Delayed"),"Pending"))</f>
        <v>0</v>
      </c>
    </row>
    <row r="621" spans="15:15">
      <c r="O621" s="8">
        <f>IF(N621="","",IF(N621="Closed",IF(M621&lt;=L621,"On-Time","Delayed"),"Pending"))</f>
        <v>0</v>
      </c>
    </row>
    <row r="622" spans="15:15">
      <c r="O622" s="8">
        <f>IF(N622="","",IF(N622="Closed",IF(M622&lt;=L622,"On-Time","Delayed"),"Pending"))</f>
        <v>0</v>
      </c>
    </row>
    <row r="623" spans="15:15">
      <c r="O623" s="8">
        <f>IF(N623="","",IF(N623="Closed",IF(M623&lt;=L623,"On-Time","Delayed"),"Pending"))</f>
        <v>0</v>
      </c>
    </row>
    <row r="624" spans="15:15">
      <c r="O624" s="8">
        <f>IF(N624="","",IF(N624="Closed",IF(M624&lt;=L624,"On-Time","Delayed"),"Pending"))</f>
        <v>0</v>
      </c>
    </row>
    <row r="625" spans="15:15">
      <c r="O625" s="8">
        <f>IF(N625="","",IF(N625="Closed",IF(M625&lt;=L625,"On-Time","Delayed"),"Pending"))</f>
        <v>0</v>
      </c>
    </row>
    <row r="626" spans="15:15">
      <c r="O626" s="8">
        <f>IF(N626="","",IF(N626="Closed",IF(M626&lt;=L626,"On-Time","Delayed"),"Pending"))</f>
        <v>0</v>
      </c>
    </row>
    <row r="627" spans="15:15">
      <c r="O627" s="8">
        <f>IF(N627="","",IF(N627="Closed",IF(M627&lt;=L627,"On-Time","Delayed"),"Pending"))</f>
        <v>0</v>
      </c>
    </row>
    <row r="628" spans="15:15">
      <c r="O628" s="8">
        <f>IF(N628="","",IF(N628="Closed",IF(M628&lt;=L628,"On-Time","Delayed"),"Pending"))</f>
        <v>0</v>
      </c>
    </row>
    <row r="629" spans="15:15">
      <c r="O629" s="8">
        <f>IF(N629="","",IF(N629="Closed",IF(M629&lt;=L629,"On-Time","Delayed"),"Pending"))</f>
        <v>0</v>
      </c>
    </row>
    <row r="630" spans="15:15">
      <c r="O630" s="8">
        <f>IF(N630="","",IF(N630="Closed",IF(M630&lt;=L630,"On-Time","Delayed"),"Pending"))</f>
        <v>0</v>
      </c>
    </row>
    <row r="631" spans="15:15">
      <c r="O631" s="8">
        <f>IF(N631="","",IF(N631="Closed",IF(M631&lt;=L631,"On-Time","Delayed"),"Pending"))</f>
        <v>0</v>
      </c>
    </row>
    <row r="632" spans="15:15">
      <c r="O632" s="8">
        <f>IF(N632="","",IF(N632="Closed",IF(M632&lt;=L632,"On-Time","Delayed"),"Pending"))</f>
        <v>0</v>
      </c>
    </row>
    <row r="633" spans="15:15">
      <c r="O633" s="8">
        <f>IF(N633="","",IF(N633="Closed",IF(M633&lt;=L633,"On-Time","Delayed"),"Pending"))</f>
        <v>0</v>
      </c>
    </row>
    <row r="634" spans="15:15">
      <c r="O634" s="8">
        <f>IF(N634="","",IF(N634="Closed",IF(M634&lt;=L634,"On-Time","Delayed"),"Pending"))</f>
        <v>0</v>
      </c>
    </row>
    <row r="635" spans="15:15">
      <c r="O635" s="8">
        <f>IF(N635="","",IF(N635="Closed",IF(M635&lt;=L635,"On-Time","Delayed"),"Pending"))</f>
        <v>0</v>
      </c>
    </row>
    <row r="636" spans="15:15">
      <c r="O636" s="8">
        <f>IF(N636="","",IF(N636="Closed",IF(M636&lt;=L636,"On-Time","Delayed"),"Pending"))</f>
        <v>0</v>
      </c>
    </row>
    <row r="637" spans="15:15">
      <c r="O637" s="8">
        <f>IF(N637="","",IF(N637="Closed",IF(M637&lt;=L637,"On-Time","Delayed"),"Pending"))</f>
        <v>0</v>
      </c>
    </row>
    <row r="638" spans="15:15">
      <c r="O638" s="8">
        <f>IF(N638="","",IF(N638="Closed",IF(M638&lt;=L638,"On-Time","Delayed"),"Pending"))</f>
        <v>0</v>
      </c>
    </row>
    <row r="639" spans="15:15">
      <c r="O639" s="8">
        <f>IF(N639="","",IF(N639="Closed",IF(M639&lt;=L639,"On-Time","Delayed"),"Pending"))</f>
        <v>0</v>
      </c>
    </row>
    <row r="640" spans="15:15">
      <c r="O640" s="8">
        <f>IF(N640="","",IF(N640="Closed",IF(M640&lt;=L640,"On-Time","Delayed"),"Pending"))</f>
        <v>0</v>
      </c>
    </row>
    <row r="641" spans="15:15">
      <c r="O641" s="8">
        <f>IF(N641="","",IF(N641="Closed",IF(M641&lt;=L641,"On-Time","Delayed"),"Pending"))</f>
        <v>0</v>
      </c>
    </row>
    <row r="642" spans="15:15">
      <c r="O642" s="8">
        <f>IF(N642="","",IF(N642="Closed",IF(M642&lt;=L642,"On-Time","Delayed"),"Pending"))</f>
        <v>0</v>
      </c>
    </row>
    <row r="643" spans="15:15">
      <c r="O643" s="8">
        <f>IF(N643="","",IF(N643="Closed",IF(M643&lt;=L643,"On-Time","Delayed"),"Pending"))</f>
        <v>0</v>
      </c>
    </row>
    <row r="644" spans="15:15">
      <c r="O644" s="8">
        <f>IF(N644="","",IF(N644="Closed",IF(M644&lt;=L644,"On-Time","Delayed"),"Pending"))</f>
        <v>0</v>
      </c>
    </row>
    <row r="645" spans="15:15">
      <c r="O645" s="8">
        <f>IF(N645="","",IF(N645="Closed",IF(M645&lt;=L645,"On-Time","Delayed"),"Pending"))</f>
        <v>0</v>
      </c>
    </row>
    <row r="646" spans="15:15">
      <c r="O646" s="8">
        <f>IF(N646="","",IF(N646="Closed",IF(M646&lt;=L646,"On-Time","Delayed"),"Pending"))</f>
        <v>0</v>
      </c>
    </row>
    <row r="647" spans="15:15">
      <c r="O647" s="8">
        <f>IF(N647="","",IF(N647="Closed",IF(M647&lt;=L647,"On-Time","Delayed"),"Pending"))</f>
        <v>0</v>
      </c>
    </row>
    <row r="648" spans="15:15">
      <c r="O648" s="8">
        <f>IF(N648="","",IF(N648="Closed",IF(M648&lt;=L648,"On-Time","Delayed"),"Pending"))</f>
        <v>0</v>
      </c>
    </row>
    <row r="649" spans="15:15">
      <c r="O649" s="8">
        <f>IF(N649="","",IF(N649="Closed",IF(M649&lt;=L649,"On-Time","Delayed"),"Pending"))</f>
        <v>0</v>
      </c>
    </row>
    <row r="650" spans="15:15">
      <c r="O650" s="8">
        <f>IF(N650="","",IF(N650="Closed",IF(M650&lt;=L650,"On-Time","Delayed"),"Pending"))</f>
        <v>0</v>
      </c>
    </row>
    <row r="651" spans="15:15">
      <c r="O651" s="8">
        <f>IF(N651="","",IF(N651="Closed",IF(M651&lt;=L651,"On-Time","Delayed"),"Pending"))</f>
        <v>0</v>
      </c>
    </row>
    <row r="652" spans="15:15">
      <c r="O652" s="8">
        <f>IF(N652="","",IF(N652="Closed",IF(M652&lt;=L652,"On-Time","Delayed"),"Pending"))</f>
        <v>0</v>
      </c>
    </row>
    <row r="653" spans="15:15">
      <c r="O653" s="8">
        <f>IF(N653="","",IF(N653="Closed",IF(M653&lt;=L653,"On-Time","Delayed"),"Pending"))</f>
        <v>0</v>
      </c>
    </row>
    <row r="654" spans="15:15">
      <c r="O654" s="8">
        <f>IF(N654="","",IF(N654="Closed",IF(M654&lt;=L654,"On-Time","Delayed"),"Pending"))</f>
        <v>0</v>
      </c>
    </row>
    <row r="655" spans="15:15">
      <c r="O655" s="8">
        <f>IF(N655="","",IF(N655="Closed",IF(M655&lt;=L655,"On-Time","Delayed"),"Pending"))</f>
        <v>0</v>
      </c>
    </row>
    <row r="656" spans="15:15">
      <c r="O656" s="8">
        <f>IF(N656="","",IF(N656="Closed",IF(M656&lt;=L656,"On-Time","Delayed"),"Pending"))</f>
        <v>0</v>
      </c>
    </row>
    <row r="657" spans="15:15">
      <c r="O657" s="8">
        <f>IF(N657="","",IF(N657="Closed",IF(M657&lt;=L657,"On-Time","Delayed"),"Pending"))</f>
        <v>0</v>
      </c>
    </row>
    <row r="658" spans="15:15">
      <c r="O658" s="8">
        <f>IF(N658="","",IF(N658="Closed",IF(M658&lt;=L658,"On-Time","Delayed"),"Pending"))</f>
        <v>0</v>
      </c>
    </row>
    <row r="659" spans="15:15">
      <c r="O659" s="8">
        <f>IF(N659="","",IF(N659="Closed",IF(M659&lt;=L659,"On-Time","Delayed"),"Pending"))</f>
        <v>0</v>
      </c>
    </row>
    <row r="660" spans="15:15">
      <c r="O660" s="8">
        <f>IF(N660="","",IF(N660="Closed",IF(M660&lt;=L660,"On-Time","Delayed"),"Pending"))</f>
        <v>0</v>
      </c>
    </row>
    <row r="661" spans="15:15">
      <c r="O661" s="8">
        <f>IF(N661="","",IF(N661="Closed",IF(M661&lt;=L661,"On-Time","Delayed"),"Pending"))</f>
        <v>0</v>
      </c>
    </row>
    <row r="662" spans="15:15">
      <c r="O662" s="8">
        <f>IF(N662="","",IF(N662="Closed",IF(M662&lt;=L662,"On-Time","Delayed"),"Pending"))</f>
        <v>0</v>
      </c>
    </row>
    <row r="663" spans="15:15">
      <c r="O663" s="8">
        <f>IF(N663="","",IF(N663="Closed",IF(M663&lt;=L663,"On-Time","Delayed"),"Pending"))</f>
        <v>0</v>
      </c>
    </row>
    <row r="664" spans="15:15">
      <c r="O664" s="8">
        <f>IF(N664="","",IF(N664="Closed",IF(M664&lt;=L664,"On-Time","Delayed"),"Pending"))</f>
        <v>0</v>
      </c>
    </row>
    <row r="665" spans="15:15">
      <c r="O665" s="8">
        <f>IF(N665="","",IF(N665="Closed",IF(M665&lt;=L665,"On-Time","Delayed"),"Pending"))</f>
        <v>0</v>
      </c>
    </row>
    <row r="666" spans="15:15">
      <c r="O666" s="8">
        <f>IF(N666="","",IF(N666="Closed",IF(M666&lt;=L666,"On-Time","Delayed"),"Pending"))</f>
        <v>0</v>
      </c>
    </row>
    <row r="667" spans="15:15">
      <c r="O667" s="8">
        <f>IF(N667="","",IF(N667="Closed",IF(M667&lt;=L667,"On-Time","Delayed"),"Pending"))</f>
        <v>0</v>
      </c>
    </row>
    <row r="668" spans="15:15">
      <c r="O668" s="8">
        <f>IF(N668="","",IF(N668="Closed",IF(M668&lt;=L668,"On-Time","Delayed"),"Pending"))</f>
        <v>0</v>
      </c>
    </row>
    <row r="669" spans="15:15">
      <c r="O669" s="8">
        <f>IF(N669="","",IF(N669="Closed",IF(M669&lt;=L669,"On-Time","Delayed"),"Pending"))</f>
        <v>0</v>
      </c>
    </row>
    <row r="670" spans="15:15">
      <c r="O670" s="8">
        <f>IF(N670="","",IF(N670="Closed",IF(M670&lt;=L670,"On-Time","Delayed"),"Pending"))</f>
        <v>0</v>
      </c>
    </row>
    <row r="671" spans="15:15">
      <c r="O671" s="8">
        <f>IF(N671="","",IF(N671="Closed",IF(M671&lt;=L671,"On-Time","Delayed"),"Pending"))</f>
        <v>0</v>
      </c>
    </row>
    <row r="672" spans="15:15">
      <c r="O672" s="8">
        <f>IF(N672="","",IF(N672="Closed",IF(M672&lt;=L672,"On-Time","Delayed"),"Pending"))</f>
        <v>0</v>
      </c>
    </row>
    <row r="673" spans="15:15">
      <c r="O673" s="8">
        <f>IF(N673="","",IF(N673="Closed",IF(M673&lt;=L673,"On-Time","Delayed"),"Pending"))</f>
        <v>0</v>
      </c>
    </row>
    <row r="674" spans="15:15">
      <c r="O674" s="8">
        <f>IF(N674="","",IF(N674="Closed",IF(M674&lt;=L674,"On-Time","Delayed"),"Pending"))</f>
        <v>0</v>
      </c>
    </row>
    <row r="675" spans="15:15">
      <c r="O675" s="8">
        <f>IF(N675="","",IF(N675="Closed",IF(M675&lt;=L675,"On-Time","Delayed"),"Pending"))</f>
        <v>0</v>
      </c>
    </row>
    <row r="676" spans="15:15">
      <c r="O676" s="8">
        <f>IF(N676="","",IF(N676="Closed",IF(M676&lt;=L676,"On-Time","Delayed"),"Pending"))</f>
        <v>0</v>
      </c>
    </row>
    <row r="677" spans="15:15">
      <c r="O677" s="8">
        <f>IF(N677="","",IF(N677="Closed",IF(M677&lt;=L677,"On-Time","Delayed"),"Pending"))</f>
        <v>0</v>
      </c>
    </row>
    <row r="678" spans="15:15">
      <c r="O678" s="8">
        <f>IF(N678="","",IF(N678="Closed",IF(M678&lt;=L678,"On-Time","Delayed"),"Pending"))</f>
        <v>0</v>
      </c>
    </row>
    <row r="679" spans="15:15">
      <c r="O679" s="8">
        <f>IF(N679="","",IF(N679="Closed",IF(M679&lt;=L679,"On-Time","Delayed"),"Pending"))</f>
        <v>0</v>
      </c>
    </row>
    <row r="680" spans="15:15">
      <c r="O680" s="8">
        <f>IF(N680="","",IF(N680="Closed",IF(M680&lt;=L680,"On-Time","Delayed"),"Pending"))</f>
        <v>0</v>
      </c>
    </row>
    <row r="681" spans="15:15">
      <c r="O681" s="8">
        <f>IF(N681="","",IF(N681="Closed",IF(M681&lt;=L681,"On-Time","Delayed"),"Pending"))</f>
        <v>0</v>
      </c>
    </row>
    <row r="682" spans="15:15">
      <c r="O682" s="8">
        <f>IF(N682="","",IF(N682="Closed",IF(M682&lt;=L682,"On-Time","Delayed"),"Pending"))</f>
        <v>0</v>
      </c>
    </row>
    <row r="683" spans="15:15">
      <c r="O683" s="8">
        <f>IF(N683="","",IF(N683="Closed",IF(M683&lt;=L683,"On-Time","Delayed"),"Pending"))</f>
        <v>0</v>
      </c>
    </row>
    <row r="684" spans="15:15">
      <c r="O684" s="8">
        <f>IF(N684="","",IF(N684="Closed",IF(M684&lt;=L684,"On-Time","Delayed"),"Pending"))</f>
        <v>0</v>
      </c>
    </row>
    <row r="685" spans="15:15">
      <c r="O685" s="8">
        <f>IF(N685="","",IF(N685="Closed",IF(M685&lt;=L685,"On-Time","Delayed"),"Pending"))</f>
        <v>0</v>
      </c>
    </row>
    <row r="686" spans="15:15">
      <c r="O686" s="8">
        <f>IF(N686="","",IF(N686="Closed",IF(M686&lt;=L686,"On-Time","Delayed"),"Pending"))</f>
        <v>0</v>
      </c>
    </row>
    <row r="687" spans="15:15">
      <c r="O687" s="8">
        <f>IF(N687="","",IF(N687="Closed",IF(M687&lt;=L687,"On-Time","Delayed"),"Pending"))</f>
        <v>0</v>
      </c>
    </row>
    <row r="688" spans="15:15">
      <c r="O688" s="8">
        <f>IF(N688="","",IF(N688="Closed",IF(M688&lt;=L688,"On-Time","Delayed"),"Pending"))</f>
        <v>0</v>
      </c>
    </row>
    <row r="689" spans="15:15">
      <c r="O689" s="8">
        <f>IF(N689="","",IF(N689="Closed",IF(M689&lt;=L689,"On-Time","Delayed"),"Pending"))</f>
        <v>0</v>
      </c>
    </row>
    <row r="690" spans="15:15">
      <c r="O690" s="8">
        <f>IF(N690="","",IF(N690="Closed",IF(M690&lt;=L690,"On-Time","Delayed"),"Pending"))</f>
        <v>0</v>
      </c>
    </row>
    <row r="691" spans="15:15">
      <c r="O691" s="8">
        <f>IF(N691="","",IF(N691="Closed",IF(M691&lt;=L691,"On-Time","Delayed"),"Pending"))</f>
        <v>0</v>
      </c>
    </row>
    <row r="692" spans="15:15">
      <c r="O692" s="8">
        <f>IF(N692="","",IF(N692="Closed",IF(M692&lt;=L692,"On-Time","Delayed"),"Pending"))</f>
        <v>0</v>
      </c>
    </row>
    <row r="693" spans="15:15">
      <c r="O693" s="8">
        <f>IF(N693="","",IF(N693="Closed",IF(M693&lt;=L693,"On-Time","Delayed"),"Pending"))</f>
        <v>0</v>
      </c>
    </row>
    <row r="694" spans="15:15">
      <c r="O694" s="8">
        <f>IF(N694="","",IF(N694="Closed",IF(M694&lt;=L694,"On-Time","Delayed"),"Pending"))</f>
        <v>0</v>
      </c>
    </row>
    <row r="695" spans="15:15">
      <c r="O695" s="8">
        <f>IF(N695="","",IF(N695="Closed",IF(M695&lt;=L695,"On-Time","Delayed"),"Pending"))</f>
        <v>0</v>
      </c>
    </row>
    <row r="696" spans="15:15">
      <c r="O696" s="8">
        <f>IF(N696="","",IF(N696="Closed",IF(M696&lt;=L696,"On-Time","Delayed"),"Pending"))</f>
        <v>0</v>
      </c>
    </row>
    <row r="697" spans="15:15">
      <c r="O697" s="8">
        <f>IF(N697="","",IF(N697="Closed",IF(M697&lt;=L697,"On-Time","Delayed"),"Pending"))</f>
        <v>0</v>
      </c>
    </row>
    <row r="698" spans="15:15">
      <c r="O698" s="8">
        <f>IF(N698="","",IF(N698="Closed",IF(M698&lt;=L698,"On-Time","Delayed"),"Pending"))</f>
        <v>0</v>
      </c>
    </row>
    <row r="699" spans="15:15">
      <c r="O699" s="8">
        <f>IF(N699="","",IF(N699="Closed",IF(M699&lt;=L699,"On-Time","Delayed"),"Pending"))</f>
        <v>0</v>
      </c>
    </row>
    <row r="700" spans="15:15">
      <c r="O700" s="8">
        <f>IF(N700="","",IF(N700="Closed",IF(M700&lt;=L700,"On-Time","Delayed"),"Pending"))</f>
        <v>0</v>
      </c>
    </row>
    <row r="701" spans="15:15">
      <c r="O701" s="8">
        <f>IF(N701="","",IF(N701="Closed",IF(M701&lt;=L701,"On-Time","Delayed"),"Pending"))</f>
        <v>0</v>
      </c>
    </row>
    <row r="702" spans="15:15">
      <c r="O702" s="8">
        <f>IF(N702="","",IF(N702="Closed",IF(M702&lt;=L702,"On-Time","Delayed"),"Pending"))</f>
        <v>0</v>
      </c>
    </row>
    <row r="703" spans="15:15">
      <c r="O703" s="8">
        <f>IF(N703="","",IF(N703="Closed",IF(M703&lt;=L703,"On-Time","Delayed"),"Pending"))</f>
        <v>0</v>
      </c>
    </row>
    <row r="704" spans="15:15">
      <c r="O704" s="8">
        <f>IF(N704="","",IF(N704="Closed",IF(M704&lt;=L704,"On-Time","Delayed"),"Pending"))</f>
        <v>0</v>
      </c>
    </row>
    <row r="705" spans="15:15">
      <c r="O705" s="8">
        <f>IF(N705="","",IF(N705="Closed",IF(M705&lt;=L705,"On-Time","Delayed"),"Pending"))</f>
        <v>0</v>
      </c>
    </row>
    <row r="706" spans="15:15">
      <c r="O706" s="8">
        <f>IF(N706="","",IF(N706="Closed",IF(M706&lt;=L706,"On-Time","Delayed"),"Pending"))</f>
        <v>0</v>
      </c>
    </row>
    <row r="707" spans="15:15">
      <c r="O707" s="8">
        <f>IF(N707="","",IF(N707="Closed",IF(M707&lt;=L707,"On-Time","Delayed"),"Pending"))</f>
        <v>0</v>
      </c>
    </row>
    <row r="708" spans="15:15">
      <c r="O708" s="8">
        <f>IF(N708="","",IF(N708="Closed",IF(M708&lt;=L708,"On-Time","Delayed"),"Pending"))</f>
        <v>0</v>
      </c>
    </row>
    <row r="709" spans="15:15">
      <c r="O709" s="8">
        <f>IF(N709="","",IF(N709="Closed",IF(M709&lt;=L709,"On-Time","Delayed"),"Pending"))</f>
        <v>0</v>
      </c>
    </row>
    <row r="710" spans="15:15">
      <c r="O710" s="8">
        <f>IF(N710="","",IF(N710="Closed",IF(M710&lt;=L710,"On-Time","Delayed"),"Pending"))</f>
        <v>0</v>
      </c>
    </row>
    <row r="711" spans="15:15">
      <c r="O711" s="8">
        <f>IF(N711="","",IF(N711="Closed",IF(M711&lt;=L711,"On-Time","Delayed"),"Pending"))</f>
        <v>0</v>
      </c>
    </row>
    <row r="712" spans="15:15">
      <c r="O712" s="8">
        <f>IF(N712="","",IF(N712="Closed",IF(M712&lt;=L712,"On-Time","Delayed"),"Pending"))</f>
        <v>0</v>
      </c>
    </row>
    <row r="713" spans="15:15">
      <c r="O713" s="8">
        <f>IF(N713="","",IF(N713="Closed",IF(M713&lt;=L713,"On-Time","Delayed"),"Pending"))</f>
        <v>0</v>
      </c>
    </row>
    <row r="714" spans="15:15">
      <c r="O714" s="8">
        <f>IF(N714="","",IF(N714="Closed",IF(M714&lt;=L714,"On-Time","Delayed"),"Pending"))</f>
        <v>0</v>
      </c>
    </row>
    <row r="715" spans="15:15">
      <c r="O715" s="8">
        <f>IF(N715="","",IF(N715="Closed",IF(M715&lt;=L715,"On-Time","Delayed"),"Pending"))</f>
        <v>0</v>
      </c>
    </row>
    <row r="716" spans="15:15">
      <c r="O716" s="8">
        <f>IF(N716="","",IF(N716="Closed",IF(M716&lt;=L716,"On-Time","Delayed"),"Pending"))</f>
        <v>0</v>
      </c>
    </row>
    <row r="717" spans="15:15">
      <c r="O717" s="8">
        <f>IF(N717="","",IF(N717="Closed",IF(M717&lt;=L717,"On-Time","Delayed"),"Pending"))</f>
        <v>0</v>
      </c>
    </row>
    <row r="718" spans="15:15">
      <c r="O718" s="8">
        <f>IF(N718="","",IF(N718="Closed",IF(M718&lt;=L718,"On-Time","Delayed"),"Pending"))</f>
        <v>0</v>
      </c>
    </row>
    <row r="719" spans="15:15">
      <c r="O719" s="8">
        <f>IF(N719="","",IF(N719="Closed",IF(M719&lt;=L719,"On-Time","Delayed"),"Pending"))</f>
        <v>0</v>
      </c>
    </row>
    <row r="720" spans="15:15">
      <c r="O720" s="8">
        <f>IF(N720="","",IF(N720="Closed",IF(M720&lt;=L720,"On-Time","Delayed"),"Pending"))</f>
        <v>0</v>
      </c>
    </row>
    <row r="721" spans="15:15">
      <c r="O721" s="8">
        <f>IF(N721="","",IF(N721="Closed",IF(M721&lt;=L721,"On-Time","Delayed"),"Pending"))</f>
        <v>0</v>
      </c>
    </row>
    <row r="722" spans="15:15">
      <c r="O722" s="8">
        <f>IF(N722="","",IF(N722="Closed",IF(M722&lt;=L722,"On-Time","Delayed"),"Pending"))</f>
        <v>0</v>
      </c>
    </row>
    <row r="723" spans="15:15">
      <c r="O723" s="8">
        <f>IF(N723="","",IF(N723="Closed",IF(M723&lt;=L723,"On-Time","Delayed"),"Pending"))</f>
        <v>0</v>
      </c>
    </row>
    <row r="724" spans="15:15">
      <c r="O724" s="8">
        <f>IF(N724="","",IF(N724="Closed",IF(M724&lt;=L724,"On-Time","Delayed"),"Pending"))</f>
        <v>0</v>
      </c>
    </row>
    <row r="725" spans="15:15">
      <c r="O725" s="8">
        <f>IF(N725="","",IF(N725="Closed",IF(M725&lt;=L725,"On-Time","Delayed"),"Pending"))</f>
        <v>0</v>
      </c>
    </row>
    <row r="726" spans="15:15">
      <c r="O726" s="8">
        <f>IF(N726="","",IF(N726="Closed",IF(M726&lt;=L726,"On-Time","Delayed"),"Pending"))</f>
        <v>0</v>
      </c>
    </row>
    <row r="727" spans="15:15">
      <c r="O727" s="8">
        <f>IF(N727="","",IF(N727="Closed",IF(M727&lt;=L727,"On-Time","Delayed"),"Pending"))</f>
        <v>0</v>
      </c>
    </row>
    <row r="728" spans="15:15">
      <c r="O728" s="8">
        <f>IF(N728="","",IF(N728="Closed",IF(M728&lt;=L728,"On-Time","Delayed"),"Pending"))</f>
        <v>0</v>
      </c>
    </row>
    <row r="729" spans="15:15">
      <c r="O729" s="8">
        <f>IF(N729="","",IF(N729="Closed",IF(M729&lt;=L729,"On-Time","Delayed"),"Pending"))</f>
        <v>0</v>
      </c>
    </row>
    <row r="730" spans="15:15">
      <c r="O730" s="8">
        <f>IF(N730="","",IF(N730="Closed",IF(M730&lt;=L730,"On-Time","Delayed"),"Pending"))</f>
        <v>0</v>
      </c>
    </row>
    <row r="731" spans="15:15">
      <c r="O731" s="8">
        <f>IF(N731="","",IF(N731="Closed",IF(M731&lt;=L731,"On-Time","Delayed"),"Pending"))</f>
        <v>0</v>
      </c>
    </row>
    <row r="732" spans="15:15">
      <c r="O732" s="8">
        <f>IF(N732="","",IF(N732="Closed",IF(M732&lt;=L732,"On-Time","Delayed"),"Pending"))</f>
        <v>0</v>
      </c>
    </row>
    <row r="733" spans="15:15">
      <c r="O733" s="8">
        <f>IF(N733="","",IF(N733="Closed",IF(M733&lt;=L733,"On-Time","Delayed"),"Pending"))</f>
        <v>0</v>
      </c>
    </row>
    <row r="734" spans="15:15">
      <c r="O734" s="8">
        <f>IF(N734="","",IF(N734="Closed",IF(M734&lt;=L734,"On-Time","Delayed"),"Pending"))</f>
        <v>0</v>
      </c>
    </row>
    <row r="735" spans="15:15">
      <c r="O735" s="8">
        <f>IF(N735="","",IF(N735="Closed",IF(M735&lt;=L735,"On-Time","Delayed"),"Pending"))</f>
        <v>0</v>
      </c>
    </row>
    <row r="736" spans="15:15">
      <c r="O736" s="8">
        <f>IF(N736="","",IF(N736="Closed",IF(M736&lt;=L736,"On-Time","Delayed"),"Pending"))</f>
        <v>0</v>
      </c>
    </row>
    <row r="737" spans="15:15">
      <c r="O737" s="8">
        <f>IF(N737="","",IF(N737="Closed",IF(M737&lt;=L737,"On-Time","Delayed"),"Pending"))</f>
        <v>0</v>
      </c>
    </row>
    <row r="738" spans="15:15">
      <c r="O738" s="8">
        <f>IF(N738="","",IF(N738="Closed",IF(M738&lt;=L738,"On-Time","Delayed"),"Pending"))</f>
        <v>0</v>
      </c>
    </row>
    <row r="739" spans="15:15">
      <c r="O739" s="8">
        <f>IF(N739="","",IF(N739="Closed",IF(M739&lt;=L739,"On-Time","Delayed"),"Pending"))</f>
        <v>0</v>
      </c>
    </row>
    <row r="740" spans="15:15">
      <c r="O740" s="8">
        <f>IF(N740="","",IF(N740="Closed",IF(M740&lt;=L740,"On-Time","Delayed"),"Pending"))</f>
        <v>0</v>
      </c>
    </row>
    <row r="741" spans="15:15">
      <c r="O741" s="8">
        <f>IF(N741="","",IF(N741="Closed",IF(M741&lt;=L741,"On-Time","Delayed"),"Pending"))</f>
        <v>0</v>
      </c>
    </row>
    <row r="742" spans="15:15">
      <c r="O742" s="8">
        <f>IF(N742="","",IF(N742="Closed",IF(M742&lt;=L742,"On-Time","Delayed"),"Pending"))</f>
        <v>0</v>
      </c>
    </row>
    <row r="743" spans="15:15">
      <c r="O743" s="8">
        <f>IF(N743="","",IF(N743="Closed",IF(M743&lt;=L743,"On-Time","Delayed"),"Pending"))</f>
        <v>0</v>
      </c>
    </row>
    <row r="744" spans="15:15">
      <c r="O744" s="8">
        <f>IF(N744="","",IF(N744="Closed",IF(M744&lt;=L744,"On-Time","Delayed"),"Pending"))</f>
        <v>0</v>
      </c>
    </row>
    <row r="745" spans="15:15">
      <c r="O745" s="8">
        <f>IF(N745="","",IF(N745="Closed",IF(M745&lt;=L745,"On-Time","Delayed"),"Pending"))</f>
        <v>0</v>
      </c>
    </row>
    <row r="746" spans="15:15">
      <c r="O746" s="8">
        <f>IF(N746="","",IF(N746="Closed",IF(M746&lt;=L746,"On-Time","Delayed"),"Pending"))</f>
        <v>0</v>
      </c>
    </row>
    <row r="747" spans="15:15">
      <c r="O747" s="8">
        <f>IF(N747="","",IF(N747="Closed",IF(M747&lt;=L747,"On-Time","Delayed"),"Pending"))</f>
        <v>0</v>
      </c>
    </row>
    <row r="748" spans="15:15">
      <c r="O748" s="8">
        <f>IF(N748="","",IF(N748="Closed",IF(M748&lt;=L748,"On-Time","Delayed"),"Pending"))</f>
        <v>0</v>
      </c>
    </row>
    <row r="749" spans="15:15">
      <c r="O749" s="8">
        <f>IF(N749="","",IF(N749="Closed",IF(M749&lt;=L749,"On-Time","Delayed"),"Pending"))</f>
        <v>0</v>
      </c>
    </row>
    <row r="750" spans="15:15">
      <c r="O750" s="8">
        <f>IF(N750="","",IF(N750="Closed",IF(M750&lt;=L750,"On-Time","Delayed"),"Pending"))</f>
        <v>0</v>
      </c>
    </row>
    <row r="751" spans="15:15">
      <c r="O751" s="8">
        <f>IF(N751="","",IF(N751="Closed",IF(M751&lt;=L751,"On-Time","Delayed"),"Pending"))</f>
        <v>0</v>
      </c>
    </row>
    <row r="752" spans="15:15">
      <c r="O752" s="8">
        <f>IF(N752="","",IF(N752="Closed",IF(M752&lt;=L752,"On-Time","Delayed"),"Pending"))</f>
        <v>0</v>
      </c>
    </row>
    <row r="753" spans="15:15">
      <c r="O753" s="8">
        <f>IF(N753="","",IF(N753="Closed",IF(M753&lt;=L753,"On-Time","Delayed"),"Pending"))</f>
        <v>0</v>
      </c>
    </row>
    <row r="754" spans="15:15">
      <c r="O754" s="8">
        <f>IF(N754="","",IF(N754="Closed",IF(M754&lt;=L754,"On-Time","Delayed"),"Pending"))</f>
        <v>0</v>
      </c>
    </row>
    <row r="755" spans="15:15">
      <c r="O755" s="8">
        <f>IF(N755="","",IF(N755="Closed",IF(M755&lt;=L755,"On-Time","Delayed"),"Pending"))</f>
        <v>0</v>
      </c>
    </row>
    <row r="756" spans="15:15">
      <c r="O756" s="8">
        <f>IF(N756="","",IF(N756="Closed",IF(M756&lt;=L756,"On-Time","Delayed"),"Pending"))</f>
        <v>0</v>
      </c>
    </row>
    <row r="757" spans="15:15">
      <c r="O757" s="8">
        <f>IF(N757="","",IF(N757="Closed",IF(M757&lt;=L757,"On-Time","Delayed"),"Pending"))</f>
        <v>0</v>
      </c>
    </row>
    <row r="758" spans="15:15">
      <c r="O758" s="8">
        <f>IF(N758="","",IF(N758="Closed",IF(M758&lt;=L758,"On-Time","Delayed"),"Pending"))</f>
        <v>0</v>
      </c>
    </row>
    <row r="759" spans="15:15">
      <c r="O759" s="8">
        <f>IF(N759="","",IF(N759="Closed",IF(M759&lt;=L759,"On-Time","Delayed"),"Pending"))</f>
        <v>0</v>
      </c>
    </row>
    <row r="760" spans="15:15">
      <c r="O760" s="8">
        <f>IF(N760="","",IF(N760="Closed",IF(M760&lt;=L760,"On-Time","Delayed"),"Pending"))</f>
        <v>0</v>
      </c>
    </row>
    <row r="761" spans="15:15">
      <c r="O761" s="8">
        <f>IF(N761="","",IF(N761="Closed",IF(M761&lt;=L761,"On-Time","Delayed"),"Pending"))</f>
        <v>0</v>
      </c>
    </row>
    <row r="762" spans="15:15">
      <c r="O762" s="8">
        <f>IF(N762="","",IF(N762="Closed",IF(M762&lt;=L762,"On-Time","Delayed"),"Pending"))</f>
        <v>0</v>
      </c>
    </row>
    <row r="763" spans="15:15">
      <c r="O763" s="8">
        <f>IF(N763="","",IF(N763="Closed",IF(M763&lt;=L763,"On-Time","Delayed"),"Pending"))</f>
        <v>0</v>
      </c>
    </row>
    <row r="764" spans="15:15">
      <c r="O764" s="8">
        <f>IF(N764="","",IF(N764="Closed",IF(M764&lt;=L764,"On-Time","Delayed"),"Pending"))</f>
        <v>0</v>
      </c>
    </row>
    <row r="765" spans="15:15">
      <c r="O765" s="8">
        <f>IF(N765="","",IF(N765="Closed",IF(M765&lt;=L765,"On-Time","Delayed"),"Pending"))</f>
        <v>0</v>
      </c>
    </row>
    <row r="766" spans="15:15">
      <c r="O766" s="8">
        <f>IF(N766="","",IF(N766="Closed",IF(M766&lt;=L766,"On-Time","Delayed"),"Pending"))</f>
        <v>0</v>
      </c>
    </row>
    <row r="767" spans="15:15">
      <c r="O767" s="8">
        <f>IF(N767="","",IF(N767="Closed",IF(M767&lt;=L767,"On-Time","Delayed"),"Pending"))</f>
        <v>0</v>
      </c>
    </row>
    <row r="768" spans="15:15">
      <c r="O768" s="8">
        <f>IF(N768="","",IF(N768="Closed",IF(M768&lt;=L768,"On-Time","Delayed"),"Pending"))</f>
        <v>0</v>
      </c>
    </row>
    <row r="769" spans="15:15">
      <c r="O769" s="8">
        <f>IF(N769="","",IF(N769="Closed",IF(M769&lt;=L769,"On-Time","Delayed"),"Pending"))</f>
        <v>0</v>
      </c>
    </row>
    <row r="770" spans="15:15">
      <c r="O770" s="8">
        <f>IF(N770="","",IF(N770="Closed",IF(M770&lt;=L770,"On-Time","Delayed"),"Pending"))</f>
        <v>0</v>
      </c>
    </row>
    <row r="771" spans="15:15">
      <c r="O771" s="8">
        <f>IF(N771="","",IF(N771="Closed",IF(M771&lt;=L771,"On-Time","Delayed"),"Pending"))</f>
        <v>0</v>
      </c>
    </row>
    <row r="772" spans="15:15">
      <c r="O772" s="8">
        <f>IF(N772="","",IF(N772="Closed",IF(M772&lt;=L772,"On-Time","Delayed"),"Pending"))</f>
        <v>0</v>
      </c>
    </row>
    <row r="773" spans="15:15">
      <c r="O773" s="8">
        <f>IF(N773="","",IF(N773="Closed",IF(M773&lt;=L773,"On-Time","Delayed"),"Pending"))</f>
        <v>0</v>
      </c>
    </row>
    <row r="774" spans="15:15">
      <c r="O774" s="8">
        <f>IF(N774="","",IF(N774="Closed",IF(M774&lt;=L774,"On-Time","Delayed"),"Pending"))</f>
        <v>0</v>
      </c>
    </row>
    <row r="775" spans="15:15">
      <c r="O775" s="8">
        <f>IF(N775="","",IF(N775="Closed",IF(M775&lt;=L775,"On-Time","Delayed"),"Pending"))</f>
        <v>0</v>
      </c>
    </row>
    <row r="776" spans="15:15">
      <c r="O776" s="8">
        <f>IF(N776="","",IF(N776="Closed",IF(M776&lt;=L776,"On-Time","Delayed"),"Pending"))</f>
        <v>0</v>
      </c>
    </row>
    <row r="777" spans="15:15">
      <c r="O777" s="8">
        <f>IF(N777="","",IF(N777="Closed",IF(M777&lt;=L777,"On-Time","Delayed"),"Pending"))</f>
        <v>0</v>
      </c>
    </row>
    <row r="778" spans="15:15">
      <c r="O778" s="8">
        <f>IF(N778="","",IF(N778="Closed",IF(M778&lt;=L778,"On-Time","Delayed"),"Pending"))</f>
        <v>0</v>
      </c>
    </row>
    <row r="779" spans="15:15">
      <c r="O779" s="8">
        <f>IF(N779="","",IF(N779="Closed",IF(M779&lt;=L779,"On-Time","Delayed"),"Pending"))</f>
        <v>0</v>
      </c>
    </row>
    <row r="780" spans="15:15">
      <c r="O780" s="8">
        <f>IF(N780="","",IF(N780="Closed",IF(M780&lt;=L780,"On-Time","Delayed"),"Pending"))</f>
        <v>0</v>
      </c>
    </row>
    <row r="781" spans="15:15">
      <c r="O781" s="8">
        <f>IF(N781="","",IF(N781="Closed",IF(M781&lt;=L781,"On-Time","Delayed"),"Pending"))</f>
        <v>0</v>
      </c>
    </row>
    <row r="782" spans="15:15">
      <c r="O782" s="8">
        <f>IF(N782="","",IF(N782="Closed",IF(M782&lt;=L782,"On-Time","Delayed"),"Pending"))</f>
        <v>0</v>
      </c>
    </row>
    <row r="783" spans="15:15">
      <c r="O783" s="8">
        <f>IF(N783="","",IF(N783="Closed",IF(M783&lt;=L783,"On-Time","Delayed"),"Pending"))</f>
        <v>0</v>
      </c>
    </row>
    <row r="784" spans="15:15">
      <c r="O784" s="8">
        <f>IF(N784="","",IF(N784="Closed",IF(M784&lt;=L784,"On-Time","Delayed"),"Pending"))</f>
        <v>0</v>
      </c>
    </row>
    <row r="785" spans="15:15">
      <c r="O785" s="8">
        <f>IF(N785="","",IF(N785="Closed",IF(M785&lt;=L785,"On-Time","Delayed"),"Pending"))</f>
        <v>0</v>
      </c>
    </row>
    <row r="786" spans="15:15">
      <c r="O786" s="8">
        <f>IF(N786="","",IF(N786="Closed",IF(M786&lt;=L786,"On-Time","Delayed"),"Pending"))</f>
        <v>0</v>
      </c>
    </row>
    <row r="787" spans="15:15">
      <c r="O787" s="8">
        <f>IF(N787="","",IF(N787="Closed",IF(M787&lt;=L787,"On-Time","Delayed"),"Pending"))</f>
        <v>0</v>
      </c>
    </row>
    <row r="788" spans="15:15">
      <c r="O788" s="8">
        <f>IF(N788="","",IF(N788="Closed",IF(M788&lt;=L788,"On-Time","Delayed"),"Pending"))</f>
        <v>0</v>
      </c>
    </row>
    <row r="789" spans="15:15">
      <c r="O789" s="8">
        <f>IF(N789="","",IF(N789="Closed",IF(M789&lt;=L789,"On-Time","Delayed"),"Pending"))</f>
        <v>0</v>
      </c>
    </row>
    <row r="790" spans="15:15">
      <c r="O790" s="8">
        <f>IF(N790="","",IF(N790="Closed",IF(M790&lt;=L790,"On-Time","Delayed"),"Pending"))</f>
        <v>0</v>
      </c>
    </row>
    <row r="791" spans="15:15">
      <c r="O791" s="8">
        <f>IF(N791="","",IF(N791="Closed",IF(M791&lt;=L791,"On-Time","Delayed"),"Pending"))</f>
        <v>0</v>
      </c>
    </row>
    <row r="792" spans="15:15">
      <c r="O792" s="8">
        <f>IF(N792="","",IF(N792="Closed",IF(M792&lt;=L792,"On-Time","Delayed"),"Pending"))</f>
        <v>0</v>
      </c>
    </row>
    <row r="793" spans="15:15">
      <c r="O793" s="8">
        <f>IF(N793="","",IF(N793="Closed",IF(M793&lt;=L793,"On-Time","Delayed"),"Pending"))</f>
        <v>0</v>
      </c>
    </row>
    <row r="794" spans="15:15">
      <c r="O794" s="8">
        <f>IF(N794="","",IF(N794="Closed",IF(M794&lt;=L794,"On-Time","Delayed"),"Pending"))</f>
        <v>0</v>
      </c>
    </row>
    <row r="795" spans="15:15">
      <c r="O795" s="8">
        <f>IF(N795="","",IF(N795="Closed",IF(M795&lt;=L795,"On-Time","Delayed"),"Pending"))</f>
        <v>0</v>
      </c>
    </row>
    <row r="796" spans="15:15">
      <c r="O796" s="8">
        <f>IF(N796="","",IF(N796="Closed",IF(M796&lt;=L796,"On-Time","Delayed"),"Pending"))</f>
        <v>0</v>
      </c>
    </row>
    <row r="797" spans="15:15">
      <c r="O797" s="8">
        <f>IF(N797="","",IF(N797="Closed",IF(M797&lt;=L797,"On-Time","Delayed"),"Pending"))</f>
        <v>0</v>
      </c>
    </row>
    <row r="798" spans="15:15">
      <c r="O798" s="8">
        <f>IF(N798="","",IF(N798="Closed",IF(M798&lt;=L798,"On-Time","Delayed"),"Pending"))</f>
        <v>0</v>
      </c>
    </row>
    <row r="799" spans="15:15">
      <c r="O799" s="8">
        <f>IF(N799="","",IF(N799="Closed",IF(M799&lt;=L799,"On-Time","Delayed"),"Pending"))</f>
        <v>0</v>
      </c>
    </row>
    <row r="800" spans="15:15">
      <c r="O800" s="8">
        <f>IF(N800="","",IF(N800="Closed",IF(M800&lt;=L800,"On-Time","Delayed"),"Pending"))</f>
        <v>0</v>
      </c>
    </row>
    <row r="801" spans="15:15">
      <c r="O801" s="8">
        <f>IF(N801="","",IF(N801="Closed",IF(M801&lt;=L801,"On-Time","Delayed"),"Pending"))</f>
        <v>0</v>
      </c>
    </row>
    <row r="802" spans="15:15">
      <c r="O802" s="8">
        <f>IF(N802="","",IF(N802="Closed",IF(M802&lt;=L802,"On-Time","Delayed"),"Pending"))</f>
        <v>0</v>
      </c>
    </row>
    <row r="803" spans="15:15">
      <c r="O803" s="8">
        <f>IF(N803="","",IF(N803="Closed",IF(M803&lt;=L803,"On-Time","Delayed"),"Pending"))</f>
        <v>0</v>
      </c>
    </row>
    <row r="804" spans="15:15">
      <c r="O804" s="8">
        <f>IF(N804="","",IF(N804="Closed",IF(M804&lt;=L804,"On-Time","Delayed"),"Pending"))</f>
        <v>0</v>
      </c>
    </row>
    <row r="805" spans="15:15">
      <c r="O805" s="8">
        <f>IF(N805="","",IF(N805="Closed",IF(M805&lt;=L805,"On-Time","Delayed"),"Pending"))</f>
        <v>0</v>
      </c>
    </row>
    <row r="806" spans="15:15">
      <c r="O806" s="8">
        <f>IF(N806="","",IF(N806="Closed",IF(M806&lt;=L806,"On-Time","Delayed"),"Pending"))</f>
        <v>0</v>
      </c>
    </row>
    <row r="807" spans="15:15">
      <c r="O807" s="8">
        <f>IF(N807="","",IF(N807="Closed",IF(M807&lt;=L807,"On-Time","Delayed"),"Pending"))</f>
        <v>0</v>
      </c>
    </row>
    <row r="808" spans="15:15">
      <c r="O808" s="8">
        <f>IF(N808="","",IF(N808="Closed",IF(M808&lt;=L808,"On-Time","Delayed"),"Pending"))</f>
        <v>0</v>
      </c>
    </row>
    <row r="809" spans="15:15">
      <c r="O809" s="8">
        <f>IF(N809="","",IF(N809="Closed",IF(M809&lt;=L809,"On-Time","Delayed"),"Pending"))</f>
        <v>0</v>
      </c>
    </row>
    <row r="810" spans="15:15">
      <c r="O810" s="8">
        <f>IF(N810="","",IF(N810="Closed",IF(M810&lt;=L810,"On-Time","Delayed"),"Pending"))</f>
        <v>0</v>
      </c>
    </row>
    <row r="811" spans="15:15">
      <c r="O811" s="8">
        <f>IF(N811="","",IF(N811="Closed",IF(M811&lt;=L811,"On-Time","Delayed"),"Pending"))</f>
        <v>0</v>
      </c>
    </row>
    <row r="812" spans="15:15">
      <c r="O812" s="8">
        <f>IF(N812="","",IF(N812="Closed",IF(M812&lt;=L812,"On-Time","Delayed"),"Pending"))</f>
        <v>0</v>
      </c>
    </row>
    <row r="813" spans="15:15">
      <c r="O813" s="8">
        <f>IF(N813="","",IF(N813="Closed",IF(M813&lt;=L813,"On-Time","Delayed"),"Pending"))</f>
        <v>0</v>
      </c>
    </row>
    <row r="814" spans="15:15">
      <c r="O814" s="8">
        <f>IF(N814="","",IF(N814="Closed",IF(M814&lt;=L814,"On-Time","Delayed"),"Pending"))</f>
        <v>0</v>
      </c>
    </row>
    <row r="815" spans="15:15">
      <c r="O815" s="8">
        <f>IF(N815="","",IF(N815="Closed",IF(M815&lt;=L815,"On-Time","Delayed"),"Pending"))</f>
        <v>0</v>
      </c>
    </row>
    <row r="816" spans="15:15">
      <c r="O816" s="8">
        <f>IF(N816="","",IF(N816="Closed",IF(M816&lt;=L816,"On-Time","Delayed"),"Pending"))</f>
        <v>0</v>
      </c>
    </row>
    <row r="817" spans="15:15">
      <c r="O817" s="8">
        <f>IF(N817="","",IF(N817="Closed",IF(M817&lt;=L817,"On-Time","Delayed"),"Pending"))</f>
        <v>0</v>
      </c>
    </row>
    <row r="818" spans="15:15">
      <c r="O818" s="8">
        <f>IF(N818="","",IF(N818="Closed",IF(M818&lt;=L818,"On-Time","Delayed"),"Pending"))</f>
        <v>0</v>
      </c>
    </row>
    <row r="819" spans="15:15">
      <c r="O819" s="8">
        <f>IF(N819="","",IF(N819="Closed",IF(M819&lt;=L819,"On-Time","Delayed"),"Pending"))</f>
        <v>0</v>
      </c>
    </row>
    <row r="820" spans="15:15">
      <c r="O820" s="8">
        <f>IF(N820="","",IF(N820="Closed",IF(M820&lt;=L820,"On-Time","Delayed"),"Pending"))</f>
        <v>0</v>
      </c>
    </row>
    <row r="821" spans="15:15">
      <c r="O821" s="8">
        <f>IF(N821="","",IF(N821="Closed",IF(M821&lt;=L821,"On-Time","Delayed"),"Pending"))</f>
        <v>0</v>
      </c>
    </row>
    <row r="822" spans="15:15">
      <c r="O822" s="8">
        <f>IF(N822="","",IF(N822="Closed",IF(M822&lt;=L822,"On-Time","Delayed"),"Pending"))</f>
        <v>0</v>
      </c>
    </row>
    <row r="823" spans="15:15">
      <c r="O823" s="8">
        <f>IF(N823="","",IF(N823="Closed",IF(M823&lt;=L823,"On-Time","Delayed"),"Pending"))</f>
        <v>0</v>
      </c>
    </row>
    <row r="824" spans="15:15">
      <c r="O824" s="8">
        <f>IF(N824="","",IF(N824="Closed",IF(M824&lt;=L824,"On-Time","Delayed"),"Pending"))</f>
        <v>0</v>
      </c>
    </row>
    <row r="825" spans="15:15">
      <c r="O825" s="8">
        <f>IF(N825="","",IF(N825="Closed",IF(M825&lt;=L825,"On-Time","Delayed"),"Pending"))</f>
        <v>0</v>
      </c>
    </row>
    <row r="826" spans="15:15">
      <c r="O826" s="8">
        <f>IF(N826="","",IF(N826="Closed",IF(M826&lt;=L826,"On-Time","Delayed"),"Pending"))</f>
        <v>0</v>
      </c>
    </row>
    <row r="827" spans="15:15">
      <c r="O827" s="8">
        <f>IF(N827="","",IF(N827="Closed",IF(M827&lt;=L827,"On-Time","Delayed"),"Pending"))</f>
        <v>0</v>
      </c>
    </row>
    <row r="828" spans="15:15">
      <c r="O828" s="8">
        <f>IF(N828="","",IF(N828="Closed",IF(M828&lt;=L828,"On-Time","Delayed"),"Pending"))</f>
        <v>0</v>
      </c>
    </row>
    <row r="829" spans="15:15">
      <c r="O829" s="8">
        <f>IF(N829="","",IF(N829="Closed",IF(M829&lt;=L829,"On-Time","Delayed"),"Pending"))</f>
        <v>0</v>
      </c>
    </row>
    <row r="830" spans="15:15">
      <c r="O830" s="8">
        <f>IF(N830="","",IF(N830="Closed",IF(M830&lt;=L830,"On-Time","Delayed"),"Pending"))</f>
        <v>0</v>
      </c>
    </row>
    <row r="831" spans="15:15">
      <c r="O831" s="8">
        <f>IF(N831="","",IF(N831="Closed",IF(M831&lt;=L831,"On-Time","Delayed"),"Pending"))</f>
        <v>0</v>
      </c>
    </row>
    <row r="832" spans="15:15">
      <c r="O832" s="8">
        <f>IF(N832="","",IF(N832="Closed",IF(M832&lt;=L832,"On-Time","Delayed"),"Pending"))</f>
        <v>0</v>
      </c>
    </row>
    <row r="833" spans="15:15">
      <c r="O833" s="8">
        <f>IF(N833="","",IF(N833="Closed",IF(M833&lt;=L833,"On-Time","Delayed"),"Pending"))</f>
        <v>0</v>
      </c>
    </row>
    <row r="834" spans="15:15">
      <c r="O834" s="8">
        <f>IF(N834="","",IF(N834="Closed",IF(M834&lt;=L834,"On-Time","Delayed"),"Pending"))</f>
        <v>0</v>
      </c>
    </row>
    <row r="835" spans="15:15">
      <c r="O835" s="8">
        <f>IF(N835="","",IF(N835="Closed",IF(M835&lt;=L835,"On-Time","Delayed"),"Pending"))</f>
        <v>0</v>
      </c>
    </row>
    <row r="836" spans="15:15">
      <c r="O836" s="8">
        <f>IF(N836="","",IF(N836="Closed",IF(M836&lt;=L836,"On-Time","Delayed"),"Pending"))</f>
        <v>0</v>
      </c>
    </row>
    <row r="837" spans="15:15">
      <c r="O837" s="8">
        <f>IF(N837="","",IF(N837="Closed",IF(M837&lt;=L837,"On-Time","Delayed"),"Pending"))</f>
        <v>0</v>
      </c>
    </row>
    <row r="838" spans="15:15">
      <c r="O838" s="8">
        <f>IF(N838="","",IF(N838="Closed",IF(M838&lt;=L838,"On-Time","Delayed"),"Pending"))</f>
        <v>0</v>
      </c>
    </row>
    <row r="839" spans="15:15">
      <c r="O839" s="8">
        <f>IF(N839="","",IF(N839="Closed",IF(M839&lt;=L839,"On-Time","Delayed"),"Pending"))</f>
        <v>0</v>
      </c>
    </row>
    <row r="840" spans="15:15">
      <c r="O840" s="8">
        <f>IF(N840="","",IF(N840="Closed",IF(M840&lt;=L840,"On-Time","Delayed"),"Pending"))</f>
        <v>0</v>
      </c>
    </row>
    <row r="841" spans="15:15">
      <c r="O841" s="8">
        <f>IF(N841="","",IF(N841="Closed",IF(M841&lt;=L841,"On-Time","Delayed"),"Pending"))</f>
        <v>0</v>
      </c>
    </row>
    <row r="842" spans="15:15">
      <c r="O842" s="8">
        <f>IF(N842="","",IF(N842="Closed",IF(M842&lt;=L842,"On-Time","Delayed"),"Pending"))</f>
        <v>0</v>
      </c>
    </row>
    <row r="843" spans="15:15">
      <c r="O843" s="8">
        <f>IF(N843="","",IF(N843="Closed",IF(M843&lt;=L843,"On-Time","Delayed"),"Pending"))</f>
        <v>0</v>
      </c>
    </row>
    <row r="844" spans="15:15">
      <c r="O844" s="8">
        <f>IF(N844="","",IF(N844="Closed",IF(M844&lt;=L844,"On-Time","Delayed"),"Pending"))</f>
        <v>0</v>
      </c>
    </row>
    <row r="845" spans="15:15">
      <c r="O845" s="8">
        <f>IF(N845="","",IF(N845="Closed",IF(M845&lt;=L845,"On-Time","Delayed"),"Pending"))</f>
        <v>0</v>
      </c>
    </row>
    <row r="846" spans="15:15">
      <c r="O846" s="8">
        <f>IF(N846="","",IF(N846="Closed",IF(M846&lt;=L846,"On-Time","Delayed"),"Pending"))</f>
        <v>0</v>
      </c>
    </row>
    <row r="847" spans="15:15">
      <c r="O847" s="8">
        <f>IF(N847="","",IF(N847="Closed",IF(M847&lt;=L847,"On-Time","Delayed"),"Pending"))</f>
        <v>0</v>
      </c>
    </row>
    <row r="848" spans="15:15">
      <c r="O848" s="8">
        <f>IF(N848="","",IF(N848="Closed",IF(M848&lt;=L848,"On-Time","Delayed"),"Pending"))</f>
        <v>0</v>
      </c>
    </row>
    <row r="849" spans="15:15">
      <c r="O849" s="8">
        <f>IF(N849="","",IF(N849="Closed",IF(M849&lt;=L849,"On-Time","Delayed"),"Pending"))</f>
        <v>0</v>
      </c>
    </row>
    <row r="850" spans="15:15">
      <c r="O850" s="8">
        <f>IF(N850="","",IF(N850="Closed",IF(M850&lt;=L850,"On-Time","Delayed"),"Pending"))</f>
        <v>0</v>
      </c>
    </row>
    <row r="851" spans="15:15">
      <c r="O851" s="8">
        <f>IF(N851="","",IF(N851="Closed",IF(M851&lt;=L851,"On-Time","Delayed"),"Pending"))</f>
        <v>0</v>
      </c>
    </row>
    <row r="852" spans="15:15">
      <c r="O852" s="8">
        <f>IF(N852="","",IF(N852="Closed",IF(M852&lt;=L852,"On-Time","Delayed"),"Pending"))</f>
        <v>0</v>
      </c>
    </row>
    <row r="853" spans="15:15">
      <c r="O853" s="8">
        <f>IF(N853="","",IF(N853="Closed",IF(M853&lt;=L853,"On-Time","Delayed"),"Pending"))</f>
        <v>0</v>
      </c>
    </row>
    <row r="854" spans="15:15">
      <c r="O854" s="8">
        <f>IF(N854="","",IF(N854="Closed",IF(M854&lt;=L854,"On-Time","Delayed"),"Pending"))</f>
        <v>0</v>
      </c>
    </row>
    <row r="855" spans="15:15">
      <c r="O855" s="8">
        <f>IF(N855="","",IF(N855="Closed",IF(M855&lt;=L855,"On-Time","Delayed"),"Pending"))</f>
        <v>0</v>
      </c>
    </row>
    <row r="856" spans="15:15">
      <c r="O856" s="8">
        <f>IF(N856="","",IF(N856="Closed",IF(M856&lt;=L856,"On-Time","Delayed"),"Pending"))</f>
        <v>0</v>
      </c>
    </row>
    <row r="857" spans="15:15">
      <c r="O857" s="8">
        <f>IF(N857="","",IF(N857="Closed",IF(M857&lt;=L857,"On-Time","Delayed"),"Pending"))</f>
        <v>0</v>
      </c>
    </row>
    <row r="858" spans="15:15">
      <c r="O858" s="8">
        <f>IF(N858="","",IF(N858="Closed",IF(M858&lt;=L858,"On-Time","Delayed"),"Pending"))</f>
        <v>0</v>
      </c>
    </row>
    <row r="859" spans="15:15">
      <c r="O859" s="8">
        <f>IF(N859="","",IF(N859="Closed",IF(M859&lt;=L859,"On-Time","Delayed"),"Pending"))</f>
        <v>0</v>
      </c>
    </row>
    <row r="860" spans="15:15">
      <c r="O860" s="8">
        <f>IF(N860="","",IF(N860="Closed",IF(M860&lt;=L860,"On-Time","Delayed"),"Pending"))</f>
        <v>0</v>
      </c>
    </row>
    <row r="861" spans="15:15">
      <c r="O861" s="8">
        <f>IF(N861="","",IF(N861="Closed",IF(M861&lt;=L861,"On-Time","Delayed"),"Pending"))</f>
        <v>0</v>
      </c>
    </row>
    <row r="862" spans="15:15">
      <c r="O862" s="8">
        <f>IF(N862="","",IF(N862="Closed",IF(M862&lt;=L862,"On-Time","Delayed"),"Pending"))</f>
        <v>0</v>
      </c>
    </row>
    <row r="863" spans="15:15">
      <c r="O863" s="8">
        <f>IF(N863="","",IF(N863="Closed",IF(M863&lt;=L863,"On-Time","Delayed"),"Pending"))</f>
        <v>0</v>
      </c>
    </row>
    <row r="864" spans="15:15">
      <c r="O864" s="8">
        <f>IF(N864="","",IF(N864="Closed",IF(M864&lt;=L864,"On-Time","Delayed"),"Pending"))</f>
        <v>0</v>
      </c>
    </row>
    <row r="865" spans="15:15">
      <c r="O865" s="8">
        <f>IF(N865="","",IF(N865="Closed",IF(M865&lt;=L865,"On-Time","Delayed"),"Pending"))</f>
        <v>0</v>
      </c>
    </row>
    <row r="866" spans="15:15">
      <c r="O866" s="8">
        <f>IF(N866="","",IF(N866="Closed",IF(M866&lt;=L866,"On-Time","Delayed"),"Pending"))</f>
        <v>0</v>
      </c>
    </row>
    <row r="867" spans="15:15">
      <c r="O867" s="8">
        <f>IF(N867="","",IF(N867="Closed",IF(M867&lt;=L867,"On-Time","Delayed"),"Pending"))</f>
        <v>0</v>
      </c>
    </row>
    <row r="868" spans="15:15">
      <c r="O868" s="8">
        <f>IF(N868="","",IF(N868="Closed",IF(M868&lt;=L868,"On-Time","Delayed"),"Pending"))</f>
        <v>0</v>
      </c>
    </row>
    <row r="869" spans="15:15">
      <c r="O869" s="8">
        <f>IF(N869="","",IF(N869="Closed",IF(M869&lt;=L869,"On-Time","Delayed"),"Pending"))</f>
        <v>0</v>
      </c>
    </row>
    <row r="870" spans="15:15">
      <c r="O870" s="8">
        <f>IF(N870="","",IF(N870="Closed",IF(M870&lt;=L870,"On-Time","Delayed"),"Pending"))</f>
        <v>0</v>
      </c>
    </row>
    <row r="871" spans="15:15">
      <c r="O871" s="8">
        <f>IF(N871="","",IF(N871="Closed",IF(M871&lt;=L871,"On-Time","Delayed"),"Pending"))</f>
        <v>0</v>
      </c>
    </row>
    <row r="872" spans="15:15">
      <c r="O872" s="8">
        <f>IF(N872="","",IF(N872="Closed",IF(M872&lt;=L872,"On-Time","Delayed"),"Pending"))</f>
        <v>0</v>
      </c>
    </row>
    <row r="873" spans="15:15">
      <c r="O873" s="8">
        <f>IF(N873="","",IF(N873="Closed",IF(M873&lt;=L873,"On-Time","Delayed"),"Pending"))</f>
        <v>0</v>
      </c>
    </row>
    <row r="874" spans="15:15">
      <c r="O874" s="8">
        <f>IF(N874="","",IF(N874="Closed",IF(M874&lt;=L874,"On-Time","Delayed"),"Pending"))</f>
        <v>0</v>
      </c>
    </row>
    <row r="875" spans="15:15">
      <c r="O875" s="8">
        <f>IF(N875="","",IF(N875="Closed",IF(M875&lt;=L875,"On-Time","Delayed"),"Pending"))</f>
        <v>0</v>
      </c>
    </row>
    <row r="876" spans="15:15">
      <c r="O876" s="8">
        <f>IF(N876="","",IF(N876="Closed",IF(M876&lt;=L876,"On-Time","Delayed"),"Pending"))</f>
        <v>0</v>
      </c>
    </row>
    <row r="877" spans="15:15">
      <c r="O877" s="8">
        <f>IF(N877="","",IF(N877="Closed",IF(M877&lt;=L877,"On-Time","Delayed"),"Pending"))</f>
        <v>0</v>
      </c>
    </row>
    <row r="878" spans="15:15">
      <c r="O878" s="8">
        <f>IF(N878="","",IF(N878="Closed",IF(M878&lt;=L878,"On-Time","Delayed"),"Pending"))</f>
        <v>0</v>
      </c>
    </row>
    <row r="879" spans="15:15">
      <c r="O879" s="8">
        <f>IF(N879="","",IF(N879="Closed",IF(M879&lt;=L879,"On-Time","Delayed"),"Pending"))</f>
        <v>0</v>
      </c>
    </row>
    <row r="880" spans="15:15">
      <c r="O880" s="8">
        <f>IF(N880="","",IF(N880="Closed",IF(M880&lt;=L880,"On-Time","Delayed"),"Pending"))</f>
        <v>0</v>
      </c>
    </row>
    <row r="881" spans="15:15">
      <c r="O881" s="8">
        <f>IF(N881="","",IF(N881="Closed",IF(M881&lt;=L881,"On-Time","Delayed"),"Pending"))</f>
        <v>0</v>
      </c>
    </row>
    <row r="882" spans="15:15">
      <c r="O882" s="8">
        <f>IF(N882="","",IF(N882="Closed",IF(M882&lt;=L882,"On-Time","Delayed"),"Pending"))</f>
        <v>0</v>
      </c>
    </row>
    <row r="883" spans="15:15">
      <c r="O883" s="8">
        <f>IF(N883="","",IF(N883="Closed",IF(M883&lt;=L883,"On-Time","Delayed"),"Pending"))</f>
        <v>0</v>
      </c>
    </row>
    <row r="884" spans="15:15">
      <c r="O884" s="8">
        <f>IF(N884="","",IF(N884="Closed",IF(M884&lt;=L884,"On-Time","Delayed"),"Pending"))</f>
        <v>0</v>
      </c>
    </row>
    <row r="885" spans="15:15">
      <c r="O885" s="8">
        <f>IF(N885="","",IF(N885="Closed",IF(M885&lt;=L885,"On-Time","Delayed"),"Pending"))</f>
        <v>0</v>
      </c>
    </row>
    <row r="886" spans="15:15">
      <c r="O886" s="8">
        <f>IF(N886="","",IF(N886="Closed",IF(M886&lt;=L886,"On-Time","Delayed"),"Pending"))</f>
        <v>0</v>
      </c>
    </row>
    <row r="887" spans="15:15">
      <c r="O887" s="8">
        <f>IF(N887="","",IF(N887="Closed",IF(M887&lt;=L887,"On-Time","Delayed"),"Pending"))</f>
        <v>0</v>
      </c>
    </row>
    <row r="888" spans="15:15">
      <c r="O888" s="8">
        <f>IF(N888="","",IF(N888="Closed",IF(M888&lt;=L888,"On-Time","Delayed"),"Pending"))</f>
        <v>0</v>
      </c>
    </row>
    <row r="889" spans="15:15">
      <c r="O889" s="8">
        <f>IF(N889="","",IF(N889="Closed",IF(M889&lt;=L889,"On-Time","Delayed"),"Pending"))</f>
        <v>0</v>
      </c>
    </row>
    <row r="890" spans="15:15">
      <c r="O890" s="8">
        <f>IF(N890="","",IF(N890="Closed",IF(M890&lt;=L890,"On-Time","Delayed"),"Pending"))</f>
        <v>0</v>
      </c>
    </row>
    <row r="891" spans="15:15">
      <c r="O891" s="8">
        <f>IF(N891="","",IF(N891="Closed",IF(M891&lt;=L891,"On-Time","Delayed"),"Pending"))</f>
        <v>0</v>
      </c>
    </row>
    <row r="892" spans="15:15">
      <c r="O892" s="8">
        <f>IF(N892="","",IF(N892="Closed",IF(M892&lt;=L892,"On-Time","Delayed"),"Pending"))</f>
        <v>0</v>
      </c>
    </row>
    <row r="893" spans="15:15">
      <c r="O893" s="8">
        <f>IF(N893="","",IF(N893="Closed",IF(M893&lt;=L893,"On-Time","Delayed"),"Pending"))</f>
        <v>0</v>
      </c>
    </row>
    <row r="894" spans="15:15">
      <c r="O894" s="8">
        <f>IF(N894="","",IF(N894="Closed",IF(M894&lt;=L894,"On-Time","Delayed"),"Pending"))</f>
        <v>0</v>
      </c>
    </row>
    <row r="895" spans="15:15">
      <c r="O895" s="8">
        <f>IF(N895="","",IF(N895="Closed",IF(M895&lt;=L895,"On-Time","Delayed"),"Pending"))</f>
        <v>0</v>
      </c>
    </row>
    <row r="896" spans="15:15">
      <c r="O896" s="8">
        <f>IF(N896="","",IF(N896="Closed",IF(M896&lt;=L896,"On-Time","Delayed"),"Pending"))</f>
        <v>0</v>
      </c>
    </row>
    <row r="897" spans="15:15">
      <c r="O897" s="8">
        <f>IF(N897="","",IF(N897="Closed",IF(M897&lt;=L897,"On-Time","Delayed"),"Pending"))</f>
        <v>0</v>
      </c>
    </row>
    <row r="898" spans="15:15">
      <c r="O898" s="8">
        <f>IF(N898="","",IF(N898="Closed",IF(M898&lt;=L898,"On-Time","Delayed"),"Pending"))</f>
        <v>0</v>
      </c>
    </row>
    <row r="899" spans="15:15">
      <c r="O899" s="8">
        <f>IF(N899="","",IF(N899="Closed",IF(M899&lt;=L899,"On-Time","Delayed"),"Pending"))</f>
        <v>0</v>
      </c>
    </row>
    <row r="900" spans="15:15">
      <c r="O900" s="8">
        <f>IF(N900="","",IF(N900="Closed",IF(M900&lt;=L900,"On-Time","Delayed"),"Pending"))</f>
        <v>0</v>
      </c>
    </row>
    <row r="901" spans="15:15">
      <c r="O901" s="8">
        <f>IF(N901="","",IF(N901="Closed",IF(M901&lt;=L901,"On-Time","Delayed"),"Pending"))</f>
        <v>0</v>
      </c>
    </row>
    <row r="902" spans="15:15">
      <c r="O902" s="8">
        <f>IF(N902="","",IF(N902="Closed",IF(M902&lt;=L902,"On-Time","Delayed"),"Pending"))</f>
        <v>0</v>
      </c>
    </row>
    <row r="903" spans="15:15">
      <c r="O903" s="8">
        <f>IF(N903="","",IF(N903="Closed",IF(M903&lt;=L903,"On-Time","Delayed"),"Pending"))</f>
        <v>0</v>
      </c>
    </row>
    <row r="904" spans="15:15">
      <c r="O904" s="8">
        <f>IF(N904="","",IF(N904="Closed",IF(M904&lt;=L904,"On-Time","Delayed"),"Pending"))</f>
        <v>0</v>
      </c>
    </row>
    <row r="905" spans="15:15">
      <c r="O905" s="8">
        <f>IF(N905="","",IF(N905="Closed",IF(M905&lt;=L905,"On-Time","Delayed"),"Pending"))</f>
        <v>0</v>
      </c>
    </row>
    <row r="906" spans="15:15">
      <c r="O906" s="8">
        <f>IF(N906="","",IF(N906="Closed",IF(M906&lt;=L906,"On-Time","Delayed"),"Pending"))</f>
        <v>0</v>
      </c>
    </row>
    <row r="907" spans="15:15">
      <c r="O907" s="8">
        <f>IF(N907="","",IF(N907="Closed",IF(M907&lt;=L907,"On-Time","Delayed"),"Pending"))</f>
        <v>0</v>
      </c>
    </row>
    <row r="908" spans="15:15">
      <c r="O908" s="8">
        <f>IF(N908="","",IF(N908="Closed",IF(M908&lt;=L908,"On-Time","Delayed"),"Pending"))</f>
        <v>0</v>
      </c>
    </row>
    <row r="909" spans="15:15">
      <c r="O909" s="8">
        <f>IF(N909="","",IF(N909="Closed",IF(M909&lt;=L909,"On-Time","Delayed"),"Pending"))</f>
        <v>0</v>
      </c>
    </row>
    <row r="910" spans="15:15">
      <c r="O910" s="8">
        <f>IF(N910="","",IF(N910="Closed",IF(M910&lt;=L910,"On-Time","Delayed"),"Pending"))</f>
        <v>0</v>
      </c>
    </row>
    <row r="911" spans="15:15">
      <c r="O911" s="8">
        <f>IF(N911="","",IF(N911="Closed",IF(M911&lt;=L911,"On-Time","Delayed"),"Pending"))</f>
        <v>0</v>
      </c>
    </row>
    <row r="912" spans="15:15">
      <c r="O912" s="8">
        <f>IF(N912="","",IF(N912="Closed",IF(M912&lt;=L912,"On-Time","Delayed"),"Pending"))</f>
        <v>0</v>
      </c>
    </row>
    <row r="913" spans="15:15">
      <c r="O913" s="8">
        <f>IF(N913="","",IF(N913="Closed",IF(M913&lt;=L913,"On-Time","Delayed"),"Pending"))</f>
        <v>0</v>
      </c>
    </row>
    <row r="914" spans="15:15">
      <c r="O914" s="8">
        <f>IF(N914="","",IF(N914="Closed",IF(M914&lt;=L914,"On-Time","Delayed"),"Pending"))</f>
        <v>0</v>
      </c>
    </row>
    <row r="915" spans="15:15">
      <c r="O915" s="8">
        <f>IF(N915="","",IF(N915="Closed",IF(M915&lt;=L915,"On-Time","Delayed"),"Pending"))</f>
        <v>0</v>
      </c>
    </row>
    <row r="916" spans="15:15">
      <c r="O916" s="8">
        <f>IF(N916="","",IF(N916="Closed",IF(M916&lt;=L916,"On-Time","Delayed"),"Pending"))</f>
        <v>0</v>
      </c>
    </row>
    <row r="917" spans="15:15">
      <c r="O917" s="8">
        <f>IF(N917="","",IF(N917="Closed",IF(M917&lt;=L917,"On-Time","Delayed"),"Pending"))</f>
        <v>0</v>
      </c>
    </row>
    <row r="918" spans="15:15">
      <c r="O918" s="8">
        <f>IF(N918="","",IF(N918="Closed",IF(M918&lt;=L918,"On-Time","Delayed"),"Pending"))</f>
        <v>0</v>
      </c>
    </row>
    <row r="919" spans="15:15">
      <c r="O919" s="8">
        <f>IF(N919="","",IF(N919="Closed",IF(M919&lt;=L919,"On-Time","Delayed"),"Pending"))</f>
        <v>0</v>
      </c>
    </row>
    <row r="920" spans="15:15">
      <c r="O920" s="8">
        <f>IF(N920="","",IF(N920="Closed",IF(M920&lt;=L920,"On-Time","Delayed"),"Pending"))</f>
        <v>0</v>
      </c>
    </row>
    <row r="921" spans="15:15">
      <c r="O921" s="8">
        <f>IF(N921="","",IF(N921="Closed",IF(M921&lt;=L921,"On-Time","Delayed"),"Pending"))</f>
        <v>0</v>
      </c>
    </row>
    <row r="922" spans="15:15">
      <c r="O922" s="8">
        <f>IF(N922="","",IF(N922="Closed",IF(M922&lt;=L922,"On-Time","Delayed"),"Pending"))</f>
        <v>0</v>
      </c>
    </row>
    <row r="923" spans="15:15">
      <c r="O923" s="8">
        <f>IF(N923="","",IF(N923="Closed",IF(M923&lt;=L923,"On-Time","Delayed"),"Pending"))</f>
        <v>0</v>
      </c>
    </row>
    <row r="924" spans="15:15">
      <c r="O924" s="8">
        <f>IF(N924="","",IF(N924="Closed",IF(M924&lt;=L924,"On-Time","Delayed"),"Pending"))</f>
        <v>0</v>
      </c>
    </row>
    <row r="925" spans="15:15">
      <c r="O925" s="8">
        <f>IF(N925="","",IF(N925="Closed",IF(M925&lt;=L925,"On-Time","Delayed"),"Pending"))</f>
        <v>0</v>
      </c>
    </row>
    <row r="926" spans="15:15">
      <c r="O926" s="8">
        <f>IF(N926="","",IF(N926="Closed",IF(M926&lt;=L926,"On-Time","Delayed"),"Pending"))</f>
        <v>0</v>
      </c>
    </row>
    <row r="927" spans="15:15">
      <c r="O927" s="8">
        <f>IF(N927="","",IF(N927="Closed",IF(M927&lt;=L927,"On-Time","Delayed"),"Pending"))</f>
        <v>0</v>
      </c>
    </row>
    <row r="928" spans="15:15">
      <c r="O928" s="8">
        <f>IF(N928="","",IF(N928="Closed",IF(M928&lt;=L928,"On-Time","Delayed"),"Pending"))</f>
        <v>0</v>
      </c>
    </row>
    <row r="929" spans="15:15">
      <c r="O929" s="8">
        <f>IF(N929="","",IF(N929="Closed",IF(M929&lt;=L929,"On-Time","Delayed"),"Pending"))</f>
        <v>0</v>
      </c>
    </row>
    <row r="930" spans="15:15">
      <c r="O930" s="8">
        <f>IF(N930="","",IF(N930="Closed",IF(M930&lt;=L930,"On-Time","Delayed"),"Pending"))</f>
        <v>0</v>
      </c>
    </row>
    <row r="931" spans="15:15">
      <c r="O931" s="8">
        <f>IF(N931="","",IF(N931="Closed",IF(M931&lt;=L931,"On-Time","Delayed"),"Pending"))</f>
        <v>0</v>
      </c>
    </row>
    <row r="932" spans="15:15">
      <c r="O932" s="8">
        <f>IF(N932="","",IF(N932="Closed",IF(M932&lt;=L932,"On-Time","Delayed"),"Pending"))</f>
        <v>0</v>
      </c>
    </row>
    <row r="933" spans="15:15">
      <c r="O933" s="8">
        <f>IF(N933="","",IF(N933="Closed",IF(M933&lt;=L933,"On-Time","Delayed"),"Pending"))</f>
        <v>0</v>
      </c>
    </row>
    <row r="934" spans="15:15">
      <c r="O934" s="8">
        <f>IF(N934="","",IF(N934="Closed",IF(M934&lt;=L934,"On-Time","Delayed"),"Pending"))</f>
        <v>0</v>
      </c>
    </row>
    <row r="935" spans="15:15">
      <c r="O935" s="8">
        <f>IF(N935="","",IF(N935="Closed",IF(M935&lt;=L935,"On-Time","Delayed"),"Pending"))</f>
        <v>0</v>
      </c>
    </row>
    <row r="936" spans="15:15">
      <c r="O936" s="8">
        <f>IF(N936="","",IF(N936="Closed",IF(M936&lt;=L936,"On-Time","Delayed"),"Pending"))</f>
        <v>0</v>
      </c>
    </row>
    <row r="937" spans="15:15">
      <c r="O937" s="8">
        <f>IF(N937="","",IF(N937="Closed",IF(M937&lt;=L937,"On-Time","Delayed"),"Pending"))</f>
        <v>0</v>
      </c>
    </row>
    <row r="938" spans="15:15">
      <c r="O938" s="8">
        <f>IF(N938="","",IF(N938="Closed",IF(M938&lt;=L938,"On-Time","Delayed"),"Pending"))</f>
        <v>0</v>
      </c>
    </row>
    <row r="939" spans="15:15">
      <c r="O939" s="8">
        <f>IF(N939="","",IF(N939="Closed",IF(M939&lt;=L939,"On-Time","Delayed"),"Pending"))</f>
        <v>0</v>
      </c>
    </row>
    <row r="940" spans="15:15">
      <c r="O940" s="8">
        <f>IF(N940="","",IF(N940="Closed",IF(M940&lt;=L940,"On-Time","Delayed"),"Pending"))</f>
        <v>0</v>
      </c>
    </row>
    <row r="941" spans="15:15">
      <c r="O941" s="8">
        <f>IF(N941="","",IF(N941="Closed",IF(M941&lt;=L941,"On-Time","Delayed"),"Pending"))</f>
        <v>0</v>
      </c>
    </row>
    <row r="942" spans="15:15">
      <c r="O942" s="8">
        <f>IF(N942="","",IF(N942="Closed",IF(M942&lt;=L942,"On-Time","Delayed"),"Pending"))</f>
        <v>0</v>
      </c>
    </row>
    <row r="943" spans="15:15">
      <c r="O943" s="8">
        <f>IF(N943="","",IF(N943="Closed",IF(M943&lt;=L943,"On-Time","Delayed"),"Pending"))</f>
        <v>0</v>
      </c>
    </row>
    <row r="944" spans="15:15">
      <c r="O944" s="8">
        <f>IF(N944="","",IF(N944="Closed",IF(M944&lt;=L944,"On-Time","Delayed"),"Pending"))</f>
        <v>0</v>
      </c>
    </row>
    <row r="945" spans="15:15">
      <c r="O945" s="8">
        <f>IF(N945="","",IF(N945="Closed",IF(M945&lt;=L945,"On-Time","Delayed"),"Pending"))</f>
        <v>0</v>
      </c>
    </row>
    <row r="946" spans="15:15">
      <c r="O946" s="8">
        <f>IF(N946="","",IF(N946="Closed",IF(M946&lt;=L946,"On-Time","Delayed"),"Pending"))</f>
        <v>0</v>
      </c>
    </row>
    <row r="947" spans="15:15">
      <c r="O947" s="8">
        <f>IF(N947="","",IF(N947="Closed",IF(M947&lt;=L947,"On-Time","Delayed"),"Pending"))</f>
        <v>0</v>
      </c>
    </row>
    <row r="948" spans="15:15">
      <c r="O948" s="8">
        <f>IF(N948="","",IF(N948="Closed",IF(M948&lt;=L948,"On-Time","Delayed"),"Pending"))</f>
        <v>0</v>
      </c>
    </row>
    <row r="949" spans="15:15">
      <c r="O949" s="8">
        <f>IF(N949="","",IF(N949="Closed",IF(M949&lt;=L949,"On-Time","Delayed"),"Pending"))</f>
        <v>0</v>
      </c>
    </row>
    <row r="950" spans="15:15">
      <c r="O950" s="8">
        <f>IF(N950="","",IF(N950="Closed",IF(M950&lt;=L950,"On-Time","Delayed"),"Pending"))</f>
        <v>0</v>
      </c>
    </row>
    <row r="951" spans="15:15">
      <c r="O951" s="8">
        <f>IF(N951="","",IF(N951="Closed",IF(M951&lt;=L951,"On-Time","Delayed"),"Pending"))</f>
        <v>0</v>
      </c>
    </row>
    <row r="952" spans="15:15">
      <c r="O952" s="8">
        <f>IF(N952="","",IF(N952="Closed",IF(M952&lt;=L952,"On-Time","Delayed"),"Pending"))</f>
        <v>0</v>
      </c>
    </row>
    <row r="953" spans="15:15">
      <c r="O953" s="8">
        <f>IF(N953="","",IF(N953="Closed",IF(M953&lt;=L953,"On-Time","Delayed"),"Pending"))</f>
        <v>0</v>
      </c>
    </row>
    <row r="954" spans="15:15">
      <c r="O954" s="8">
        <f>IF(N954="","",IF(N954="Closed",IF(M954&lt;=L954,"On-Time","Delayed"),"Pending"))</f>
        <v>0</v>
      </c>
    </row>
    <row r="955" spans="15:15">
      <c r="O955" s="8">
        <f>IF(N955="","",IF(N955="Closed",IF(M955&lt;=L955,"On-Time","Delayed"),"Pending"))</f>
        <v>0</v>
      </c>
    </row>
    <row r="956" spans="15:15">
      <c r="O956" s="8">
        <f>IF(N956="","",IF(N956="Closed",IF(M956&lt;=L956,"On-Time","Delayed"),"Pending"))</f>
        <v>0</v>
      </c>
    </row>
    <row r="957" spans="15:15">
      <c r="O957" s="8">
        <f>IF(N957="","",IF(N957="Closed",IF(M957&lt;=L957,"On-Time","Delayed"),"Pending"))</f>
        <v>0</v>
      </c>
    </row>
    <row r="958" spans="15:15">
      <c r="O958" s="8">
        <f>IF(N958="","",IF(N958="Closed",IF(M958&lt;=L958,"On-Time","Delayed"),"Pending"))</f>
        <v>0</v>
      </c>
    </row>
    <row r="959" spans="15:15">
      <c r="O959" s="8">
        <f>IF(N959="","",IF(N959="Closed",IF(M959&lt;=L959,"On-Time","Delayed"),"Pending"))</f>
        <v>0</v>
      </c>
    </row>
    <row r="960" spans="15:15">
      <c r="O960" s="8">
        <f>IF(N960="","",IF(N960="Closed",IF(M960&lt;=L960,"On-Time","Delayed"),"Pending"))</f>
        <v>0</v>
      </c>
    </row>
    <row r="961" spans="15:15">
      <c r="O961" s="8">
        <f>IF(N961="","",IF(N961="Closed",IF(M961&lt;=L961,"On-Time","Delayed"),"Pending"))</f>
        <v>0</v>
      </c>
    </row>
    <row r="962" spans="15:15">
      <c r="O962" s="8">
        <f>IF(N962="","",IF(N962="Closed",IF(M962&lt;=L962,"On-Time","Delayed"),"Pending"))</f>
        <v>0</v>
      </c>
    </row>
    <row r="963" spans="15:15">
      <c r="O963" s="8">
        <f>IF(N963="","",IF(N963="Closed",IF(M963&lt;=L963,"On-Time","Delayed"),"Pending"))</f>
        <v>0</v>
      </c>
    </row>
    <row r="964" spans="15:15">
      <c r="O964" s="8">
        <f>IF(N964="","",IF(N964="Closed",IF(M964&lt;=L964,"On-Time","Delayed"),"Pending"))</f>
        <v>0</v>
      </c>
    </row>
    <row r="965" spans="15:15">
      <c r="O965" s="8">
        <f>IF(N965="","",IF(N965="Closed",IF(M965&lt;=L965,"On-Time","Delayed"),"Pending"))</f>
        <v>0</v>
      </c>
    </row>
    <row r="966" spans="15:15">
      <c r="O966" s="8">
        <f>IF(N966="","",IF(N966="Closed",IF(M966&lt;=L966,"On-Time","Delayed"),"Pending"))</f>
        <v>0</v>
      </c>
    </row>
    <row r="967" spans="15:15">
      <c r="O967" s="8">
        <f>IF(N967="","",IF(N967="Closed",IF(M967&lt;=L967,"On-Time","Delayed"),"Pending"))</f>
        <v>0</v>
      </c>
    </row>
    <row r="968" spans="15:15">
      <c r="O968" s="8">
        <f>IF(N968="","",IF(N968="Closed",IF(M968&lt;=L968,"On-Time","Delayed"),"Pending"))</f>
        <v>0</v>
      </c>
    </row>
    <row r="969" spans="15:15">
      <c r="O969" s="8">
        <f>IF(N969="","",IF(N969="Closed",IF(M969&lt;=L969,"On-Time","Delayed"),"Pending"))</f>
        <v>0</v>
      </c>
    </row>
    <row r="970" spans="15:15">
      <c r="O970" s="8">
        <f>IF(N970="","",IF(N970="Closed",IF(M970&lt;=L970,"On-Time","Delayed"),"Pending"))</f>
        <v>0</v>
      </c>
    </row>
    <row r="971" spans="15:15">
      <c r="O971" s="8">
        <f>IF(N971="","",IF(N971="Closed",IF(M971&lt;=L971,"On-Time","Delayed"),"Pending"))</f>
        <v>0</v>
      </c>
    </row>
    <row r="972" spans="15:15">
      <c r="O972" s="8">
        <f>IF(N972="","",IF(N972="Closed",IF(M972&lt;=L972,"On-Time","Delayed"),"Pending"))</f>
        <v>0</v>
      </c>
    </row>
    <row r="973" spans="15:15">
      <c r="O973" s="8">
        <f>IF(N973="","",IF(N973="Closed",IF(M973&lt;=L973,"On-Time","Delayed"),"Pending"))</f>
        <v>0</v>
      </c>
    </row>
    <row r="974" spans="15:15">
      <c r="O974" s="8">
        <f>IF(N974="","",IF(N974="Closed",IF(M974&lt;=L974,"On-Time","Delayed"),"Pending"))</f>
        <v>0</v>
      </c>
    </row>
    <row r="975" spans="15:15">
      <c r="O975" s="8">
        <f>IF(N975="","",IF(N975="Closed",IF(M975&lt;=L975,"On-Time","Delayed"),"Pending"))</f>
        <v>0</v>
      </c>
    </row>
    <row r="976" spans="15:15">
      <c r="O976" s="8">
        <f>IF(N976="","",IF(N976="Closed",IF(M976&lt;=L976,"On-Time","Delayed"),"Pending"))</f>
        <v>0</v>
      </c>
    </row>
    <row r="977" spans="15:15">
      <c r="O977" s="8">
        <f>IF(N977="","",IF(N977="Closed",IF(M977&lt;=L977,"On-Time","Delayed"),"Pending"))</f>
        <v>0</v>
      </c>
    </row>
    <row r="978" spans="15:15">
      <c r="O978" s="8">
        <f>IF(N978="","",IF(N978="Closed",IF(M978&lt;=L978,"On-Time","Delayed"),"Pending"))</f>
        <v>0</v>
      </c>
    </row>
    <row r="979" spans="15:15">
      <c r="O979" s="8">
        <f>IF(N979="","",IF(N979="Closed",IF(M979&lt;=L979,"On-Time","Delayed"),"Pending"))</f>
        <v>0</v>
      </c>
    </row>
    <row r="980" spans="15:15">
      <c r="O980" s="8">
        <f>IF(N980="","",IF(N980="Closed",IF(M980&lt;=L980,"On-Time","Delayed"),"Pending"))</f>
        <v>0</v>
      </c>
    </row>
    <row r="981" spans="15:15">
      <c r="O981" s="8">
        <f>IF(N981="","",IF(N981="Closed",IF(M981&lt;=L981,"On-Time","Delayed"),"Pending"))</f>
        <v>0</v>
      </c>
    </row>
    <row r="982" spans="15:15">
      <c r="O982" s="8">
        <f>IF(N982="","",IF(N982="Closed",IF(M982&lt;=L982,"On-Time","Delayed"),"Pending"))</f>
        <v>0</v>
      </c>
    </row>
    <row r="983" spans="15:15">
      <c r="O983" s="8">
        <f>IF(N983="","",IF(N983="Closed",IF(M983&lt;=L983,"On-Time","Delayed"),"Pending"))</f>
        <v>0</v>
      </c>
    </row>
    <row r="984" spans="15:15">
      <c r="O984" s="8">
        <f>IF(N984="","",IF(N984="Closed",IF(M984&lt;=L984,"On-Time","Delayed"),"Pending"))</f>
        <v>0</v>
      </c>
    </row>
    <row r="985" spans="15:15">
      <c r="O985" s="8">
        <f>IF(N985="","",IF(N985="Closed",IF(M985&lt;=L985,"On-Time","Delayed"),"Pending"))</f>
        <v>0</v>
      </c>
    </row>
    <row r="986" spans="15:15">
      <c r="O986" s="8">
        <f>IF(N986="","",IF(N986="Closed",IF(M986&lt;=L986,"On-Time","Delayed"),"Pending"))</f>
        <v>0</v>
      </c>
    </row>
    <row r="987" spans="15:15">
      <c r="O987" s="8">
        <f>IF(N987="","",IF(N987="Closed",IF(M987&lt;=L987,"On-Time","Delayed"),"Pending"))</f>
        <v>0</v>
      </c>
    </row>
    <row r="988" spans="15:15">
      <c r="O988" s="8">
        <f>IF(N988="","",IF(N988="Closed",IF(M988&lt;=L988,"On-Time","Delayed"),"Pending"))</f>
        <v>0</v>
      </c>
    </row>
    <row r="989" spans="15:15">
      <c r="O989" s="8">
        <f>IF(N989="","",IF(N989="Closed",IF(M989&lt;=L989,"On-Time","Delayed"),"Pending"))</f>
        <v>0</v>
      </c>
    </row>
    <row r="990" spans="15:15">
      <c r="O990" s="8">
        <f>IF(N990="","",IF(N990="Closed",IF(M990&lt;=L990,"On-Time","Delayed"),"Pending"))</f>
        <v>0</v>
      </c>
    </row>
    <row r="991" spans="15:15">
      <c r="O991" s="8">
        <f>IF(N991="","",IF(N991="Closed",IF(M991&lt;=L991,"On-Time","Delayed"),"Pending"))</f>
        <v>0</v>
      </c>
    </row>
    <row r="992" spans="15:15">
      <c r="O992" s="8">
        <f>IF(N992="","",IF(N992="Closed",IF(M992&lt;=L992,"On-Time","Delayed"),"Pending"))</f>
        <v>0</v>
      </c>
    </row>
    <row r="993" spans="15:15">
      <c r="O993" s="8">
        <f>IF(N993="","",IF(N993="Closed",IF(M993&lt;=L993,"On-Time","Delayed"),"Pending"))</f>
        <v>0</v>
      </c>
    </row>
    <row r="994" spans="15:15">
      <c r="O994" s="8">
        <f>IF(N994="","",IF(N994="Closed",IF(M994&lt;=L994,"On-Time","Delayed"),"Pending"))</f>
        <v>0</v>
      </c>
    </row>
    <row r="995" spans="15:15">
      <c r="O995" s="8">
        <f>IF(N995="","",IF(N995="Closed",IF(M995&lt;=L995,"On-Time","Delayed"),"Pending"))</f>
        <v>0</v>
      </c>
    </row>
    <row r="996" spans="15:15">
      <c r="O996" s="8">
        <f>IF(N996="","",IF(N996="Closed",IF(M996&lt;=L996,"On-Time","Delayed"),"Pending"))</f>
        <v>0</v>
      </c>
    </row>
    <row r="997" spans="15:15">
      <c r="O997" s="8">
        <f>IF(N997="","",IF(N997="Closed",IF(M997&lt;=L997,"On-Time","Delayed"),"Pending"))</f>
        <v>0</v>
      </c>
    </row>
    <row r="998" spans="15:15">
      <c r="O998" s="8">
        <f>IF(N998="","",IF(N998="Closed",IF(M998&lt;=L998,"On-Time","Delayed"),"Pending"))</f>
        <v>0</v>
      </c>
    </row>
    <row r="999" spans="15:15">
      <c r="O999" s="8">
        <f>IF(N999="","",IF(N999="Closed",IF(M999&lt;=L999,"On-Time","Delayed"),"Pending"))</f>
        <v>0</v>
      </c>
    </row>
    <row r="1000" spans="15:15">
      <c r="O1000" s="8">
        <f>IF(N1000="","",IF(N1000="Closed",IF(M1000&lt;=L1000,"On-Time","Delayed"),"Pending"))</f>
        <v>0</v>
      </c>
    </row>
    <row r="1001" spans="15:15">
      <c r="O1001" s="8">
        <f>IF(N1001="","",IF(N1001="Closed",IF(M1001&lt;=L1001,"On-Time","Delayed"),"Pending"))</f>
        <v>0</v>
      </c>
    </row>
    <row r="1002" spans="15:15">
      <c r="O1002" s="8">
        <f>IF(N1002="","",IF(N1002="Closed",IF(M1002&lt;=L1002,"On-Time","Delayed"),"Pending"))</f>
        <v>0</v>
      </c>
    </row>
    <row r="1003" spans="15:15">
      <c r="O1003" s="8">
        <f>IF(N1003="","",IF(N1003="Closed",IF(M1003&lt;=L1003,"On-Time","Delayed"),"Pending"))</f>
        <v>0</v>
      </c>
    </row>
  </sheetData>
  <mergeCells count="2">
    <mergeCell ref="A1:O1"/>
    <mergeCell ref="A2:O2"/>
  </mergeCells>
  <dataValidations count="4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N4:N100003">
      <formula1>L_Status</formula1>
    </dataValidation>
    <dataValidation type="list" allowBlank="1" showInputMessage="1" showErrorMessage="1" sqref="I4:I100003">
      <formula1>L_Risk</formula1>
    </dataValidation>
  </dataValidations>
  <hyperlinks>
    <hyperlink ref="Q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>
    <tabColor rgb="FF64748B"/>
    <pageSetUpPr fitToPage="1"/>
  </sheetPr>
  <dimension ref="A1:P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2" width="9.7109375" style="1" customWidth="1"/>
    <col min="3" max="3" width="13.7109375" style="1" customWidth="1"/>
    <col min="4" max="5" width="9.7109375" style="1" customWidth="1"/>
    <col min="6" max="6" width="10.7109375" style="1" customWidth="1"/>
    <col min="7" max="7" width="12.7109375" style="1" customWidth="1"/>
    <col min="8" max="8" width="16.7109375" style="1" customWidth="1"/>
    <col min="9" max="10" width="13.7109375" style="1" customWidth="1"/>
    <col min="11" max="12" width="19.7109375" style="1" customWidth="1"/>
    <col min="13" max="13" width="9.7109375" style="1" customWidth="1"/>
    <col min="14" max="14" width="19.7109375" style="1" customWidth="1"/>
  </cols>
  <sheetData>
    <row r="1" spans="1:16" ht="22" customHeight="1">
      <c r="A1" s="3" t="s">
        <v>1322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4" t="s">
        <v>139</v>
      </c>
    </row>
    <row r="2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>
      <c r="A3" s="1" t="s">
        <v>124</v>
      </c>
      <c r="B3" s="1" t="s">
        <v>1379</v>
      </c>
      <c r="C3" s="1" t="s">
        <v>1316</v>
      </c>
      <c r="D3" s="1" t="s">
        <v>127</v>
      </c>
      <c r="E3" s="1" t="s">
        <v>1317</v>
      </c>
      <c r="F3" s="1" t="s">
        <v>1134</v>
      </c>
      <c r="G3" s="1" t="s">
        <v>129</v>
      </c>
      <c r="H3" s="1" t="s">
        <v>1380</v>
      </c>
      <c r="I3" s="1" t="s">
        <v>1318</v>
      </c>
      <c r="J3" s="1" t="s">
        <v>209</v>
      </c>
      <c r="K3" s="1" t="s">
        <v>1381</v>
      </c>
      <c r="L3" s="1" t="s">
        <v>1382</v>
      </c>
      <c r="M3" s="1" t="s">
        <v>288</v>
      </c>
      <c r="N3" s="1" t="s">
        <v>1383</v>
      </c>
    </row>
    <row r="4" spans="1:16">
      <c r="A4" s="1">
        <v>1</v>
      </c>
      <c r="B4" s="1" t="s">
        <v>1323</v>
      </c>
      <c r="C4" s="5">
        <v>46028</v>
      </c>
      <c r="D4" s="1" t="s">
        <v>3</v>
      </c>
      <c r="E4" s="6" t="s">
        <v>1265</v>
      </c>
      <c r="F4" s="6" t="s">
        <v>1324</v>
      </c>
      <c r="G4" s="1" t="s">
        <v>58</v>
      </c>
      <c r="H4" s="1" t="s">
        <v>61</v>
      </c>
      <c r="I4" s="1" t="s">
        <v>78</v>
      </c>
      <c r="J4" s="1" t="s">
        <v>62</v>
      </c>
      <c r="K4" s="5">
        <v>46068</v>
      </c>
      <c r="L4" s="5">
        <v>46048</v>
      </c>
      <c r="M4" s="1" t="s">
        <v>582</v>
      </c>
      <c r="N4" s="1" t="s">
        <v>302</v>
      </c>
    </row>
    <row r="5" spans="1:16">
      <c r="A5" s="1">
        <v>2</v>
      </c>
      <c r="B5" s="1" t="s">
        <v>1325</v>
      </c>
      <c r="C5" s="5">
        <v>46029</v>
      </c>
      <c r="D5" s="1" t="s">
        <v>3</v>
      </c>
      <c r="E5" s="6" t="s">
        <v>1279</v>
      </c>
      <c r="F5" s="6" t="s">
        <v>1324</v>
      </c>
      <c r="G5" s="1" t="s">
        <v>58</v>
      </c>
      <c r="H5" s="1" t="s">
        <v>49</v>
      </c>
      <c r="I5" s="1" t="s">
        <v>66</v>
      </c>
      <c r="J5" s="1" t="s">
        <v>70</v>
      </c>
      <c r="K5" s="5">
        <v>46071</v>
      </c>
      <c r="L5" s="5">
        <v>46049</v>
      </c>
      <c r="M5" s="1" t="s">
        <v>582</v>
      </c>
      <c r="N5" s="1" t="s">
        <v>302</v>
      </c>
    </row>
    <row r="6" spans="1:16">
      <c r="A6" s="1">
        <v>3</v>
      </c>
      <c r="B6" s="1" t="s">
        <v>1326</v>
      </c>
      <c r="C6" s="5">
        <v>46032</v>
      </c>
      <c r="D6" s="1" t="s">
        <v>3</v>
      </c>
      <c r="E6" s="6" t="s">
        <v>1263</v>
      </c>
      <c r="F6" s="6" t="s">
        <v>1279</v>
      </c>
      <c r="G6" s="1" t="s">
        <v>39</v>
      </c>
      <c r="H6" s="1" t="s">
        <v>26</v>
      </c>
      <c r="I6" s="1" t="s">
        <v>104</v>
      </c>
      <c r="J6" s="1" t="s">
        <v>28</v>
      </c>
      <c r="K6" s="5">
        <v>46052</v>
      </c>
      <c r="L6" s="5">
        <v>46039</v>
      </c>
      <c r="M6" s="1" t="s">
        <v>582</v>
      </c>
      <c r="N6" s="1" t="s">
        <v>1327</v>
      </c>
    </row>
    <row r="7" spans="1:16">
      <c r="A7" s="1">
        <v>4</v>
      </c>
      <c r="B7" s="1" t="s">
        <v>1328</v>
      </c>
      <c r="C7" s="5">
        <v>46045</v>
      </c>
      <c r="D7" s="1" t="s">
        <v>3</v>
      </c>
      <c r="E7" s="6" t="s">
        <v>1265</v>
      </c>
      <c r="F7" s="6" t="s">
        <v>1329</v>
      </c>
      <c r="G7" s="1" t="s">
        <v>13</v>
      </c>
      <c r="H7" s="1" t="s">
        <v>61</v>
      </c>
      <c r="I7" s="1" t="s">
        <v>104</v>
      </c>
      <c r="J7" s="1" t="s">
        <v>32</v>
      </c>
      <c r="K7" s="5">
        <v>46067</v>
      </c>
      <c r="L7" s="5">
        <v>46063</v>
      </c>
      <c r="M7" s="1" t="s">
        <v>582</v>
      </c>
      <c r="N7" s="1" t="s">
        <v>1330</v>
      </c>
    </row>
    <row r="8" spans="1:16">
      <c r="A8" s="1">
        <v>5</v>
      </c>
      <c r="B8" s="1" t="s">
        <v>1331</v>
      </c>
      <c r="C8" s="5">
        <v>46032</v>
      </c>
      <c r="D8" s="1" t="s">
        <v>3</v>
      </c>
      <c r="E8" s="6" t="s">
        <v>1271</v>
      </c>
      <c r="F8" s="6" t="s">
        <v>1324</v>
      </c>
      <c r="G8" s="1" t="s">
        <v>89</v>
      </c>
      <c r="H8" s="1" t="s">
        <v>54</v>
      </c>
      <c r="I8" s="1" t="s">
        <v>93</v>
      </c>
      <c r="J8" s="1" t="s">
        <v>22</v>
      </c>
      <c r="K8" s="5">
        <v>46077</v>
      </c>
      <c r="L8" s="5">
        <v>46068</v>
      </c>
      <c r="M8" s="1" t="s">
        <v>1144</v>
      </c>
      <c r="N8" s="1" t="s">
        <v>302</v>
      </c>
    </row>
    <row r="9" spans="1:16">
      <c r="A9" s="1">
        <v>6</v>
      </c>
      <c r="B9" s="1" t="s">
        <v>1332</v>
      </c>
      <c r="C9" s="5">
        <v>46028</v>
      </c>
      <c r="D9" s="1" t="s">
        <v>3</v>
      </c>
      <c r="E9" s="6" t="s">
        <v>1263</v>
      </c>
      <c r="F9" s="6" t="s">
        <v>1329</v>
      </c>
      <c r="G9" s="1" t="s">
        <v>39</v>
      </c>
      <c r="H9" s="1" t="s">
        <v>38</v>
      </c>
      <c r="I9" s="1" t="s">
        <v>78</v>
      </c>
      <c r="J9" s="1" t="s">
        <v>104</v>
      </c>
      <c r="K9" s="5">
        <v>46072</v>
      </c>
      <c r="L9" s="5">
        <v>46044</v>
      </c>
      <c r="M9" s="1" t="s">
        <v>582</v>
      </c>
      <c r="N9" s="1" t="s">
        <v>297</v>
      </c>
    </row>
    <row r="10" spans="1:16">
      <c r="A10" s="1">
        <v>7</v>
      </c>
      <c r="B10" s="1" t="s">
        <v>1333</v>
      </c>
      <c r="C10" s="5">
        <v>46062</v>
      </c>
      <c r="D10" s="1" t="s">
        <v>19</v>
      </c>
      <c r="E10" s="6" t="s">
        <v>1265</v>
      </c>
      <c r="F10" s="6" t="s">
        <v>1324</v>
      </c>
      <c r="G10" s="1" t="s">
        <v>89</v>
      </c>
      <c r="H10" s="1" t="s">
        <v>91</v>
      </c>
      <c r="I10" s="1" t="s">
        <v>15</v>
      </c>
      <c r="J10" s="1" t="s">
        <v>15</v>
      </c>
      <c r="K10" s="5">
        <v>46078</v>
      </c>
      <c r="L10" s="5">
        <v>46080</v>
      </c>
      <c r="M10" s="1" t="s">
        <v>582</v>
      </c>
      <c r="N10" s="1" t="s">
        <v>1334</v>
      </c>
    </row>
    <row r="11" spans="1:16">
      <c r="A11" s="1">
        <v>8</v>
      </c>
      <c r="B11" s="1" t="s">
        <v>1335</v>
      </c>
      <c r="C11" s="5">
        <v>46076</v>
      </c>
      <c r="D11" s="1" t="s">
        <v>19</v>
      </c>
      <c r="E11" s="6" t="s">
        <v>1279</v>
      </c>
      <c r="F11" s="6" t="s">
        <v>1324</v>
      </c>
      <c r="G11" s="1" t="s">
        <v>46</v>
      </c>
      <c r="H11" s="1" t="s">
        <v>91</v>
      </c>
      <c r="I11" s="1" t="s">
        <v>78</v>
      </c>
      <c r="J11" s="1" t="s">
        <v>36</v>
      </c>
      <c r="K11" s="5">
        <v>46094</v>
      </c>
      <c r="L11" s="5">
        <v>46101</v>
      </c>
      <c r="M11" s="1" t="s">
        <v>1144</v>
      </c>
      <c r="N11" s="1" t="s">
        <v>1336</v>
      </c>
    </row>
    <row r="12" spans="1:16">
      <c r="A12" s="1">
        <v>9</v>
      </c>
      <c r="B12" s="1" t="s">
        <v>1337</v>
      </c>
      <c r="C12" s="5">
        <v>46081</v>
      </c>
      <c r="D12" s="1" t="s">
        <v>19</v>
      </c>
      <c r="E12" s="6" t="s">
        <v>1279</v>
      </c>
      <c r="F12" s="6" t="s">
        <v>1324</v>
      </c>
      <c r="G12" s="1" t="s">
        <v>58</v>
      </c>
      <c r="H12" s="1" t="s">
        <v>4</v>
      </c>
      <c r="I12" s="1" t="s">
        <v>62</v>
      </c>
      <c r="J12" s="1" t="s">
        <v>32</v>
      </c>
      <c r="K12" s="5">
        <v>46086</v>
      </c>
      <c r="L12" s="5">
        <v>46088</v>
      </c>
      <c r="M12" s="1" t="s">
        <v>582</v>
      </c>
      <c r="N12" s="1" t="s">
        <v>1336</v>
      </c>
    </row>
    <row r="13" spans="1:16">
      <c r="A13" s="1">
        <v>10</v>
      </c>
      <c r="B13" s="1" t="s">
        <v>1338</v>
      </c>
      <c r="C13" s="5">
        <v>46088</v>
      </c>
      <c r="D13" s="1" t="s">
        <v>44</v>
      </c>
      <c r="E13" s="6" t="s">
        <v>1263</v>
      </c>
      <c r="F13" s="6" t="s">
        <v>1329</v>
      </c>
      <c r="G13" s="1" t="s">
        <v>13</v>
      </c>
      <c r="H13" s="1" t="s">
        <v>61</v>
      </c>
      <c r="I13" s="1" t="s">
        <v>70</v>
      </c>
      <c r="J13" s="1" t="s">
        <v>70</v>
      </c>
      <c r="K13" s="5">
        <v>46129</v>
      </c>
      <c r="L13" s="5">
        <v>46128</v>
      </c>
      <c r="M13" s="1" t="s">
        <v>949</v>
      </c>
      <c r="N13" s="1" t="s">
        <v>1339</v>
      </c>
    </row>
    <row r="14" spans="1:16">
      <c r="A14" s="1">
        <v>11</v>
      </c>
      <c r="B14" s="1" t="s">
        <v>1340</v>
      </c>
      <c r="C14" s="5">
        <v>46082</v>
      </c>
      <c r="D14" s="1" t="s">
        <v>44</v>
      </c>
      <c r="E14" s="6" t="s">
        <v>1269</v>
      </c>
      <c r="F14" s="6" t="s">
        <v>1279</v>
      </c>
      <c r="G14" s="1" t="s">
        <v>46</v>
      </c>
      <c r="H14" s="1" t="s">
        <v>4</v>
      </c>
      <c r="I14" s="1" t="s">
        <v>62</v>
      </c>
      <c r="J14" s="1" t="s">
        <v>70</v>
      </c>
      <c r="K14" s="5">
        <v>46113</v>
      </c>
      <c r="L14" s="5">
        <v>46098</v>
      </c>
      <c r="M14" s="1" t="s">
        <v>949</v>
      </c>
      <c r="N14" s="1" t="s">
        <v>297</v>
      </c>
    </row>
    <row r="15" spans="1:16">
      <c r="A15" s="1">
        <v>12</v>
      </c>
      <c r="B15" s="1" t="s">
        <v>1341</v>
      </c>
      <c r="C15" s="5">
        <v>46107</v>
      </c>
      <c r="D15" s="1" t="s">
        <v>44</v>
      </c>
      <c r="E15" s="6" t="s">
        <v>1261</v>
      </c>
      <c r="F15" s="6" t="s">
        <v>1324</v>
      </c>
      <c r="G15" s="1" t="s">
        <v>92</v>
      </c>
      <c r="H15" s="1" t="s">
        <v>61</v>
      </c>
      <c r="I15" s="1" t="s">
        <v>62</v>
      </c>
      <c r="J15" s="1" t="s">
        <v>93</v>
      </c>
      <c r="K15" s="5">
        <v>46147</v>
      </c>
      <c r="L15" s="5">
        <v>46123</v>
      </c>
      <c r="M15" s="1" t="s">
        <v>582</v>
      </c>
      <c r="N15" s="1" t="s">
        <v>1327</v>
      </c>
    </row>
    <row r="16" spans="1:16">
      <c r="A16" s="1">
        <v>13</v>
      </c>
      <c r="B16" s="1" t="s">
        <v>1342</v>
      </c>
      <c r="C16" s="5">
        <v>46087</v>
      </c>
      <c r="D16" s="1" t="s">
        <v>44</v>
      </c>
      <c r="E16" s="6" t="s">
        <v>1271</v>
      </c>
      <c r="F16" s="6" t="s">
        <v>1324</v>
      </c>
      <c r="G16" s="1" t="s">
        <v>46</v>
      </c>
      <c r="H16" s="1" t="s">
        <v>20</v>
      </c>
      <c r="I16" s="1" t="s">
        <v>104</v>
      </c>
      <c r="J16" s="1" t="s">
        <v>41</v>
      </c>
      <c r="K16" s="5">
        <v>46116</v>
      </c>
      <c r="L16" s="5">
        <v>46112</v>
      </c>
      <c r="M16" s="1" t="s">
        <v>949</v>
      </c>
      <c r="N16" s="1" t="s">
        <v>1339</v>
      </c>
    </row>
    <row r="17" spans="1:14">
      <c r="A17" s="1">
        <v>14</v>
      </c>
      <c r="B17" s="1" t="s">
        <v>1343</v>
      </c>
      <c r="C17" s="5">
        <v>46117</v>
      </c>
      <c r="D17" s="1" t="s">
        <v>53</v>
      </c>
      <c r="E17" s="6" t="s">
        <v>1271</v>
      </c>
      <c r="F17" s="6" t="s">
        <v>1324</v>
      </c>
      <c r="G17" s="1" t="s">
        <v>13</v>
      </c>
      <c r="H17" s="1" t="s">
        <v>91</v>
      </c>
      <c r="I17" s="1" t="s">
        <v>66</v>
      </c>
      <c r="J17" s="1" t="s">
        <v>28</v>
      </c>
      <c r="K17" s="5">
        <v>46138</v>
      </c>
      <c r="L17" s="5">
        <v>46149</v>
      </c>
      <c r="M17" s="1" t="s">
        <v>582</v>
      </c>
      <c r="N17" s="1" t="s">
        <v>297</v>
      </c>
    </row>
    <row r="18" spans="1:14">
      <c r="A18" s="1">
        <v>15</v>
      </c>
      <c r="B18" s="1" t="s">
        <v>1344</v>
      </c>
      <c r="C18" s="5">
        <v>46135</v>
      </c>
      <c r="D18" s="1" t="s">
        <v>53</v>
      </c>
      <c r="E18" s="6" t="s">
        <v>1271</v>
      </c>
      <c r="F18" s="6" t="s">
        <v>1324</v>
      </c>
      <c r="G18" s="1" t="s">
        <v>13</v>
      </c>
      <c r="H18" s="1" t="s">
        <v>20</v>
      </c>
      <c r="I18" s="1" t="s">
        <v>41</v>
      </c>
      <c r="J18" s="1" t="s">
        <v>62</v>
      </c>
      <c r="K18" s="5">
        <v>46156</v>
      </c>
      <c r="L18" s="5">
        <v>46156</v>
      </c>
      <c r="M18" s="1" t="s">
        <v>1144</v>
      </c>
      <c r="N18" s="1" t="s">
        <v>1336</v>
      </c>
    </row>
    <row r="19" spans="1:14">
      <c r="A19" s="1">
        <v>16</v>
      </c>
      <c r="B19" s="1" t="s">
        <v>1345</v>
      </c>
      <c r="C19" s="5">
        <v>46125</v>
      </c>
      <c r="D19" s="1" t="s">
        <v>53</v>
      </c>
      <c r="E19" s="6" t="s">
        <v>1263</v>
      </c>
      <c r="F19" s="6" t="s">
        <v>1329</v>
      </c>
      <c r="G19" s="1" t="s">
        <v>39</v>
      </c>
      <c r="H19" s="1" t="s">
        <v>49</v>
      </c>
      <c r="I19" s="1" t="s">
        <v>62</v>
      </c>
      <c r="J19" s="1" t="s">
        <v>22</v>
      </c>
      <c r="K19" s="5">
        <v>46160</v>
      </c>
      <c r="L19" s="5">
        <v>46156</v>
      </c>
      <c r="M19" s="1" t="s">
        <v>949</v>
      </c>
      <c r="N19" s="1" t="s">
        <v>1334</v>
      </c>
    </row>
    <row r="20" spans="1:14">
      <c r="A20" s="1">
        <v>17</v>
      </c>
      <c r="B20" s="1" t="s">
        <v>1346</v>
      </c>
      <c r="C20" s="5">
        <v>46124</v>
      </c>
      <c r="D20" s="1" t="s">
        <v>53</v>
      </c>
      <c r="E20" s="6" t="s">
        <v>1271</v>
      </c>
      <c r="F20" s="6" t="s">
        <v>1329</v>
      </c>
      <c r="G20" s="1" t="s">
        <v>50</v>
      </c>
      <c r="H20" s="1" t="s">
        <v>64</v>
      </c>
      <c r="I20" s="1" t="s">
        <v>28</v>
      </c>
      <c r="J20" s="1" t="s">
        <v>15</v>
      </c>
      <c r="K20" s="5">
        <v>46158</v>
      </c>
      <c r="L20" s="5">
        <v>46148</v>
      </c>
      <c r="M20" s="1" t="s">
        <v>1144</v>
      </c>
      <c r="N20" s="1" t="s">
        <v>302</v>
      </c>
    </row>
    <row r="21" spans="1:14">
      <c r="A21" s="1">
        <v>18</v>
      </c>
      <c r="B21" s="1" t="s">
        <v>1347</v>
      </c>
      <c r="C21" s="5">
        <v>46136</v>
      </c>
      <c r="D21" s="1" t="s">
        <v>53</v>
      </c>
      <c r="E21" s="6" t="s">
        <v>1269</v>
      </c>
      <c r="F21" s="6" t="s">
        <v>1329</v>
      </c>
      <c r="G21" s="1" t="s">
        <v>65</v>
      </c>
      <c r="H21" s="1" t="s">
        <v>38</v>
      </c>
      <c r="I21" s="1" t="s">
        <v>93</v>
      </c>
      <c r="J21" s="1" t="s">
        <v>70</v>
      </c>
      <c r="K21" s="5">
        <v>46176</v>
      </c>
      <c r="L21" s="5">
        <v>46153</v>
      </c>
      <c r="M21" s="1" t="s">
        <v>331</v>
      </c>
      <c r="N21" s="1" t="s">
        <v>1339</v>
      </c>
    </row>
    <row r="22" spans="1:14">
      <c r="A22" s="1">
        <v>19</v>
      </c>
      <c r="B22" s="1" t="s">
        <v>1348</v>
      </c>
      <c r="C22" s="5">
        <v>46129</v>
      </c>
      <c r="D22" s="1" t="s">
        <v>53</v>
      </c>
      <c r="E22" s="6" t="s">
        <v>1279</v>
      </c>
      <c r="F22" s="6" t="s">
        <v>1279</v>
      </c>
      <c r="G22" s="1" t="s">
        <v>46</v>
      </c>
      <c r="H22" s="1" t="s">
        <v>64</v>
      </c>
      <c r="I22" s="1" t="s">
        <v>7</v>
      </c>
      <c r="J22" s="1" t="s">
        <v>32</v>
      </c>
      <c r="K22" s="5">
        <v>46153</v>
      </c>
      <c r="L22" s="5">
        <v>46136</v>
      </c>
      <c r="M22" s="1" t="s">
        <v>949</v>
      </c>
      <c r="N22" s="1" t="s">
        <v>1334</v>
      </c>
    </row>
    <row r="23" spans="1:14">
      <c r="A23" s="1">
        <v>20</v>
      </c>
      <c r="B23" s="1" t="s">
        <v>1349</v>
      </c>
      <c r="C23" s="5">
        <v>46122</v>
      </c>
      <c r="D23" s="1" t="s">
        <v>53</v>
      </c>
      <c r="E23" s="6" t="s">
        <v>1271</v>
      </c>
      <c r="F23" s="6" t="s">
        <v>1324</v>
      </c>
      <c r="G23" s="1" t="s">
        <v>58</v>
      </c>
      <c r="H23" s="1" t="s">
        <v>91</v>
      </c>
      <c r="I23" s="1" t="s">
        <v>62</v>
      </c>
      <c r="J23" s="1" t="s">
        <v>93</v>
      </c>
      <c r="K23" s="5">
        <v>46128</v>
      </c>
      <c r="L23" s="5">
        <v>46158</v>
      </c>
      <c r="M23" s="1" t="s">
        <v>582</v>
      </c>
      <c r="N23" s="1" t="s">
        <v>297</v>
      </c>
    </row>
    <row r="24" spans="1:14">
      <c r="A24" s="1">
        <v>21</v>
      </c>
      <c r="B24" s="1" t="s">
        <v>1350</v>
      </c>
      <c r="C24" s="5">
        <v>46157</v>
      </c>
      <c r="D24" s="1" t="s">
        <v>60</v>
      </c>
      <c r="E24" s="6" t="s">
        <v>1263</v>
      </c>
      <c r="F24" s="6" t="s">
        <v>1279</v>
      </c>
      <c r="G24" s="1" t="s">
        <v>5</v>
      </c>
      <c r="H24" s="1" t="s">
        <v>30</v>
      </c>
      <c r="I24" s="1" t="s">
        <v>104</v>
      </c>
      <c r="J24" s="1" t="s">
        <v>22</v>
      </c>
      <c r="K24" s="5">
        <v>46201</v>
      </c>
      <c r="L24" s="5">
        <v>46164</v>
      </c>
      <c r="M24" s="1" t="s">
        <v>949</v>
      </c>
      <c r="N24" s="1" t="s">
        <v>1330</v>
      </c>
    </row>
    <row r="25" spans="1:14">
      <c r="A25" s="1">
        <v>22</v>
      </c>
      <c r="B25" s="1" t="s">
        <v>1351</v>
      </c>
      <c r="C25" s="5">
        <v>46201</v>
      </c>
      <c r="D25" s="1" t="s">
        <v>73</v>
      </c>
      <c r="E25" s="6" t="s">
        <v>1265</v>
      </c>
      <c r="F25" s="6" t="s">
        <v>1324</v>
      </c>
      <c r="G25" s="1" t="s">
        <v>58</v>
      </c>
      <c r="H25" s="1" t="s">
        <v>61</v>
      </c>
      <c r="I25" s="1" t="s">
        <v>36</v>
      </c>
      <c r="J25" s="1" t="s">
        <v>32</v>
      </c>
      <c r="K25" s="5">
        <v>46224</v>
      </c>
      <c r="L25" s="5">
        <v>46238</v>
      </c>
      <c r="M25" s="1" t="s">
        <v>582</v>
      </c>
      <c r="N25" s="1" t="s">
        <v>1339</v>
      </c>
    </row>
    <row r="26" spans="1:14">
      <c r="A26" s="1">
        <v>23</v>
      </c>
      <c r="B26" s="1" t="s">
        <v>1352</v>
      </c>
      <c r="C26" s="5">
        <v>46200</v>
      </c>
      <c r="D26" s="1" t="s">
        <v>73</v>
      </c>
      <c r="E26" s="6" t="s">
        <v>1263</v>
      </c>
      <c r="F26" s="6" t="s">
        <v>1279</v>
      </c>
      <c r="G26" s="1" t="s">
        <v>50</v>
      </c>
      <c r="H26" s="1" t="s">
        <v>57</v>
      </c>
      <c r="I26" s="1" t="s">
        <v>104</v>
      </c>
      <c r="J26" s="1" t="s">
        <v>66</v>
      </c>
      <c r="K26" s="5">
        <v>46237</v>
      </c>
      <c r="L26" s="5">
        <v>46226</v>
      </c>
      <c r="M26" s="1" t="s">
        <v>582</v>
      </c>
      <c r="N26" s="1" t="s">
        <v>1336</v>
      </c>
    </row>
    <row r="27" spans="1:14">
      <c r="A27" s="1">
        <v>24</v>
      </c>
      <c r="B27" s="1" t="s">
        <v>1353</v>
      </c>
      <c r="C27" s="5">
        <v>46179</v>
      </c>
      <c r="D27" s="1" t="s">
        <v>73</v>
      </c>
      <c r="E27" s="6" t="s">
        <v>1265</v>
      </c>
      <c r="F27" s="6" t="s">
        <v>1329</v>
      </c>
      <c r="G27" s="1" t="s">
        <v>65</v>
      </c>
      <c r="H27" s="1" t="s">
        <v>4</v>
      </c>
      <c r="I27" s="1" t="s">
        <v>104</v>
      </c>
      <c r="J27" s="1" t="s">
        <v>36</v>
      </c>
      <c r="K27" s="5">
        <v>46188</v>
      </c>
      <c r="L27" s="5">
        <v>46186</v>
      </c>
      <c r="M27" s="1" t="s">
        <v>331</v>
      </c>
      <c r="N27" s="1" t="s">
        <v>297</v>
      </c>
    </row>
    <row r="28" spans="1:14">
      <c r="A28" s="1">
        <v>25</v>
      </c>
      <c r="B28" s="1" t="s">
        <v>1354</v>
      </c>
      <c r="C28" s="5">
        <v>46221</v>
      </c>
      <c r="D28" s="1" t="s">
        <v>76</v>
      </c>
      <c r="E28" s="6" t="s">
        <v>1261</v>
      </c>
      <c r="F28" s="6" t="s">
        <v>1329</v>
      </c>
      <c r="G28" s="1" t="s">
        <v>13</v>
      </c>
      <c r="H28" s="1" t="s">
        <v>45</v>
      </c>
      <c r="I28" s="1" t="s">
        <v>78</v>
      </c>
      <c r="J28" s="1" t="s">
        <v>28</v>
      </c>
      <c r="K28" s="5">
        <v>46245</v>
      </c>
      <c r="L28" s="5">
        <v>46237</v>
      </c>
      <c r="M28" s="1" t="s">
        <v>582</v>
      </c>
      <c r="N28" s="1" t="s">
        <v>302</v>
      </c>
    </row>
    <row r="29" spans="1:14">
      <c r="A29" s="1">
        <v>26</v>
      </c>
      <c r="B29" s="1" t="s">
        <v>1355</v>
      </c>
      <c r="C29" s="5">
        <v>46228</v>
      </c>
      <c r="D29" s="1" t="s">
        <v>76</v>
      </c>
      <c r="E29" s="6" t="s">
        <v>1271</v>
      </c>
      <c r="F29" s="6" t="s">
        <v>1279</v>
      </c>
      <c r="G29" s="1" t="s">
        <v>13</v>
      </c>
      <c r="H29" s="1" t="s">
        <v>12</v>
      </c>
      <c r="I29" s="1" t="s">
        <v>93</v>
      </c>
      <c r="J29" s="1" t="s">
        <v>22</v>
      </c>
      <c r="K29" s="5">
        <v>46237</v>
      </c>
      <c r="L29" s="5">
        <v>46256</v>
      </c>
      <c r="M29" s="1" t="s">
        <v>949</v>
      </c>
      <c r="N29" s="1" t="s">
        <v>1330</v>
      </c>
    </row>
    <row r="30" spans="1:14">
      <c r="A30" s="1">
        <v>27</v>
      </c>
      <c r="B30" s="1" t="s">
        <v>1356</v>
      </c>
      <c r="C30" s="5">
        <v>46228</v>
      </c>
      <c r="D30" s="1" t="s">
        <v>76</v>
      </c>
      <c r="E30" s="6" t="s">
        <v>1269</v>
      </c>
      <c r="F30" s="6" t="s">
        <v>1279</v>
      </c>
      <c r="G30" s="1" t="s">
        <v>46</v>
      </c>
      <c r="H30" s="1" t="s">
        <v>45</v>
      </c>
      <c r="I30" s="1" t="s">
        <v>41</v>
      </c>
      <c r="J30" s="1" t="s">
        <v>70</v>
      </c>
      <c r="K30" s="5">
        <v>46258</v>
      </c>
      <c r="L30" s="5">
        <v>46236</v>
      </c>
      <c r="M30" s="1" t="s">
        <v>949</v>
      </c>
      <c r="N30" s="1" t="s">
        <v>1357</v>
      </c>
    </row>
    <row r="31" spans="1:14">
      <c r="A31" s="1">
        <v>28</v>
      </c>
      <c r="B31" s="1" t="s">
        <v>1358</v>
      </c>
      <c r="C31" s="5">
        <v>46227</v>
      </c>
      <c r="D31" s="1" t="s">
        <v>76</v>
      </c>
      <c r="E31" s="6" t="s">
        <v>1261</v>
      </c>
      <c r="F31" s="6" t="s">
        <v>1324</v>
      </c>
      <c r="G31" s="1" t="s">
        <v>89</v>
      </c>
      <c r="H31" s="1" t="s">
        <v>49</v>
      </c>
      <c r="I31" s="1" t="s">
        <v>62</v>
      </c>
      <c r="J31" s="1" t="s">
        <v>28</v>
      </c>
      <c r="K31" s="5">
        <v>46245</v>
      </c>
      <c r="L31" s="5">
        <v>46270</v>
      </c>
      <c r="M31" s="1" t="s">
        <v>582</v>
      </c>
      <c r="N31" s="1" t="s">
        <v>1334</v>
      </c>
    </row>
    <row r="32" spans="1:14">
      <c r="A32" s="1">
        <v>29</v>
      </c>
      <c r="B32" s="1" t="s">
        <v>1359</v>
      </c>
      <c r="C32" s="5">
        <v>46209</v>
      </c>
      <c r="D32" s="1" t="s">
        <v>76</v>
      </c>
      <c r="E32" s="6" t="s">
        <v>1279</v>
      </c>
      <c r="F32" s="6" t="s">
        <v>1324</v>
      </c>
      <c r="G32" s="1" t="s">
        <v>92</v>
      </c>
      <c r="H32" s="1" t="s">
        <v>91</v>
      </c>
      <c r="I32" s="1" t="s">
        <v>28</v>
      </c>
      <c r="J32" s="1" t="s">
        <v>68</v>
      </c>
      <c r="K32" s="5">
        <v>46216</v>
      </c>
      <c r="L32" s="5">
        <v>46240</v>
      </c>
      <c r="M32" s="1" t="s">
        <v>949</v>
      </c>
      <c r="N32" s="1" t="s">
        <v>297</v>
      </c>
    </row>
    <row r="33" spans="1:14">
      <c r="A33" s="1">
        <v>30</v>
      </c>
      <c r="B33" s="1" t="s">
        <v>1360</v>
      </c>
      <c r="C33" s="5">
        <v>46246</v>
      </c>
      <c r="D33" s="1" t="s">
        <v>86</v>
      </c>
      <c r="E33" s="6" t="s">
        <v>1279</v>
      </c>
      <c r="F33" s="6" t="s">
        <v>1329</v>
      </c>
      <c r="G33" s="1" t="s">
        <v>58</v>
      </c>
      <c r="H33" s="1" t="s">
        <v>57</v>
      </c>
      <c r="I33" s="1" t="s">
        <v>41</v>
      </c>
      <c r="J33" s="1" t="s">
        <v>68</v>
      </c>
      <c r="K33" s="5">
        <v>46283</v>
      </c>
      <c r="L33" s="5">
        <v>46254</v>
      </c>
      <c r="M33" s="1" t="s">
        <v>949</v>
      </c>
      <c r="N33" s="1" t="s">
        <v>1330</v>
      </c>
    </row>
    <row r="34" spans="1:14">
      <c r="A34" s="1">
        <v>31</v>
      </c>
      <c r="B34" s="1" t="s">
        <v>1361</v>
      </c>
      <c r="C34" s="5">
        <v>46262</v>
      </c>
      <c r="D34" s="1" t="s">
        <v>86</v>
      </c>
      <c r="E34" s="6" t="s">
        <v>1263</v>
      </c>
      <c r="F34" s="6" t="s">
        <v>1324</v>
      </c>
      <c r="G34" s="1" t="s">
        <v>39</v>
      </c>
      <c r="H34" s="1" t="s">
        <v>64</v>
      </c>
      <c r="I34" s="1" t="s">
        <v>32</v>
      </c>
      <c r="J34" s="1" t="s">
        <v>62</v>
      </c>
      <c r="K34" s="5">
        <v>46293</v>
      </c>
      <c r="L34" s="5">
        <v>46267</v>
      </c>
      <c r="M34" s="1" t="s">
        <v>582</v>
      </c>
      <c r="N34" s="1" t="s">
        <v>1327</v>
      </c>
    </row>
    <row r="35" spans="1:14">
      <c r="A35" s="1">
        <v>32</v>
      </c>
      <c r="B35" s="1" t="s">
        <v>1362</v>
      </c>
      <c r="C35" s="5">
        <v>46237</v>
      </c>
      <c r="D35" s="1" t="s">
        <v>86</v>
      </c>
      <c r="E35" s="6" t="s">
        <v>1261</v>
      </c>
      <c r="F35" s="6" t="s">
        <v>1329</v>
      </c>
      <c r="G35" s="1" t="s">
        <v>13</v>
      </c>
      <c r="H35" s="1" t="s">
        <v>91</v>
      </c>
      <c r="I35" s="1" t="s">
        <v>70</v>
      </c>
      <c r="J35" s="1" t="s">
        <v>78</v>
      </c>
      <c r="K35" s="5">
        <v>46244</v>
      </c>
      <c r="L35" s="5">
        <v>46279</v>
      </c>
      <c r="M35" s="1" t="s">
        <v>1144</v>
      </c>
      <c r="N35" s="1" t="s">
        <v>1327</v>
      </c>
    </row>
    <row r="36" spans="1:14">
      <c r="A36" s="1">
        <v>33</v>
      </c>
      <c r="B36" s="1" t="s">
        <v>1363</v>
      </c>
      <c r="C36" s="5">
        <v>46293</v>
      </c>
      <c r="D36" s="1" t="s">
        <v>102</v>
      </c>
      <c r="E36" s="6" t="s">
        <v>1269</v>
      </c>
      <c r="F36" s="6" t="s">
        <v>1279</v>
      </c>
      <c r="G36" s="1" t="s">
        <v>46</v>
      </c>
      <c r="H36" s="1" t="s">
        <v>30</v>
      </c>
      <c r="I36" s="1" t="s">
        <v>36</v>
      </c>
      <c r="J36" s="1" t="s">
        <v>78</v>
      </c>
      <c r="K36" s="5">
        <v>46309</v>
      </c>
      <c r="L36" s="5">
        <v>46315</v>
      </c>
      <c r="M36" s="1" t="s">
        <v>582</v>
      </c>
      <c r="N36" s="1" t="s">
        <v>1357</v>
      </c>
    </row>
    <row r="37" spans="1:14">
      <c r="A37" s="1">
        <v>34</v>
      </c>
      <c r="B37" s="1" t="s">
        <v>1364</v>
      </c>
      <c r="C37" s="5">
        <v>46283</v>
      </c>
      <c r="D37" s="1" t="s">
        <v>102</v>
      </c>
      <c r="E37" s="6" t="s">
        <v>1279</v>
      </c>
      <c r="F37" s="6" t="s">
        <v>1329</v>
      </c>
      <c r="G37" s="1" t="s">
        <v>50</v>
      </c>
      <c r="H37" s="1" t="s">
        <v>20</v>
      </c>
      <c r="I37" s="1" t="s">
        <v>104</v>
      </c>
      <c r="J37" s="1" t="s">
        <v>15</v>
      </c>
      <c r="K37" s="5">
        <v>46309</v>
      </c>
      <c r="L37" s="5">
        <v>46293</v>
      </c>
      <c r="M37" s="1" t="s">
        <v>949</v>
      </c>
      <c r="N37" s="1" t="s">
        <v>1336</v>
      </c>
    </row>
    <row r="38" spans="1:14">
      <c r="A38" s="1">
        <v>35</v>
      </c>
      <c r="B38" s="1" t="s">
        <v>1365</v>
      </c>
      <c r="C38" s="5">
        <v>46269</v>
      </c>
      <c r="D38" s="1" t="s">
        <v>102</v>
      </c>
      <c r="E38" s="6" t="s">
        <v>1271</v>
      </c>
      <c r="F38" s="6" t="s">
        <v>1324</v>
      </c>
      <c r="G38" s="1" t="s">
        <v>50</v>
      </c>
      <c r="H38" s="1" t="s">
        <v>64</v>
      </c>
      <c r="I38" s="1" t="s">
        <v>36</v>
      </c>
      <c r="J38" s="1" t="s">
        <v>41</v>
      </c>
      <c r="K38" s="5">
        <v>46296</v>
      </c>
      <c r="L38" s="5">
        <v>46296</v>
      </c>
      <c r="M38" s="1" t="s">
        <v>1144</v>
      </c>
      <c r="N38" s="1" t="s">
        <v>1339</v>
      </c>
    </row>
    <row r="39" spans="1:14">
      <c r="A39" s="1">
        <v>36</v>
      </c>
      <c r="B39" s="1" t="s">
        <v>1366</v>
      </c>
      <c r="C39" s="5">
        <v>46280</v>
      </c>
      <c r="D39" s="1" t="s">
        <v>102</v>
      </c>
      <c r="E39" s="6" t="s">
        <v>1271</v>
      </c>
      <c r="F39" s="6" t="s">
        <v>1324</v>
      </c>
      <c r="G39" s="1" t="s">
        <v>27</v>
      </c>
      <c r="H39" s="1" t="s">
        <v>38</v>
      </c>
      <c r="I39" s="1" t="s">
        <v>28</v>
      </c>
      <c r="J39" s="1" t="s">
        <v>41</v>
      </c>
      <c r="K39" s="5">
        <v>46312</v>
      </c>
      <c r="L39" s="5">
        <v>46298</v>
      </c>
      <c r="M39" s="1" t="s">
        <v>582</v>
      </c>
      <c r="N39" s="1" t="s">
        <v>1336</v>
      </c>
    </row>
    <row r="40" spans="1:14">
      <c r="A40" s="1">
        <v>37</v>
      </c>
      <c r="B40" s="1" t="s">
        <v>1367</v>
      </c>
      <c r="C40" s="5">
        <v>46289</v>
      </c>
      <c r="D40" s="1" t="s">
        <v>102</v>
      </c>
      <c r="E40" s="6" t="s">
        <v>1263</v>
      </c>
      <c r="F40" s="6" t="s">
        <v>1329</v>
      </c>
      <c r="G40" s="1" t="s">
        <v>89</v>
      </c>
      <c r="H40" s="1" t="s">
        <v>91</v>
      </c>
      <c r="I40" s="1" t="s">
        <v>104</v>
      </c>
      <c r="J40" s="1" t="s">
        <v>68</v>
      </c>
      <c r="K40" s="5">
        <v>46315</v>
      </c>
      <c r="L40" s="5">
        <v>46313</v>
      </c>
      <c r="M40" s="1" t="s">
        <v>331</v>
      </c>
      <c r="N40" s="1" t="s">
        <v>1327</v>
      </c>
    </row>
    <row r="41" spans="1:14">
      <c r="A41" s="1">
        <v>38</v>
      </c>
      <c r="B41" s="1" t="s">
        <v>1368</v>
      </c>
      <c r="C41" s="5">
        <v>46322</v>
      </c>
      <c r="D41" s="1" t="s">
        <v>106</v>
      </c>
      <c r="E41" s="6" t="s">
        <v>1263</v>
      </c>
      <c r="F41" s="6" t="s">
        <v>1279</v>
      </c>
      <c r="G41" s="1" t="s">
        <v>46</v>
      </c>
      <c r="H41" s="1" t="s">
        <v>4</v>
      </c>
      <c r="I41" s="1" t="s">
        <v>36</v>
      </c>
      <c r="J41" s="1" t="s">
        <v>62</v>
      </c>
      <c r="K41" s="5">
        <v>46330</v>
      </c>
      <c r="L41" s="5">
        <v>46348</v>
      </c>
      <c r="M41" s="1" t="s">
        <v>1144</v>
      </c>
      <c r="N41" s="1" t="s">
        <v>1334</v>
      </c>
    </row>
    <row r="42" spans="1:14">
      <c r="A42" s="1">
        <v>39</v>
      </c>
      <c r="B42" s="1" t="s">
        <v>1369</v>
      </c>
      <c r="C42" s="5">
        <v>46303</v>
      </c>
      <c r="D42" s="1" t="s">
        <v>106</v>
      </c>
      <c r="E42" s="6" t="s">
        <v>1265</v>
      </c>
      <c r="F42" s="6" t="s">
        <v>1279</v>
      </c>
      <c r="G42" s="1" t="s">
        <v>46</v>
      </c>
      <c r="H42" s="1" t="s">
        <v>57</v>
      </c>
      <c r="I42" s="1" t="s">
        <v>66</v>
      </c>
      <c r="J42" s="1" t="s">
        <v>22</v>
      </c>
      <c r="K42" s="5">
        <v>46329</v>
      </c>
      <c r="L42" s="5">
        <v>46343</v>
      </c>
      <c r="M42" s="1" t="s">
        <v>1144</v>
      </c>
      <c r="N42" s="1" t="s">
        <v>1339</v>
      </c>
    </row>
    <row r="43" spans="1:14">
      <c r="A43" s="1">
        <v>40</v>
      </c>
      <c r="B43" s="1" t="s">
        <v>1370</v>
      </c>
      <c r="C43" s="5">
        <v>46303</v>
      </c>
      <c r="D43" s="1" t="s">
        <v>106</v>
      </c>
      <c r="E43" s="6" t="s">
        <v>1279</v>
      </c>
      <c r="F43" s="6" t="s">
        <v>1279</v>
      </c>
      <c r="G43" s="1" t="s">
        <v>65</v>
      </c>
      <c r="H43" s="1" t="s">
        <v>20</v>
      </c>
      <c r="I43" s="1" t="s">
        <v>104</v>
      </c>
      <c r="J43" s="1" t="s">
        <v>32</v>
      </c>
      <c r="K43" s="5">
        <v>46320</v>
      </c>
      <c r="L43" s="5">
        <v>46309</v>
      </c>
      <c r="M43" s="1" t="s">
        <v>582</v>
      </c>
      <c r="N43" s="1" t="s">
        <v>297</v>
      </c>
    </row>
    <row r="44" spans="1:14">
      <c r="A44" s="1">
        <v>41</v>
      </c>
      <c r="B44" s="1" t="s">
        <v>1371</v>
      </c>
      <c r="C44" s="5">
        <v>46323</v>
      </c>
      <c r="D44" s="1" t="s">
        <v>106</v>
      </c>
      <c r="E44" s="6" t="s">
        <v>1265</v>
      </c>
      <c r="F44" s="6" t="s">
        <v>1324</v>
      </c>
      <c r="G44" s="1" t="s">
        <v>92</v>
      </c>
      <c r="H44" s="1" t="s">
        <v>57</v>
      </c>
      <c r="I44" s="1" t="s">
        <v>104</v>
      </c>
      <c r="J44" s="1" t="s">
        <v>41</v>
      </c>
      <c r="K44" s="5">
        <v>46345</v>
      </c>
      <c r="L44" s="5">
        <v>46338</v>
      </c>
      <c r="M44" s="1" t="s">
        <v>331</v>
      </c>
      <c r="N44" s="1" t="s">
        <v>302</v>
      </c>
    </row>
    <row r="45" spans="1:14">
      <c r="A45" s="1">
        <v>42</v>
      </c>
      <c r="B45" s="1" t="s">
        <v>1372</v>
      </c>
      <c r="C45" s="5">
        <v>46320</v>
      </c>
      <c r="D45" s="1" t="s">
        <v>106</v>
      </c>
      <c r="E45" s="6" t="s">
        <v>1261</v>
      </c>
      <c r="F45" s="6" t="s">
        <v>1329</v>
      </c>
      <c r="G45" s="1" t="s">
        <v>13</v>
      </c>
      <c r="H45" s="1" t="s">
        <v>16</v>
      </c>
      <c r="I45" s="1" t="s">
        <v>32</v>
      </c>
      <c r="J45" s="1" t="s">
        <v>22</v>
      </c>
      <c r="K45" s="5">
        <v>46355</v>
      </c>
      <c r="L45" s="5">
        <v>46364</v>
      </c>
      <c r="M45" s="1" t="s">
        <v>582</v>
      </c>
      <c r="N45" s="1" t="s">
        <v>1339</v>
      </c>
    </row>
    <row r="46" spans="1:14">
      <c r="A46" s="1">
        <v>43</v>
      </c>
      <c r="B46" s="1" t="s">
        <v>1373</v>
      </c>
      <c r="C46" s="5">
        <v>46336</v>
      </c>
      <c r="D46" s="1" t="s">
        <v>111</v>
      </c>
      <c r="E46" s="6" t="s">
        <v>1269</v>
      </c>
      <c r="F46" s="6" t="s">
        <v>1279</v>
      </c>
      <c r="G46" s="1" t="s">
        <v>5</v>
      </c>
      <c r="H46" s="1" t="s">
        <v>57</v>
      </c>
      <c r="I46" s="1" t="s">
        <v>68</v>
      </c>
      <c r="J46" s="1" t="s">
        <v>104</v>
      </c>
      <c r="K46" s="5">
        <v>46342</v>
      </c>
      <c r="L46" s="5">
        <v>46351</v>
      </c>
      <c r="M46" s="1" t="s">
        <v>1144</v>
      </c>
      <c r="N46" s="1" t="s">
        <v>297</v>
      </c>
    </row>
    <row r="47" spans="1:14">
      <c r="A47" s="1">
        <v>44</v>
      </c>
      <c r="B47" s="1" t="s">
        <v>1374</v>
      </c>
      <c r="C47" s="5">
        <v>46341</v>
      </c>
      <c r="D47" s="1" t="s">
        <v>111</v>
      </c>
      <c r="E47" s="6" t="s">
        <v>1261</v>
      </c>
      <c r="F47" s="6" t="s">
        <v>1324</v>
      </c>
      <c r="G47" s="1" t="s">
        <v>27</v>
      </c>
      <c r="H47" s="1" t="s">
        <v>91</v>
      </c>
      <c r="I47" s="1" t="s">
        <v>22</v>
      </c>
      <c r="J47" s="1" t="s">
        <v>7</v>
      </c>
      <c r="K47" s="5">
        <v>46359</v>
      </c>
      <c r="L47" s="5">
        <v>46376</v>
      </c>
      <c r="M47" s="1" t="s">
        <v>949</v>
      </c>
      <c r="N47" s="1" t="s">
        <v>302</v>
      </c>
    </row>
    <row r="48" spans="1:14">
      <c r="A48" s="1">
        <v>45</v>
      </c>
      <c r="B48" s="1" t="s">
        <v>1375</v>
      </c>
      <c r="C48" s="5">
        <v>46360</v>
      </c>
      <c r="D48" s="1" t="s">
        <v>122</v>
      </c>
      <c r="E48" s="6" t="s">
        <v>1269</v>
      </c>
      <c r="F48" s="6" t="s">
        <v>1324</v>
      </c>
      <c r="G48" s="1" t="s">
        <v>39</v>
      </c>
      <c r="H48" s="1" t="s">
        <v>45</v>
      </c>
      <c r="I48" s="1" t="s">
        <v>62</v>
      </c>
      <c r="J48" s="1" t="s">
        <v>28</v>
      </c>
      <c r="K48" s="5">
        <v>46372</v>
      </c>
      <c r="L48" s="5">
        <v>46404</v>
      </c>
      <c r="M48" s="1" t="s">
        <v>582</v>
      </c>
      <c r="N48" s="1" t="s">
        <v>302</v>
      </c>
    </row>
    <row r="49" spans="1:14">
      <c r="A49" s="1">
        <v>46</v>
      </c>
      <c r="B49" s="1" t="s">
        <v>1376</v>
      </c>
      <c r="C49" s="5">
        <v>46363</v>
      </c>
      <c r="D49" s="1" t="s">
        <v>122</v>
      </c>
      <c r="E49" s="6" t="s">
        <v>1271</v>
      </c>
      <c r="F49" s="6" t="s">
        <v>1329</v>
      </c>
      <c r="G49" s="1" t="s">
        <v>65</v>
      </c>
      <c r="H49" s="1" t="s">
        <v>91</v>
      </c>
      <c r="I49" s="1" t="s">
        <v>68</v>
      </c>
      <c r="J49" s="1" t="s">
        <v>28</v>
      </c>
      <c r="K49" s="5">
        <v>46384</v>
      </c>
      <c r="L49" s="5">
        <v>46394</v>
      </c>
      <c r="M49" s="1" t="s">
        <v>582</v>
      </c>
      <c r="N49" s="1" t="s">
        <v>302</v>
      </c>
    </row>
    <row r="50" spans="1:14">
      <c r="A50" s="1">
        <v>47</v>
      </c>
      <c r="B50" s="1" t="s">
        <v>1377</v>
      </c>
      <c r="C50" s="5">
        <v>46365</v>
      </c>
      <c r="D50" s="1" t="s">
        <v>122</v>
      </c>
      <c r="E50" s="6" t="s">
        <v>1269</v>
      </c>
      <c r="F50" s="6" t="s">
        <v>1324</v>
      </c>
      <c r="G50" s="1" t="s">
        <v>65</v>
      </c>
      <c r="H50" s="1" t="s">
        <v>64</v>
      </c>
      <c r="I50" s="1" t="s">
        <v>22</v>
      </c>
      <c r="J50" s="1" t="s">
        <v>104</v>
      </c>
      <c r="K50" s="5">
        <v>46370</v>
      </c>
      <c r="L50" s="5">
        <v>46373</v>
      </c>
      <c r="M50" s="1" t="s">
        <v>949</v>
      </c>
      <c r="N50" s="1" t="s">
        <v>297</v>
      </c>
    </row>
    <row r="51" spans="1:14">
      <c r="A51" s="1">
        <v>48</v>
      </c>
      <c r="B51" s="1" t="s">
        <v>1378</v>
      </c>
      <c r="C51" s="5">
        <v>46380</v>
      </c>
      <c r="D51" s="1" t="s">
        <v>122</v>
      </c>
      <c r="E51" s="6" t="s">
        <v>1279</v>
      </c>
      <c r="F51" s="6" t="s">
        <v>1279</v>
      </c>
      <c r="G51" s="1" t="s">
        <v>58</v>
      </c>
      <c r="H51" s="1" t="s">
        <v>12</v>
      </c>
      <c r="I51" s="1" t="s">
        <v>22</v>
      </c>
      <c r="J51" s="1" t="s">
        <v>28</v>
      </c>
      <c r="K51" s="5">
        <v>46419</v>
      </c>
      <c r="L51" s="5">
        <v>46425</v>
      </c>
      <c r="M51" s="1" t="s">
        <v>1144</v>
      </c>
      <c r="N51" s="1" t="s">
        <v>1327</v>
      </c>
    </row>
  </sheetData>
  <mergeCells count="2">
    <mergeCell ref="A1:N1"/>
    <mergeCell ref="A2:N2"/>
  </mergeCells>
  <dataValidations count="3">
    <dataValidation type="list" allowBlank="1" showInputMessage="1" showErrorMessage="1" sqref="G4:G100003">
      <formula1>L_Dept</formula1>
    </dataValidation>
    <dataValidation type="list" allowBlank="1" showInputMessage="1" showErrorMessage="1" sqref="M4:M100003">
      <formula1>L_Status</formula1>
    </dataValidation>
    <dataValidation type="list" allowBlank="1" showInputMessage="1" showErrorMessage="1" sqref="F4:F100003">
      <formula1>L_Risk</formula1>
    </dataValidation>
  </dataValidations>
  <hyperlinks>
    <hyperlink ref="P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>
    <tabColor rgb="FF64748B"/>
    <pageSetUpPr fitToPage="1"/>
  </sheetPr>
  <dimension ref="A1:O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2.7109375" style="1" customWidth="1"/>
    <col min="3" max="4" width="9.7109375" style="1" customWidth="1"/>
    <col min="5" max="5" width="13.7109375" style="1" customWidth="1"/>
    <col min="6" max="6" width="12.7109375" style="1" customWidth="1"/>
    <col min="7" max="7" width="10.7109375" style="1" customWidth="1"/>
    <col min="8" max="8" width="13.7109375" style="1" customWidth="1"/>
    <col min="9" max="9" width="12.7109375" style="1" customWidth="1"/>
    <col min="10" max="10" width="18.7109375" style="1" customWidth="1"/>
    <col min="11" max="11" width="19.7109375" style="1" customWidth="1"/>
    <col min="12" max="12" width="10.7109375" style="1" customWidth="1"/>
    <col min="13" max="13" width="9.7109375" style="1" customWidth="1"/>
  </cols>
  <sheetData>
    <row r="1" spans="1:15" ht="22" customHeight="1">
      <c r="A1" s="3" t="s">
        <v>1384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4" t="s">
        <v>139</v>
      </c>
    </row>
    <row r="2" spans="1: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>
      <c r="A3" s="1" t="s">
        <v>124</v>
      </c>
      <c r="B3" s="1" t="s">
        <v>1443</v>
      </c>
      <c r="C3" s="1" t="s">
        <v>126</v>
      </c>
      <c r="D3" s="1" t="s">
        <v>127</v>
      </c>
      <c r="E3" s="1" t="s">
        <v>355</v>
      </c>
      <c r="F3" s="1" t="s">
        <v>129</v>
      </c>
      <c r="G3" s="1" t="s">
        <v>130</v>
      </c>
      <c r="H3" s="1" t="s">
        <v>1444</v>
      </c>
      <c r="I3" s="1" t="s">
        <v>210</v>
      </c>
      <c r="J3" s="1" t="s">
        <v>1445</v>
      </c>
      <c r="K3" s="1" t="s">
        <v>416</v>
      </c>
      <c r="L3" s="1" t="s">
        <v>360</v>
      </c>
      <c r="M3" s="1" t="s">
        <v>288</v>
      </c>
    </row>
    <row r="4" spans="1:15">
      <c r="A4" s="1">
        <v>1</v>
      </c>
      <c r="B4" s="1" t="s">
        <v>1385</v>
      </c>
      <c r="C4" s="5">
        <v>46049</v>
      </c>
      <c r="D4" s="1" t="s">
        <v>3</v>
      </c>
      <c r="E4" s="6" t="s">
        <v>1386</v>
      </c>
      <c r="F4" s="6" t="s">
        <v>5</v>
      </c>
      <c r="G4" s="1" t="s">
        <v>51</v>
      </c>
      <c r="H4" s="1" t="s">
        <v>68</v>
      </c>
      <c r="I4" s="1" t="s">
        <v>147</v>
      </c>
      <c r="J4" s="1" t="s">
        <v>54</v>
      </c>
      <c r="K4" s="1" t="s">
        <v>20</v>
      </c>
      <c r="L4" s="5">
        <v>46080</v>
      </c>
      <c r="M4" s="1" t="s">
        <v>226</v>
      </c>
    </row>
    <row r="5" spans="1:15">
      <c r="A5" s="1">
        <v>2</v>
      </c>
      <c r="B5" s="1" t="s">
        <v>1387</v>
      </c>
      <c r="C5" s="5">
        <v>46046</v>
      </c>
      <c r="D5" s="1" t="s">
        <v>3</v>
      </c>
      <c r="E5" s="6" t="s">
        <v>1388</v>
      </c>
      <c r="F5" s="6" t="s">
        <v>46</v>
      </c>
      <c r="G5" s="1" t="s">
        <v>80</v>
      </c>
      <c r="H5" s="1" t="s">
        <v>104</v>
      </c>
      <c r="I5" s="1" t="s">
        <v>164</v>
      </c>
      <c r="J5" s="1" t="s">
        <v>20</v>
      </c>
      <c r="K5" s="1" t="s">
        <v>91</v>
      </c>
      <c r="L5" s="5">
        <v>46086</v>
      </c>
      <c r="M5" s="1" t="s">
        <v>222</v>
      </c>
    </row>
    <row r="6" spans="1:15">
      <c r="A6" s="1">
        <v>3</v>
      </c>
      <c r="B6" s="1" t="s">
        <v>1389</v>
      </c>
      <c r="C6" s="5">
        <v>46073</v>
      </c>
      <c r="D6" s="1" t="s">
        <v>19</v>
      </c>
      <c r="E6" s="6" t="s">
        <v>1388</v>
      </c>
      <c r="F6" s="6" t="s">
        <v>89</v>
      </c>
      <c r="G6" s="1" t="s">
        <v>95</v>
      </c>
      <c r="H6" s="1" t="s">
        <v>22</v>
      </c>
      <c r="I6" s="1" t="s">
        <v>164</v>
      </c>
      <c r="J6" s="1" t="s">
        <v>4</v>
      </c>
      <c r="K6" s="1" t="s">
        <v>12</v>
      </c>
      <c r="L6" s="5">
        <v>46081</v>
      </c>
      <c r="M6" s="1" t="s">
        <v>331</v>
      </c>
    </row>
    <row r="7" spans="1:15">
      <c r="A7" s="1">
        <v>4</v>
      </c>
      <c r="B7" s="1" t="s">
        <v>1390</v>
      </c>
      <c r="C7" s="5">
        <v>46071</v>
      </c>
      <c r="D7" s="1" t="s">
        <v>19</v>
      </c>
      <c r="E7" s="6" t="s">
        <v>1391</v>
      </c>
      <c r="F7" s="6" t="s">
        <v>27</v>
      </c>
      <c r="G7" s="1" t="s">
        <v>35</v>
      </c>
      <c r="H7" s="1" t="s">
        <v>66</v>
      </c>
      <c r="I7" s="1" t="s">
        <v>151</v>
      </c>
      <c r="J7" s="1" t="s">
        <v>91</v>
      </c>
      <c r="K7" s="1" t="s">
        <v>26</v>
      </c>
      <c r="L7" s="5">
        <v>46092</v>
      </c>
      <c r="M7" s="1" t="s">
        <v>222</v>
      </c>
    </row>
    <row r="8" spans="1:15">
      <c r="A8" s="1">
        <v>5</v>
      </c>
      <c r="B8" s="1" t="s">
        <v>1392</v>
      </c>
      <c r="C8" s="5">
        <v>46056</v>
      </c>
      <c r="D8" s="1" t="s">
        <v>19</v>
      </c>
      <c r="E8" s="6" t="s">
        <v>1393</v>
      </c>
      <c r="F8" s="6" t="s">
        <v>89</v>
      </c>
      <c r="G8" s="1" t="s">
        <v>51</v>
      </c>
      <c r="H8" s="1" t="s">
        <v>15</v>
      </c>
      <c r="I8" s="1" t="s">
        <v>142</v>
      </c>
      <c r="J8" s="1" t="s">
        <v>26</v>
      </c>
      <c r="K8" s="1" t="s">
        <v>38</v>
      </c>
      <c r="L8" s="5">
        <v>46081</v>
      </c>
      <c r="M8" s="1" t="s">
        <v>226</v>
      </c>
    </row>
    <row r="9" spans="1:15">
      <c r="A9" s="1">
        <v>6</v>
      </c>
      <c r="B9" s="1" t="s">
        <v>1394</v>
      </c>
      <c r="C9" s="5">
        <v>46074</v>
      </c>
      <c r="D9" s="1" t="s">
        <v>19</v>
      </c>
      <c r="E9" s="6" t="s">
        <v>1395</v>
      </c>
      <c r="F9" s="6" t="s">
        <v>39</v>
      </c>
      <c r="G9" s="1" t="s">
        <v>35</v>
      </c>
      <c r="H9" s="1" t="s">
        <v>22</v>
      </c>
      <c r="I9" s="1" t="s">
        <v>142</v>
      </c>
      <c r="J9" s="1" t="s">
        <v>49</v>
      </c>
      <c r="K9" s="1" t="s">
        <v>26</v>
      </c>
      <c r="L9" s="5">
        <v>46094</v>
      </c>
      <c r="M9" s="1" t="s">
        <v>222</v>
      </c>
    </row>
    <row r="10" spans="1:15">
      <c r="A10" s="1">
        <v>7</v>
      </c>
      <c r="B10" s="1" t="s">
        <v>1396</v>
      </c>
      <c r="C10" s="5">
        <v>46068</v>
      </c>
      <c r="D10" s="1" t="s">
        <v>19</v>
      </c>
      <c r="E10" s="6" t="s">
        <v>1386</v>
      </c>
      <c r="F10" s="6" t="s">
        <v>89</v>
      </c>
      <c r="G10" s="1" t="s">
        <v>35</v>
      </c>
      <c r="H10" s="1" t="s">
        <v>41</v>
      </c>
      <c r="I10" s="1" t="s">
        <v>147</v>
      </c>
      <c r="J10" s="1" t="s">
        <v>38</v>
      </c>
      <c r="K10" s="1" t="s">
        <v>38</v>
      </c>
      <c r="L10" s="5">
        <v>46112</v>
      </c>
      <c r="M10" s="1" t="s">
        <v>222</v>
      </c>
    </row>
    <row r="11" spans="1:15">
      <c r="A11" s="1">
        <v>8</v>
      </c>
      <c r="B11" s="1" t="s">
        <v>1397</v>
      </c>
      <c r="C11" s="5">
        <v>46099</v>
      </c>
      <c r="D11" s="1" t="s">
        <v>44</v>
      </c>
      <c r="E11" s="6" t="s">
        <v>1398</v>
      </c>
      <c r="F11" s="6" t="s">
        <v>50</v>
      </c>
      <c r="G11" s="1" t="s">
        <v>6</v>
      </c>
      <c r="H11" s="1" t="s">
        <v>32</v>
      </c>
      <c r="I11" s="1" t="s">
        <v>142</v>
      </c>
      <c r="J11" s="1" t="s">
        <v>45</v>
      </c>
      <c r="K11" s="1" t="s">
        <v>49</v>
      </c>
      <c r="L11" s="5">
        <v>46127</v>
      </c>
      <c r="M11" s="1" t="s">
        <v>222</v>
      </c>
    </row>
    <row r="12" spans="1:15">
      <c r="A12" s="1">
        <v>9</v>
      </c>
      <c r="B12" s="1" t="s">
        <v>1399</v>
      </c>
      <c r="C12" s="5">
        <v>46102</v>
      </c>
      <c r="D12" s="1" t="s">
        <v>44</v>
      </c>
      <c r="E12" s="6" t="s">
        <v>1398</v>
      </c>
      <c r="F12" s="6" t="s">
        <v>50</v>
      </c>
      <c r="G12" s="1" t="s">
        <v>87</v>
      </c>
      <c r="H12" s="1" t="s">
        <v>7</v>
      </c>
      <c r="I12" s="1" t="s">
        <v>164</v>
      </c>
      <c r="J12" s="1" t="s">
        <v>16</v>
      </c>
      <c r="K12" s="1" t="s">
        <v>30</v>
      </c>
      <c r="L12" s="5">
        <v>46119</v>
      </c>
      <c r="M12" s="1" t="s">
        <v>222</v>
      </c>
    </row>
    <row r="13" spans="1:15">
      <c r="A13" s="1">
        <v>10</v>
      </c>
      <c r="B13" s="1" t="s">
        <v>1400</v>
      </c>
      <c r="C13" s="5">
        <v>46100</v>
      </c>
      <c r="D13" s="1" t="s">
        <v>44</v>
      </c>
      <c r="E13" s="6" t="s">
        <v>1401</v>
      </c>
      <c r="F13" s="6" t="s">
        <v>58</v>
      </c>
      <c r="G13" s="1" t="s">
        <v>21</v>
      </c>
      <c r="H13" s="1" t="s">
        <v>104</v>
      </c>
      <c r="I13" s="1" t="s">
        <v>147</v>
      </c>
      <c r="J13" s="1" t="s">
        <v>57</v>
      </c>
      <c r="K13" s="1" t="s">
        <v>4</v>
      </c>
      <c r="L13" s="5">
        <v>46135</v>
      </c>
      <c r="M13" s="1" t="s">
        <v>226</v>
      </c>
    </row>
    <row r="14" spans="1:15">
      <c r="A14" s="1">
        <v>11</v>
      </c>
      <c r="B14" s="1" t="s">
        <v>1402</v>
      </c>
      <c r="C14" s="5">
        <v>46098</v>
      </c>
      <c r="D14" s="1" t="s">
        <v>44</v>
      </c>
      <c r="E14" s="6" t="s">
        <v>1393</v>
      </c>
      <c r="F14" s="6" t="s">
        <v>5</v>
      </c>
      <c r="G14" s="1" t="s">
        <v>87</v>
      </c>
      <c r="H14" s="1" t="s">
        <v>70</v>
      </c>
      <c r="I14" s="1" t="s">
        <v>142</v>
      </c>
      <c r="J14" s="1" t="s">
        <v>91</v>
      </c>
      <c r="K14" s="1" t="s">
        <v>12</v>
      </c>
      <c r="L14" s="5">
        <v>46130</v>
      </c>
      <c r="M14" s="1" t="s">
        <v>222</v>
      </c>
    </row>
    <row r="15" spans="1:15">
      <c r="A15" s="1">
        <v>12</v>
      </c>
      <c r="B15" s="1" t="s">
        <v>1403</v>
      </c>
      <c r="C15" s="5">
        <v>46083</v>
      </c>
      <c r="D15" s="1" t="s">
        <v>44</v>
      </c>
      <c r="E15" s="6" t="s">
        <v>1391</v>
      </c>
      <c r="F15" s="6" t="s">
        <v>39</v>
      </c>
      <c r="G15" s="1" t="s">
        <v>31</v>
      </c>
      <c r="H15" s="1" t="s">
        <v>62</v>
      </c>
      <c r="I15" s="1" t="s">
        <v>164</v>
      </c>
      <c r="J15" s="1" t="s">
        <v>20</v>
      </c>
      <c r="K15" s="1" t="s">
        <v>30</v>
      </c>
      <c r="L15" s="5">
        <v>46094</v>
      </c>
      <c r="M15" s="1" t="s">
        <v>226</v>
      </c>
    </row>
    <row r="16" spans="1:15">
      <c r="A16" s="1">
        <v>13</v>
      </c>
      <c r="B16" s="1" t="s">
        <v>1404</v>
      </c>
      <c r="C16" s="5">
        <v>46087</v>
      </c>
      <c r="D16" s="1" t="s">
        <v>44</v>
      </c>
      <c r="E16" s="6" t="s">
        <v>1388</v>
      </c>
      <c r="F16" s="6" t="s">
        <v>27</v>
      </c>
      <c r="G16" s="1" t="s">
        <v>31</v>
      </c>
      <c r="H16" s="1" t="s">
        <v>36</v>
      </c>
      <c r="I16" s="1" t="s">
        <v>142</v>
      </c>
      <c r="J16" s="1" t="s">
        <v>4</v>
      </c>
      <c r="K16" s="1" t="s">
        <v>91</v>
      </c>
      <c r="L16" s="5">
        <v>46108</v>
      </c>
      <c r="M16" s="1" t="s">
        <v>226</v>
      </c>
    </row>
    <row r="17" spans="1:13">
      <c r="A17" s="1">
        <v>14</v>
      </c>
      <c r="B17" s="1" t="s">
        <v>1405</v>
      </c>
      <c r="C17" s="5">
        <v>46120</v>
      </c>
      <c r="D17" s="1" t="s">
        <v>53</v>
      </c>
      <c r="E17" s="6" t="s">
        <v>1401</v>
      </c>
      <c r="F17" s="6" t="s">
        <v>27</v>
      </c>
      <c r="G17" s="1" t="s">
        <v>87</v>
      </c>
      <c r="H17" s="1" t="s">
        <v>32</v>
      </c>
      <c r="I17" s="1" t="s">
        <v>164</v>
      </c>
      <c r="J17" s="1" t="s">
        <v>30</v>
      </c>
      <c r="K17" s="1" t="s">
        <v>16</v>
      </c>
      <c r="L17" s="5">
        <v>46131</v>
      </c>
      <c r="M17" s="1" t="s">
        <v>222</v>
      </c>
    </row>
    <row r="18" spans="1:13">
      <c r="A18" s="1">
        <v>15</v>
      </c>
      <c r="B18" s="1" t="s">
        <v>1406</v>
      </c>
      <c r="C18" s="5">
        <v>46124</v>
      </c>
      <c r="D18" s="1" t="s">
        <v>53</v>
      </c>
      <c r="E18" s="6" t="s">
        <v>1388</v>
      </c>
      <c r="F18" s="6" t="s">
        <v>39</v>
      </c>
      <c r="G18" s="1" t="s">
        <v>87</v>
      </c>
      <c r="H18" s="1" t="s">
        <v>7</v>
      </c>
      <c r="I18" s="1" t="s">
        <v>164</v>
      </c>
      <c r="J18" s="1" t="s">
        <v>12</v>
      </c>
      <c r="K18" s="1" t="s">
        <v>54</v>
      </c>
      <c r="L18" s="5">
        <v>46162</v>
      </c>
      <c r="M18" s="1" t="s">
        <v>226</v>
      </c>
    </row>
    <row r="19" spans="1:13">
      <c r="A19" s="1">
        <v>16</v>
      </c>
      <c r="B19" s="1" t="s">
        <v>1407</v>
      </c>
      <c r="C19" s="5">
        <v>46117</v>
      </c>
      <c r="D19" s="1" t="s">
        <v>53</v>
      </c>
      <c r="E19" s="6" t="s">
        <v>1391</v>
      </c>
      <c r="F19" s="6" t="s">
        <v>13</v>
      </c>
      <c r="G19" s="1" t="s">
        <v>77</v>
      </c>
      <c r="H19" s="1" t="s">
        <v>15</v>
      </c>
      <c r="I19" s="1" t="s">
        <v>147</v>
      </c>
      <c r="J19" s="1" t="s">
        <v>26</v>
      </c>
      <c r="K19" s="1" t="s">
        <v>54</v>
      </c>
      <c r="L19" s="5">
        <v>46136</v>
      </c>
      <c r="M19" s="1" t="s">
        <v>222</v>
      </c>
    </row>
    <row r="20" spans="1:13">
      <c r="A20" s="1">
        <v>17</v>
      </c>
      <c r="B20" s="1" t="s">
        <v>1408</v>
      </c>
      <c r="C20" s="5">
        <v>46136</v>
      </c>
      <c r="D20" s="1" t="s">
        <v>53</v>
      </c>
      <c r="E20" s="6" t="s">
        <v>1398</v>
      </c>
      <c r="F20" s="6" t="s">
        <v>27</v>
      </c>
      <c r="G20" s="1" t="s">
        <v>21</v>
      </c>
      <c r="H20" s="1" t="s">
        <v>28</v>
      </c>
      <c r="I20" s="1" t="s">
        <v>147</v>
      </c>
      <c r="J20" s="1" t="s">
        <v>12</v>
      </c>
      <c r="K20" s="1" t="s">
        <v>26</v>
      </c>
      <c r="L20" s="5">
        <v>46162</v>
      </c>
      <c r="M20" s="1" t="s">
        <v>222</v>
      </c>
    </row>
    <row r="21" spans="1:13">
      <c r="A21" s="1">
        <v>18</v>
      </c>
      <c r="B21" s="1" t="s">
        <v>1409</v>
      </c>
      <c r="C21" s="5">
        <v>46131</v>
      </c>
      <c r="D21" s="1" t="s">
        <v>53</v>
      </c>
      <c r="E21" s="6" t="s">
        <v>1388</v>
      </c>
      <c r="F21" s="6" t="s">
        <v>89</v>
      </c>
      <c r="G21" s="1" t="s">
        <v>82</v>
      </c>
      <c r="H21" s="1" t="s">
        <v>15</v>
      </c>
      <c r="I21" s="1" t="s">
        <v>142</v>
      </c>
      <c r="J21" s="1" t="s">
        <v>61</v>
      </c>
      <c r="K21" s="1" t="s">
        <v>54</v>
      </c>
      <c r="L21" s="5">
        <v>46175</v>
      </c>
      <c r="M21" s="1" t="s">
        <v>303</v>
      </c>
    </row>
    <row r="22" spans="1:13">
      <c r="A22" s="1">
        <v>19</v>
      </c>
      <c r="B22" s="1" t="s">
        <v>1410</v>
      </c>
      <c r="C22" s="5">
        <v>46120</v>
      </c>
      <c r="D22" s="1" t="s">
        <v>53</v>
      </c>
      <c r="E22" s="6" t="s">
        <v>1411</v>
      </c>
      <c r="F22" s="6" t="s">
        <v>13</v>
      </c>
      <c r="G22" s="1" t="s">
        <v>77</v>
      </c>
      <c r="H22" s="1" t="s">
        <v>15</v>
      </c>
      <c r="I22" s="1" t="s">
        <v>147</v>
      </c>
      <c r="J22" s="1" t="s">
        <v>20</v>
      </c>
      <c r="K22" s="1" t="s">
        <v>4</v>
      </c>
      <c r="L22" s="5">
        <v>46163</v>
      </c>
      <c r="M22" s="1" t="s">
        <v>303</v>
      </c>
    </row>
    <row r="23" spans="1:13">
      <c r="A23" s="1">
        <v>20</v>
      </c>
      <c r="B23" s="1" t="s">
        <v>1412</v>
      </c>
      <c r="C23" s="5">
        <v>46121</v>
      </c>
      <c r="D23" s="1" t="s">
        <v>53</v>
      </c>
      <c r="E23" s="6" t="s">
        <v>1395</v>
      </c>
      <c r="F23" s="6" t="s">
        <v>39</v>
      </c>
      <c r="G23" s="1" t="s">
        <v>95</v>
      </c>
      <c r="H23" s="1" t="s">
        <v>15</v>
      </c>
      <c r="I23" s="1" t="s">
        <v>164</v>
      </c>
      <c r="J23" s="1" t="s">
        <v>38</v>
      </c>
      <c r="K23" s="1" t="s">
        <v>38</v>
      </c>
      <c r="L23" s="5">
        <v>46137</v>
      </c>
      <c r="M23" s="1" t="s">
        <v>222</v>
      </c>
    </row>
    <row r="24" spans="1:13">
      <c r="A24" s="1">
        <v>21</v>
      </c>
      <c r="B24" s="1" t="s">
        <v>1413</v>
      </c>
      <c r="C24" s="5">
        <v>46129</v>
      </c>
      <c r="D24" s="1" t="s">
        <v>53</v>
      </c>
      <c r="E24" s="6" t="s">
        <v>1411</v>
      </c>
      <c r="F24" s="6" t="s">
        <v>13</v>
      </c>
      <c r="G24" s="1" t="s">
        <v>40</v>
      </c>
      <c r="H24" s="1" t="s">
        <v>70</v>
      </c>
      <c r="I24" s="1" t="s">
        <v>147</v>
      </c>
      <c r="J24" s="1" t="s">
        <v>38</v>
      </c>
      <c r="K24" s="1" t="s">
        <v>54</v>
      </c>
      <c r="L24" s="5">
        <v>46154</v>
      </c>
      <c r="M24" s="1" t="s">
        <v>331</v>
      </c>
    </row>
    <row r="25" spans="1:13">
      <c r="A25" s="1">
        <v>22</v>
      </c>
      <c r="B25" s="1" t="s">
        <v>1414</v>
      </c>
      <c r="C25" s="5">
        <v>46153</v>
      </c>
      <c r="D25" s="1" t="s">
        <v>60</v>
      </c>
      <c r="E25" s="6" t="s">
        <v>1391</v>
      </c>
      <c r="F25" s="6" t="s">
        <v>89</v>
      </c>
      <c r="G25" s="1" t="s">
        <v>95</v>
      </c>
      <c r="H25" s="1" t="s">
        <v>28</v>
      </c>
      <c r="I25" s="1" t="s">
        <v>147</v>
      </c>
      <c r="J25" s="1" t="s">
        <v>26</v>
      </c>
      <c r="K25" s="1" t="s">
        <v>64</v>
      </c>
      <c r="L25" s="5">
        <v>46176</v>
      </c>
      <c r="M25" s="1" t="s">
        <v>222</v>
      </c>
    </row>
    <row r="26" spans="1:13">
      <c r="A26" s="1">
        <v>23</v>
      </c>
      <c r="B26" s="1" t="s">
        <v>1415</v>
      </c>
      <c r="C26" s="5">
        <v>46177</v>
      </c>
      <c r="D26" s="1" t="s">
        <v>73</v>
      </c>
      <c r="E26" s="6" t="s">
        <v>1395</v>
      </c>
      <c r="F26" s="6" t="s">
        <v>92</v>
      </c>
      <c r="G26" s="1" t="s">
        <v>40</v>
      </c>
      <c r="H26" s="1" t="s">
        <v>70</v>
      </c>
      <c r="I26" s="1" t="s">
        <v>142</v>
      </c>
      <c r="J26" s="1" t="s">
        <v>26</v>
      </c>
      <c r="K26" s="1" t="s">
        <v>57</v>
      </c>
      <c r="L26" s="5">
        <v>46183</v>
      </c>
      <c r="M26" s="1" t="s">
        <v>222</v>
      </c>
    </row>
    <row r="27" spans="1:13">
      <c r="A27" s="1">
        <v>24</v>
      </c>
      <c r="B27" s="1" t="s">
        <v>1416</v>
      </c>
      <c r="C27" s="5">
        <v>46178</v>
      </c>
      <c r="D27" s="1" t="s">
        <v>73</v>
      </c>
      <c r="E27" s="6" t="s">
        <v>1398</v>
      </c>
      <c r="F27" s="6" t="s">
        <v>58</v>
      </c>
      <c r="G27" s="1" t="s">
        <v>82</v>
      </c>
      <c r="H27" s="1" t="s">
        <v>15</v>
      </c>
      <c r="I27" s="1" t="s">
        <v>142</v>
      </c>
      <c r="J27" s="1" t="s">
        <v>26</v>
      </c>
      <c r="K27" s="1" t="s">
        <v>4</v>
      </c>
      <c r="L27" s="5">
        <v>46223</v>
      </c>
      <c r="M27" s="1" t="s">
        <v>303</v>
      </c>
    </row>
    <row r="28" spans="1:13">
      <c r="A28" s="1">
        <v>25</v>
      </c>
      <c r="B28" s="1" t="s">
        <v>1417</v>
      </c>
      <c r="C28" s="5">
        <v>46198</v>
      </c>
      <c r="D28" s="1" t="s">
        <v>73</v>
      </c>
      <c r="E28" s="6" t="s">
        <v>1418</v>
      </c>
      <c r="F28" s="6" t="s">
        <v>89</v>
      </c>
      <c r="G28" s="1" t="s">
        <v>40</v>
      </c>
      <c r="H28" s="1" t="s">
        <v>28</v>
      </c>
      <c r="I28" s="1" t="s">
        <v>147</v>
      </c>
      <c r="J28" s="1" t="s">
        <v>38</v>
      </c>
      <c r="K28" s="1" t="s">
        <v>26</v>
      </c>
      <c r="L28" s="5">
        <v>46218</v>
      </c>
      <c r="M28" s="1" t="s">
        <v>226</v>
      </c>
    </row>
    <row r="29" spans="1:13">
      <c r="A29" s="1">
        <v>26</v>
      </c>
      <c r="B29" s="1" t="s">
        <v>1419</v>
      </c>
      <c r="C29" s="5">
        <v>46223</v>
      </c>
      <c r="D29" s="1" t="s">
        <v>76</v>
      </c>
      <c r="E29" s="6" t="s">
        <v>1401</v>
      </c>
      <c r="F29" s="6" t="s">
        <v>46</v>
      </c>
      <c r="G29" s="1" t="s">
        <v>40</v>
      </c>
      <c r="H29" s="1" t="s">
        <v>66</v>
      </c>
      <c r="I29" s="1" t="s">
        <v>147</v>
      </c>
      <c r="J29" s="1" t="s">
        <v>49</v>
      </c>
      <c r="K29" s="1" t="s">
        <v>26</v>
      </c>
      <c r="L29" s="5">
        <v>46258</v>
      </c>
      <c r="M29" s="1" t="s">
        <v>222</v>
      </c>
    </row>
    <row r="30" spans="1:13">
      <c r="A30" s="1">
        <v>27</v>
      </c>
      <c r="B30" s="1" t="s">
        <v>1420</v>
      </c>
      <c r="C30" s="5">
        <v>46205</v>
      </c>
      <c r="D30" s="1" t="s">
        <v>76</v>
      </c>
      <c r="E30" s="6" t="s">
        <v>1398</v>
      </c>
      <c r="F30" s="6" t="s">
        <v>13</v>
      </c>
      <c r="G30" s="1" t="s">
        <v>6</v>
      </c>
      <c r="H30" s="1" t="s">
        <v>93</v>
      </c>
      <c r="I30" s="1" t="s">
        <v>164</v>
      </c>
      <c r="J30" s="1" t="s">
        <v>38</v>
      </c>
      <c r="K30" s="1" t="s">
        <v>30</v>
      </c>
      <c r="L30" s="5">
        <v>46213</v>
      </c>
      <c r="M30" s="1" t="s">
        <v>226</v>
      </c>
    </row>
    <row r="31" spans="1:13">
      <c r="A31" s="1">
        <v>28</v>
      </c>
      <c r="B31" s="1" t="s">
        <v>1421</v>
      </c>
      <c r="C31" s="5">
        <v>46220</v>
      </c>
      <c r="D31" s="1" t="s">
        <v>76</v>
      </c>
      <c r="E31" s="6" t="s">
        <v>1395</v>
      </c>
      <c r="F31" s="6" t="s">
        <v>13</v>
      </c>
      <c r="G31" s="1" t="s">
        <v>82</v>
      </c>
      <c r="H31" s="1" t="s">
        <v>22</v>
      </c>
      <c r="I31" s="1" t="s">
        <v>164</v>
      </c>
      <c r="J31" s="1" t="s">
        <v>16</v>
      </c>
      <c r="K31" s="1" t="s">
        <v>61</v>
      </c>
      <c r="L31" s="5">
        <v>46245</v>
      </c>
      <c r="M31" s="1" t="s">
        <v>222</v>
      </c>
    </row>
    <row r="32" spans="1:13">
      <c r="A32" s="1">
        <v>29</v>
      </c>
      <c r="B32" s="1" t="s">
        <v>1422</v>
      </c>
      <c r="C32" s="5">
        <v>46224</v>
      </c>
      <c r="D32" s="1" t="s">
        <v>76</v>
      </c>
      <c r="E32" s="6" t="s">
        <v>1423</v>
      </c>
      <c r="F32" s="6" t="s">
        <v>65</v>
      </c>
      <c r="G32" s="1" t="s">
        <v>51</v>
      </c>
      <c r="H32" s="1" t="s">
        <v>62</v>
      </c>
      <c r="I32" s="1" t="s">
        <v>142</v>
      </c>
      <c r="J32" s="1" t="s">
        <v>16</v>
      </c>
      <c r="K32" s="1" t="s">
        <v>4</v>
      </c>
      <c r="L32" s="5">
        <v>46256</v>
      </c>
      <c r="M32" s="1" t="s">
        <v>303</v>
      </c>
    </row>
    <row r="33" spans="1:13">
      <c r="A33" s="1">
        <v>30</v>
      </c>
      <c r="B33" s="1" t="s">
        <v>1424</v>
      </c>
      <c r="C33" s="5">
        <v>46230</v>
      </c>
      <c r="D33" s="1" t="s">
        <v>76</v>
      </c>
      <c r="E33" s="6" t="s">
        <v>1411</v>
      </c>
      <c r="F33" s="6" t="s">
        <v>58</v>
      </c>
      <c r="G33" s="1" t="s">
        <v>6</v>
      </c>
      <c r="H33" s="1" t="s">
        <v>15</v>
      </c>
      <c r="I33" s="1" t="s">
        <v>147</v>
      </c>
      <c r="J33" s="1" t="s">
        <v>30</v>
      </c>
      <c r="K33" s="1" t="s">
        <v>61</v>
      </c>
      <c r="L33" s="5">
        <v>46258</v>
      </c>
      <c r="M33" s="1" t="s">
        <v>303</v>
      </c>
    </row>
    <row r="34" spans="1:13">
      <c r="A34" s="1">
        <v>31</v>
      </c>
      <c r="B34" s="1" t="s">
        <v>1425</v>
      </c>
      <c r="C34" s="5">
        <v>46216</v>
      </c>
      <c r="D34" s="1" t="s">
        <v>76</v>
      </c>
      <c r="E34" s="6" t="s">
        <v>1418</v>
      </c>
      <c r="F34" s="6" t="s">
        <v>65</v>
      </c>
      <c r="G34" s="1" t="s">
        <v>14</v>
      </c>
      <c r="H34" s="1" t="s">
        <v>15</v>
      </c>
      <c r="I34" s="1" t="s">
        <v>142</v>
      </c>
      <c r="J34" s="1" t="s">
        <v>26</v>
      </c>
      <c r="K34" s="1" t="s">
        <v>26</v>
      </c>
      <c r="L34" s="5">
        <v>46256</v>
      </c>
      <c r="M34" s="1" t="s">
        <v>303</v>
      </c>
    </row>
    <row r="35" spans="1:13">
      <c r="A35" s="1">
        <v>32</v>
      </c>
      <c r="B35" s="1" t="s">
        <v>1426</v>
      </c>
      <c r="C35" s="5">
        <v>46235</v>
      </c>
      <c r="D35" s="1" t="s">
        <v>86</v>
      </c>
      <c r="E35" s="6" t="s">
        <v>1391</v>
      </c>
      <c r="F35" s="6" t="s">
        <v>46</v>
      </c>
      <c r="G35" s="1" t="s">
        <v>77</v>
      </c>
      <c r="H35" s="1" t="s">
        <v>70</v>
      </c>
      <c r="I35" s="1" t="s">
        <v>147</v>
      </c>
      <c r="J35" s="1" t="s">
        <v>38</v>
      </c>
      <c r="K35" s="1" t="s">
        <v>38</v>
      </c>
      <c r="L35" s="5">
        <v>46247</v>
      </c>
      <c r="M35" s="1" t="s">
        <v>222</v>
      </c>
    </row>
    <row r="36" spans="1:13">
      <c r="A36" s="1">
        <v>33</v>
      </c>
      <c r="B36" s="1" t="s">
        <v>1427</v>
      </c>
      <c r="C36" s="5">
        <v>46249</v>
      </c>
      <c r="D36" s="1" t="s">
        <v>86</v>
      </c>
      <c r="E36" s="6" t="s">
        <v>1411</v>
      </c>
      <c r="F36" s="6" t="s">
        <v>5</v>
      </c>
      <c r="G36" s="1" t="s">
        <v>6</v>
      </c>
      <c r="H36" s="1" t="s">
        <v>66</v>
      </c>
      <c r="I36" s="1" t="s">
        <v>164</v>
      </c>
      <c r="J36" s="1" t="s">
        <v>30</v>
      </c>
      <c r="K36" s="1" t="s">
        <v>30</v>
      </c>
      <c r="L36" s="5">
        <v>46273</v>
      </c>
      <c r="M36" s="1" t="s">
        <v>331</v>
      </c>
    </row>
    <row r="37" spans="1:13">
      <c r="A37" s="1">
        <v>34</v>
      </c>
      <c r="B37" s="1" t="s">
        <v>1428</v>
      </c>
      <c r="C37" s="5">
        <v>46257</v>
      </c>
      <c r="D37" s="1" t="s">
        <v>86</v>
      </c>
      <c r="E37" s="6" t="s">
        <v>1388</v>
      </c>
      <c r="F37" s="6" t="s">
        <v>50</v>
      </c>
      <c r="G37" s="1" t="s">
        <v>87</v>
      </c>
      <c r="H37" s="1" t="s">
        <v>22</v>
      </c>
      <c r="I37" s="1" t="s">
        <v>147</v>
      </c>
      <c r="J37" s="1" t="s">
        <v>26</v>
      </c>
      <c r="K37" s="1" t="s">
        <v>91</v>
      </c>
      <c r="L37" s="5">
        <v>46297</v>
      </c>
      <c r="M37" s="1" t="s">
        <v>222</v>
      </c>
    </row>
    <row r="38" spans="1:13">
      <c r="A38" s="1">
        <v>35</v>
      </c>
      <c r="B38" s="1" t="s">
        <v>1429</v>
      </c>
      <c r="C38" s="5">
        <v>46289</v>
      </c>
      <c r="D38" s="1" t="s">
        <v>102</v>
      </c>
      <c r="E38" s="6" t="s">
        <v>1398</v>
      </c>
      <c r="F38" s="6" t="s">
        <v>13</v>
      </c>
      <c r="G38" s="1" t="s">
        <v>82</v>
      </c>
      <c r="H38" s="1" t="s">
        <v>93</v>
      </c>
      <c r="I38" s="1" t="s">
        <v>147</v>
      </c>
      <c r="J38" s="1" t="s">
        <v>12</v>
      </c>
      <c r="K38" s="1" t="s">
        <v>30</v>
      </c>
      <c r="L38" s="5">
        <v>46310</v>
      </c>
      <c r="M38" s="1" t="s">
        <v>222</v>
      </c>
    </row>
    <row r="39" spans="1:13">
      <c r="A39" s="1">
        <v>36</v>
      </c>
      <c r="B39" s="1" t="s">
        <v>1430</v>
      </c>
      <c r="C39" s="5">
        <v>46281</v>
      </c>
      <c r="D39" s="1" t="s">
        <v>102</v>
      </c>
      <c r="E39" s="6" t="s">
        <v>1398</v>
      </c>
      <c r="F39" s="6" t="s">
        <v>89</v>
      </c>
      <c r="G39" s="1" t="s">
        <v>31</v>
      </c>
      <c r="H39" s="1" t="s">
        <v>7</v>
      </c>
      <c r="I39" s="1" t="s">
        <v>164</v>
      </c>
      <c r="J39" s="1" t="s">
        <v>20</v>
      </c>
      <c r="K39" s="1" t="s">
        <v>61</v>
      </c>
      <c r="L39" s="5">
        <v>46294</v>
      </c>
      <c r="M39" s="1" t="s">
        <v>222</v>
      </c>
    </row>
    <row r="40" spans="1:13">
      <c r="A40" s="1">
        <v>37</v>
      </c>
      <c r="B40" s="1" t="s">
        <v>1431</v>
      </c>
      <c r="C40" s="5">
        <v>46278</v>
      </c>
      <c r="D40" s="1" t="s">
        <v>102</v>
      </c>
      <c r="E40" s="6" t="s">
        <v>1401</v>
      </c>
      <c r="F40" s="6" t="s">
        <v>65</v>
      </c>
      <c r="G40" s="1" t="s">
        <v>82</v>
      </c>
      <c r="H40" s="1" t="s">
        <v>93</v>
      </c>
      <c r="I40" s="1" t="s">
        <v>142</v>
      </c>
      <c r="J40" s="1" t="s">
        <v>4</v>
      </c>
      <c r="K40" s="1" t="s">
        <v>38</v>
      </c>
      <c r="L40" s="5">
        <v>46287</v>
      </c>
      <c r="M40" s="1" t="s">
        <v>222</v>
      </c>
    </row>
    <row r="41" spans="1:13">
      <c r="A41" s="1">
        <v>38</v>
      </c>
      <c r="B41" s="1" t="s">
        <v>1432</v>
      </c>
      <c r="C41" s="5">
        <v>46283</v>
      </c>
      <c r="D41" s="1" t="s">
        <v>102</v>
      </c>
      <c r="E41" s="6" t="s">
        <v>1418</v>
      </c>
      <c r="F41" s="6" t="s">
        <v>92</v>
      </c>
      <c r="G41" s="1" t="s">
        <v>82</v>
      </c>
      <c r="H41" s="1" t="s">
        <v>68</v>
      </c>
      <c r="I41" s="1" t="s">
        <v>147</v>
      </c>
      <c r="J41" s="1" t="s">
        <v>20</v>
      </c>
      <c r="K41" s="1" t="s">
        <v>45</v>
      </c>
      <c r="L41" s="5">
        <v>46292</v>
      </c>
      <c r="M41" s="1" t="s">
        <v>222</v>
      </c>
    </row>
    <row r="42" spans="1:13">
      <c r="A42" s="1">
        <v>39</v>
      </c>
      <c r="B42" s="1" t="s">
        <v>1433</v>
      </c>
      <c r="C42" s="5">
        <v>46323</v>
      </c>
      <c r="D42" s="1" t="s">
        <v>106</v>
      </c>
      <c r="E42" s="6" t="s">
        <v>1386</v>
      </c>
      <c r="F42" s="6" t="s">
        <v>13</v>
      </c>
      <c r="G42" s="1" t="s">
        <v>77</v>
      </c>
      <c r="H42" s="1" t="s">
        <v>70</v>
      </c>
      <c r="I42" s="1" t="s">
        <v>164</v>
      </c>
      <c r="J42" s="1" t="s">
        <v>64</v>
      </c>
      <c r="K42" s="1" t="s">
        <v>49</v>
      </c>
      <c r="L42" s="5">
        <v>46347</v>
      </c>
      <c r="M42" s="1" t="s">
        <v>331</v>
      </c>
    </row>
    <row r="43" spans="1:13">
      <c r="A43" s="1">
        <v>40</v>
      </c>
      <c r="B43" s="1" t="s">
        <v>1434</v>
      </c>
      <c r="C43" s="5">
        <v>46317</v>
      </c>
      <c r="D43" s="1" t="s">
        <v>106</v>
      </c>
      <c r="E43" s="6" t="s">
        <v>1391</v>
      </c>
      <c r="F43" s="6" t="s">
        <v>39</v>
      </c>
      <c r="G43" s="1" t="s">
        <v>95</v>
      </c>
      <c r="H43" s="1" t="s">
        <v>32</v>
      </c>
      <c r="I43" s="1" t="s">
        <v>142</v>
      </c>
      <c r="J43" s="1" t="s">
        <v>16</v>
      </c>
      <c r="K43" s="1" t="s">
        <v>30</v>
      </c>
      <c r="L43" s="5">
        <v>46360</v>
      </c>
      <c r="M43" s="1" t="s">
        <v>222</v>
      </c>
    </row>
    <row r="44" spans="1:13">
      <c r="A44" s="1">
        <v>41</v>
      </c>
      <c r="B44" s="1" t="s">
        <v>1435</v>
      </c>
      <c r="C44" s="5">
        <v>46301</v>
      </c>
      <c r="D44" s="1" t="s">
        <v>106</v>
      </c>
      <c r="E44" s="6" t="s">
        <v>1398</v>
      </c>
      <c r="F44" s="6" t="s">
        <v>5</v>
      </c>
      <c r="G44" s="1" t="s">
        <v>40</v>
      </c>
      <c r="H44" s="1" t="s">
        <v>41</v>
      </c>
      <c r="I44" s="1" t="s">
        <v>142</v>
      </c>
      <c r="J44" s="1" t="s">
        <v>38</v>
      </c>
      <c r="K44" s="1" t="s">
        <v>38</v>
      </c>
      <c r="L44" s="5">
        <v>46331</v>
      </c>
      <c r="M44" s="1" t="s">
        <v>303</v>
      </c>
    </row>
    <row r="45" spans="1:13">
      <c r="A45" s="1">
        <v>42</v>
      </c>
      <c r="B45" s="1" t="s">
        <v>1436</v>
      </c>
      <c r="C45" s="5">
        <v>46333</v>
      </c>
      <c r="D45" s="1" t="s">
        <v>111</v>
      </c>
      <c r="E45" s="6" t="s">
        <v>1423</v>
      </c>
      <c r="F45" s="6" t="s">
        <v>46</v>
      </c>
      <c r="G45" s="1" t="s">
        <v>31</v>
      </c>
      <c r="H45" s="1" t="s">
        <v>93</v>
      </c>
      <c r="I45" s="1" t="s">
        <v>147</v>
      </c>
      <c r="J45" s="1" t="s">
        <v>54</v>
      </c>
      <c r="K45" s="1" t="s">
        <v>12</v>
      </c>
      <c r="L45" s="5">
        <v>46357</v>
      </c>
      <c r="M45" s="1" t="s">
        <v>222</v>
      </c>
    </row>
    <row r="46" spans="1:13">
      <c r="A46" s="1">
        <v>43</v>
      </c>
      <c r="B46" s="1" t="s">
        <v>1437</v>
      </c>
      <c r="C46" s="5">
        <v>46347</v>
      </c>
      <c r="D46" s="1" t="s">
        <v>111</v>
      </c>
      <c r="E46" s="6" t="s">
        <v>1391</v>
      </c>
      <c r="F46" s="6" t="s">
        <v>5</v>
      </c>
      <c r="G46" s="1" t="s">
        <v>40</v>
      </c>
      <c r="H46" s="1" t="s">
        <v>28</v>
      </c>
      <c r="I46" s="1" t="s">
        <v>142</v>
      </c>
      <c r="J46" s="1" t="s">
        <v>26</v>
      </c>
      <c r="K46" s="1" t="s">
        <v>12</v>
      </c>
      <c r="L46" s="5">
        <v>46386</v>
      </c>
      <c r="M46" s="1" t="s">
        <v>222</v>
      </c>
    </row>
    <row r="47" spans="1:13">
      <c r="A47" s="1">
        <v>44</v>
      </c>
      <c r="B47" s="1" t="s">
        <v>1438</v>
      </c>
      <c r="C47" s="5">
        <v>46350</v>
      </c>
      <c r="D47" s="1" t="s">
        <v>111</v>
      </c>
      <c r="E47" s="6" t="s">
        <v>1401</v>
      </c>
      <c r="F47" s="6" t="s">
        <v>13</v>
      </c>
      <c r="G47" s="1" t="s">
        <v>14</v>
      </c>
      <c r="H47" s="1" t="s">
        <v>70</v>
      </c>
      <c r="I47" s="1" t="s">
        <v>147</v>
      </c>
      <c r="J47" s="1" t="s">
        <v>61</v>
      </c>
      <c r="K47" s="1" t="s">
        <v>49</v>
      </c>
      <c r="L47" s="5">
        <v>46380</v>
      </c>
      <c r="M47" s="1" t="s">
        <v>222</v>
      </c>
    </row>
    <row r="48" spans="1:13">
      <c r="A48" s="1">
        <v>45</v>
      </c>
      <c r="B48" s="1" t="s">
        <v>1439</v>
      </c>
      <c r="C48" s="5">
        <v>46329</v>
      </c>
      <c r="D48" s="1" t="s">
        <v>111</v>
      </c>
      <c r="E48" s="6" t="s">
        <v>1386</v>
      </c>
      <c r="F48" s="6" t="s">
        <v>65</v>
      </c>
      <c r="G48" s="1" t="s">
        <v>31</v>
      </c>
      <c r="H48" s="1" t="s">
        <v>68</v>
      </c>
      <c r="I48" s="1" t="s">
        <v>151</v>
      </c>
      <c r="J48" s="1" t="s">
        <v>30</v>
      </c>
      <c r="K48" s="1" t="s">
        <v>54</v>
      </c>
      <c r="L48" s="5">
        <v>46363</v>
      </c>
      <c r="M48" s="1" t="s">
        <v>331</v>
      </c>
    </row>
    <row r="49" spans="1:13">
      <c r="A49" s="1">
        <v>46</v>
      </c>
      <c r="B49" s="1" t="s">
        <v>1440</v>
      </c>
      <c r="C49" s="5">
        <v>46372</v>
      </c>
      <c r="D49" s="1" t="s">
        <v>122</v>
      </c>
      <c r="E49" s="6" t="s">
        <v>1411</v>
      </c>
      <c r="F49" s="6" t="s">
        <v>5</v>
      </c>
      <c r="G49" s="1" t="s">
        <v>35</v>
      </c>
      <c r="H49" s="1" t="s">
        <v>104</v>
      </c>
      <c r="I49" s="1" t="s">
        <v>147</v>
      </c>
      <c r="J49" s="1" t="s">
        <v>61</v>
      </c>
      <c r="K49" s="1" t="s">
        <v>57</v>
      </c>
      <c r="L49" s="5">
        <v>46396</v>
      </c>
      <c r="M49" s="1" t="s">
        <v>331</v>
      </c>
    </row>
    <row r="50" spans="1:13">
      <c r="A50" s="1">
        <v>47</v>
      </c>
      <c r="B50" s="1" t="s">
        <v>1441</v>
      </c>
      <c r="C50" s="5">
        <v>46377</v>
      </c>
      <c r="D50" s="1" t="s">
        <v>122</v>
      </c>
      <c r="E50" s="6" t="s">
        <v>1386</v>
      </c>
      <c r="F50" s="6" t="s">
        <v>27</v>
      </c>
      <c r="G50" s="1" t="s">
        <v>40</v>
      </c>
      <c r="H50" s="1" t="s">
        <v>93</v>
      </c>
      <c r="I50" s="1" t="s">
        <v>147</v>
      </c>
      <c r="J50" s="1" t="s">
        <v>4</v>
      </c>
      <c r="K50" s="1" t="s">
        <v>45</v>
      </c>
      <c r="L50" s="5">
        <v>46386</v>
      </c>
      <c r="M50" s="1" t="s">
        <v>303</v>
      </c>
    </row>
    <row r="51" spans="1:13">
      <c r="A51" s="1">
        <v>48</v>
      </c>
      <c r="B51" s="1" t="s">
        <v>1442</v>
      </c>
      <c r="C51" s="5">
        <v>46361</v>
      </c>
      <c r="D51" s="1" t="s">
        <v>122</v>
      </c>
      <c r="E51" s="6" t="s">
        <v>1423</v>
      </c>
      <c r="F51" s="6" t="s">
        <v>65</v>
      </c>
      <c r="G51" s="1" t="s">
        <v>14</v>
      </c>
      <c r="H51" s="1" t="s">
        <v>32</v>
      </c>
      <c r="I51" s="1" t="s">
        <v>147</v>
      </c>
      <c r="J51" s="1" t="s">
        <v>30</v>
      </c>
      <c r="K51" s="1" t="s">
        <v>12</v>
      </c>
      <c r="L51" s="5">
        <v>46406</v>
      </c>
      <c r="M51" s="1" t="s">
        <v>222</v>
      </c>
    </row>
  </sheetData>
  <mergeCells count="2">
    <mergeCell ref="A1:M1"/>
    <mergeCell ref="A2:M2"/>
  </mergeCells>
  <dataValidations count="4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M4:M100003">
      <formula1>L_Status</formula1>
    </dataValidation>
    <dataValidation type="list" allowBlank="1" showInputMessage="1" showErrorMessage="1" sqref="I4:I100003">
      <formula1>L_Risk</formula1>
    </dataValidation>
  </dataValidations>
  <hyperlinks>
    <hyperlink ref="O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>
    <tabColor rgb="FF64748B"/>
    <pageSetUpPr fitToPage="1"/>
  </sheetPr>
  <dimension ref="A1:O51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2.7109375" style="1" customWidth="1"/>
    <col min="3" max="4" width="9.7109375" style="1" customWidth="1"/>
    <col min="5" max="5" width="13.7109375" style="1" customWidth="1"/>
    <col min="6" max="6" width="12.7109375" style="1" customWidth="1"/>
    <col min="7" max="7" width="10.7109375" style="1" customWidth="1"/>
    <col min="8" max="8" width="13.7109375" style="1" customWidth="1"/>
    <col min="9" max="9" width="12.7109375" style="1" customWidth="1"/>
    <col min="10" max="10" width="18.7109375" style="1" customWidth="1"/>
    <col min="11" max="11" width="19.7109375" style="1" customWidth="1"/>
    <col min="12" max="12" width="10.7109375" style="1" customWidth="1"/>
    <col min="13" max="13" width="9.7109375" style="1" customWidth="1"/>
  </cols>
  <sheetData>
    <row r="1" spans="1:15" ht="22" customHeight="1">
      <c r="A1" s="3" t="s">
        <v>1446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4" t="s">
        <v>139</v>
      </c>
    </row>
    <row r="2" spans="1:1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>
      <c r="A3" s="1" t="s">
        <v>124</v>
      </c>
      <c r="B3" s="1" t="s">
        <v>1443</v>
      </c>
      <c r="C3" s="1" t="s">
        <v>126</v>
      </c>
      <c r="D3" s="1" t="s">
        <v>127</v>
      </c>
      <c r="E3" s="1" t="s">
        <v>355</v>
      </c>
      <c r="F3" s="1" t="s">
        <v>129</v>
      </c>
      <c r="G3" s="1" t="s">
        <v>130</v>
      </c>
      <c r="H3" s="1" t="s">
        <v>1444</v>
      </c>
      <c r="I3" s="1" t="s">
        <v>210</v>
      </c>
      <c r="J3" s="1" t="s">
        <v>1445</v>
      </c>
      <c r="K3" s="1" t="s">
        <v>416</v>
      </c>
      <c r="L3" s="1" t="s">
        <v>360</v>
      </c>
      <c r="M3" s="1" t="s">
        <v>288</v>
      </c>
    </row>
    <row r="4" spans="1:15">
      <c r="A4" s="1">
        <v>1</v>
      </c>
      <c r="B4" s="1" t="s">
        <v>1447</v>
      </c>
      <c r="C4" s="5">
        <v>46031</v>
      </c>
      <c r="D4" s="1" t="s">
        <v>3</v>
      </c>
      <c r="E4" s="6" t="s">
        <v>1448</v>
      </c>
      <c r="F4" s="6" t="s">
        <v>13</v>
      </c>
      <c r="G4" s="1" t="s">
        <v>14</v>
      </c>
      <c r="H4" s="1" t="s">
        <v>22</v>
      </c>
      <c r="I4" s="1" t="s">
        <v>142</v>
      </c>
      <c r="J4" s="1" t="s">
        <v>20</v>
      </c>
      <c r="K4" s="1" t="s">
        <v>20</v>
      </c>
      <c r="L4" s="5">
        <v>46043</v>
      </c>
      <c r="M4" s="1" t="s">
        <v>222</v>
      </c>
    </row>
    <row r="5" spans="1:15">
      <c r="A5" s="1">
        <v>2</v>
      </c>
      <c r="B5" s="1" t="s">
        <v>1449</v>
      </c>
      <c r="C5" s="5">
        <v>46028</v>
      </c>
      <c r="D5" s="1" t="s">
        <v>3</v>
      </c>
      <c r="E5" s="6" t="s">
        <v>1334</v>
      </c>
      <c r="F5" s="6" t="s">
        <v>39</v>
      </c>
      <c r="G5" s="1" t="s">
        <v>77</v>
      </c>
      <c r="H5" s="1" t="s">
        <v>36</v>
      </c>
      <c r="I5" s="1" t="s">
        <v>142</v>
      </c>
      <c r="J5" s="1" t="s">
        <v>38</v>
      </c>
      <c r="K5" s="1" t="s">
        <v>26</v>
      </c>
      <c r="L5" s="5">
        <v>46046</v>
      </c>
      <c r="M5" s="1" t="s">
        <v>222</v>
      </c>
    </row>
    <row r="6" spans="1:15">
      <c r="A6" s="1">
        <v>3</v>
      </c>
      <c r="B6" s="1" t="s">
        <v>1450</v>
      </c>
      <c r="C6" s="5">
        <v>46060</v>
      </c>
      <c r="D6" s="1" t="s">
        <v>19</v>
      </c>
      <c r="E6" s="6" t="s">
        <v>1451</v>
      </c>
      <c r="F6" s="6" t="s">
        <v>46</v>
      </c>
      <c r="G6" s="1" t="s">
        <v>40</v>
      </c>
      <c r="H6" s="1" t="s">
        <v>78</v>
      </c>
      <c r="I6" s="1" t="s">
        <v>164</v>
      </c>
      <c r="J6" s="1" t="s">
        <v>26</v>
      </c>
      <c r="K6" s="1" t="s">
        <v>64</v>
      </c>
      <c r="L6" s="5">
        <v>46072</v>
      </c>
      <c r="M6" s="1" t="s">
        <v>226</v>
      </c>
    </row>
    <row r="7" spans="1:15">
      <c r="A7" s="1">
        <v>4</v>
      </c>
      <c r="B7" s="1" t="s">
        <v>1452</v>
      </c>
      <c r="C7" s="5">
        <v>46067</v>
      </c>
      <c r="D7" s="1" t="s">
        <v>19</v>
      </c>
      <c r="E7" s="6" t="s">
        <v>1453</v>
      </c>
      <c r="F7" s="6" t="s">
        <v>89</v>
      </c>
      <c r="G7" s="1" t="s">
        <v>21</v>
      </c>
      <c r="H7" s="1" t="s">
        <v>93</v>
      </c>
      <c r="I7" s="1" t="s">
        <v>151</v>
      </c>
      <c r="J7" s="1" t="s">
        <v>64</v>
      </c>
      <c r="K7" s="1" t="s">
        <v>64</v>
      </c>
      <c r="L7" s="5">
        <v>46109</v>
      </c>
      <c r="M7" s="1" t="s">
        <v>222</v>
      </c>
    </row>
    <row r="8" spans="1:15">
      <c r="A8" s="1">
        <v>5</v>
      </c>
      <c r="B8" s="1" t="s">
        <v>1454</v>
      </c>
      <c r="C8" s="5">
        <v>46054</v>
      </c>
      <c r="D8" s="1" t="s">
        <v>19</v>
      </c>
      <c r="E8" s="6" t="s">
        <v>1455</v>
      </c>
      <c r="F8" s="6" t="s">
        <v>13</v>
      </c>
      <c r="G8" s="1" t="s">
        <v>35</v>
      </c>
      <c r="H8" s="1" t="s">
        <v>104</v>
      </c>
      <c r="I8" s="1" t="s">
        <v>164</v>
      </c>
      <c r="J8" s="1" t="s">
        <v>30</v>
      </c>
      <c r="K8" s="1" t="s">
        <v>4</v>
      </c>
      <c r="L8" s="5">
        <v>46091</v>
      </c>
      <c r="M8" s="1" t="s">
        <v>222</v>
      </c>
    </row>
    <row r="9" spans="1:15">
      <c r="A9" s="1">
        <v>6</v>
      </c>
      <c r="B9" s="1" t="s">
        <v>1456</v>
      </c>
      <c r="C9" s="5">
        <v>46069</v>
      </c>
      <c r="D9" s="1" t="s">
        <v>19</v>
      </c>
      <c r="E9" s="6" t="s">
        <v>1334</v>
      </c>
      <c r="F9" s="6" t="s">
        <v>92</v>
      </c>
      <c r="G9" s="1" t="s">
        <v>95</v>
      </c>
      <c r="H9" s="1" t="s">
        <v>28</v>
      </c>
      <c r="I9" s="1" t="s">
        <v>142</v>
      </c>
      <c r="J9" s="1" t="s">
        <v>61</v>
      </c>
      <c r="K9" s="1" t="s">
        <v>30</v>
      </c>
      <c r="L9" s="5">
        <v>46082</v>
      </c>
      <c r="M9" s="1" t="s">
        <v>303</v>
      </c>
    </row>
    <row r="10" spans="1:15">
      <c r="A10" s="1">
        <v>7</v>
      </c>
      <c r="B10" s="1" t="s">
        <v>1457</v>
      </c>
      <c r="C10" s="5">
        <v>46079</v>
      </c>
      <c r="D10" s="1" t="s">
        <v>19</v>
      </c>
      <c r="E10" s="6" t="s">
        <v>1458</v>
      </c>
      <c r="F10" s="6" t="s">
        <v>58</v>
      </c>
      <c r="G10" s="1" t="s">
        <v>31</v>
      </c>
      <c r="H10" s="1" t="s">
        <v>70</v>
      </c>
      <c r="I10" s="1" t="s">
        <v>147</v>
      </c>
      <c r="J10" s="1" t="s">
        <v>26</v>
      </c>
      <c r="K10" s="1" t="s">
        <v>49</v>
      </c>
      <c r="L10" s="5">
        <v>46100</v>
      </c>
      <c r="M10" s="1" t="s">
        <v>303</v>
      </c>
    </row>
    <row r="11" spans="1:15">
      <c r="A11" s="1">
        <v>8</v>
      </c>
      <c r="B11" s="1" t="s">
        <v>1459</v>
      </c>
      <c r="C11" s="5">
        <v>46109</v>
      </c>
      <c r="D11" s="1" t="s">
        <v>44</v>
      </c>
      <c r="E11" s="6" t="s">
        <v>1334</v>
      </c>
      <c r="F11" s="6" t="s">
        <v>39</v>
      </c>
      <c r="G11" s="1" t="s">
        <v>6</v>
      </c>
      <c r="H11" s="1" t="s">
        <v>41</v>
      </c>
      <c r="I11" s="1" t="s">
        <v>147</v>
      </c>
      <c r="J11" s="1" t="s">
        <v>12</v>
      </c>
      <c r="K11" s="1" t="s">
        <v>91</v>
      </c>
      <c r="L11" s="5">
        <v>46138</v>
      </c>
      <c r="M11" s="1" t="s">
        <v>222</v>
      </c>
    </row>
    <row r="12" spans="1:15">
      <c r="A12" s="1">
        <v>9</v>
      </c>
      <c r="B12" s="1" t="s">
        <v>1460</v>
      </c>
      <c r="C12" s="5">
        <v>46097</v>
      </c>
      <c r="D12" s="1" t="s">
        <v>44</v>
      </c>
      <c r="E12" s="6" t="s">
        <v>1451</v>
      </c>
      <c r="F12" s="6" t="s">
        <v>58</v>
      </c>
      <c r="G12" s="1" t="s">
        <v>40</v>
      </c>
      <c r="H12" s="1" t="s">
        <v>62</v>
      </c>
      <c r="I12" s="1" t="s">
        <v>142</v>
      </c>
      <c r="J12" s="1" t="s">
        <v>26</v>
      </c>
      <c r="K12" s="1" t="s">
        <v>20</v>
      </c>
      <c r="L12" s="5">
        <v>46107</v>
      </c>
      <c r="M12" s="1" t="s">
        <v>222</v>
      </c>
    </row>
    <row r="13" spans="1:15">
      <c r="A13" s="1">
        <v>10</v>
      </c>
      <c r="B13" s="1" t="s">
        <v>1461</v>
      </c>
      <c r="C13" s="5">
        <v>46103</v>
      </c>
      <c r="D13" s="1" t="s">
        <v>44</v>
      </c>
      <c r="E13" s="6" t="s">
        <v>1455</v>
      </c>
      <c r="F13" s="6" t="s">
        <v>5</v>
      </c>
      <c r="G13" s="1" t="s">
        <v>95</v>
      </c>
      <c r="H13" s="1" t="s">
        <v>22</v>
      </c>
      <c r="I13" s="1" t="s">
        <v>147</v>
      </c>
      <c r="J13" s="1" t="s">
        <v>49</v>
      </c>
      <c r="K13" s="1" t="s">
        <v>54</v>
      </c>
      <c r="L13" s="5">
        <v>46114</v>
      </c>
      <c r="M13" s="1" t="s">
        <v>222</v>
      </c>
    </row>
    <row r="14" spans="1:15">
      <c r="A14" s="1">
        <v>11</v>
      </c>
      <c r="B14" s="1" t="s">
        <v>1462</v>
      </c>
      <c r="C14" s="5">
        <v>46117</v>
      </c>
      <c r="D14" s="1" t="s">
        <v>53</v>
      </c>
      <c r="E14" s="6" t="s">
        <v>1463</v>
      </c>
      <c r="F14" s="6" t="s">
        <v>46</v>
      </c>
      <c r="G14" s="1" t="s">
        <v>14</v>
      </c>
      <c r="H14" s="1" t="s">
        <v>78</v>
      </c>
      <c r="I14" s="1" t="s">
        <v>147</v>
      </c>
      <c r="J14" s="1" t="s">
        <v>16</v>
      </c>
      <c r="K14" s="1" t="s">
        <v>12</v>
      </c>
      <c r="L14" s="5">
        <v>46127</v>
      </c>
      <c r="M14" s="1" t="s">
        <v>222</v>
      </c>
    </row>
    <row r="15" spans="1:15">
      <c r="A15" s="1">
        <v>12</v>
      </c>
      <c r="B15" s="1" t="s">
        <v>1464</v>
      </c>
      <c r="C15" s="5">
        <v>46132</v>
      </c>
      <c r="D15" s="1" t="s">
        <v>53</v>
      </c>
      <c r="E15" s="6" t="s">
        <v>1465</v>
      </c>
      <c r="F15" s="6" t="s">
        <v>46</v>
      </c>
      <c r="G15" s="1" t="s">
        <v>95</v>
      </c>
      <c r="H15" s="1" t="s">
        <v>15</v>
      </c>
      <c r="I15" s="1" t="s">
        <v>151</v>
      </c>
      <c r="J15" s="1" t="s">
        <v>4</v>
      </c>
      <c r="K15" s="1" t="s">
        <v>16</v>
      </c>
      <c r="L15" s="5">
        <v>46145</v>
      </c>
      <c r="M15" s="1" t="s">
        <v>222</v>
      </c>
    </row>
    <row r="16" spans="1:15">
      <c r="A16" s="1">
        <v>13</v>
      </c>
      <c r="B16" s="1" t="s">
        <v>1466</v>
      </c>
      <c r="C16" s="5">
        <v>46115</v>
      </c>
      <c r="D16" s="1" t="s">
        <v>53</v>
      </c>
      <c r="E16" s="6" t="s">
        <v>1467</v>
      </c>
      <c r="F16" s="6" t="s">
        <v>50</v>
      </c>
      <c r="G16" s="1" t="s">
        <v>82</v>
      </c>
      <c r="H16" s="1" t="s">
        <v>15</v>
      </c>
      <c r="I16" s="1" t="s">
        <v>147</v>
      </c>
      <c r="J16" s="1" t="s">
        <v>57</v>
      </c>
      <c r="K16" s="1" t="s">
        <v>26</v>
      </c>
      <c r="L16" s="5">
        <v>46131</v>
      </c>
      <c r="M16" s="1" t="s">
        <v>226</v>
      </c>
    </row>
    <row r="17" spans="1:13">
      <c r="A17" s="1">
        <v>14</v>
      </c>
      <c r="B17" s="1" t="s">
        <v>1468</v>
      </c>
      <c r="C17" s="5">
        <v>46161</v>
      </c>
      <c r="D17" s="1" t="s">
        <v>60</v>
      </c>
      <c r="E17" s="6" t="s">
        <v>1467</v>
      </c>
      <c r="F17" s="6" t="s">
        <v>50</v>
      </c>
      <c r="G17" s="1" t="s">
        <v>51</v>
      </c>
      <c r="H17" s="1" t="s">
        <v>7</v>
      </c>
      <c r="I17" s="1" t="s">
        <v>147</v>
      </c>
      <c r="J17" s="1" t="s">
        <v>49</v>
      </c>
      <c r="K17" s="1" t="s">
        <v>38</v>
      </c>
      <c r="L17" s="5">
        <v>46188</v>
      </c>
      <c r="M17" s="1" t="s">
        <v>226</v>
      </c>
    </row>
    <row r="18" spans="1:13">
      <c r="A18" s="1">
        <v>15</v>
      </c>
      <c r="B18" s="1" t="s">
        <v>1469</v>
      </c>
      <c r="C18" s="5">
        <v>46158</v>
      </c>
      <c r="D18" s="1" t="s">
        <v>60</v>
      </c>
      <c r="E18" s="6" t="s">
        <v>1465</v>
      </c>
      <c r="F18" s="6" t="s">
        <v>89</v>
      </c>
      <c r="G18" s="1" t="s">
        <v>80</v>
      </c>
      <c r="H18" s="1" t="s">
        <v>93</v>
      </c>
      <c r="I18" s="1" t="s">
        <v>142</v>
      </c>
      <c r="J18" s="1" t="s">
        <v>91</v>
      </c>
      <c r="K18" s="1" t="s">
        <v>64</v>
      </c>
      <c r="L18" s="5">
        <v>46188</v>
      </c>
      <c r="M18" s="1" t="s">
        <v>222</v>
      </c>
    </row>
    <row r="19" spans="1:13">
      <c r="A19" s="1">
        <v>16</v>
      </c>
      <c r="B19" s="1" t="s">
        <v>1470</v>
      </c>
      <c r="C19" s="5">
        <v>46145</v>
      </c>
      <c r="D19" s="1" t="s">
        <v>60</v>
      </c>
      <c r="E19" s="6" t="s">
        <v>1451</v>
      </c>
      <c r="F19" s="6" t="s">
        <v>50</v>
      </c>
      <c r="G19" s="1" t="s">
        <v>95</v>
      </c>
      <c r="H19" s="1" t="s">
        <v>93</v>
      </c>
      <c r="I19" s="1" t="s">
        <v>164</v>
      </c>
      <c r="J19" s="1" t="s">
        <v>54</v>
      </c>
      <c r="K19" s="1" t="s">
        <v>49</v>
      </c>
      <c r="L19" s="5">
        <v>46166</v>
      </c>
      <c r="M19" s="1" t="s">
        <v>222</v>
      </c>
    </row>
    <row r="20" spans="1:13">
      <c r="A20" s="1">
        <v>17</v>
      </c>
      <c r="B20" s="1" t="s">
        <v>1471</v>
      </c>
      <c r="C20" s="5">
        <v>46156</v>
      </c>
      <c r="D20" s="1" t="s">
        <v>60</v>
      </c>
      <c r="E20" s="6" t="s">
        <v>1453</v>
      </c>
      <c r="F20" s="6" t="s">
        <v>13</v>
      </c>
      <c r="G20" s="1" t="s">
        <v>51</v>
      </c>
      <c r="H20" s="1" t="s">
        <v>41</v>
      </c>
      <c r="I20" s="1" t="s">
        <v>164</v>
      </c>
      <c r="J20" s="1" t="s">
        <v>4</v>
      </c>
      <c r="K20" s="1" t="s">
        <v>26</v>
      </c>
      <c r="L20" s="5">
        <v>46180</v>
      </c>
      <c r="M20" s="1" t="s">
        <v>303</v>
      </c>
    </row>
    <row r="21" spans="1:13">
      <c r="A21" s="1">
        <v>18</v>
      </c>
      <c r="B21" s="1" t="s">
        <v>1472</v>
      </c>
      <c r="C21" s="5">
        <v>46163</v>
      </c>
      <c r="D21" s="1" t="s">
        <v>60</v>
      </c>
      <c r="E21" s="6" t="s">
        <v>1473</v>
      </c>
      <c r="F21" s="6" t="s">
        <v>92</v>
      </c>
      <c r="G21" s="1" t="s">
        <v>14</v>
      </c>
      <c r="H21" s="1" t="s">
        <v>70</v>
      </c>
      <c r="I21" s="1" t="s">
        <v>151</v>
      </c>
      <c r="J21" s="1" t="s">
        <v>16</v>
      </c>
      <c r="K21" s="1" t="s">
        <v>4</v>
      </c>
      <c r="L21" s="5">
        <v>46200</v>
      </c>
      <c r="M21" s="1" t="s">
        <v>222</v>
      </c>
    </row>
    <row r="22" spans="1:13">
      <c r="A22" s="1">
        <v>19</v>
      </c>
      <c r="B22" s="1" t="s">
        <v>1474</v>
      </c>
      <c r="C22" s="5">
        <v>46152</v>
      </c>
      <c r="D22" s="1" t="s">
        <v>60</v>
      </c>
      <c r="E22" s="6" t="s">
        <v>1473</v>
      </c>
      <c r="F22" s="6" t="s">
        <v>92</v>
      </c>
      <c r="G22" s="1" t="s">
        <v>80</v>
      </c>
      <c r="H22" s="1" t="s">
        <v>22</v>
      </c>
      <c r="I22" s="1" t="s">
        <v>142</v>
      </c>
      <c r="J22" s="1" t="s">
        <v>91</v>
      </c>
      <c r="K22" s="1" t="s">
        <v>26</v>
      </c>
      <c r="L22" s="5">
        <v>46191</v>
      </c>
      <c r="M22" s="1" t="s">
        <v>331</v>
      </c>
    </row>
    <row r="23" spans="1:13">
      <c r="A23" s="1">
        <v>20</v>
      </c>
      <c r="B23" s="1" t="s">
        <v>1475</v>
      </c>
      <c r="C23" s="5">
        <v>46165</v>
      </c>
      <c r="D23" s="1" t="s">
        <v>60</v>
      </c>
      <c r="E23" s="6" t="s">
        <v>1453</v>
      </c>
      <c r="F23" s="6" t="s">
        <v>27</v>
      </c>
      <c r="G23" s="1" t="s">
        <v>6</v>
      </c>
      <c r="H23" s="1" t="s">
        <v>62</v>
      </c>
      <c r="I23" s="1" t="s">
        <v>142</v>
      </c>
      <c r="J23" s="1" t="s">
        <v>49</v>
      </c>
      <c r="K23" s="1" t="s">
        <v>91</v>
      </c>
      <c r="L23" s="5">
        <v>46179</v>
      </c>
      <c r="M23" s="1" t="s">
        <v>222</v>
      </c>
    </row>
    <row r="24" spans="1:13">
      <c r="A24" s="1">
        <v>21</v>
      </c>
      <c r="B24" s="1" t="s">
        <v>1476</v>
      </c>
      <c r="C24" s="5">
        <v>46197</v>
      </c>
      <c r="D24" s="1" t="s">
        <v>73</v>
      </c>
      <c r="E24" s="6" t="s">
        <v>1467</v>
      </c>
      <c r="F24" s="6" t="s">
        <v>89</v>
      </c>
      <c r="G24" s="1" t="s">
        <v>77</v>
      </c>
      <c r="H24" s="1" t="s">
        <v>62</v>
      </c>
      <c r="I24" s="1" t="s">
        <v>147</v>
      </c>
      <c r="J24" s="1" t="s">
        <v>91</v>
      </c>
      <c r="K24" s="1" t="s">
        <v>64</v>
      </c>
      <c r="L24" s="5">
        <v>46219</v>
      </c>
      <c r="M24" s="1" t="s">
        <v>222</v>
      </c>
    </row>
    <row r="25" spans="1:13">
      <c r="A25" s="1">
        <v>22</v>
      </c>
      <c r="B25" s="1" t="s">
        <v>1477</v>
      </c>
      <c r="C25" s="5">
        <v>46193</v>
      </c>
      <c r="D25" s="1" t="s">
        <v>73</v>
      </c>
      <c r="E25" s="6" t="s">
        <v>1448</v>
      </c>
      <c r="F25" s="6" t="s">
        <v>65</v>
      </c>
      <c r="G25" s="1" t="s">
        <v>40</v>
      </c>
      <c r="H25" s="1" t="s">
        <v>41</v>
      </c>
      <c r="I25" s="1" t="s">
        <v>142</v>
      </c>
      <c r="J25" s="1" t="s">
        <v>64</v>
      </c>
      <c r="K25" s="1" t="s">
        <v>64</v>
      </c>
      <c r="L25" s="5">
        <v>46221</v>
      </c>
      <c r="M25" s="1" t="s">
        <v>226</v>
      </c>
    </row>
    <row r="26" spans="1:13">
      <c r="A26" s="1">
        <v>23</v>
      </c>
      <c r="B26" s="1" t="s">
        <v>1478</v>
      </c>
      <c r="C26" s="5">
        <v>46180</v>
      </c>
      <c r="D26" s="1" t="s">
        <v>73</v>
      </c>
      <c r="E26" s="6" t="s">
        <v>1451</v>
      </c>
      <c r="F26" s="6" t="s">
        <v>92</v>
      </c>
      <c r="G26" s="1" t="s">
        <v>95</v>
      </c>
      <c r="H26" s="1" t="s">
        <v>93</v>
      </c>
      <c r="I26" s="1" t="s">
        <v>151</v>
      </c>
      <c r="J26" s="1" t="s">
        <v>45</v>
      </c>
      <c r="K26" s="1" t="s">
        <v>4</v>
      </c>
      <c r="L26" s="5">
        <v>46224</v>
      </c>
      <c r="M26" s="1" t="s">
        <v>226</v>
      </c>
    </row>
    <row r="27" spans="1:13">
      <c r="A27" s="1">
        <v>24</v>
      </c>
      <c r="B27" s="1" t="s">
        <v>1479</v>
      </c>
      <c r="C27" s="5">
        <v>46231</v>
      </c>
      <c r="D27" s="1" t="s">
        <v>76</v>
      </c>
      <c r="E27" s="6" t="s">
        <v>1473</v>
      </c>
      <c r="F27" s="6" t="s">
        <v>13</v>
      </c>
      <c r="G27" s="1" t="s">
        <v>35</v>
      </c>
      <c r="H27" s="1" t="s">
        <v>7</v>
      </c>
      <c r="I27" s="1" t="s">
        <v>164</v>
      </c>
      <c r="J27" s="1" t="s">
        <v>26</v>
      </c>
      <c r="K27" s="1" t="s">
        <v>16</v>
      </c>
      <c r="L27" s="5">
        <v>46255</v>
      </c>
      <c r="M27" s="1" t="s">
        <v>226</v>
      </c>
    </row>
    <row r="28" spans="1:13">
      <c r="A28" s="1">
        <v>25</v>
      </c>
      <c r="B28" s="1" t="s">
        <v>1480</v>
      </c>
      <c r="C28" s="5">
        <v>46228</v>
      </c>
      <c r="D28" s="1" t="s">
        <v>76</v>
      </c>
      <c r="E28" s="6" t="s">
        <v>1448</v>
      </c>
      <c r="F28" s="6" t="s">
        <v>46</v>
      </c>
      <c r="G28" s="1" t="s">
        <v>6</v>
      </c>
      <c r="H28" s="1" t="s">
        <v>36</v>
      </c>
      <c r="I28" s="1" t="s">
        <v>147</v>
      </c>
      <c r="J28" s="1" t="s">
        <v>26</v>
      </c>
      <c r="K28" s="1" t="s">
        <v>61</v>
      </c>
      <c r="L28" s="5">
        <v>46261</v>
      </c>
      <c r="M28" s="1" t="s">
        <v>226</v>
      </c>
    </row>
    <row r="29" spans="1:13">
      <c r="A29" s="1">
        <v>26</v>
      </c>
      <c r="B29" s="1" t="s">
        <v>1481</v>
      </c>
      <c r="C29" s="5">
        <v>46227</v>
      </c>
      <c r="D29" s="1" t="s">
        <v>76</v>
      </c>
      <c r="E29" s="6" t="s">
        <v>1467</v>
      </c>
      <c r="F29" s="6" t="s">
        <v>46</v>
      </c>
      <c r="G29" s="1" t="s">
        <v>35</v>
      </c>
      <c r="H29" s="1" t="s">
        <v>7</v>
      </c>
      <c r="I29" s="1" t="s">
        <v>164</v>
      </c>
      <c r="J29" s="1" t="s">
        <v>16</v>
      </c>
      <c r="K29" s="1" t="s">
        <v>4</v>
      </c>
      <c r="L29" s="5">
        <v>46258</v>
      </c>
      <c r="M29" s="1" t="s">
        <v>303</v>
      </c>
    </row>
    <row r="30" spans="1:13">
      <c r="A30" s="1">
        <v>27</v>
      </c>
      <c r="B30" s="1" t="s">
        <v>1482</v>
      </c>
      <c r="C30" s="5">
        <v>46221</v>
      </c>
      <c r="D30" s="1" t="s">
        <v>76</v>
      </c>
      <c r="E30" s="6" t="s">
        <v>1458</v>
      </c>
      <c r="F30" s="6" t="s">
        <v>92</v>
      </c>
      <c r="G30" s="1" t="s">
        <v>80</v>
      </c>
      <c r="H30" s="1" t="s">
        <v>32</v>
      </c>
      <c r="I30" s="1" t="s">
        <v>142</v>
      </c>
      <c r="J30" s="1" t="s">
        <v>12</v>
      </c>
      <c r="K30" s="1" t="s">
        <v>64</v>
      </c>
      <c r="L30" s="5">
        <v>46249</v>
      </c>
      <c r="M30" s="1" t="s">
        <v>226</v>
      </c>
    </row>
    <row r="31" spans="1:13">
      <c r="A31" s="1">
        <v>28</v>
      </c>
      <c r="B31" s="1" t="s">
        <v>1483</v>
      </c>
      <c r="C31" s="5">
        <v>46208</v>
      </c>
      <c r="D31" s="1" t="s">
        <v>76</v>
      </c>
      <c r="E31" s="6" t="s">
        <v>1465</v>
      </c>
      <c r="F31" s="6" t="s">
        <v>46</v>
      </c>
      <c r="G31" s="1" t="s">
        <v>80</v>
      </c>
      <c r="H31" s="1" t="s">
        <v>32</v>
      </c>
      <c r="I31" s="1" t="s">
        <v>147</v>
      </c>
      <c r="J31" s="1" t="s">
        <v>45</v>
      </c>
      <c r="K31" s="1" t="s">
        <v>26</v>
      </c>
      <c r="L31" s="5">
        <v>46232</v>
      </c>
      <c r="M31" s="1" t="s">
        <v>226</v>
      </c>
    </row>
    <row r="32" spans="1:13">
      <c r="A32" s="1">
        <v>29</v>
      </c>
      <c r="B32" s="1" t="s">
        <v>1484</v>
      </c>
      <c r="C32" s="5">
        <v>46252</v>
      </c>
      <c r="D32" s="1" t="s">
        <v>86</v>
      </c>
      <c r="E32" s="6" t="s">
        <v>1448</v>
      </c>
      <c r="F32" s="6" t="s">
        <v>89</v>
      </c>
      <c r="G32" s="1" t="s">
        <v>80</v>
      </c>
      <c r="H32" s="1" t="s">
        <v>93</v>
      </c>
      <c r="I32" s="1" t="s">
        <v>142</v>
      </c>
      <c r="J32" s="1" t="s">
        <v>12</v>
      </c>
      <c r="K32" s="1" t="s">
        <v>12</v>
      </c>
      <c r="L32" s="5">
        <v>46294</v>
      </c>
      <c r="M32" s="1" t="s">
        <v>222</v>
      </c>
    </row>
    <row r="33" spans="1:13">
      <c r="A33" s="1">
        <v>30</v>
      </c>
      <c r="B33" s="1" t="s">
        <v>1485</v>
      </c>
      <c r="C33" s="5">
        <v>46240</v>
      </c>
      <c r="D33" s="1" t="s">
        <v>86</v>
      </c>
      <c r="E33" s="6" t="s">
        <v>1463</v>
      </c>
      <c r="F33" s="6" t="s">
        <v>50</v>
      </c>
      <c r="G33" s="1" t="s">
        <v>21</v>
      </c>
      <c r="H33" s="1" t="s">
        <v>78</v>
      </c>
      <c r="I33" s="1" t="s">
        <v>147</v>
      </c>
      <c r="J33" s="1" t="s">
        <v>38</v>
      </c>
      <c r="K33" s="1" t="s">
        <v>20</v>
      </c>
      <c r="L33" s="5">
        <v>46277</v>
      </c>
      <c r="M33" s="1" t="s">
        <v>222</v>
      </c>
    </row>
    <row r="34" spans="1:13">
      <c r="A34" s="1">
        <v>31</v>
      </c>
      <c r="B34" s="1" t="s">
        <v>1486</v>
      </c>
      <c r="C34" s="5">
        <v>46247</v>
      </c>
      <c r="D34" s="1" t="s">
        <v>86</v>
      </c>
      <c r="E34" s="6" t="s">
        <v>1463</v>
      </c>
      <c r="F34" s="6" t="s">
        <v>46</v>
      </c>
      <c r="G34" s="1" t="s">
        <v>35</v>
      </c>
      <c r="H34" s="1" t="s">
        <v>93</v>
      </c>
      <c r="I34" s="1" t="s">
        <v>142</v>
      </c>
      <c r="J34" s="1" t="s">
        <v>16</v>
      </c>
      <c r="K34" s="1" t="s">
        <v>20</v>
      </c>
      <c r="L34" s="5">
        <v>46268</v>
      </c>
      <c r="M34" s="1" t="s">
        <v>222</v>
      </c>
    </row>
    <row r="35" spans="1:13">
      <c r="A35" s="1">
        <v>32</v>
      </c>
      <c r="B35" s="1" t="s">
        <v>1487</v>
      </c>
      <c r="C35" s="5">
        <v>46260</v>
      </c>
      <c r="D35" s="1" t="s">
        <v>86</v>
      </c>
      <c r="E35" s="6" t="s">
        <v>1463</v>
      </c>
      <c r="F35" s="6" t="s">
        <v>5</v>
      </c>
      <c r="G35" s="1" t="s">
        <v>35</v>
      </c>
      <c r="H35" s="1" t="s">
        <v>36</v>
      </c>
      <c r="I35" s="1" t="s">
        <v>164</v>
      </c>
      <c r="J35" s="1" t="s">
        <v>30</v>
      </c>
      <c r="K35" s="1" t="s">
        <v>26</v>
      </c>
      <c r="L35" s="5">
        <v>46295</v>
      </c>
      <c r="M35" s="1" t="s">
        <v>303</v>
      </c>
    </row>
    <row r="36" spans="1:13">
      <c r="A36" s="1">
        <v>33</v>
      </c>
      <c r="B36" s="1" t="s">
        <v>1488</v>
      </c>
      <c r="C36" s="5">
        <v>46261</v>
      </c>
      <c r="D36" s="1" t="s">
        <v>86</v>
      </c>
      <c r="E36" s="6" t="s">
        <v>1463</v>
      </c>
      <c r="F36" s="6" t="s">
        <v>50</v>
      </c>
      <c r="G36" s="1" t="s">
        <v>95</v>
      </c>
      <c r="H36" s="1" t="s">
        <v>22</v>
      </c>
      <c r="I36" s="1" t="s">
        <v>151</v>
      </c>
      <c r="J36" s="1" t="s">
        <v>49</v>
      </c>
      <c r="K36" s="1" t="s">
        <v>4</v>
      </c>
      <c r="L36" s="5">
        <v>46285</v>
      </c>
      <c r="M36" s="1" t="s">
        <v>222</v>
      </c>
    </row>
    <row r="37" spans="1:13">
      <c r="A37" s="1">
        <v>34</v>
      </c>
      <c r="B37" s="1" t="s">
        <v>1489</v>
      </c>
      <c r="C37" s="5">
        <v>46253</v>
      </c>
      <c r="D37" s="1" t="s">
        <v>86</v>
      </c>
      <c r="E37" s="6" t="s">
        <v>1453</v>
      </c>
      <c r="F37" s="6" t="s">
        <v>50</v>
      </c>
      <c r="G37" s="1" t="s">
        <v>87</v>
      </c>
      <c r="H37" s="1" t="s">
        <v>22</v>
      </c>
      <c r="I37" s="1" t="s">
        <v>151</v>
      </c>
      <c r="J37" s="1" t="s">
        <v>4</v>
      </c>
      <c r="K37" s="1" t="s">
        <v>30</v>
      </c>
      <c r="L37" s="5">
        <v>46271</v>
      </c>
      <c r="M37" s="1" t="s">
        <v>222</v>
      </c>
    </row>
    <row r="38" spans="1:13">
      <c r="A38" s="1">
        <v>35</v>
      </c>
      <c r="B38" s="1" t="s">
        <v>1490</v>
      </c>
      <c r="C38" s="5">
        <v>46236</v>
      </c>
      <c r="D38" s="1" t="s">
        <v>86</v>
      </c>
      <c r="E38" s="6" t="s">
        <v>1448</v>
      </c>
      <c r="F38" s="6" t="s">
        <v>13</v>
      </c>
      <c r="G38" s="1" t="s">
        <v>87</v>
      </c>
      <c r="H38" s="1" t="s">
        <v>70</v>
      </c>
      <c r="I38" s="1" t="s">
        <v>142</v>
      </c>
      <c r="J38" s="1" t="s">
        <v>38</v>
      </c>
      <c r="K38" s="1" t="s">
        <v>16</v>
      </c>
      <c r="L38" s="5">
        <v>46250</v>
      </c>
      <c r="M38" s="1" t="s">
        <v>303</v>
      </c>
    </row>
    <row r="39" spans="1:13">
      <c r="A39" s="1">
        <v>36</v>
      </c>
      <c r="B39" s="1" t="s">
        <v>1491</v>
      </c>
      <c r="C39" s="5">
        <v>46291</v>
      </c>
      <c r="D39" s="1" t="s">
        <v>102</v>
      </c>
      <c r="E39" s="6" t="s">
        <v>1467</v>
      </c>
      <c r="F39" s="6" t="s">
        <v>65</v>
      </c>
      <c r="G39" s="1" t="s">
        <v>95</v>
      </c>
      <c r="H39" s="1" t="s">
        <v>93</v>
      </c>
      <c r="I39" s="1" t="s">
        <v>147</v>
      </c>
      <c r="J39" s="1" t="s">
        <v>54</v>
      </c>
      <c r="K39" s="1" t="s">
        <v>54</v>
      </c>
      <c r="L39" s="5">
        <v>46334</v>
      </c>
      <c r="M39" s="1" t="s">
        <v>226</v>
      </c>
    </row>
    <row r="40" spans="1:13">
      <c r="A40" s="1">
        <v>37</v>
      </c>
      <c r="B40" s="1" t="s">
        <v>1492</v>
      </c>
      <c r="C40" s="5">
        <v>46273</v>
      </c>
      <c r="D40" s="1" t="s">
        <v>102</v>
      </c>
      <c r="E40" s="6" t="s">
        <v>1467</v>
      </c>
      <c r="F40" s="6" t="s">
        <v>50</v>
      </c>
      <c r="G40" s="1" t="s">
        <v>77</v>
      </c>
      <c r="H40" s="1" t="s">
        <v>28</v>
      </c>
      <c r="I40" s="1" t="s">
        <v>147</v>
      </c>
      <c r="J40" s="1" t="s">
        <v>4</v>
      </c>
      <c r="K40" s="1" t="s">
        <v>38</v>
      </c>
      <c r="L40" s="5">
        <v>46318</v>
      </c>
      <c r="M40" s="1" t="s">
        <v>222</v>
      </c>
    </row>
    <row r="41" spans="1:13">
      <c r="A41" s="1">
        <v>38</v>
      </c>
      <c r="B41" s="1" t="s">
        <v>1493</v>
      </c>
      <c r="C41" s="5">
        <v>46290</v>
      </c>
      <c r="D41" s="1" t="s">
        <v>102</v>
      </c>
      <c r="E41" s="6" t="s">
        <v>1458</v>
      </c>
      <c r="F41" s="6" t="s">
        <v>5</v>
      </c>
      <c r="G41" s="1" t="s">
        <v>51</v>
      </c>
      <c r="H41" s="1" t="s">
        <v>28</v>
      </c>
      <c r="I41" s="1" t="s">
        <v>147</v>
      </c>
      <c r="J41" s="1" t="s">
        <v>38</v>
      </c>
      <c r="K41" s="1" t="s">
        <v>49</v>
      </c>
      <c r="L41" s="5">
        <v>46313</v>
      </c>
      <c r="M41" s="1" t="s">
        <v>303</v>
      </c>
    </row>
    <row r="42" spans="1:13">
      <c r="A42" s="1">
        <v>39</v>
      </c>
      <c r="B42" s="1" t="s">
        <v>1494</v>
      </c>
      <c r="C42" s="5">
        <v>46287</v>
      </c>
      <c r="D42" s="1" t="s">
        <v>102</v>
      </c>
      <c r="E42" s="6" t="s">
        <v>1448</v>
      </c>
      <c r="F42" s="6" t="s">
        <v>65</v>
      </c>
      <c r="G42" s="1" t="s">
        <v>35</v>
      </c>
      <c r="H42" s="1" t="s">
        <v>32</v>
      </c>
      <c r="I42" s="1" t="s">
        <v>147</v>
      </c>
      <c r="J42" s="1" t="s">
        <v>49</v>
      </c>
      <c r="K42" s="1" t="s">
        <v>45</v>
      </c>
      <c r="L42" s="5">
        <v>46314</v>
      </c>
      <c r="M42" s="1" t="s">
        <v>303</v>
      </c>
    </row>
    <row r="43" spans="1:13">
      <c r="A43" s="1">
        <v>40</v>
      </c>
      <c r="B43" s="1" t="s">
        <v>1495</v>
      </c>
      <c r="C43" s="5">
        <v>46300</v>
      </c>
      <c r="D43" s="1" t="s">
        <v>106</v>
      </c>
      <c r="E43" s="6" t="s">
        <v>1463</v>
      </c>
      <c r="F43" s="6" t="s">
        <v>5</v>
      </c>
      <c r="G43" s="1" t="s">
        <v>51</v>
      </c>
      <c r="H43" s="1" t="s">
        <v>70</v>
      </c>
      <c r="I43" s="1" t="s">
        <v>142</v>
      </c>
      <c r="J43" s="1" t="s">
        <v>91</v>
      </c>
      <c r="K43" s="1" t="s">
        <v>91</v>
      </c>
      <c r="L43" s="5">
        <v>46328</v>
      </c>
      <c r="M43" s="1" t="s">
        <v>331</v>
      </c>
    </row>
    <row r="44" spans="1:13">
      <c r="A44" s="1">
        <v>41</v>
      </c>
      <c r="B44" s="1" t="s">
        <v>1496</v>
      </c>
      <c r="C44" s="5">
        <v>46297</v>
      </c>
      <c r="D44" s="1" t="s">
        <v>106</v>
      </c>
      <c r="E44" s="6" t="s">
        <v>1467</v>
      </c>
      <c r="F44" s="6" t="s">
        <v>27</v>
      </c>
      <c r="G44" s="1" t="s">
        <v>82</v>
      </c>
      <c r="H44" s="1" t="s">
        <v>93</v>
      </c>
      <c r="I44" s="1" t="s">
        <v>147</v>
      </c>
      <c r="J44" s="1" t="s">
        <v>20</v>
      </c>
      <c r="K44" s="1" t="s">
        <v>26</v>
      </c>
      <c r="L44" s="5">
        <v>46309</v>
      </c>
      <c r="M44" s="1" t="s">
        <v>222</v>
      </c>
    </row>
    <row r="45" spans="1:13">
      <c r="A45" s="1">
        <v>42</v>
      </c>
      <c r="B45" s="1" t="s">
        <v>1497</v>
      </c>
      <c r="C45" s="5">
        <v>46322</v>
      </c>
      <c r="D45" s="1" t="s">
        <v>106</v>
      </c>
      <c r="E45" s="6" t="s">
        <v>1448</v>
      </c>
      <c r="F45" s="6" t="s">
        <v>46</v>
      </c>
      <c r="G45" s="1" t="s">
        <v>87</v>
      </c>
      <c r="H45" s="1" t="s">
        <v>15</v>
      </c>
      <c r="I45" s="1" t="s">
        <v>142</v>
      </c>
      <c r="J45" s="1" t="s">
        <v>49</v>
      </c>
      <c r="K45" s="1" t="s">
        <v>45</v>
      </c>
      <c r="L45" s="5">
        <v>46358</v>
      </c>
      <c r="M45" s="1" t="s">
        <v>222</v>
      </c>
    </row>
    <row r="46" spans="1:13">
      <c r="A46" s="1">
        <v>43</v>
      </c>
      <c r="B46" s="1" t="s">
        <v>1498</v>
      </c>
      <c r="C46" s="5">
        <v>46296</v>
      </c>
      <c r="D46" s="1" t="s">
        <v>106</v>
      </c>
      <c r="E46" s="6" t="s">
        <v>1334</v>
      </c>
      <c r="F46" s="6" t="s">
        <v>46</v>
      </c>
      <c r="G46" s="1" t="s">
        <v>14</v>
      </c>
      <c r="H46" s="1" t="s">
        <v>104</v>
      </c>
      <c r="I46" s="1" t="s">
        <v>164</v>
      </c>
      <c r="J46" s="1" t="s">
        <v>57</v>
      </c>
      <c r="K46" s="1" t="s">
        <v>91</v>
      </c>
      <c r="L46" s="5">
        <v>46333</v>
      </c>
      <c r="M46" s="1" t="s">
        <v>226</v>
      </c>
    </row>
    <row r="47" spans="1:13">
      <c r="A47" s="1">
        <v>44</v>
      </c>
      <c r="B47" s="1" t="s">
        <v>1499</v>
      </c>
      <c r="C47" s="5">
        <v>46311</v>
      </c>
      <c r="D47" s="1" t="s">
        <v>106</v>
      </c>
      <c r="E47" s="6" t="s">
        <v>1451</v>
      </c>
      <c r="F47" s="6" t="s">
        <v>46</v>
      </c>
      <c r="G47" s="1" t="s">
        <v>95</v>
      </c>
      <c r="H47" s="1" t="s">
        <v>36</v>
      </c>
      <c r="I47" s="1" t="s">
        <v>164</v>
      </c>
      <c r="J47" s="1" t="s">
        <v>49</v>
      </c>
      <c r="K47" s="1" t="s">
        <v>30</v>
      </c>
      <c r="L47" s="5">
        <v>46333</v>
      </c>
      <c r="M47" s="1" t="s">
        <v>303</v>
      </c>
    </row>
    <row r="48" spans="1:13">
      <c r="A48" s="1">
        <v>45</v>
      </c>
      <c r="B48" s="1" t="s">
        <v>1500</v>
      </c>
      <c r="C48" s="5">
        <v>46302</v>
      </c>
      <c r="D48" s="1" t="s">
        <v>106</v>
      </c>
      <c r="E48" s="6" t="s">
        <v>1334</v>
      </c>
      <c r="F48" s="6" t="s">
        <v>5</v>
      </c>
      <c r="G48" s="1" t="s">
        <v>31</v>
      </c>
      <c r="H48" s="1" t="s">
        <v>78</v>
      </c>
      <c r="I48" s="1" t="s">
        <v>164</v>
      </c>
      <c r="J48" s="1" t="s">
        <v>91</v>
      </c>
      <c r="K48" s="1" t="s">
        <v>57</v>
      </c>
      <c r="L48" s="5">
        <v>46307</v>
      </c>
      <c r="M48" s="1" t="s">
        <v>222</v>
      </c>
    </row>
    <row r="49" spans="1:13">
      <c r="A49" s="1">
        <v>46</v>
      </c>
      <c r="B49" s="1" t="s">
        <v>1501</v>
      </c>
      <c r="C49" s="5">
        <v>46329</v>
      </c>
      <c r="D49" s="1" t="s">
        <v>111</v>
      </c>
      <c r="E49" s="6" t="s">
        <v>1453</v>
      </c>
      <c r="F49" s="6" t="s">
        <v>13</v>
      </c>
      <c r="G49" s="1" t="s">
        <v>82</v>
      </c>
      <c r="H49" s="1" t="s">
        <v>15</v>
      </c>
      <c r="I49" s="1" t="s">
        <v>147</v>
      </c>
      <c r="J49" s="1" t="s">
        <v>57</v>
      </c>
      <c r="K49" s="1" t="s">
        <v>64</v>
      </c>
      <c r="L49" s="5">
        <v>46366</v>
      </c>
      <c r="M49" s="1" t="s">
        <v>303</v>
      </c>
    </row>
    <row r="50" spans="1:13">
      <c r="A50" s="1">
        <v>47</v>
      </c>
      <c r="B50" s="1" t="s">
        <v>1502</v>
      </c>
      <c r="C50" s="5">
        <v>46378</v>
      </c>
      <c r="D50" s="1" t="s">
        <v>122</v>
      </c>
      <c r="E50" s="6" t="s">
        <v>1465</v>
      </c>
      <c r="F50" s="6" t="s">
        <v>39</v>
      </c>
      <c r="G50" s="1" t="s">
        <v>21</v>
      </c>
      <c r="H50" s="1" t="s">
        <v>93</v>
      </c>
      <c r="I50" s="1" t="s">
        <v>147</v>
      </c>
      <c r="J50" s="1" t="s">
        <v>91</v>
      </c>
      <c r="K50" s="1" t="s">
        <v>64</v>
      </c>
      <c r="L50" s="5">
        <v>46384</v>
      </c>
      <c r="M50" s="1" t="s">
        <v>222</v>
      </c>
    </row>
    <row r="51" spans="1:13">
      <c r="A51" s="1">
        <v>48</v>
      </c>
      <c r="B51" s="1" t="s">
        <v>1503</v>
      </c>
      <c r="C51" s="5">
        <v>46371</v>
      </c>
      <c r="D51" s="1" t="s">
        <v>122</v>
      </c>
      <c r="E51" s="6" t="s">
        <v>1455</v>
      </c>
      <c r="F51" s="6" t="s">
        <v>92</v>
      </c>
      <c r="G51" s="1" t="s">
        <v>95</v>
      </c>
      <c r="H51" s="1" t="s">
        <v>41</v>
      </c>
      <c r="I51" s="1" t="s">
        <v>147</v>
      </c>
      <c r="J51" s="1" t="s">
        <v>49</v>
      </c>
      <c r="K51" s="1" t="s">
        <v>61</v>
      </c>
      <c r="L51" s="5">
        <v>46416</v>
      </c>
      <c r="M51" s="1" t="s">
        <v>222</v>
      </c>
    </row>
  </sheetData>
  <mergeCells count="2">
    <mergeCell ref="A1:M1"/>
    <mergeCell ref="A2:M2"/>
  </mergeCells>
  <dataValidations count="4">
    <dataValidation type="list" allowBlank="1" showInputMessage="1" showErrorMessage="1" sqref="F4:F100003">
      <formula1>L_Dept</formula1>
    </dataValidation>
    <dataValidation type="list" allowBlank="1" showInputMessage="1" showErrorMessage="1" sqref="G4:G100003">
      <formula1>L_Loc</formula1>
    </dataValidation>
    <dataValidation type="list" allowBlank="1" showInputMessage="1" showErrorMessage="1" sqref="M4:M100003">
      <formula1>L_Status</formula1>
    </dataValidation>
    <dataValidation type="list" allowBlank="1" showInputMessage="1" showErrorMessage="1" sqref="I4:I100003">
      <formula1>L_Risk</formula1>
    </dataValidation>
  </dataValidations>
  <hyperlinks>
    <hyperlink ref="O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>
    <tabColor rgb="FF64748B"/>
    <pageSetUpPr fitToPage="1"/>
  </sheetPr>
  <dimension ref="A1:AF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3.7109375" style="1" customWidth="1"/>
    <col min="3" max="6" width="9.7109375" style="1" customWidth="1"/>
    <col min="7" max="7" width="16.7109375" style="1" customWidth="1"/>
    <col min="8" max="8" width="12.7109375" style="1" customWidth="1"/>
    <col min="9" max="9" width="9.7109375" style="1" customWidth="1"/>
    <col min="10" max="10" width="17.7109375" style="1" customWidth="1"/>
    <col min="11" max="11" width="9.7109375" style="1" customWidth="1"/>
    <col min="12" max="12" width="10.7109375" style="1" customWidth="1"/>
    <col min="13" max="13" width="15.7109375" style="1" customWidth="1"/>
    <col min="14" max="14" width="16.7109375" style="1" customWidth="1"/>
    <col min="15" max="15" width="17.7109375" style="1" customWidth="1"/>
    <col min="16" max="16" width="13.7109375" style="1" customWidth="1"/>
    <col min="17" max="17" width="11.7109375" style="1" customWidth="1"/>
    <col min="18" max="18" width="13.7109375" style="1" customWidth="1"/>
    <col min="19" max="19" width="17.7109375" style="1" customWidth="1"/>
    <col min="20" max="20" width="12.7109375" style="1" customWidth="1"/>
    <col min="21" max="21" width="13.7109375" style="1" customWidth="1"/>
    <col min="22" max="22" width="11.7109375" style="1" customWidth="1"/>
    <col min="23" max="24" width="19.7109375" style="1" customWidth="1"/>
    <col min="25" max="26" width="13.7109375" style="1" customWidth="1"/>
    <col min="27" max="27" width="14.7109375" style="1" customWidth="1"/>
    <col min="28" max="28" width="9.7109375" style="1" customWidth="1"/>
    <col min="29" max="29" width="15.7109375" style="2" customWidth="1"/>
    <col min="30" max="30" width="15.7109375" style="1" customWidth="1"/>
  </cols>
  <sheetData>
    <row r="1" spans="1:32" ht="22" customHeight="1">
      <c r="A1" s="3" t="s">
        <v>1504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F1" s="4" t="s">
        <v>139</v>
      </c>
    </row>
    <row r="2" spans="1:3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2">
      <c r="A3" s="1" t="s">
        <v>124</v>
      </c>
      <c r="B3" s="1" t="s">
        <v>1591</v>
      </c>
      <c r="C3" s="1" t="s">
        <v>126</v>
      </c>
      <c r="D3" s="1" t="s">
        <v>127</v>
      </c>
      <c r="E3" s="1" t="s">
        <v>1592</v>
      </c>
      <c r="F3" s="1" t="s">
        <v>1593</v>
      </c>
      <c r="G3" s="1" t="s">
        <v>1594</v>
      </c>
      <c r="H3" s="1" t="s">
        <v>129</v>
      </c>
      <c r="I3" s="1" t="s">
        <v>1595</v>
      </c>
      <c r="J3" s="1" t="s">
        <v>1596</v>
      </c>
      <c r="K3" s="1" t="s">
        <v>1597</v>
      </c>
      <c r="L3" s="1" t="s">
        <v>130</v>
      </c>
      <c r="M3" s="1" t="s">
        <v>1598</v>
      </c>
      <c r="N3" s="1" t="s">
        <v>1599</v>
      </c>
      <c r="O3" s="1" t="s">
        <v>1600</v>
      </c>
      <c r="P3" s="1" t="s">
        <v>1601</v>
      </c>
      <c r="Q3" s="1" t="s">
        <v>1602</v>
      </c>
      <c r="R3" s="1" t="s">
        <v>355</v>
      </c>
      <c r="S3" s="1" t="s">
        <v>1603</v>
      </c>
      <c r="T3" s="1" t="s">
        <v>1604</v>
      </c>
      <c r="U3" s="1" t="s">
        <v>1605</v>
      </c>
      <c r="V3" s="1" t="s">
        <v>1606</v>
      </c>
      <c r="W3" s="1" t="s">
        <v>416</v>
      </c>
      <c r="X3" s="1" t="s">
        <v>1607</v>
      </c>
      <c r="Y3" s="1" t="s">
        <v>1608</v>
      </c>
      <c r="Z3" s="1" t="s">
        <v>1609</v>
      </c>
      <c r="AA3" s="1" t="s">
        <v>1610</v>
      </c>
      <c r="AB3" s="1" t="s">
        <v>288</v>
      </c>
      <c r="AC3" s="2" t="s">
        <v>1611</v>
      </c>
      <c r="AD3" s="1" t="s">
        <v>1612</v>
      </c>
    </row>
    <row r="4" spans="1:32">
      <c r="A4" s="1">
        <v>1</v>
      </c>
      <c r="B4" s="1" t="s">
        <v>1505</v>
      </c>
      <c r="C4" s="5">
        <v>46028</v>
      </c>
      <c r="D4" s="1" t="s">
        <v>3</v>
      </c>
      <c r="E4" s="6" t="s">
        <v>1506</v>
      </c>
      <c r="F4" s="6" t="s">
        <v>1507</v>
      </c>
      <c r="G4" s="1" t="s">
        <v>1508</v>
      </c>
      <c r="H4" s="1" t="s">
        <v>13</v>
      </c>
      <c r="I4" s="1" t="s">
        <v>40</v>
      </c>
      <c r="J4" s="1" t="s">
        <v>1509</v>
      </c>
      <c r="K4" s="1" t="s">
        <v>1510</v>
      </c>
      <c r="L4" s="1" t="s">
        <v>31</v>
      </c>
      <c r="M4" s="1" t="s">
        <v>1511</v>
      </c>
      <c r="N4" s="1" t="s">
        <v>310</v>
      </c>
      <c r="O4" s="1" t="s">
        <v>41</v>
      </c>
      <c r="P4" s="1" t="s">
        <v>1512</v>
      </c>
      <c r="Q4" s="1" t="s">
        <v>1513</v>
      </c>
      <c r="R4" s="1" t="s">
        <v>57</v>
      </c>
      <c r="S4" s="1" t="s">
        <v>1330</v>
      </c>
      <c r="T4" s="1" t="s">
        <v>302</v>
      </c>
      <c r="U4" s="1" t="s">
        <v>164</v>
      </c>
      <c r="V4" s="1">
        <v>27</v>
      </c>
      <c r="W4" s="1" t="s">
        <v>45</v>
      </c>
      <c r="X4" s="1" t="s">
        <v>57</v>
      </c>
      <c r="Y4" s="1" t="s">
        <v>36</v>
      </c>
      <c r="Z4" s="5">
        <v>46050</v>
      </c>
      <c r="AA4" s="5">
        <v>46045</v>
      </c>
      <c r="AB4" s="1" t="s">
        <v>582</v>
      </c>
      <c r="AC4" s="9">
        <f>IF(C4="","",IF(AB4="Closed",AA4-C4,TODAY()-C4))</f>
        <v>0</v>
      </c>
      <c r="AD4" s="1" t="s">
        <v>4</v>
      </c>
    </row>
    <row r="5" spans="1:32">
      <c r="A5" s="1">
        <v>2</v>
      </c>
      <c r="B5" s="1" t="s">
        <v>1514</v>
      </c>
      <c r="C5" s="5">
        <v>46033</v>
      </c>
      <c r="D5" s="1" t="s">
        <v>3</v>
      </c>
      <c r="E5" s="6" t="s">
        <v>1515</v>
      </c>
      <c r="F5" s="6" t="s">
        <v>1507</v>
      </c>
      <c r="G5" s="1" t="s">
        <v>1508</v>
      </c>
      <c r="H5" s="1" t="s">
        <v>92</v>
      </c>
      <c r="I5" s="1" t="s">
        <v>77</v>
      </c>
      <c r="J5" s="1" t="s">
        <v>1516</v>
      </c>
      <c r="K5" s="1" t="s">
        <v>47</v>
      </c>
      <c r="L5" s="1" t="s">
        <v>6</v>
      </c>
      <c r="M5" s="1" t="s">
        <v>1517</v>
      </c>
      <c r="N5" s="1" t="s">
        <v>1518</v>
      </c>
      <c r="O5" s="1" t="s">
        <v>104</v>
      </c>
      <c r="P5" s="1" t="s">
        <v>58</v>
      </c>
      <c r="Q5" s="1" t="s">
        <v>1513</v>
      </c>
      <c r="R5" s="1" t="s">
        <v>16</v>
      </c>
      <c r="S5" s="1" t="s">
        <v>1330</v>
      </c>
      <c r="T5" s="1" t="s">
        <v>1334</v>
      </c>
      <c r="U5" s="1" t="s">
        <v>147</v>
      </c>
      <c r="V5" s="1">
        <v>0</v>
      </c>
      <c r="W5" s="1" t="s">
        <v>91</v>
      </c>
      <c r="X5" s="1" t="s">
        <v>61</v>
      </c>
      <c r="Y5" s="1" t="s">
        <v>70</v>
      </c>
      <c r="Z5" s="5">
        <v>46055</v>
      </c>
      <c r="AA5" s="5">
        <v>46068</v>
      </c>
      <c r="AB5" s="1" t="s">
        <v>582</v>
      </c>
      <c r="AC5" s="9">
        <f>IF(C5="","",IF(AB5="Closed",AA5-C5,TODAY()-C5))</f>
        <v>0</v>
      </c>
      <c r="AD5" s="1" t="s">
        <v>4</v>
      </c>
    </row>
    <row r="6" spans="1:32">
      <c r="A6" s="1">
        <v>3</v>
      </c>
      <c r="B6" s="1" t="s">
        <v>1519</v>
      </c>
      <c r="C6" s="5">
        <v>46035</v>
      </c>
      <c r="D6" s="1" t="s">
        <v>3</v>
      </c>
      <c r="E6" s="6" t="s">
        <v>1515</v>
      </c>
      <c r="F6" s="6" t="s">
        <v>1507</v>
      </c>
      <c r="G6" s="1" t="s">
        <v>1508</v>
      </c>
      <c r="H6" s="1" t="s">
        <v>27</v>
      </c>
      <c r="I6" s="1" t="s">
        <v>21</v>
      </c>
      <c r="J6" s="1" t="s">
        <v>1520</v>
      </c>
      <c r="K6" s="1" t="s">
        <v>1521</v>
      </c>
      <c r="L6" s="1" t="s">
        <v>77</v>
      </c>
      <c r="M6" s="1" t="s">
        <v>1522</v>
      </c>
      <c r="N6" s="1" t="s">
        <v>310</v>
      </c>
      <c r="O6" s="1" t="s">
        <v>36</v>
      </c>
      <c r="P6" s="1" t="s">
        <v>1512</v>
      </c>
      <c r="Q6" s="1" t="s">
        <v>1523</v>
      </c>
      <c r="R6" s="1" t="s">
        <v>38</v>
      </c>
      <c r="S6" s="1" t="s">
        <v>297</v>
      </c>
      <c r="T6" s="1" t="s">
        <v>302</v>
      </c>
      <c r="U6" s="1" t="s">
        <v>151</v>
      </c>
      <c r="V6" s="1">
        <v>9</v>
      </c>
      <c r="W6" s="1" t="s">
        <v>30</v>
      </c>
      <c r="X6" s="1" t="s">
        <v>49</v>
      </c>
      <c r="Y6" s="1" t="s">
        <v>28</v>
      </c>
      <c r="Z6" s="5">
        <v>46052</v>
      </c>
      <c r="AA6" s="5">
        <v>46057</v>
      </c>
      <c r="AB6" s="1" t="s">
        <v>582</v>
      </c>
      <c r="AC6" s="9">
        <f>IF(C6="","",IF(AB6="Closed",AA6-C6,TODAY()-C6))</f>
        <v>0</v>
      </c>
      <c r="AD6" s="1" t="s">
        <v>26</v>
      </c>
    </row>
    <row r="7" spans="1:32">
      <c r="A7" s="1">
        <v>4</v>
      </c>
      <c r="B7" s="1" t="s">
        <v>1524</v>
      </c>
      <c r="C7" s="5">
        <v>46029</v>
      </c>
      <c r="D7" s="1" t="s">
        <v>3</v>
      </c>
      <c r="E7" s="6" t="s">
        <v>1506</v>
      </c>
      <c r="F7" s="6" t="s">
        <v>1507</v>
      </c>
      <c r="G7" s="1" t="s">
        <v>1508</v>
      </c>
      <c r="H7" s="1" t="s">
        <v>58</v>
      </c>
      <c r="I7" s="1" t="s">
        <v>80</v>
      </c>
      <c r="J7" s="1" t="s">
        <v>1525</v>
      </c>
      <c r="K7" s="1" t="s">
        <v>1526</v>
      </c>
      <c r="L7" s="1" t="s">
        <v>77</v>
      </c>
      <c r="M7" s="1" t="s">
        <v>1522</v>
      </c>
      <c r="N7" s="1" t="s">
        <v>1527</v>
      </c>
      <c r="O7" s="1" t="s">
        <v>7</v>
      </c>
      <c r="P7" s="1" t="s">
        <v>58</v>
      </c>
      <c r="Q7" s="1" t="s">
        <v>1513</v>
      </c>
      <c r="R7" s="1" t="s">
        <v>49</v>
      </c>
      <c r="S7" s="1" t="s">
        <v>1330</v>
      </c>
      <c r="T7" s="1" t="s">
        <v>1336</v>
      </c>
      <c r="U7" s="1" t="s">
        <v>142</v>
      </c>
      <c r="V7" s="1">
        <v>15</v>
      </c>
      <c r="W7" s="1" t="s">
        <v>54</v>
      </c>
      <c r="X7" s="1" t="s">
        <v>54</v>
      </c>
      <c r="Y7" s="1" t="s">
        <v>36</v>
      </c>
      <c r="Z7" s="5">
        <v>46066</v>
      </c>
      <c r="AA7" s="5">
        <v>46065</v>
      </c>
      <c r="AB7" s="1" t="s">
        <v>582</v>
      </c>
      <c r="AC7" s="9">
        <f>IF(C7="","",IF(AB7="Closed",AA7-C7,TODAY()-C7))</f>
        <v>0</v>
      </c>
      <c r="AD7" s="1" t="s">
        <v>30</v>
      </c>
    </row>
    <row r="8" spans="1:32">
      <c r="A8" s="1">
        <v>5</v>
      </c>
      <c r="B8" s="1" t="s">
        <v>1528</v>
      </c>
      <c r="C8" s="5">
        <v>46050</v>
      </c>
      <c r="D8" s="1" t="s">
        <v>3</v>
      </c>
      <c r="E8" s="6" t="s">
        <v>1529</v>
      </c>
      <c r="F8" s="6" t="s">
        <v>1507</v>
      </c>
      <c r="G8" s="1" t="s">
        <v>1508</v>
      </c>
      <c r="H8" s="1" t="s">
        <v>39</v>
      </c>
      <c r="I8" s="1" t="s">
        <v>14</v>
      </c>
      <c r="J8" s="1" t="s">
        <v>1516</v>
      </c>
      <c r="K8" s="1" t="s">
        <v>1526</v>
      </c>
      <c r="L8" s="1" t="s">
        <v>14</v>
      </c>
      <c r="M8" s="1" t="s">
        <v>1511</v>
      </c>
      <c r="N8" s="1" t="s">
        <v>1530</v>
      </c>
      <c r="O8" s="1" t="s">
        <v>66</v>
      </c>
      <c r="P8" s="1" t="s">
        <v>58</v>
      </c>
      <c r="Q8" s="1" t="s">
        <v>1531</v>
      </c>
      <c r="R8" s="1" t="s">
        <v>12</v>
      </c>
      <c r="S8" s="1" t="s">
        <v>302</v>
      </c>
      <c r="T8" s="1" t="s">
        <v>1327</v>
      </c>
      <c r="U8" s="1" t="s">
        <v>147</v>
      </c>
      <c r="V8" s="1">
        <v>25</v>
      </c>
      <c r="W8" s="1" t="s">
        <v>16</v>
      </c>
      <c r="X8" s="1" t="s">
        <v>26</v>
      </c>
      <c r="Y8" s="1" t="s">
        <v>62</v>
      </c>
      <c r="Z8" s="5">
        <v>46079</v>
      </c>
      <c r="AA8" s="5">
        <v>46083</v>
      </c>
      <c r="AB8" s="1" t="s">
        <v>582</v>
      </c>
      <c r="AC8" s="9">
        <f>IF(C8="","",IF(AB8="Closed",AA8-C8,TODAY()-C8))</f>
        <v>0</v>
      </c>
      <c r="AD8" s="1" t="s">
        <v>30</v>
      </c>
    </row>
    <row r="9" spans="1:32">
      <c r="A9" s="1">
        <v>6</v>
      </c>
      <c r="B9" s="1" t="s">
        <v>1532</v>
      </c>
      <c r="C9" s="5">
        <v>46068</v>
      </c>
      <c r="D9" s="1" t="s">
        <v>19</v>
      </c>
      <c r="E9" s="6" t="s">
        <v>1533</v>
      </c>
      <c r="F9" s="6" t="s">
        <v>1507</v>
      </c>
      <c r="G9" s="1" t="s">
        <v>1508</v>
      </c>
      <c r="H9" s="1" t="s">
        <v>46</v>
      </c>
      <c r="I9" s="1" t="s">
        <v>6</v>
      </c>
      <c r="J9" s="1" t="s">
        <v>1509</v>
      </c>
      <c r="K9" s="1" t="s">
        <v>1526</v>
      </c>
      <c r="L9" s="1" t="s">
        <v>21</v>
      </c>
      <c r="M9" s="1" t="s">
        <v>1522</v>
      </c>
      <c r="N9" s="1" t="s">
        <v>310</v>
      </c>
      <c r="O9" s="1" t="s">
        <v>62</v>
      </c>
      <c r="P9" s="1" t="s">
        <v>1534</v>
      </c>
      <c r="Q9" s="1" t="s">
        <v>1531</v>
      </c>
      <c r="R9" s="1" t="s">
        <v>4</v>
      </c>
      <c r="S9" s="1" t="s">
        <v>297</v>
      </c>
      <c r="T9" s="1" t="s">
        <v>1334</v>
      </c>
      <c r="U9" s="1" t="s">
        <v>147</v>
      </c>
      <c r="V9" s="1">
        <v>12</v>
      </c>
      <c r="W9" s="1" t="s">
        <v>45</v>
      </c>
      <c r="X9" s="1" t="s">
        <v>30</v>
      </c>
      <c r="Y9" s="1" t="s">
        <v>32</v>
      </c>
      <c r="Z9" s="5">
        <v>46106</v>
      </c>
      <c r="AA9" s="5">
        <v>46090</v>
      </c>
      <c r="AB9" s="1" t="s">
        <v>582</v>
      </c>
      <c r="AC9" s="9">
        <f>IF(C9="","",IF(AB9="Closed",AA9-C9,TODAY()-C9))</f>
        <v>0</v>
      </c>
      <c r="AD9" s="1" t="s">
        <v>57</v>
      </c>
    </row>
    <row r="10" spans="1:32">
      <c r="A10" s="1">
        <v>7</v>
      </c>
      <c r="B10" s="1" t="s">
        <v>1535</v>
      </c>
      <c r="C10" s="5">
        <v>46066</v>
      </c>
      <c r="D10" s="1" t="s">
        <v>19</v>
      </c>
      <c r="E10" s="6" t="s">
        <v>1515</v>
      </c>
      <c r="F10" s="6" t="s">
        <v>1507</v>
      </c>
      <c r="G10" s="1" t="s">
        <v>1508</v>
      </c>
      <c r="H10" s="1" t="s">
        <v>46</v>
      </c>
      <c r="I10" s="1" t="s">
        <v>80</v>
      </c>
      <c r="J10" s="1" t="s">
        <v>1520</v>
      </c>
      <c r="K10" s="1" t="s">
        <v>1521</v>
      </c>
      <c r="L10" s="1" t="s">
        <v>80</v>
      </c>
      <c r="M10" s="1" t="s">
        <v>1511</v>
      </c>
      <c r="N10" s="1" t="s">
        <v>1530</v>
      </c>
      <c r="O10" s="1" t="s">
        <v>66</v>
      </c>
      <c r="P10" s="1" t="s">
        <v>58</v>
      </c>
      <c r="Q10" s="1" t="s">
        <v>1536</v>
      </c>
      <c r="R10" s="1" t="s">
        <v>61</v>
      </c>
      <c r="S10" s="1" t="s">
        <v>302</v>
      </c>
      <c r="T10" s="1" t="s">
        <v>1330</v>
      </c>
      <c r="U10" s="1" t="s">
        <v>142</v>
      </c>
      <c r="V10" s="1">
        <v>7</v>
      </c>
      <c r="W10" s="1" t="s">
        <v>16</v>
      </c>
      <c r="X10" s="1" t="s">
        <v>38</v>
      </c>
      <c r="Y10" s="1" t="s">
        <v>70</v>
      </c>
      <c r="Z10" s="5">
        <v>46080</v>
      </c>
      <c r="AA10" s="5">
        <v>46099</v>
      </c>
      <c r="AB10" s="1" t="s">
        <v>582</v>
      </c>
      <c r="AC10" s="9">
        <f>IF(C10="","",IF(AB10="Closed",AA10-C10,TODAY()-C10))</f>
        <v>0</v>
      </c>
      <c r="AD10" s="1" t="s">
        <v>26</v>
      </c>
    </row>
    <row r="11" spans="1:32">
      <c r="A11" s="1">
        <v>8</v>
      </c>
      <c r="B11" s="1" t="s">
        <v>1537</v>
      </c>
      <c r="C11" s="5">
        <v>46086</v>
      </c>
      <c r="D11" s="1" t="s">
        <v>44</v>
      </c>
      <c r="E11" s="6" t="s">
        <v>1506</v>
      </c>
      <c r="F11" s="6" t="s">
        <v>1507</v>
      </c>
      <c r="G11" s="1" t="s">
        <v>1508</v>
      </c>
      <c r="H11" s="1" t="s">
        <v>27</v>
      </c>
      <c r="I11" s="1" t="s">
        <v>82</v>
      </c>
      <c r="J11" s="1" t="s">
        <v>1520</v>
      </c>
      <c r="K11" s="1" t="s">
        <v>1510</v>
      </c>
      <c r="L11" s="1" t="s">
        <v>77</v>
      </c>
      <c r="M11" s="1" t="s">
        <v>1538</v>
      </c>
      <c r="N11" s="1" t="s">
        <v>310</v>
      </c>
      <c r="O11" s="1" t="s">
        <v>28</v>
      </c>
      <c r="P11" s="1" t="s">
        <v>1539</v>
      </c>
      <c r="Q11" s="1" t="s">
        <v>1540</v>
      </c>
      <c r="R11" s="1" t="s">
        <v>12</v>
      </c>
      <c r="S11" s="1" t="s">
        <v>1330</v>
      </c>
      <c r="T11" s="1" t="s">
        <v>1330</v>
      </c>
      <c r="U11" s="1" t="s">
        <v>164</v>
      </c>
      <c r="V11" s="1">
        <v>12</v>
      </c>
      <c r="W11" s="1" t="s">
        <v>57</v>
      </c>
      <c r="X11" s="1" t="s">
        <v>30</v>
      </c>
      <c r="Y11" s="1" t="s">
        <v>70</v>
      </c>
      <c r="Z11" s="5">
        <v>46111</v>
      </c>
      <c r="AA11" s="5">
        <v>46112</v>
      </c>
      <c r="AB11" s="1" t="s">
        <v>582</v>
      </c>
      <c r="AC11" s="9">
        <f>IF(C11="","",IF(AB11="Closed",AA11-C11,TODAY()-C11))</f>
        <v>0</v>
      </c>
      <c r="AD11" s="1" t="s">
        <v>57</v>
      </c>
    </row>
    <row r="12" spans="1:32">
      <c r="A12" s="1">
        <v>9</v>
      </c>
      <c r="B12" s="1" t="s">
        <v>1541</v>
      </c>
      <c r="C12" s="5">
        <v>46096</v>
      </c>
      <c r="D12" s="1" t="s">
        <v>44</v>
      </c>
      <c r="E12" s="6" t="s">
        <v>1533</v>
      </c>
      <c r="F12" s="6" t="s">
        <v>1507</v>
      </c>
      <c r="G12" s="1" t="s">
        <v>1508</v>
      </c>
      <c r="H12" s="1" t="s">
        <v>58</v>
      </c>
      <c r="I12" s="1" t="s">
        <v>80</v>
      </c>
      <c r="J12" s="1" t="s">
        <v>1542</v>
      </c>
      <c r="K12" s="1" t="s">
        <v>1510</v>
      </c>
      <c r="L12" s="1" t="s">
        <v>40</v>
      </c>
      <c r="M12" s="1" t="s">
        <v>1543</v>
      </c>
      <c r="N12" s="1" t="s">
        <v>1530</v>
      </c>
      <c r="O12" s="1" t="s">
        <v>15</v>
      </c>
      <c r="P12" s="1" t="s">
        <v>58</v>
      </c>
      <c r="Q12" s="1" t="s">
        <v>1536</v>
      </c>
      <c r="R12" s="1" t="s">
        <v>26</v>
      </c>
      <c r="S12" s="1" t="s">
        <v>1330</v>
      </c>
      <c r="T12" s="1" t="s">
        <v>1330</v>
      </c>
      <c r="U12" s="1" t="s">
        <v>147</v>
      </c>
      <c r="V12" s="1">
        <v>20</v>
      </c>
      <c r="W12" s="1" t="s">
        <v>38</v>
      </c>
      <c r="X12" s="1" t="s">
        <v>12</v>
      </c>
      <c r="Y12" s="1" t="s">
        <v>41</v>
      </c>
      <c r="Z12" s="5">
        <v>46132</v>
      </c>
      <c r="AA12" s="5">
        <v>46114</v>
      </c>
      <c r="AB12" s="1" t="s">
        <v>582</v>
      </c>
      <c r="AC12" s="9">
        <f>IF(C12="","",IF(AB12="Closed",AA12-C12,TODAY()-C12))</f>
        <v>0</v>
      </c>
      <c r="AD12" s="1" t="s">
        <v>26</v>
      </c>
    </row>
    <row r="13" spans="1:32">
      <c r="A13" s="1">
        <v>10</v>
      </c>
      <c r="B13" s="1" t="s">
        <v>1544</v>
      </c>
      <c r="C13" s="5">
        <v>46105</v>
      </c>
      <c r="D13" s="1" t="s">
        <v>44</v>
      </c>
      <c r="E13" s="6" t="s">
        <v>1529</v>
      </c>
      <c r="F13" s="6" t="s">
        <v>1507</v>
      </c>
      <c r="G13" s="1" t="s">
        <v>1508</v>
      </c>
      <c r="H13" s="1" t="s">
        <v>39</v>
      </c>
      <c r="I13" s="1" t="s">
        <v>77</v>
      </c>
      <c r="J13" s="1" t="s">
        <v>1542</v>
      </c>
      <c r="K13" s="1" t="s">
        <v>1526</v>
      </c>
      <c r="L13" s="1" t="s">
        <v>82</v>
      </c>
      <c r="M13" s="1" t="s">
        <v>1543</v>
      </c>
      <c r="N13" s="1" t="s">
        <v>1518</v>
      </c>
      <c r="O13" s="1" t="s">
        <v>68</v>
      </c>
      <c r="P13" s="1" t="s">
        <v>1534</v>
      </c>
      <c r="Q13" s="1" t="s">
        <v>1545</v>
      </c>
      <c r="R13" s="1" t="s">
        <v>57</v>
      </c>
      <c r="S13" s="1" t="s">
        <v>302</v>
      </c>
      <c r="T13" s="1" t="s">
        <v>1339</v>
      </c>
      <c r="U13" s="1" t="s">
        <v>147</v>
      </c>
      <c r="V13" s="1">
        <v>24</v>
      </c>
      <c r="W13" s="1" t="s">
        <v>64</v>
      </c>
      <c r="X13" s="1" t="s">
        <v>45</v>
      </c>
      <c r="Y13" s="1" t="s">
        <v>28</v>
      </c>
      <c r="Z13" s="5">
        <v>46142</v>
      </c>
      <c r="AA13" s="5">
        <v>46134</v>
      </c>
      <c r="AB13" s="1" t="s">
        <v>226</v>
      </c>
      <c r="AC13" s="9">
        <f>IF(C13="","",IF(AB13="Closed",AA13-C13,TODAY()-C13))</f>
        <v>0</v>
      </c>
      <c r="AD13" s="1" t="s">
        <v>16</v>
      </c>
    </row>
    <row r="14" spans="1:32">
      <c r="A14" s="1">
        <v>11</v>
      </c>
      <c r="B14" s="1" t="s">
        <v>1546</v>
      </c>
      <c r="C14" s="5">
        <v>46102</v>
      </c>
      <c r="D14" s="1" t="s">
        <v>44</v>
      </c>
      <c r="E14" s="6" t="s">
        <v>1533</v>
      </c>
      <c r="F14" s="6" t="s">
        <v>1507</v>
      </c>
      <c r="G14" s="1" t="s">
        <v>1508</v>
      </c>
      <c r="H14" s="1" t="s">
        <v>65</v>
      </c>
      <c r="I14" s="1" t="s">
        <v>31</v>
      </c>
      <c r="J14" s="1" t="s">
        <v>1525</v>
      </c>
      <c r="K14" s="1" t="s">
        <v>1510</v>
      </c>
      <c r="L14" s="1" t="s">
        <v>95</v>
      </c>
      <c r="M14" s="1" t="s">
        <v>1511</v>
      </c>
      <c r="N14" s="1" t="s">
        <v>310</v>
      </c>
      <c r="O14" s="1" t="s">
        <v>7</v>
      </c>
      <c r="P14" s="1" t="s">
        <v>1534</v>
      </c>
      <c r="Q14" s="1" t="s">
        <v>1540</v>
      </c>
      <c r="R14" s="1" t="s">
        <v>45</v>
      </c>
      <c r="S14" s="1" t="s">
        <v>1330</v>
      </c>
      <c r="T14" s="1" t="s">
        <v>1336</v>
      </c>
      <c r="U14" s="1" t="s">
        <v>142</v>
      </c>
      <c r="V14" s="1">
        <v>13</v>
      </c>
      <c r="W14" s="1" t="s">
        <v>12</v>
      </c>
      <c r="X14" s="1" t="s">
        <v>91</v>
      </c>
      <c r="Y14" s="1" t="s">
        <v>78</v>
      </c>
      <c r="Z14" s="5">
        <v>46130</v>
      </c>
      <c r="AA14" s="5">
        <v>46115</v>
      </c>
      <c r="AB14" s="1" t="s">
        <v>1144</v>
      </c>
      <c r="AC14" s="9">
        <f>IF(C14="","",IF(AB14="Closed",AA14-C14,TODAY()-C14))</f>
        <v>0</v>
      </c>
      <c r="AD14" s="1" t="s">
        <v>45</v>
      </c>
    </row>
    <row r="15" spans="1:32">
      <c r="A15" s="1">
        <v>12</v>
      </c>
      <c r="B15" s="1" t="s">
        <v>1547</v>
      </c>
      <c r="C15" s="5">
        <v>46131</v>
      </c>
      <c r="D15" s="1" t="s">
        <v>53</v>
      </c>
      <c r="E15" s="6" t="s">
        <v>1533</v>
      </c>
      <c r="F15" s="6" t="s">
        <v>1548</v>
      </c>
      <c r="G15" s="1" t="s">
        <v>1508</v>
      </c>
      <c r="H15" s="1" t="s">
        <v>50</v>
      </c>
      <c r="I15" s="1" t="s">
        <v>87</v>
      </c>
      <c r="J15" s="1" t="s">
        <v>1542</v>
      </c>
      <c r="K15" s="1" t="s">
        <v>1526</v>
      </c>
      <c r="L15" s="1" t="s">
        <v>82</v>
      </c>
      <c r="M15" s="1" t="s">
        <v>1517</v>
      </c>
      <c r="N15" s="1" t="s">
        <v>1530</v>
      </c>
      <c r="O15" s="1" t="s">
        <v>78</v>
      </c>
      <c r="P15" s="1" t="s">
        <v>1534</v>
      </c>
      <c r="Q15" s="1" t="s">
        <v>1513</v>
      </c>
      <c r="R15" s="1" t="s">
        <v>54</v>
      </c>
      <c r="S15" s="1" t="s">
        <v>1330</v>
      </c>
      <c r="T15" s="1" t="s">
        <v>1330</v>
      </c>
      <c r="U15" s="1" t="s">
        <v>164</v>
      </c>
      <c r="V15" s="1">
        <v>4</v>
      </c>
      <c r="W15" s="1" t="s">
        <v>16</v>
      </c>
      <c r="X15" s="1" t="s">
        <v>4</v>
      </c>
      <c r="Y15" s="1" t="s">
        <v>62</v>
      </c>
      <c r="Z15" s="5">
        <v>46158</v>
      </c>
      <c r="AA15" s="5">
        <v>46164</v>
      </c>
      <c r="AB15" s="1" t="s">
        <v>582</v>
      </c>
      <c r="AC15" s="9">
        <f>IF(C15="","",IF(AB15="Closed",AA15-C15,TODAY()-C15))</f>
        <v>0</v>
      </c>
      <c r="AD15" s="1" t="s">
        <v>49</v>
      </c>
    </row>
    <row r="16" spans="1:32">
      <c r="A16" s="1">
        <v>13</v>
      </c>
      <c r="B16" s="1" t="s">
        <v>1549</v>
      </c>
      <c r="C16" s="5">
        <v>46118</v>
      </c>
      <c r="D16" s="1" t="s">
        <v>53</v>
      </c>
      <c r="E16" s="6" t="s">
        <v>1506</v>
      </c>
      <c r="F16" s="6" t="s">
        <v>1548</v>
      </c>
      <c r="G16" s="1" t="s">
        <v>1508</v>
      </c>
      <c r="H16" s="1" t="s">
        <v>92</v>
      </c>
      <c r="I16" s="1" t="s">
        <v>77</v>
      </c>
      <c r="J16" s="1" t="s">
        <v>1542</v>
      </c>
      <c r="K16" s="1" t="s">
        <v>1526</v>
      </c>
      <c r="L16" s="1" t="s">
        <v>95</v>
      </c>
      <c r="M16" s="1" t="s">
        <v>1538</v>
      </c>
      <c r="N16" s="1" t="s">
        <v>1530</v>
      </c>
      <c r="O16" s="1" t="s">
        <v>15</v>
      </c>
      <c r="P16" s="1" t="s">
        <v>1512</v>
      </c>
      <c r="Q16" s="1" t="s">
        <v>1545</v>
      </c>
      <c r="R16" s="1" t="s">
        <v>38</v>
      </c>
      <c r="S16" s="1" t="s">
        <v>297</v>
      </c>
      <c r="T16" s="1" t="s">
        <v>1357</v>
      </c>
      <c r="U16" s="1" t="s">
        <v>147</v>
      </c>
      <c r="V16" s="1">
        <v>16</v>
      </c>
      <c r="W16" s="1" t="s">
        <v>12</v>
      </c>
      <c r="X16" s="1" t="s">
        <v>61</v>
      </c>
      <c r="Y16" s="1" t="s">
        <v>68</v>
      </c>
      <c r="Z16" s="5">
        <v>46128</v>
      </c>
      <c r="AA16" s="5">
        <v>46134</v>
      </c>
      <c r="AB16" s="1" t="s">
        <v>226</v>
      </c>
      <c r="AC16" s="9">
        <f>IF(C16="","",IF(AB16="Closed",AA16-C16,TODAY()-C16))</f>
        <v>0</v>
      </c>
      <c r="AD16" s="1" t="s">
        <v>45</v>
      </c>
    </row>
    <row r="17" spans="1:30">
      <c r="A17" s="1">
        <v>14</v>
      </c>
      <c r="B17" s="1" t="s">
        <v>1550</v>
      </c>
      <c r="C17" s="5">
        <v>46129</v>
      </c>
      <c r="D17" s="1" t="s">
        <v>53</v>
      </c>
      <c r="E17" s="6" t="s">
        <v>1533</v>
      </c>
      <c r="F17" s="6" t="s">
        <v>1548</v>
      </c>
      <c r="G17" s="1" t="s">
        <v>1508</v>
      </c>
      <c r="H17" s="1" t="s">
        <v>39</v>
      </c>
      <c r="I17" s="1" t="s">
        <v>80</v>
      </c>
      <c r="J17" s="1" t="s">
        <v>1520</v>
      </c>
      <c r="K17" s="1" t="s">
        <v>1510</v>
      </c>
      <c r="L17" s="1" t="s">
        <v>51</v>
      </c>
      <c r="M17" s="1" t="s">
        <v>1538</v>
      </c>
      <c r="N17" s="1" t="s">
        <v>1530</v>
      </c>
      <c r="O17" s="1" t="s">
        <v>7</v>
      </c>
      <c r="P17" s="1" t="s">
        <v>1534</v>
      </c>
      <c r="Q17" s="1" t="s">
        <v>1540</v>
      </c>
      <c r="R17" s="1" t="s">
        <v>64</v>
      </c>
      <c r="S17" s="1" t="s">
        <v>302</v>
      </c>
      <c r="T17" s="1" t="s">
        <v>297</v>
      </c>
      <c r="U17" s="1" t="s">
        <v>147</v>
      </c>
      <c r="V17" s="1">
        <v>7</v>
      </c>
      <c r="W17" s="1" t="s">
        <v>61</v>
      </c>
      <c r="X17" s="1" t="s">
        <v>38</v>
      </c>
      <c r="Y17" s="1" t="s">
        <v>22</v>
      </c>
      <c r="Z17" s="5">
        <v>46171</v>
      </c>
      <c r="AA17" s="5">
        <v>46163</v>
      </c>
      <c r="AB17" s="1" t="s">
        <v>582</v>
      </c>
      <c r="AC17" s="9">
        <f>IF(C17="","",IF(AB17="Closed",AA17-C17,TODAY()-C17))</f>
        <v>0</v>
      </c>
      <c r="AD17" s="1" t="s">
        <v>54</v>
      </c>
    </row>
    <row r="18" spans="1:30">
      <c r="A18" s="1">
        <v>15</v>
      </c>
      <c r="B18" s="1" t="s">
        <v>1551</v>
      </c>
      <c r="C18" s="5">
        <v>46134</v>
      </c>
      <c r="D18" s="1" t="s">
        <v>53</v>
      </c>
      <c r="E18" s="6" t="s">
        <v>1529</v>
      </c>
      <c r="F18" s="6" t="s">
        <v>1548</v>
      </c>
      <c r="G18" s="1" t="s">
        <v>1508</v>
      </c>
      <c r="H18" s="1" t="s">
        <v>13</v>
      </c>
      <c r="I18" s="1" t="s">
        <v>87</v>
      </c>
      <c r="J18" s="1" t="s">
        <v>1516</v>
      </c>
      <c r="K18" s="1" t="s">
        <v>1521</v>
      </c>
      <c r="L18" s="1" t="s">
        <v>6</v>
      </c>
      <c r="M18" s="1" t="s">
        <v>1522</v>
      </c>
      <c r="N18" s="1" t="s">
        <v>1530</v>
      </c>
      <c r="O18" s="1" t="s">
        <v>7</v>
      </c>
      <c r="P18" s="1" t="s">
        <v>1512</v>
      </c>
      <c r="Q18" s="1" t="s">
        <v>1540</v>
      </c>
      <c r="R18" s="1" t="s">
        <v>91</v>
      </c>
      <c r="S18" s="1" t="s">
        <v>1330</v>
      </c>
      <c r="T18" s="1" t="s">
        <v>297</v>
      </c>
      <c r="U18" s="1" t="s">
        <v>164</v>
      </c>
      <c r="V18" s="1">
        <v>11</v>
      </c>
      <c r="W18" s="1" t="s">
        <v>38</v>
      </c>
      <c r="X18" s="1" t="s">
        <v>91</v>
      </c>
      <c r="Y18" s="1" t="s">
        <v>62</v>
      </c>
      <c r="Z18" s="5">
        <v>46172</v>
      </c>
      <c r="AA18" s="5">
        <v>46178</v>
      </c>
      <c r="AB18" s="1" t="s">
        <v>582</v>
      </c>
      <c r="AC18" s="9">
        <f>IF(C18="","",IF(AB18="Closed",AA18-C18,TODAY()-C18))</f>
        <v>0</v>
      </c>
      <c r="AD18" s="1" t="s">
        <v>49</v>
      </c>
    </row>
    <row r="19" spans="1:30">
      <c r="A19" s="1">
        <v>16</v>
      </c>
      <c r="B19" s="1" t="s">
        <v>1552</v>
      </c>
      <c r="C19" s="5">
        <v>46167</v>
      </c>
      <c r="D19" s="1" t="s">
        <v>60</v>
      </c>
      <c r="E19" s="6" t="s">
        <v>1529</v>
      </c>
      <c r="F19" s="6" t="s">
        <v>1548</v>
      </c>
      <c r="G19" s="1" t="s">
        <v>1508</v>
      </c>
      <c r="H19" s="1" t="s">
        <v>5</v>
      </c>
      <c r="I19" s="1" t="s">
        <v>40</v>
      </c>
      <c r="J19" s="1" t="s">
        <v>1520</v>
      </c>
      <c r="K19" s="1" t="s">
        <v>1526</v>
      </c>
      <c r="L19" s="1" t="s">
        <v>21</v>
      </c>
      <c r="M19" s="1" t="s">
        <v>1543</v>
      </c>
      <c r="N19" s="1" t="s">
        <v>310</v>
      </c>
      <c r="O19" s="1" t="s">
        <v>66</v>
      </c>
      <c r="P19" s="1" t="s">
        <v>1539</v>
      </c>
      <c r="Q19" s="1" t="s">
        <v>1540</v>
      </c>
      <c r="R19" s="1" t="s">
        <v>4</v>
      </c>
      <c r="S19" s="1" t="s">
        <v>1330</v>
      </c>
      <c r="T19" s="1" t="s">
        <v>1336</v>
      </c>
      <c r="U19" s="1" t="s">
        <v>147</v>
      </c>
      <c r="V19" s="1">
        <v>17</v>
      </c>
      <c r="W19" s="1" t="s">
        <v>45</v>
      </c>
      <c r="X19" s="1" t="s">
        <v>64</v>
      </c>
      <c r="Y19" s="1" t="s">
        <v>104</v>
      </c>
      <c r="Z19" s="5">
        <v>46193</v>
      </c>
      <c r="AA19" s="5">
        <v>46189</v>
      </c>
      <c r="AB19" s="1" t="s">
        <v>226</v>
      </c>
      <c r="AC19" s="9">
        <f>IF(C19="","",IF(AB19="Closed",AA19-C19,TODAY()-C19))</f>
        <v>0</v>
      </c>
      <c r="AD19" s="1" t="s">
        <v>20</v>
      </c>
    </row>
    <row r="20" spans="1:30">
      <c r="A20" s="1">
        <v>17</v>
      </c>
      <c r="B20" s="1" t="s">
        <v>1553</v>
      </c>
      <c r="C20" s="5">
        <v>46145</v>
      </c>
      <c r="D20" s="1" t="s">
        <v>60</v>
      </c>
      <c r="E20" s="6" t="s">
        <v>1506</v>
      </c>
      <c r="F20" s="6" t="s">
        <v>1548</v>
      </c>
      <c r="G20" s="1" t="s">
        <v>1508</v>
      </c>
      <c r="H20" s="1" t="s">
        <v>5</v>
      </c>
      <c r="I20" s="1" t="s">
        <v>31</v>
      </c>
      <c r="J20" s="1" t="s">
        <v>1525</v>
      </c>
      <c r="K20" s="1" t="s">
        <v>1521</v>
      </c>
      <c r="L20" s="1" t="s">
        <v>31</v>
      </c>
      <c r="M20" s="1" t="s">
        <v>1538</v>
      </c>
      <c r="N20" s="1" t="s">
        <v>1518</v>
      </c>
      <c r="O20" s="1" t="s">
        <v>66</v>
      </c>
      <c r="P20" s="1" t="s">
        <v>1539</v>
      </c>
      <c r="Q20" s="1" t="s">
        <v>1554</v>
      </c>
      <c r="R20" s="1" t="s">
        <v>16</v>
      </c>
      <c r="S20" s="1" t="s">
        <v>1330</v>
      </c>
      <c r="T20" s="1" t="s">
        <v>1327</v>
      </c>
      <c r="U20" s="1" t="s">
        <v>147</v>
      </c>
      <c r="V20" s="1">
        <v>15</v>
      </c>
      <c r="W20" s="1" t="s">
        <v>61</v>
      </c>
      <c r="X20" s="1" t="s">
        <v>26</v>
      </c>
      <c r="Y20" s="1" t="s">
        <v>32</v>
      </c>
      <c r="Z20" s="5">
        <v>46178</v>
      </c>
      <c r="AA20" s="5">
        <v>46154</v>
      </c>
      <c r="AB20" s="1" t="s">
        <v>582</v>
      </c>
      <c r="AC20" s="9">
        <f>IF(C20="","",IF(AB20="Closed",AA20-C20,TODAY()-C20))</f>
        <v>0</v>
      </c>
      <c r="AD20" s="1" t="s">
        <v>64</v>
      </c>
    </row>
    <row r="21" spans="1:30">
      <c r="A21" s="1">
        <v>18</v>
      </c>
      <c r="B21" s="1" t="s">
        <v>1555</v>
      </c>
      <c r="C21" s="5">
        <v>46149</v>
      </c>
      <c r="D21" s="1" t="s">
        <v>60</v>
      </c>
      <c r="E21" s="6" t="s">
        <v>1506</v>
      </c>
      <c r="F21" s="6" t="s">
        <v>1548</v>
      </c>
      <c r="G21" s="1" t="s">
        <v>1508</v>
      </c>
      <c r="H21" s="1" t="s">
        <v>46</v>
      </c>
      <c r="I21" s="1" t="s">
        <v>80</v>
      </c>
      <c r="J21" s="1" t="s">
        <v>1516</v>
      </c>
      <c r="K21" s="1" t="s">
        <v>1510</v>
      </c>
      <c r="L21" s="1" t="s">
        <v>40</v>
      </c>
      <c r="M21" s="1" t="s">
        <v>1538</v>
      </c>
      <c r="N21" s="1" t="s">
        <v>1530</v>
      </c>
      <c r="O21" s="1" t="s">
        <v>15</v>
      </c>
      <c r="P21" s="1" t="s">
        <v>1539</v>
      </c>
      <c r="Q21" s="1" t="s">
        <v>1554</v>
      </c>
      <c r="R21" s="1" t="s">
        <v>64</v>
      </c>
      <c r="S21" s="1" t="s">
        <v>1522</v>
      </c>
      <c r="T21" s="1" t="s">
        <v>1327</v>
      </c>
      <c r="U21" s="1" t="s">
        <v>147</v>
      </c>
      <c r="V21" s="1">
        <v>9</v>
      </c>
      <c r="W21" s="1" t="s">
        <v>45</v>
      </c>
      <c r="X21" s="1" t="s">
        <v>45</v>
      </c>
      <c r="Y21" s="1" t="s">
        <v>70</v>
      </c>
      <c r="Z21" s="5">
        <v>46194</v>
      </c>
      <c r="AA21" s="5">
        <v>46161</v>
      </c>
      <c r="AB21" s="1" t="s">
        <v>582</v>
      </c>
      <c r="AC21" s="9">
        <f>IF(C21="","",IF(AB21="Closed",AA21-C21,TODAY()-C21))</f>
        <v>0</v>
      </c>
      <c r="AD21" s="1" t="s">
        <v>20</v>
      </c>
    </row>
    <row r="22" spans="1:30">
      <c r="A22" s="1">
        <v>19</v>
      </c>
      <c r="B22" s="1" t="s">
        <v>1556</v>
      </c>
      <c r="C22" s="5">
        <v>46152</v>
      </c>
      <c r="D22" s="1" t="s">
        <v>60</v>
      </c>
      <c r="E22" s="6" t="s">
        <v>1515</v>
      </c>
      <c r="F22" s="6" t="s">
        <v>1548</v>
      </c>
      <c r="G22" s="1" t="s">
        <v>1508</v>
      </c>
      <c r="H22" s="1" t="s">
        <v>46</v>
      </c>
      <c r="I22" s="1" t="s">
        <v>31</v>
      </c>
      <c r="J22" s="1" t="s">
        <v>1542</v>
      </c>
      <c r="K22" s="1" t="s">
        <v>1526</v>
      </c>
      <c r="L22" s="1" t="s">
        <v>82</v>
      </c>
      <c r="M22" s="1" t="s">
        <v>1522</v>
      </c>
      <c r="N22" s="1" t="s">
        <v>310</v>
      </c>
      <c r="O22" s="1" t="s">
        <v>93</v>
      </c>
      <c r="P22" s="1" t="s">
        <v>1539</v>
      </c>
      <c r="Q22" s="1" t="s">
        <v>1554</v>
      </c>
      <c r="R22" s="1" t="s">
        <v>12</v>
      </c>
      <c r="S22" s="1" t="s">
        <v>297</v>
      </c>
      <c r="T22" s="1" t="s">
        <v>1339</v>
      </c>
      <c r="U22" s="1" t="s">
        <v>142</v>
      </c>
      <c r="V22" s="1">
        <v>28</v>
      </c>
      <c r="W22" s="1" t="s">
        <v>49</v>
      </c>
      <c r="X22" s="1" t="s">
        <v>20</v>
      </c>
      <c r="Y22" s="1" t="s">
        <v>68</v>
      </c>
      <c r="Z22" s="5">
        <v>46188</v>
      </c>
      <c r="AA22" s="5">
        <v>46178</v>
      </c>
      <c r="AB22" s="1" t="s">
        <v>582</v>
      </c>
      <c r="AC22" s="9">
        <f>IF(C22="","",IF(AB22="Closed",AA22-C22,TODAY()-C22))</f>
        <v>0</v>
      </c>
      <c r="AD22" s="1" t="s">
        <v>91</v>
      </c>
    </row>
    <row r="23" spans="1:30">
      <c r="A23" s="1">
        <v>20</v>
      </c>
      <c r="B23" s="1" t="s">
        <v>1557</v>
      </c>
      <c r="C23" s="5">
        <v>46148</v>
      </c>
      <c r="D23" s="1" t="s">
        <v>60</v>
      </c>
      <c r="E23" s="6" t="s">
        <v>1506</v>
      </c>
      <c r="F23" s="6" t="s">
        <v>1548</v>
      </c>
      <c r="G23" s="1" t="s">
        <v>1508</v>
      </c>
      <c r="H23" s="1" t="s">
        <v>39</v>
      </c>
      <c r="I23" s="1" t="s">
        <v>82</v>
      </c>
      <c r="J23" s="1" t="s">
        <v>1509</v>
      </c>
      <c r="K23" s="1" t="s">
        <v>47</v>
      </c>
      <c r="L23" s="1" t="s">
        <v>51</v>
      </c>
      <c r="M23" s="1" t="s">
        <v>1543</v>
      </c>
      <c r="N23" s="1" t="s">
        <v>310</v>
      </c>
      <c r="O23" s="1" t="s">
        <v>32</v>
      </c>
      <c r="P23" s="1" t="s">
        <v>1534</v>
      </c>
      <c r="Q23" s="1" t="s">
        <v>1536</v>
      </c>
      <c r="R23" s="1" t="s">
        <v>54</v>
      </c>
      <c r="S23" s="1" t="s">
        <v>1330</v>
      </c>
      <c r="T23" s="1" t="s">
        <v>1327</v>
      </c>
      <c r="U23" s="1" t="s">
        <v>164</v>
      </c>
      <c r="V23" s="1">
        <v>21</v>
      </c>
      <c r="W23" s="1" t="s">
        <v>45</v>
      </c>
      <c r="X23" s="1" t="s">
        <v>12</v>
      </c>
      <c r="Y23" s="1" t="s">
        <v>93</v>
      </c>
      <c r="Z23" s="5">
        <v>46160</v>
      </c>
      <c r="AA23" s="5">
        <v>46157</v>
      </c>
      <c r="AB23" s="1" t="s">
        <v>582</v>
      </c>
      <c r="AC23" s="9">
        <f>IF(C23="","",IF(AB23="Closed",AA23-C23,TODAY()-C23))</f>
        <v>0</v>
      </c>
      <c r="AD23" s="1" t="s">
        <v>16</v>
      </c>
    </row>
    <row r="24" spans="1:30">
      <c r="A24" s="1">
        <v>21</v>
      </c>
      <c r="B24" s="1" t="s">
        <v>1558</v>
      </c>
      <c r="C24" s="5">
        <v>46151</v>
      </c>
      <c r="D24" s="1" t="s">
        <v>60</v>
      </c>
      <c r="E24" s="6" t="s">
        <v>1515</v>
      </c>
      <c r="F24" s="6" t="s">
        <v>1548</v>
      </c>
      <c r="G24" s="1" t="s">
        <v>1508</v>
      </c>
      <c r="H24" s="1" t="s">
        <v>89</v>
      </c>
      <c r="I24" s="1" t="s">
        <v>14</v>
      </c>
      <c r="J24" s="1" t="s">
        <v>1509</v>
      </c>
      <c r="K24" s="1" t="s">
        <v>1521</v>
      </c>
      <c r="L24" s="1" t="s">
        <v>35</v>
      </c>
      <c r="M24" s="1" t="s">
        <v>1517</v>
      </c>
      <c r="N24" s="1" t="s">
        <v>310</v>
      </c>
      <c r="O24" s="1" t="s">
        <v>78</v>
      </c>
      <c r="P24" s="1" t="s">
        <v>58</v>
      </c>
      <c r="Q24" s="1" t="s">
        <v>1559</v>
      </c>
      <c r="R24" s="1" t="s">
        <v>54</v>
      </c>
      <c r="S24" s="1" t="s">
        <v>1522</v>
      </c>
      <c r="T24" s="1" t="s">
        <v>1336</v>
      </c>
      <c r="U24" s="1" t="s">
        <v>164</v>
      </c>
      <c r="V24" s="1">
        <v>7</v>
      </c>
      <c r="W24" s="1" t="s">
        <v>61</v>
      </c>
      <c r="X24" s="1" t="s">
        <v>54</v>
      </c>
      <c r="Y24" s="1" t="s">
        <v>28</v>
      </c>
      <c r="Z24" s="5">
        <v>46185</v>
      </c>
      <c r="AA24" s="5">
        <v>46185</v>
      </c>
      <c r="AB24" s="1" t="s">
        <v>582</v>
      </c>
      <c r="AC24" s="9">
        <f>IF(C24="","",IF(AB24="Closed",AA24-C24,TODAY()-C24))</f>
        <v>0</v>
      </c>
      <c r="AD24" s="1" t="s">
        <v>12</v>
      </c>
    </row>
    <row r="25" spans="1:30">
      <c r="A25" s="1">
        <v>22</v>
      </c>
      <c r="B25" s="1" t="s">
        <v>1560</v>
      </c>
      <c r="C25" s="5">
        <v>46197</v>
      </c>
      <c r="D25" s="1" t="s">
        <v>73</v>
      </c>
      <c r="E25" s="6" t="s">
        <v>1529</v>
      </c>
      <c r="F25" s="6" t="s">
        <v>1548</v>
      </c>
      <c r="G25" s="1" t="s">
        <v>1508</v>
      </c>
      <c r="H25" s="1" t="s">
        <v>65</v>
      </c>
      <c r="I25" s="1" t="s">
        <v>51</v>
      </c>
      <c r="J25" s="1" t="s">
        <v>1520</v>
      </c>
      <c r="K25" s="1" t="s">
        <v>1521</v>
      </c>
      <c r="L25" s="1" t="s">
        <v>6</v>
      </c>
      <c r="M25" s="1" t="s">
        <v>1517</v>
      </c>
      <c r="N25" s="1" t="s">
        <v>1530</v>
      </c>
      <c r="O25" s="1" t="s">
        <v>15</v>
      </c>
      <c r="P25" s="1" t="s">
        <v>58</v>
      </c>
      <c r="Q25" s="1" t="s">
        <v>1559</v>
      </c>
      <c r="R25" s="1" t="s">
        <v>30</v>
      </c>
      <c r="S25" s="1" t="s">
        <v>297</v>
      </c>
      <c r="T25" s="1" t="s">
        <v>1339</v>
      </c>
      <c r="U25" s="1" t="s">
        <v>147</v>
      </c>
      <c r="V25" s="1">
        <v>27</v>
      </c>
      <c r="W25" s="1" t="s">
        <v>4</v>
      </c>
      <c r="X25" s="1" t="s">
        <v>26</v>
      </c>
      <c r="Y25" s="1" t="s">
        <v>62</v>
      </c>
      <c r="Z25" s="5">
        <v>46209</v>
      </c>
      <c r="AA25" s="5">
        <v>46231</v>
      </c>
      <c r="AB25" s="1" t="s">
        <v>582</v>
      </c>
      <c r="AC25" s="9">
        <f>IF(C25="","",IF(AB25="Closed",AA25-C25,TODAY()-C25))</f>
        <v>0</v>
      </c>
      <c r="AD25" s="1" t="s">
        <v>12</v>
      </c>
    </row>
    <row r="26" spans="1:30">
      <c r="A26" s="1">
        <v>23</v>
      </c>
      <c r="B26" s="1" t="s">
        <v>1561</v>
      </c>
      <c r="C26" s="5">
        <v>46185</v>
      </c>
      <c r="D26" s="1" t="s">
        <v>73</v>
      </c>
      <c r="E26" s="6" t="s">
        <v>1515</v>
      </c>
      <c r="F26" s="6" t="s">
        <v>1548</v>
      </c>
      <c r="G26" s="1" t="s">
        <v>1508</v>
      </c>
      <c r="H26" s="1" t="s">
        <v>39</v>
      </c>
      <c r="I26" s="1" t="s">
        <v>87</v>
      </c>
      <c r="J26" s="1" t="s">
        <v>1542</v>
      </c>
      <c r="K26" s="1" t="s">
        <v>1526</v>
      </c>
      <c r="L26" s="1" t="s">
        <v>77</v>
      </c>
      <c r="M26" s="1" t="s">
        <v>1517</v>
      </c>
      <c r="N26" s="1" t="s">
        <v>1562</v>
      </c>
      <c r="O26" s="1" t="s">
        <v>62</v>
      </c>
      <c r="P26" s="1" t="s">
        <v>1512</v>
      </c>
      <c r="Q26" s="1" t="s">
        <v>1531</v>
      </c>
      <c r="R26" s="1" t="s">
        <v>61</v>
      </c>
      <c r="S26" s="1" t="s">
        <v>302</v>
      </c>
      <c r="T26" s="1" t="s">
        <v>1357</v>
      </c>
      <c r="U26" s="1" t="s">
        <v>142</v>
      </c>
      <c r="V26" s="1">
        <v>1</v>
      </c>
      <c r="W26" s="1" t="s">
        <v>57</v>
      </c>
      <c r="X26" s="1" t="s">
        <v>4</v>
      </c>
      <c r="Y26" s="1" t="s">
        <v>78</v>
      </c>
      <c r="Z26" s="5">
        <v>46218</v>
      </c>
      <c r="AA26" s="5">
        <v>46192</v>
      </c>
      <c r="AB26" s="1" t="s">
        <v>582</v>
      </c>
      <c r="AC26" s="9">
        <f>IF(C26="","",IF(AB26="Closed",AA26-C26,TODAY()-C26))</f>
        <v>0</v>
      </c>
      <c r="AD26" s="1" t="s">
        <v>57</v>
      </c>
    </row>
    <row r="27" spans="1:30">
      <c r="A27" s="1">
        <v>24</v>
      </c>
      <c r="B27" s="1" t="s">
        <v>1563</v>
      </c>
      <c r="C27" s="5">
        <v>46179</v>
      </c>
      <c r="D27" s="1" t="s">
        <v>73</v>
      </c>
      <c r="E27" s="6" t="s">
        <v>1506</v>
      </c>
      <c r="F27" s="6" t="s">
        <v>1548</v>
      </c>
      <c r="G27" s="1" t="s">
        <v>1508</v>
      </c>
      <c r="H27" s="1" t="s">
        <v>27</v>
      </c>
      <c r="I27" s="1" t="s">
        <v>31</v>
      </c>
      <c r="J27" s="1" t="s">
        <v>1516</v>
      </c>
      <c r="K27" s="1" t="s">
        <v>1521</v>
      </c>
      <c r="L27" s="1" t="s">
        <v>87</v>
      </c>
      <c r="M27" s="1" t="s">
        <v>1538</v>
      </c>
      <c r="N27" s="1" t="s">
        <v>1530</v>
      </c>
      <c r="O27" s="1" t="s">
        <v>15</v>
      </c>
      <c r="P27" s="1" t="s">
        <v>1539</v>
      </c>
      <c r="Q27" s="1" t="s">
        <v>1559</v>
      </c>
      <c r="R27" s="1" t="s">
        <v>61</v>
      </c>
      <c r="S27" s="1" t="s">
        <v>1330</v>
      </c>
      <c r="T27" s="1" t="s">
        <v>1339</v>
      </c>
      <c r="U27" s="1" t="s">
        <v>151</v>
      </c>
      <c r="V27" s="1">
        <v>11</v>
      </c>
      <c r="W27" s="1" t="s">
        <v>4</v>
      </c>
      <c r="X27" s="1" t="s">
        <v>49</v>
      </c>
      <c r="Y27" s="1" t="s">
        <v>41</v>
      </c>
      <c r="Z27" s="5">
        <v>46200</v>
      </c>
      <c r="AA27" s="5">
        <v>46192</v>
      </c>
      <c r="AB27" s="1" t="s">
        <v>582</v>
      </c>
      <c r="AC27" s="9">
        <f>IF(C27="","",IF(AB27="Closed",AA27-C27,TODAY()-C27))</f>
        <v>0</v>
      </c>
      <c r="AD27" s="1" t="s">
        <v>57</v>
      </c>
    </row>
    <row r="28" spans="1:30">
      <c r="A28" s="1">
        <v>25</v>
      </c>
      <c r="B28" s="1" t="s">
        <v>1564</v>
      </c>
      <c r="C28" s="5">
        <v>46211</v>
      </c>
      <c r="D28" s="1" t="s">
        <v>76</v>
      </c>
      <c r="E28" s="6" t="s">
        <v>1515</v>
      </c>
      <c r="F28" s="6" t="s">
        <v>1565</v>
      </c>
      <c r="G28" s="1" t="s">
        <v>1508</v>
      </c>
      <c r="H28" s="1" t="s">
        <v>5</v>
      </c>
      <c r="I28" s="1" t="s">
        <v>40</v>
      </c>
      <c r="J28" s="1" t="s">
        <v>1542</v>
      </c>
      <c r="K28" s="1" t="s">
        <v>47</v>
      </c>
      <c r="L28" s="1" t="s">
        <v>35</v>
      </c>
      <c r="M28" s="1" t="s">
        <v>1538</v>
      </c>
      <c r="N28" s="1" t="s">
        <v>1562</v>
      </c>
      <c r="O28" s="1" t="s">
        <v>36</v>
      </c>
      <c r="P28" s="1" t="s">
        <v>1539</v>
      </c>
      <c r="Q28" s="1" t="s">
        <v>1523</v>
      </c>
      <c r="R28" s="1" t="s">
        <v>4</v>
      </c>
      <c r="S28" s="1" t="s">
        <v>297</v>
      </c>
      <c r="T28" s="1" t="s">
        <v>1336</v>
      </c>
      <c r="U28" s="1" t="s">
        <v>147</v>
      </c>
      <c r="V28" s="1">
        <v>13</v>
      </c>
      <c r="W28" s="1" t="s">
        <v>91</v>
      </c>
      <c r="X28" s="1" t="s">
        <v>20</v>
      </c>
      <c r="Y28" s="1" t="s">
        <v>66</v>
      </c>
      <c r="Z28" s="5">
        <v>46243</v>
      </c>
      <c r="AA28" s="5">
        <v>46252</v>
      </c>
      <c r="AB28" s="1" t="s">
        <v>582</v>
      </c>
      <c r="AC28" s="9">
        <f>IF(C28="","",IF(AB28="Closed",AA28-C28,TODAY()-C28))</f>
        <v>0</v>
      </c>
      <c r="AD28" s="1" t="s">
        <v>38</v>
      </c>
    </row>
    <row r="29" spans="1:30">
      <c r="A29" s="1">
        <v>26</v>
      </c>
      <c r="B29" s="1" t="s">
        <v>1566</v>
      </c>
      <c r="C29" s="5">
        <v>46225</v>
      </c>
      <c r="D29" s="1" t="s">
        <v>76</v>
      </c>
      <c r="E29" s="6" t="s">
        <v>1529</v>
      </c>
      <c r="F29" s="6" t="s">
        <v>1565</v>
      </c>
      <c r="G29" s="1" t="s">
        <v>1508</v>
      </c>
      <c r="H29" s="1" t="s">
        <v>92</v>
      </c>
      <c r="I29" s="1" t="s">
        <v>21</v>
      </c>
      <c r="J29" s="1" t="s">
        <v>1516</v>
      </c>
      <c r="K29" s="1" t="s">
        <v>1521</v>
      </c>
      <c r="L29" s="1" t="s">
        <v>80</v>
      </c>
      <c r="M29" s="1" t="s">
        <v>1543</v>
      </c>
      <c r="N29" s="1" t="s">
        <v>1530</v>
      </c>
      <c r="O29" s="1" t="s">
        <v>78</v>
      </c>
      <c r="P29" s="1" t="s">
        <v>1539</v>
      </c>
      <c r="Q29" s="1" t="s">
        <v>1536</v>
      </c>
      <c r="R29" s="1" t="s">
        <v>64</v>
      </c>
      <c r="S29" s="1" t="s">
        <v>1522</v>
      </c>
      <c r="T29" s="1" t="s">
        <v>1339</v>
      </c>
      <c r="U29" s="1" t="s">
        <v>147</v>
      </c>
      <c r="V29" s="1">
        <v>7</v>
      </c>
      <c r="W29" s="1" t="s">
        <v>54</v>
      </c>
      <c r="X29" s="1" t="s">
        <v>61</v>
      </c>
      <c r="Y29" s="1" t="s">
        <v>15</v>
      </c>
      <c r="Z29" s="5">
        <v>46252</v>
      </c>
      <c r="AA29" s="5">
        <v>46267</v>
      </c>
      <c r="AB29" s="1" t="s">
        <v>582</v>
      </c>
      <c r="AC29" s="9">
        <f>IF(C29="","",IF(AB29="Closed",AA29-C29,TODAY()-C29))</f>
        <v>0</v>
      </c>
      <c r="AD29" s="1" t="s">
        <v>64</v>
      </c>
    </row>
    <row r="30" spans="1:30">
      <c r="A30" s="1">
        <v>27</v>
      </c>
      <c r="B30" s="1" t="s">
        <v>1567</v>
      </c>
      <c r="C30" s="5">
        <v>46219</v>
      </c>
      <c r="D30" s="1" t="s">
        <v>76</v>
      </c>
      <c r="E30" s="6" t="s">
        <v>1533</v>
      </c>
      <c r="F30" s="6" t="s">
        <v>1565</v>
      </c>
      <c r="G30" s="1" t="s">
        <v>1508</v>
      </c>
      <c r="H30" s="1" t="s">
        <v>65</v>
      </c>
      <c r="I30" s="1" t="s">
        <v>35</v>
      </c>
      <c r="J30" s="1" t="s">
        <v>1520</v>
      </c>
      <c r="K30" s="1" t="s">
        <v>47</v>
      </c>
      <c r="L30" s="1" t="s">
        <v>35</v>
      </c>
      <c r="M30" s="1" t="s">
        <v>1543</v>
      </c>
      <c r="N30" s="1" t="s">
        <v>310</v>
      </c>
      <c r="O30" s="1" t="s">
        <v>7</v>
      </c>
      <c r="P30" s="1" t="s">
        <v>58</v>
      </c>
      <c r="Q30" s="1" t="s">
        <v>1531</v>
      </c>
      <c r="R30" s="1" t="s">
        <v>64</v>
      </c>
      <c r="S30" s="1" t="s">
        <v>297</v>
      </c>
      <c r="T30" s="1" t="s">
        <v>297</v>
      </c>
      <c r="U30" s="1" t="s">
        <v>151</v>
      </c>
      <c r="V30" s="1">
        <v>5</v>
      </c>
      <c r="W30" s="1" t="s">
        <v>57</v>
      </c>
      <c r="X30" s="1" t="s">
        <v>57</v>
      </c>
      <c r="Y30" s="1" t="s">
        <v>104</v>
      </c>
      <c r="Z30" s="5">
        <v>46232</v>
      </c>
      <c r="AA30" s="5">
        <v>46241</v>
      </c>
      <c r="AB30" s="1" t="s">
        <v>582</v>
      </c>
      <c r="AC30" s="9">
        <f>IF(C30="","",IF(AB30="Closed",AA30-C30,TODAY()-C30))</f>
        <v>0</v>
      </c>
      <c r="AD30" s="1" t="s">
        <v>91</v>
      </c>
    </row>
    <row r="31" spans="1:30">
      <c r="A31" s="1">
        <v>28</v>
      </c>
      <c r="B31" s="1" t="s">
        <v>1568</v>
      </c>
      <c r="C31" s="5">
        <v>46226</v>
      </c>
      <c r="D31" s="1" t="s">
        <v>76</v>
      </c>
      <c r="E31" s="6" t="s">
        <v>1529</v>
      </c>
      <c r="F31" s="6" t="s">
        <v>1565</v>
      </c>
      <c r="G31" s="1" t="s">
        <v>1508</v>
      </c>
      <c r="H31" s="1" t="s">
        <v>89</v>
      </c>
      <c r="I31" s="1" t="s">
        <v>14</v>
      </c>
      <c r="J31" s="1" t="s">
        <v>1569</v>
      </c>
      <c r="K31" s="1" t="s">
        <v>1521</v>
      </c>
      <c r="L31" s="1" t="s">
        <v>80</v>
      </c>
      <c r="M31" s="1" t="s">
        <v>1511</v>
      </c>
      <c r="N31" s="1" t="s">
        <v>1530</v>
      </c>
      <c r="O31" s="1" t="s">
        <v>104</v>
      </c>
      <c r="P31" s="1" t="s">
        <v>58</v>
      </c>
      <c r="Q31" s="1" t="s">
        <v>1536</v>
      </c>
      <c r="R31" s="1" t="s">
        <v>16</v>
      </c>
      <c r="S31" s="1" t="s">
        <v>297</v>
      </c>
      <c r="T31" s="1" t="s">
        <v>1357</v>
      </c>
      <c r="U31" s="1" t="s">
        <v>164</v>
      </c>
      <c r="V31" s="1">
        <v>7</v>
      </c>
      <c r="W31" s="1" t="s">
        <v>4</v>
      </c>
      <c r="X31" s="1" t="s">
        <v>4</v>
      </c>
      <c r="Y31" s="1" t="s">
        <v>68</v>
      </c>
      <c r="Z31" s="5">
        <v>46251</v>
      </c>
      <c r="AA31" s="5">
        <v>46259</v>
      </c>
      <c r="AB31" s="1" t="s">
        <v>582</v>
      </c>
      <c r="AC31" s="9">
        <f>IF(C31="","",IF(AB31="Closed",AA31-C31,TODAY()-C31))</f>
        <v>0</v>
      </c>
      <c r="AD31" s="1" t="s">
        <v>57</v>
      </c>
    </row>
    <row r="32" spans="1:30">
      <c r="A32" s="1">
        <v>29</v>
      </c>
      <c r="B32" s="1" t="s">
        <v>1570</v>
      </c>
      <c r="C32" s="5">
        <v>46225</v>
      </c>
      <c r="D32" s="1" t="s">
        <v>76</v>
      </c>
      <c r="E32" s="6" t="s">
        <v>1529</v>
      </c>
      <c r="F32" s="6" t="s">
        <v>1565</v>
      </c>
      <c r="G32" s="1" t="s">
        <v>1508</v>
      </c>
      <c r="H32" s="1" t="s">
        <v>65</v>
      </c>
      <c r="I32" s="1" t="s">
        <v>40</v>
      </c>
      <c r="J32" s="1" t="s">
        <v>1569</v>
      </c>
      <c r="K32" s="1" t="s">
        <v>1510</v>
      </c>
      <c r="L32" s="1" t="s">
        <v>35</v>
      </c>
      <c r="M32" s="1" t="s">
        <v>1538</v>
      </c>
      <c r="N32" s="1" t="s">
        <v>310</v>
      </c>
      <c r="O32" s="1" t="s">
        <v>62</v>
      </c>
      <c r="P32" s="1" t="s">
        <v>58</v>
      </c>
      <c r="Q32" s="1" t="s">
        <v>1540</v>
      </c>
      <c r="R32" s="1" t="s">
        <v>61</v>
      </c>
      <c r="S32" s="1" t="s">
        <v>302</v>
      </c>
      <c r="T32" s="1" t="s">
        <v>1336</v>
      </c>
      <c r="U32" s="1" t="s">
        <v>147</v>
      </c>
      <c r="V32" s="1">
        <v>0</v>
      </c>
      <c r="W32" s="1" t="s">
        <v>49</v>
      </c>
      <c r="X32" s="1" t="s">
        <v>12</v>
      </c>
      <c r="Y32" s="1" t="s">
        <v>104</v>
      </c>
      <c r="Z32" s="5">
        <v>46234</v>
      </c>
      <c r="AA32" s="5">
        <v>46253</v>
      </c>
      <c r="AB32" s="1" t="s">
        <v>226</v>
      </c>
      <c r="AC32" s="9">
        <f>IF(C32="","",IF(AB32="Closed",AA32-C32,TODAY()-C32))</f>
        <v>0</v>
      </c>
      <c r="AD32" s="1" t="s">
        <v>16</v>
      </c>
    </row>
    <row r="33" spans="1:30">
      <c r="A33" s="1">
        <v>30</v>
      </c>
      <c r="B33" s="1" t="s">
        <v>1571</v>
      </c>
      <c r="C33" s="5">
        <v>46243</v>
      </c>
      <c r="D33" s="1" t="s">
        <v>86</v>
      </c>
      <c r="E33" s="6" t="s">
        <v>1515</v>
      </c>
      <c r="F33" s="6" t="s">
        <v>1565</v>
      </c>
      <c r="G33" s="1" t="s">
        <v>1508</v>
      </c>
      <c r="H33" s="1" t="s">
        <v>39</v>
      </c>
      <c r="I33" s="1" t="s">
        <v>77</v>
      </c>
      <c r="J33" s="1" t="s">
        <v>1516</v>
      </c>
      <c r="K33" s="1" t="s">
        <v>1526</v>
      </c>
      <c r="L33" s="1" t="s">
        <v>95</v>
      </c>
      <c r="M33" s="1" t="s">
        <v>1538</v>
      </c>
      <c r="N33" s="1" t="s">
        <v>310</v>
      </c>
      <c r="O33" s="1" t="s">
        <v>15</v>
      </c>
      <c r="P33" s="1" t="s">
        <v>58</v>
      </c>
      <c r="Q33" s="1" t="s">
        <v>1559</v>
      </c>
      <c r="R33" s="1" t="s">
        <v>61</v>
      </c>
      <c r="S33" s="1" t="s">
        <v>1330</v>
      </c>
      <c r="T33" s="1" t="s">
        <v>1339</v>
      </c>
      <c r="U33" s="1" t="s">
        <v>142</v>
      </c>
      <c r="V33" s="1">
        <v>16</v>
      </c>
      <c r="W33" s="1" t="s">
        <v>16</v>
      </c>
      <c r="X33" s="1" t="s">
        <v>12</v>
      </c>
      <c r="Y33" s="1" t="s">
        <v>104</v>
      </c>
      <c r="Z33" s="5">
        <v>46251</v>
      </c>
      <c r="AA33" s="5">
        <v>46255</v>
      </c>
      <c r="AB33" s="1" t="s">
        <v>1144</v>
      </c>
      <c r="AC33" s="9">
        <f>IF(C33="","",IF(AB33="Closed",AA33-C33,TODAY()-C33))</f>
        <v>0</v>
      </c>
      <c r="AD33" s="1" t="s">
        <v>54</v>
      </c>
    </row>
    <row r="34" spans="1:30">
      <c r="A34" s="1">
        <v>31</v>
      </c>
      <c r="B34" s="1" t="s">
        <v>1572</v>
      </c>
      <c r="C34" s="5">
        <v>46252</v>
      </c>
      <c r="D34" s="1" t="s">
        <v>86</v>
      </c>
      <c r="E34" s="6" t="s">
        <v>1533</v>
      </c>
      <c r="F34" s="6" t="s">
        <v>1565</v>
      </c>
      <c r="G34" s="1" t="s">
        <v>1508</v>
      </c>
      <c r="H34" s="1" t="s">
        <v>5</v>
      </c>
      <c r="I34" s="1" t="s">
        <v>77</v>
      </c>
      <c r="J34" s="1" t="s">
        <v>1520</v>
      </c>
      <c r="K34" s="1" t="s">
        <v>47</v>
      </c>
      <c r="L34" s="1" t="s">
        <v>87</v>
      </c>
      <c r="M34" s="1" t="s">
        <v>1522</v>
      </c>
      <c r="N34" s="1" t="s">
        <v>1530</v>
      </c>
      <c r="O34" s="1" t="s">
        <v>28</v>
      </c>
      <c r="P34" s="1" t="s">
        <v>1512</v>
      </c>
      <c r="Q34" s="1" t="s">
        <v>1545</v>
      </c>
      <c r="R34" s="1" t="s">
        <v>49</v>
      </c>
      <c r="S34" s="1" t="s">
        <v>302</v>
      </c>
      <c r="T34" s="1" t="s">
        <v>1327</v>
      </c>
      <c r="U34" s="1" t="s">
        <v>142</v>
      </c>
      <c r="V34" s="1">
        <v>26</v>
      </c>
      <c r="W34" s="1" t="s">
        <v>49</v>
      </c>
      <c r="X34" s="1" t="s">
        <v>91</v>
      </c>
      <c r="Y34" s="1" t="s">
        <v>104</v>
      </c>
      <c r="Z34" s="5">
        <v>46267</v>
      </c>
      <c r="AA34" s="5">
        <v>46288</v>
      </c>
      <c r="AB34" s="1" t="s">
        <v>582</v>
      </c>
      <c r="AC34" s="9">
        <f>IF(C34="","",IF(AB34="Closed",AA34-C34,TODAY()-C34))</f>
        <v>0</v>
      </c>
      <c r="AD34" s="1" t="s">
        <v>12</v>
      </c>
    </row>
    <row r="35" spans="1:30">
      <c r="A35" s="1">
        <v>32</v>
      </c>
      <c r="B35" s="1" t="s">
        <v>1573</v>
      </c>
      <c r="C35" s="5">
        <v>46250</v>
      </c>
      <c r="D35" s="1" t="s">
        <v>86</v>
      </c>
      <c r="E35" s="6" t="s">
        <v>1533</v>
      </c>
      <c r="F35" s="6" t="s">
        <v>1565</v>
      </c>
      <c r="G35" s="1" t="s">
        <v>1508</v>
      </c>
      <c r="H35" s="1" t="s">
        <v>58</v>
      </c>
      <c r="I35" s="1" t="s">
        <v>80</v>
      </c>
      <c r="J35" s="1" t="s">
        <v>1569</v>
      </c>
      <c r="K35" s="1" t="s">
        <v>47</v>
      </c>
      <c r="L35" s="1" t="s">
        <v>14</v>
      </c>
      <c r="M35" s="1" t="s">
        <v>1543</v>
      </c>
      <c r="N35" s="1" t="s">
        <v>1530</v>
      </c>
      <c r="O35" s="1" t="s">
        <v>41</v>
      </c>
      <c r="P35" s="1" t="s">
        <v>1534</v>
      </c>
      <c r="Q35" s="1" t="s">
        <v>1513</v>
      </c>
      <c r="R35" s="1" t="s">
        <v>38</v>
      </c>
      <c r="S35" s="1" t="s">
        <v>1330</v>
      </c>
      <c r="T35" s="1" t="s">
        <v>1336</v>
      </c>
      <c r="U35" s="1" t="s">
        <v>147</v>
      </c>
      <c r="V35" s="1">
        <v>5</v>
      </c>
      <c r="W35" s="1" t="s">
        <v>61</v>
      </c>
      <c r="X35" s="1" t="s">
        <v>54</v>
      </c>
      <c r="Y35" s="1" t="s">
        <v>93</v>
      </c>
      <c r="Z35" s="5">
        <v>46273</v>
      </c>
      <c r="AA35" s="5">
        <v>46267</v>
      </c>
      <c r="AB35" s="1" t="s">
        <v>582</v>
      </c>
      <c r="AC35" s="9">
        <f>IF(C35="","",IF(AB35="Closed",AA35-C35,TODAY()-C35))</f>
        <v>0</v>
      </c>
      <c r="AD35" s="1" t="s">
        <v>16</v>
      </c>
    </row>
    <row r="36" spans="1:30">
      <c r="A36" s="1">
        <v>33</v>
      </c>
      <c r="B36" s="1" t="s">
        <v>1574</v>
      </c>
      <c r="C36" s="5">
        <v>46281</v>
      </c>
      <c r="D36" s="1" t="s">
        <v>102</v>
      </c>
      <c r="E36" s="6" t="s">
        <v>1533</v>
      </c>
      <c r="F36" s="6" t="s">
        <v>1565</v>
      </c>
      <c r="G36" s="1" t="s">
        <v>1508</v>
      </c>
      <c r="H36" s="1" t="s">
        <v>5</v>
      </c>
      <c r="I36" s="1" t="s">
        <v>31</v>
      </c>
      <c r="J36" s="1" t="s">
        <v>1569</v>
      </c>
      <c r="K36" s="1" t="s">
        <v>1526</v>
      </c>
      <c r="L36" s="1" t="s">
        <v>35</v>
      </c>
      <c r="M36" s="1" t="s">
        <v>1543</v>
      </c>
      <c r="N36" s="1" t="s">
        <v>310</v>
      </c>
      <c r="O36" s="1" t="s">
        <v>32</v>
      </c>
      <c r="P36" s="1" t="s">
        <v>1539</v>
      </c>
      <c r="Q36" s="1" t="s">
        <v>1545</v>
      </c>
      <c r="R36" s="1" t="s">
        <v>54</v>
      </c>
      <c r="S36" s="1" t="s">
        <v>302</v>
      </c>
      <c r="T36" s="1" t="s">
        <v>1330</v>
      </c>
      <c r="U36" s="1" t="s">
        <v>147</v>
      </c>
      <c r="V36" s="1">
        <v>13</v>
      </c>
      <c r="W36" s="1" t="s">
        <v>64</v>
      </c>
      <c r="X36" s="1" t="s">
        <v>61</v>
      </c>
      <c r="Y36" s="1" t="s">
        <v>41</v>
      </c>
      <c r="Z36" s="5">
        <v>46300</v>
      </c>
      <c r="AA36" s="5">
        <v>46322</v>
      </c>
      <c r="AB36" s="1" t="s">
        <v>226</v>
      </c>
      <c r="AC36" s="9">
        <f>IF(C36="","",IF(AB36="Closed",AA36-C36,TODAY()-C36))</f>
        <v>0</v>
      </c>
      <c r="AD36" s="1" t="s">
        <v>45</v>
      </c>
    </row>
    <row r="37" spans="1:30">
      <c r="A37" s="1">
        <v>34</v>
      </c>
      <c r="B37" s="1" t="s">
        <v>1575</v>
      </c>
      <c r="C37" s="5">
        <v>46279</v>
      </c>
      <c r="D37" s="1" t="s">
        <v>102</v>
      </c>
      <c r="E37" s="6" t="s">
        <v>1515</v>
      </c>
      <c r="F37" s="6" t="s">
        <v>1565</v>
      </c>
      <c r="G37" s="1" t="s">
        <v>1508</v>
      </c>
      <c r="H37" s="1" t="s">
        <v>27</v>
      </c>
      <c r="I37" s="1" t="s">
        <v>21</v>
      </c>
      <c r="J37" s="1" t="s">
        <v>1516</v>
      </c>
      <c r="K37" s="1" t="s">
        <v>1521</v>
      </c>
      <c r="L37" s="1" t="s">
        <v>21</v>
      </c>
      <c r="M37" s="1" t="s">
        <v>1543</v>
      </c>
      <c r="N37" s="1" t="s">
        <v>310</v>
      </c>
      <c r="O37" s="1" t="s">
        <v>62</v>
      </c>
      <c r="P37" s="1" t="s">
        <v>1534</v>
      </c>
      <c r="Q37" s="1" t="s">
        <v>1513</v>
      </c>
      <c r="R37" s="1" t="s">
        <v>4</v>
      </c>
      <c r="S37" s="1" t="s">
        <v>302</v>
      </c>
      <c r="T37" s="1" t="s">
        <v>1336</v>
      </c>
      <c r="U37" s="1" t="s">
        <v>147</v>
      </c>
      <c r="V37" s="1">
        <v>19</v>
      </c>
      <c r="W37" s="1" t="s">
        <v>91</v>
      </c>
      <c r="X37" s="1" t="s">
        <v>64</v>
      </c>
      <c r="Y37" s="1" t="s">
        <v>104</v>
      </c>
      <c r="Z37" s="5">
        <v>46318</v>
      </c>
      <c r="AA37" s="5">
        <v>46299</v>
      </c>
      <c r="AB37" s="1" t="s">
        <v>582</v>
      </c>
      <c r="AC37" s="9">
        <f>IF(C37="","",IF(AB37="Closed",AA37-C37,TODAY()-C37))</f>
        <v>0</v>
      </c>
      <c r="AD37" s="1" t="s">
        <v>20</v>
      </c>
    </row>
    <row r="38" spans="1:30">
      <c r="A38" s="1">
        <v>35</v>
      </c>
      <c r="B38" s="1" t="s">
        <v>1576</v>
      </c>
      <c r="C38" s="5">
        <v>46288</v>
      </c>
      <c r="D38" s="1" t="s">
        <v>102</v>
      </c>
      <c r="E38" s="6" t="s">
        <v>1529</v>
      </c>
      <c r="F38" s="6" t="s">
        <v>1565</v>
      </c>
      <c r="G38" s="1" t="s">
        <v>1508</v>
      </c>
      <c r="H38" s="1" t="s">
        <v>13</v>
      </c>
      <c r="I38" s="1" t="s">
        <v>31</v>
      </c>
      <c r="J38" s="1" t="s">
        <v>1516</v>
      </c>
      <c r="K38" s="1" t="s">
        <v>1526</v>
      </c>
      <c r="L38" s="1" t="s">
        <v>95</v>
      </c>
      <c r="M38" s="1" t="s">
        <v>1511</v>
      </c>
      <c r="N38" s="1" t="s">
        <v>310</v>
      </c>
      <c r="O38" s="1" t="s">
        <v>70</v>
      </c>
      <c r="P38" s="1" t="s">
        <v>58</v>
      </c>
      <c r="Q38" s="1" t="s">
        <v>1536</v>
      </c>
      <c r="R38" s="1" t="s">
        <v>20</v>
      </c>
      <c r="S38" s="1" t="s">
        <v>297</v>
      </c>
      <c r="T38" s="1" t="s">
        <v>1330</v>
      </c>
      <c r="U38" s="1" t="s">
        <v>142</v>
      </c>
      <c r="V38" s="1">
        <v>12</v>
      </c>
      <c r="W38" s="1" t="s">
        <v>45</v>
      </c>
      <c r="X38" s="1" t="s">
        <v>54</v>
      </c>
      <c r="Y38" s="1" t="s">
        <v>104</v>
      </c>
      <c r="Z38" s="5">
        <v>46330</v>
      </c>
      <c r="AA38" s="5">
        <v>46312</v>
      </c>
      <c r="AB38" s="1" t="s">
        <v>582</v>
      </c>
      <c r="AC38" s="9">
        <f>IF(C38="","",IF(AB38="Closed",AA38-C38,TODAY()-C38))</f>
        <v>0</v>
      </c>
      <c r="AD38" s="1" t="s">
        <v>64</v>
      </c>
    </row>
    <row r="39" spans="1:30">
      <c r="A39" s="1">
        <v>36</v>
      </c>
      <c r="B39" s="1" t="s">
        <v>1577</v>
      </c>
      <c r="C39" s="5">
        <v>46282</v>
      </c>
      <c r="D39" s="1" t="s">
        <v>102</v>
      </c>
      <c r="E39" s="6" t="s">
        <v>1533</v>
      </c>
      <c r="F39" s="6" t="s">
        <v>1565</v>
      </c>
      <c r="G39" s="1" t="s">
        <v>1508</v>
      </c>
      <c r="H39" s="1" t="s">
        <v>92</v>
      </c>
      <c r="I39" s="1" t="s">
        <v>40</v>
      </c>
      <c r="J39" s="1" t="s">
        <v>1520</v>
      </c>
      <c r="K39" s="1" t="s">
        <v>1510</v>
      </c>
      <c r="L39" s="1" t="s">
        <v>51</v>
      </c>
      <c r="M39" s="1" t="s">
        <v>1517</v>
      </c>
      <c r="N39" s="1" t="s">
        <v>1530</v>
      </c>
      <c r="O39" s="1" t="s">
        <v>36</v>
      </c>
      <c r="P39" s="1" t="s">
        <v>1534</v>
      </c>
      <c r="Q39" s="1" t="s">
        <v>1523</v>
      </c>
      <c r="R39" s="1" t="s">
        <v>20</v>
      </c>
      <c r="S39" s="1" t="s">
        <v>302</v>
      </c>
      <c r="T39" s="1" t="s">
        <v>297</v>
      </c>
      <c r="U39" s="1" t="s">
        <v>164</v>
      </c>
      <c r="V39" s="1">
        <v>7</v>
      </c>
      <c r="W39" s="1" t="s">
        <v>12</v>
      </c>
      <c r="X39" s="1" t="s">
        <v>91</v>
      </c>
      <c r="Y39" s="1" t="s">
        <v>104</v>
      </c>
      <c r="Z39" s="5">
        <v>46299</v>
      </c>
      <c r="AA39" s="5">
        <v>46318</v>
      </c>
      <c r="AB39" s="1" t="s">
        <v>582</v>
      </c>
      <c r="AC39" s="9">
        <f>IF(C39="","",IF(AB39="Closed",AA39-C39,TODAY()-C39))</f>
        <v>0</v>
      </c>
      <c r="AD39" s="1" t="s">
        <v>57</v>
      </c>
    </row>
    <row r="40" spans="1:30">
      <c r="A40" s="1">
        <v>37</v>
      </c>
      <c r="B40" s="1" t="s">
        <v>1578</v>
      </c>
      <c r="C40" s="5">
        <v>46291</v>
      </c>
      <c r="D40" s="1" t="s">
        <v>102</v>
      </c>
      <c r="E40" s="6" t="s">
        <v>1529</v>
      </c>
      <c r="F40" s="6" t="s">
        <v>1565</v>
      </c>
      <c r="G40" s="1" t="s">
        <v>1508</v>
      </c>
      <c r="H40" s="1" t="s">
        <v>46</v>
      </c>
      <c r="I40" s="1" t="s">
        <v>95</v>
      </c>
      <c r="J40" s="1" t="s">
        <v>1520</v>
      </c>
      <c r="K40" s="1" t="s">
        <v>1521</v>
      </c>
      <c r="L40" s="1" t="s">
        <v>35</v>
      </c>
      <c r="M40" s="1" t="s">
        <v>1538</v>
      </c>
      <c r="N40" s="1" t="s">
        <v>310</v>
      </c>
      <c r="O40" s="1" t="s">
        <v>22</v>
      </c>
      <c r="P40" s="1" t="s">
        <v>1534</v>
      </c>
      <c r="Q40" s="1" t="s">
        <v>1523</v>
      </c>
      <c r="R40" s="1" t="s">
        <v>61</v>
      </c>
      <c r="S40" s="1" t="s">
        <v>1522</v>
      </c>
      <c r="T40" s="1" t="s">
        <v>1330</v>
      </c>
      <c r="U40" s="1" t="s">
        <v>142</v>
      </c>
      <c r="V40" s="1">
        <v>29</v>
      </c>
      <c r="W40" s="1" t="s">
        <v>91</v>
      </c>
      <c r="X40" s="1" t="s">
        <v>12</v>
      </c>
      <c r="Y40" s="1" t="s">
        <v>15</v>
      </c>
      <c r="Z40" s="5">
        <v>46301</v>
      </c>
      <c r="AA40" s="5">
        <v>46320</v>
      </c>
      <c r="AB40" s="1" t="s">
        <v>582</v>
      </c>
      <c r="AC40" s="9">
        <f>IF(C40="","",IF(AB40="Closed",AA40-C40,TODAY()-C40))</f>
        <v>0</v>
      </c>
      <c r="AD40" s="1" t="s">
        <v>64</v>
      </c>
    </row>
    <row r="41" spans="1:30">
      <c r="A41" s="1">
        <v>38</v>
      </c>
      <c r="B41" s="1" t="s">
        <v>1579</v>
      </c>
      <c r="C41" s="5">
        <v>46290</v>
      </c>
      <c r="D41" s="1" t="s">
        <v>102</v>
      </c>
      <c r="E41" s="6" t="s">
        <v>1529</v>
      </c>
      <c r="F41" s="6" t="s">
        <v>1565</v>
      </c>
      <c r="G41" s="1" t="s">
        <v>1508</v>
      </c>
      <c r="H41" s="1" t="s">
        <v>39</v>
      </c>
      <c r="I41" s="1" t="s">
        <v>82</v>
      </c>
      <c r="J41" s="1" t="s">
        <v>1509</v>
      </c>
      <c r="K41" s="1" t="s">
        <v>47</v>
      </c>
      <c r="L41" s="1" t="s">
        <v>6</v>
      </c>
      <c r="M41" s="1" t="s">
        <v>1511</v>
      </c>
      <c r="N41" s="1" t="s">
        <v>310</v>
      </c>
      <c r="O41" s="1" t="s">
        <v>66</v>
      </c>
      <c r="P41" s="1" t="s">
        <v>58</v>
      </c>
      <c r="Q41" s="1" t="s">
        <v>1531</v>
      </c>
      <c r="R41" s="1" t="s">
        <v>54</v>
      </c>
      <c r="S41" s="1" t="s">
        <v>302</v>
      </c>
      <c r="T41" s="1" t="s">
        <v>1327</v>
      </c>
      <c r="U41" s="1" t="s">
        <v>147</v>
      </c>
      <c r="V41" s="1">
        <v>23</v>
      </c>
      <c r="W41" s="1" t="s">
        <v>20</v>
      </c>
      <c r="X41" s="1" t="s">
        <v>91</v>
      </c>
      <c r="Y41" s="1" t="s">
        <v>70</v>
      </c>
      <c r="Z41" s="5">
        <v>46317</v>
      </c>
      <c r="AA41" s="5">
        <v>46330</v>
      </c>
      <c r="AB41" s="1" t="s">
        <v>582</v>
      </c>
      <c r="AC41" s="9">
        <f>IF(C41="","",IF(AB41="Closed",AA41-C41,TODAY()-C41))</f>
        <v>0</v>
      </c>
      <c r="AD41" s="1" t="s">
        <v>12</v>
      </c>
    </row>
    <row r="42" spans="1:30">
      <c r="A42" s="1">
        <v>39</v>
      </c>
      <c r="B42" s="1" t="s">
        <v>1580</v>
      </c>
      <c r="C42" s="5">
        <v>46315</v>
      </c>
      <c r="D42" s="1" t="s">
        <v>106</v>
      </c>
      <c r="E42" s="6" t="s">
        <v>1533</v>
      </c>
      <c r="F42" s="6" t="s">
        <v>1581</v>
      </c>
      <c r="G42" s="1" t="s">
        <v>1508</v>
      </c>
      <c r="H42" s="1" t="s">
        <v>92</v>
      </c>
      <c r="I42" s="1" t="s">
        <v>95</v>
      </c>
      <c r="J42" s="1" t="s">
        <v>1516</v>
      </c>
      <c r="K42" s="1" t="s">
        <v>1510</v>
      </c>
      <c r="L42" s="1" t="s">
        <v>31</v>
      </c>
      <c r="M42" s="1" t="s">
        <v>1543</v>
      </c>
      <c r="N42" s="1" t="s">
        <v>310</v>
      </c>
      <c r="O42" s="1" t="s">
        <v>22</v>
      </c>
      <c r="P42" s="1" t="s">
        <v>58</v>
      </c>
      <c r="Q42" s="1" t="s">
        <v>1536</v>
      </c>
      <c r="R42" s="1" t="s">
        <v>49</v>
      </c>
      <c r="S42" s="1" t="s">
        <v>302</v>
      </c>
      <c r="T42" s="1" t="s">
        <v>1327</v>
      </c>
      <c r="U42" s="1" t="s">
        <v>142</v>
      </c>
      <c r="V42" s="1">
        <v>2</v>
      </c>
      <c r="W42" s="1" t="s">
        <v>16</v>
      </c>
      <c r="X42" s="1" t="s">
        <v>49</v>
      </c>
      <c r="Y42" s="1" t="s">
        <v>104</v>
      </c>
      <c r="Z42" s="5">
        <v>46346</v>
      </c>
      <c r="AA42" s="5">
        <v>46342</v>
      </c>
      <c r="AB42" s="1" t="s">
        <v>1144</v>
      </c>
      <c r="AC42" s="9">
        <f>IF(C42="","",IF(AB42="Closed",AA42-C42,TODAY()-C42))</f>
        <v>0</v>
      </c>
      <c r="AD42" s="1" t="s">
        <v>91</v>
      </c>
    </row>
    <row r="43" spans="1:30">
      <c r="A43" s="1">
        <v>40</v>
      </c>
      <c r="B43" s="1" t="s">
        <v>1582</v>
      </c>
      <c r="C43" s="5">
        <v>46308</v>
      </c>
      <c r="D43" s="1" t="s">
        <v>106</v>
      </c>
      <c r="E43" s="6" t="s">
        <v>1515</v>
      </c>
      <c r="F43" s="6" t="s">
        <v>1581</v>
      </c>
      <c r="G43" s="1" t="s">
        <v>1508</v>
      </c>
      <c r="H43" s="1" t="s">
        <v>92</v>
      </c>
      <c r="I43" s="1" t="s">
        <v>35</v>
      </c>
      <c r="J43" s="1" t="s">
        <v>1516</v>
      </c>
      <c r="K43" s="1" t="s">
        <v>47</v>
      </c>
      <c r="L43" s="1" t="s">
        <v>87</v>
      </c>
      <c r="M43" s="1" t="s">
        <v>1522</v>
      </c>
      <c r="N43" s="1" t="s">
        <v>310</v>
      </c>
      <c r="O43" s="1" t="s">
        <v>7</v>
      </c>
      <c r="P43" s="1" t="s">
        <v>1539</v>
      </c>
      <c r="Q43" s="1" t="s">
        <v>1554</v>
      </c>
      <c r="R43" s="1" t="s">
        <v>45</v>
      </c>
      <c r="S43" s="1" t="s">
        <v>1330</v>
      </c>
      <c r="T43" s="1" t="s">
        <v>1336</v>
      </c>
      <c r="U43" s="1" t="s">
        <v>147</v>
      </c>
      <c r="V43" s="1">
        <v>14</v>
      </c>
      <c r="W43" s="1" t="s">
        <v>61</v>
      </c>
      <c r="X43" s="1" t="s">
        <v>16</v>
      </c>
      <c r="Y43" s="1" t="s">
        <v>66</v>
      </c>
      <c r="Z43" s="5">
        <v>46344</v>
      </c>
      <c r="AA43" s="5">
        <v>46350</v>
      </c>
      <c r="AB43" s="1" t="s">
        <v>226</v>
      </c>
      <c r="AC43" s="9">
        <f>IF(C43="","",IF(AB43="Closed",AA43-C43,TODAY()-C43))</f>
        <v>0</v>
      </c>
      <c r="AD43" s="1" t="s">
        <v>64</v>
      </c>
    </row>
    <row r="44" spans="1:30">
      <c r="A44" s="1">
        <v>41</v>
      </c>
      <c r="B44" s="1" t="s">
        <v>1583</v>
      </c>
      <c r="C44" s="5">
        <v>46337</v>
      </c>
      <c r="D44" s="1" t="s">
        <v>111</v>
      </c>
      <c r="E44" s="6" t="s">
        <v>1515</v>
      </c>
      <c r="F44" s="6" t="s">
        <v>1581</v>
      </c>
      <c r="G44" s="1" t="s">
        <v>1508</v>
      </c>
      <c r="H44" s="1" t="s">
        <v>65</v>
      </c>
      <c r="I44" s="1" t="s">
        <v>31</v>
      </c>
      <c r="J44" s="1" t="s">
        <v>1542</v>
      </c>
      <c r="K44" s="1" t="s">
        <v>1526</v>
      </c>
      <c r="L44" s="1" t="s">
        <v>51</v>
      </c>
      <c r="M44" s="1" t="s">
        <v>1522</v>
      </c>
      <c r="N44" s="1" t="s">
        <v>310</v>
      </c>
      <c r="O44" s="1" t="s">
        <v>28</v>
      </c>
      <c r="P44" s="1" t="s">
        <v>1539</v>
      </c>
      <c r="Q44" s="1" t="s">
        <v>1513</v>
      </c>
      <c r="R44" s="1" t="s">
        <v>57</v>
      </c>
      <c r="S44" s="1" t="s">
        <v>297</v>
      </c>
      <c r="T44" s="1" t="s">
        <v>1357</v>
      </c>
      <c r="U44" s="1" t="s">
        <v>151</v>
      </c>
      <c r="V44" s="1">
        <v>20</v>
      </c>
      <c r="W44" s="1" t="s">
        <v>16</v>
      </c>
      <c r="X44" s="1" t="s">
        <v>30</v>
      </c>
      <c r="Y44" s="1" t="s">
        <v>7</v>
      </c>
      <c r="Z44" s="5">
        <v>46368</v>
      </c>
      <c r="AA44" s="5">
        <v>46372</v>
      </c>
      <c r="AB44" s="1" t="s">
        <v>582</v>
      </c>
      <c r="AC44" s="9">
        <f>IF(C44="","",IF(AB44="Closed",AA44-C44,TODAY()-C44))</f>
        <v>0</v>
      </c>
      <c r="AD44" s="1" t="s">
        <v>64</v>
      </c>
    </row>
    <row r="45" spans="1:30">
      <c r="A45" s="1">
        <v>42</v>
      </c>
      <c r="B45" s="1" t="s">
        <v>1584</v>
      </c>
      <c r="C45" s="5">
        <v>46354</v>
      </c>
      <c r="D45" s="1" t="s">
        <v>111</v>
      </c>
      <c r="E45" s="6" t="s">
        <v>1529</v>
      </c>
      <c r="F45" s="6" t="s">
        <v>1581</v>
      </c>
      <c r="G45" s="1" t="s">
        <v>1508</v>
      </c>
      <c r="H45" s="1" t="s">
        <v>65</v>
      </c>
      <c r="I45" s="1" t="s">
        <v>14</v>
      </c>
      <c r="J45" s="1" t="s">
        <v>1525</v>
      </c>
      <c r="K45" s="1" t="s">
        <v>1510</v>
      </c>
      <c r="L45" s="1" t="s">
        <v>31</v>
      </c>
      <c r="M45" s="1" t="s">
        <v>1511</v>
      </c>
      <c r="N45" s="1" t="s">
        <v>1518</v>
      </c>
      <c r="O45" s="1" t="s">
        <v>36</v>
      </c>
      <c r="P45" s="1" t="s">
        <v>58</v>
      </c>
      <c r="Q45" s="1" t="s">
        <v>1545</v>
      </c>
      <c r="R45" s="1" t="s">
        <v>38</v>
      </c>
      <c r="S45" s="1" t="s">
        <v>1522</v>
      </c>
      <c r="T45" s="1" t="s">
        <v>302</v>
      </c>
      <c r="U45" s="1" t="s">
        <v>142</v>
      </c>
      <c r="V45" s="1">
        <v>21</v>
      </c>
      <c r="W45" s="1" t="s">
        <v>57</v>
      </c>
      <c r="X45" s="1" t="s">
        <v>30</v>
      </c>
      <c r="Y45" s="1" t="s">
        <v>41</v>
      </c>
      <c r="Z45" s="5">
        <v>46360</v>
      </c>
      <c r="AA45" s="5">
        <v>46399</v>
      </c>
      <c r="AB45" s="1" t="s">
        <v>582</v>
      </c>
      <c r="AC45" s="9">
        <f>IF(C45="","",IF(AB45="Closed",AA45-C45,TODAY()-C45))</f>
        <v>0</v>
      </c>
      <c r="AD45" s="1" t="s">
        <v>61</v>
      </c>
    </row>
    <row r="46" spans="1:30">
      <c r="A46" s="1">
        <v>43</v>
      </c>
      <c r="B46" s="1" t="s">
        <v>1585</v>
      </c>
      <c r="C46" s="5">
        <v>46346</v>
      </c>
      <c r="D46" s="1" t="s">
        <v>111</v>
      </c>
      <c r="E46" s="6" t="s">
        <v>1533</v>
      </c>
      <c r="F46" s="6" t="s">
        <v>1581</v>
      </c>
      <c r="G46" s="1" t="s">
        <v>1508</v>
      </c>
      <c r="H46" s="1" t="s">
        <v>5</v>
      </c>
      <c r="I46" s="1" t="s">
        <v>6</v>
      </c>
      <c r="J46" s="1" t="s">
        <v>1516</v>
      </c>
      <c r="K46" s="1" t="s">
        <v>1510</v>
      </c>
      <c r="L46" s="1" t="s">
        <v>6</v>
      </c>
      <c r="M46" s="1" t="s">
        <v>1543</v>
      </c>
      <c r="N46" s="1" t="s">
        <v>310</v>
      </c>
      <c r="O46" s="1" t="s">
        <v>28</v>
      </c>
      <c r="P46" s="1" t="s">
        <v>1534</v>
      </c>
      <c r="Q46" s="1" t="s">
        <v>1559</v>
      </c>
      <c r="R46" s="1" t="s">
        <v>38</v>
      </c>
      <c r="S46" s="1" t="s">
        <v>302</v>
      </c>
      <c r="T46" s="1" t="s">
        <v>1336</v>
      </c>
      <c r="U46" s="1" t="s">
        <v>147</v>
      </c>
      <c r="V46" s="1">
        <v>25</v>
      </c>
      <c r="W46" s="1" t="s">
        <v>20</v>
      </c>
      <c r="X46" s="1" t="s">
        <v>61</v>
      </c>
      <c r="Y46" s="1" t="s">
        <v>15</v>
      </c>
      <c r="Z46" s="5">
        <v>46374</v>
      </c>
      <c r="AA46" s="5">
        <v>46385</v>
      </c>
      <c r="AB46" s="1" t="s">
        <v>582</v>
      </c>
      <c r="AC46" s="9">
        <f>IF(C46="","",IF(AB46="Closed",AA46-C46,TODAY()-C46))</f>
        <v>0</v>
      </c>
      <c r="AD46" s="1" t="s">
        <v>45</v>
      </c>
    </row>
    <row r="47" spans="1:30">
      <c r="A47" s="1">
        <v>44</v>
      </c>
      <c r="B47" s="1" t="s">
        <v>1586</v>
      </c>
      <c r="C47" s="5">
        <v>46347</v>
      </c>
      <c r="D47" s="1" t="s">
        <v>111</v>
      </c>
      <c r="E47" s="6" t="s">
        <v>1533</v>
      </c>
      <c r="F47" s="6" t="s">
        <v>1581</v>
      </c>
      <c r="G47" s="1" t="s">
        <v>1508</v>
      </c>
      <c r="H47" s="1" t="s">
        <v>39</v>
      </c>
      <c r="I47" s="1" t="s">
        <v>35</v>
      </c>
      <c r="J47" s="1" t="s">
        <v>1542</v>
      </c>
      <c r="K47" s="1" t="s">
        <v>1510</v>
      </c>
      <c r="L47" s="1" t="s">
        <v>21</v>
      </c>
      <c r="M47" s="1" t="s">
        <v>1522</v>
      </c>
      <c r="N47" s="1" t="s">
        <v>1527</v>
      </c>
      <c r="O47" s="1" t="s">
        <v>104</v>
      </c>
      <c r="P47" s="1" t="s">
        <v>58</v>
      </c>
      <c r="Q47" s="1" t="s">
        <v>1531</v>
      </c>
      <c r="R47" s="1" t="s">
        <v>4</v>
      </c>
      <c r="S47" s="1" t="s">
        <v>1330</v>
      </c>
      <c r="T47" s="1" t="s">
        <v>1330</v>
      </c>
      <c r="U47" s="1" t="s">
        <v>142</v>
      </c>
      <c r="V47" s="1">
        <v>9</v>
      </c>
      <c r="W47" s="1" t="s">
        <v>54</v>
      </c>
      <c r="X47" s="1" t="s">
        <v>45</v>
      </c>
      <c r="Y47" s="1" t="s">
        <v>28</v>
      </c>
      <c r="Z47" s="5">
        <v>46388</v>
      </c>
      <c r="AA47" s="5">
        <v>46354</v>
      </c>
      <c r="AB47" s="1" t="s">
        <v>582</v>
      </c>
      <c r="AC47" s="9">
        <f>IF(C47="","",IF(AB47="Closed",AA47-C47,TODAY()-C47))</f>
        <v>0</v>
      </c>
      <c r="AD47" s="1" t="s">
        <v>20</v>
      </c>
    </row>
    <row r="48" spans="1:30">
      <c r="A48" s="1">
        <v>45</v>
      </c>
      <c r="B48" s="1" t="s">
        <v>1587</v>
      </c>
      <c r="C48" s="5">
        <v>46354</v>
      </c>
      <c r="D48" s="1" t="s">
        <v>111</v>
      </c>
      <c r="E48" s="6" t="s">
        <v>1529</v>
      </c>
      <c r="F48" s="6" t="s">
        <v>1581</v>
      </c>
      <c r="G48" s="1" t="s">
        <v>1508</v>
      </c>
      <c r="H48" s="1" t="s">
        <v>27</v>
      </c>
      <c r="I48" s="1" t="s">
        <v>14</v>
      </c>
      <c r="J48" s="1" t="s">
        <v>1525</v>
      </c>
      <c r="K48" s="1" t="s">
        <v>47</v>
      </c>
      <c r="L48" s="1" t="s">
        <v>31</v>
      </c>
      <c r="M48" s="1" t="s">
        <v>1511</v>
      </c>
      <c r="N48" s="1" t="s">
        <v>310</v>
      </c>
      <c r="O48" s="1" t="s">
        <v>32</v>
      </c>
      <c r="P48" s="1" t="s">
        <v>1512</v>
      </c>
      <c r="Q48" s="1" t="s">
        <v>1559</v>
      </c>
      <c r="R48" s="1" t="s">
        <v>49</v>
      </c>
      <c r="S48" s="1" t="s">
        <v>1330</v>
      </c>
      <c r="T48" s="1" t="s">
        <v>297</v>
      </c>
      <c r="U48" s="1" t="s">
        <v>142</v>
      </c>
      <c r="V48" s="1">
        <v>2</v>
      </c>
      <c r="W48" s="1" t="s">
        <v>38</v>
      </c>
      <c r="X48" s="1" t="s">
        <v>12</v>
      </c>
      <c r="Y48" s="1" t="s">
        <v>66</v>
      </c>
      <c r="Z48" s="5">
        <v>46375</v>
      </c>
      <c r="AA48" s="5">
        <v>46397</v>
      </c>
      <c r="AB48" s="1" t="s">
        <v>226</v>
      </c>
      <c r="AC48" s="9">
        <f>IF(C48="","",IF(AB48="Closed",AA48-C48,TODAY()-C48))</f>
        <v>0</v>
      </c>
      <c r="AD48" s="1" t="s">
        <v>61</v>
      </c>
    </row>
    <row r="49" spans="1:30">
      <c r="A49" s="1">
        <v>46</v>
      </c>
      <c r="B49" s="1" t="s">
        <v>1588</v>
      </c>
      <c r="C49" s="5">
        <v>46368</v>
      </c>
      <c r="D49" s="1" t="s">
        <v>122</v>
      </c>
      <c r="E49" s="6" t="s">
        <v>1515</v>
      </c>
      <c r="F49" s="6" t="s">
        <v>1581</v>
      </c>
      <c r="G49" s="1" t="s">
        <v>1508</v>
      </c>
      <c r="H49" s="1" t="s">
        <v>39</v>
      </c>
      <c r="I49" s="1" t="s">
        <v>35</v>
      </c>
      <c r="J49" s="1" t="s">
        <v>1520</v>
      </c>
      <c r="K49" s="1" t="s">
        <v>1510</v>
      </c>
      <c r="L49" s="1" t="s">
        <v>31</v>
      </c>
      <c r="M49" s="1" t="s">
        <v>1517</v>
      </c>
      <c r="N49" s="1" t="s">
        <v>310</v>
      </c>
      <c r="O49" s="1" t="s">
        <v>32</v>
      </c>
      <c r="P49" s="1" t="s">
        <v>1539</v>
      </c>
      <c r="Q49" s="1" t="s">
        <v>1545</v>
      </c>
      <c r="R49" s="1" t="s">
        <v>64</v>
      </c>
      <c r="S49" s="1" t="s">
        <v>1522</v>
      </c>
      <c r="T49" s="1" t="s">
        <v>1336</v>
      </c>
      <c r="U49" s="1" t="s">
        <v>142</v>
      </c>
      <c r="V49" s="1">
        <v>8</v>
      </c>
      <c r="W49" s="1" t="s">
        <v>54</v>
      </c>
      <c r="X49" s="1" t="s">
        <v>91</v>
      </c>
      <c r="Y49" s="1" t="s">
        <v>68</v>
      </c>
      <c r="Z49" s="5">
        <v>46411</v>
      </c>
      <c r="AA49" s="5">
        <v>46392</v>
      </c>
      <c r="AB49" s="1" t="s">
        <v>582</v>
      </c>
      <c r="AC49" s="9">
        <f>IF(C49="","",IF(AB49="Closed",AA49-C49,TODAY()-C49))</f>
        <v>0</v>
      </c>
      <c r="AD49" s="1" t="s">
        <v>16</v>
      </c>
    </row>
    <row r="50" spans="1:30">
      <c r="A50" s="1">
        <v>47</v>
      </c>
      <c r="B50" s="1" t="s">
        <v>1589</v>
      </c>
      <c r="C50" s="5">
        <v>46379</v>
      </c>
      <c r="D50" s="1" t="s">
        <v>122</v>
      </c>
      <c r="E50" s="6" t="s">
        <v>1529</v>
      </c>
      <c r="F50" s="6" t="s">
        <v>1581</v>
      </c>
      <c r="G50" s="1" t="s">
        <v>1508</v>
      </c>
      <c r="H50" s="1" t="s">
        <v>5</v>
      </c>
      <c r="I50" s="1" t="s">
        <v>14</v>
      </c>
      <c r="J50" s="1" t="s">
        <v>1516</v>
      </c>
      <c r="K50" s="1" t="s">
        <v>47</v>
      </c>
      <c r="L50" s="1" t="s">
        <v>21</v>
      </c>
      <c r="M50" s="1" t="s">
        <v>1522</v>
      </c>
      <c r="N50" s="1" t="s">
        <v>1530</v>
      </c>
      <c r="O50" s="1" t="s">
        <v>78</v>
      </c>
      <c r="P50" s="1" t="s">
        <v>1539</v>
      </c>
      <c r="Q50" s="1" t="s">
        <v>1536</v>
      </c>
      <c r="R50" s="1" t="s">
        <v>64</v>
      </c>
      <c r="S50" s="1" t="s">
        <v>302</v>
      </c>
      <c r="T50" s="1" t="s">
        <v>1334</v>
      </c>
      <c r="U50" s="1" t="s">
        <v>142</v>
      </c>
      <c r="V50" s="1">
        <v>29</v>
      </c>
      <c r="W50" s="1" t="s">
        <v>38</v>
      </c>
      <c r="X50" s="1" t="s">
        <v>30</v>
      </c>
      <c r="Y50" s="1" t="s">
        <v>41</v>
      </c>
      <c r="Z50" s="5">
        <v>46414</v>
      </c>
      <c r="AA50" s="5">
        <v>46412</v>
      </c>
      <c r="AB50" s="1" t="s">
        <v>582</v>
      </c>
      <c r="AC50" s="9">
        <f>IF(C50="","",IF(AB50="Closed",AA50-C50,TODAY()-C50))</f>
        <v>0</v>
      </c>
      <c r="AD50" s="1" t="s">
        <v>16</v>
      </c>
    </row>
    <row r="51" spans="1:30">
      <c r="A51" s="1">
        <v>48</v>
      </c>
      <c r="B51" s="1" t="s">
        <v>1590</v>
      </c>
      <c r="C51" s="5">
        <v>46376</v>
      </c>
      <c r="D51" s="1" t="s">
        <v>122</v>
      </c>
      <c r="E51" s="6" t="s">
        <v>1533</v>
      </c>
      <c r="F51" s="6" t="s">
        <v>1581</v>
      </c>
      <c r="G51" s="1" t="s">
        <v>1508</v>
      </c>
      <c r="H51" s="1" t="s">
        <v>39</v>
      </c>
      <c r="I51" s="1" t="s">
        <v>35</v>
      </c>
      <c r="J51" s="1" t="s">
        <v>1509</v>
      </c>
      <c r="K51" s="1" t="s">
        <v>47</v>
      </c>
      <c r="L51" s="1" t="s">
        <v>40</v>
      </c>
      <c r="M51" s="1" t="s">
        <v>1522</v>
      </c>
      <c r="N51" s="1" t="s">
        <v>310</v>
      </c>
      <c r="O51" s="1" t="s">
        <v>28</v>
      </c>
      <c r="P51" s="1" t="s">
        <v>1539</v>
      </c>
      <c r="Q51" s="1" t="s">
        <v>1513</v>
      </c>
      <c r="R51" s="1" t="s">
        <v>49</v>
      </c>
      <c r="S51" s="1" t="s">
        <v>302</v>
      </c>
      <c r="T51" s="1" t="s">
        <v>1327</v>
      </c>
      <c r="U51" s="1" t="s">
        <v>142</v>
      </c>
      <c r="V51" s="1">
        <v>0</v>
      </c>
      <c r="W51" s="1" t="s">
        <v>4</v>
      </c>
      <c r="X51" s="1" t="s">
        <v>12</v>
      </c>
      <c r="Y51" s="1" t="s">
        <v>41</v>
      </c>
      <c r="Z51" s="5">
        <v>46392</v>
      </c>
      <c r="AA51" s="5">
        <v>46381</v>
      </c>
      <c r="AB51" s="1" t="s">
        <v>582</v>
      </c>
      <c r="AC51" s="9">
        <f>IF(C51="","",IF(AB51="Closed",AA51-C51,TODAY()-C51))</f>
        <v>0</v>
      </c>
      <c r="AD51" s="1" t="s">
        <v>64</v>
      </c>
    </row>
    <row r="52" spans="1:30">
      <c r="AC52" s="9">
        <f>IF(C52="","",IF(AB52="Closed",AA52-C52,TODAY()-C52))</f>
        <v>0</v>
      </c>
    </row>
    <row r="53" spans="1:30">
      <c r="AC53" s="9">
        <f>IF(C53="","",IF(AB53="Closed",AA53-C53,TODAY()-C53))</f>
        <v>0</v>
      </c>
    </row>
    <row r="54" spans="1:30">
      <c r="AC54" s="9">
        <f>IF(C54="","",IF(AB54="Closed",AA54-C54,TODAY()-C54))</f>
        <v>0</v>
      </c>
    </row>
    <row r="55" spans="1:30">
      <c r="AC55" s="9">
        <f>IF(C55="","",IF(AB55="Closed",AA55-C55,TODAY()-C55))</f>
        <v>0</v>
      </c>
    </row>
    <row r="56" spans="1:30">
      <c r="AC56" s="9">
        <f>IF(C56="","",IF(AB56="Closed",AA56-C56,TODAY()-C56))</f>
        <v>0</v>
      </c>
    </row>
    <row r="57" spans="1:30">
      <c r="AC57" s="9">
        <f>IF(C57="","",IF(AB57="Closed",AA57-C57,TODAY()-C57))</f>
        <v>0</v>
      </c>
    </row>
    <row r="58" spans="1:30">
      <c r="AC58" s="9">
        <f>IF(C58="","",IF(AB58="Closed",AA58-C58,TODAY()-C58))</f>
        <v>0</v>
      </c>
    </row>
    <row r="59" spans="1:30">
      <c r="AC59" s="9">
        <f>IF(C59="","",IF(AB59="Closed",AA59-C59,TODAY()-C59))</f>
        <v>0</v>
      </c>
    </row>
    <row r="60" spans="1:30">
      <c r="AC60" s="9">
        <f>IF(C60="","",IF(AB60="Closed",AA60-C60,TODAY()-C60))</f>
        <v>0</v>
      </c>
    </row>
    <row r="61" spans="1:30">
      <c r="AC61" s="9">
        <f>IF(C61="","",IF(AB61="Closed",AA61-C61,TODAY()-C61))</f>
        <v>0</v>
      </c>
    </row>
    <row r="62" spans="1:30">
      <c r="AC62" s="9">
        <f>IF(C62="","",IF(AB62="Closed",AA62-C62,TODAY()-C62))</f>
        <v>0</v>
      </c>
    </row>
    <row r="63" spans="1:30">
      <c r="AC63" s="9">
        <f>IF(C63="","",IF(AB63="Closed",AA63-C63,TODAY()-C63))</f>
        <v>0</v>
      </c>
    </row>
    <row r="64" spans="1:30">
      <c r="AC64" s="9">
        <f>IF(C64="","",IF(AB64="Closed",AA64-C64,TODAY()-C64))</f>
        <v>0</v>
      </c>
    </row>
    <row r="65" spans="29:29">
      <c r="AC65" s="9">
        <f>IF(C65="","",IF(AB65="Closed",AA65-C65,TODAY()-C65))</f>
        <v>0</v>
      </c>
    </row>
    <row r="66" spans="29:29">
      <c r="AC66" s="9">
        <f>IF(C66="","",IF(AB66="Closed",AA66-C66,TODAY()-C66))</f>
        <v>0</v>
      </c>
    </row>
    <row r="67" spans="29:29">
      <c r="AC67" s="9">
        <f>IF(C67="","",IF(AB67="Closed",AA67-C67,TODAY()-C67))</f>
        <v>0</v>
      </c>
    </row>
    <row r="68" spans="29:29">
      <c r="AC68" s="9">
        <f>IF(C68="","",IF(AB68="Closed",AA68-C68,TODAY()-C68))</f>
        <v>0</v>
      </c>
    </row>
    <row r="69" spans="29:29">
      <c r="AC69" s="9">
        <f>IF(C69="","",IF(AB69="Closed",AA69-C69,TODAY()-C69))</f>
        <v>0</v>
      </c>
    </row>
    <row r="70" spans="29:29">
      <c r="AC70" s="9">
        <f>IF(C70="","",IF(AB70="Closed",AA70-C70,TODAY()-C70))</f>
        <v>0</v>
      </c>
    </row>
    <row r="71" spans="29:29">
      <c r="AC71" s="9">
        <f>IF(C71="","",IF(AB71="Closed",AA71-C71,TODAY()-C71))</f>
        <v>0</v>
      </c>
    </row>
    <row r="72" spans="29:29">
      <c r="AC72" s="9">
        <f>IF(C72="","",IF(AB72="Closed",AA72-C72,TODAY()-C72))</f>
        <v>0</v>
      </c>
    </row>
    <row r="73" spans="29:29">
      <c r="AC73" s="9">
        <f>IF(C73="","",IF(AB73="Closed",AA73-C73,TODAY()-C73))</f>
        <v>0</v>
      </c>
    </row>
    <row r="74" spans="29:29">
      <c r="AC74" s="9">
        <f>IF(C74="","",IF(AB74="Closed",AA74-C74,TODAY()-C74))</f>
        <v>0</v>
      </c>
    </row>
    <row r="75" spans="29:29">
      <c r="AC75" s="9">
        <f>IF(C75="","",IF(AB75="Closed",AA75-C75,TODAY()-C75))</f>
        <v>0</v>
      </c>
    </row>
    <row r="76" spans="29:29">
      <c r="AC76" s="9">
        <f>IF(C76="","",IF(AB76="Closed",AA76-C76,TODAY()-C76))</f>
        <v>0</v>
      </c>
    </row>
    <row r="77" spans="29:29">
      <c r="AC77" s="9">
        <f>IF(C77="","",IF(AB77="Closed",AA77-C77,TODAY()-C77))</f>
        <v>0</v>
      </c>
    </row>
    <row r="78" spans="29:29">
      <c r="AC78" s="9">
        <f>IF(C78="","",IF(AB78="Closed",AA78-C78,TODAY()-C78))</f>
        <v>0</v>
      </c>
    </row>
    <row r="79" spans="29:29">
      <c r="AC79" s="9">
        <f>IF(C79="","",IF(AB79="Closed",AA79-C79,TODAY()-C79))</f>
        <v>0</v>
      </c>
    </row>
    <row r="80" spans="29:29">
      <c r="AC80" s="9">
        <f>IF(C80="","",IF(AB80="Closed",AA80-C80,TODAY()-C80))</f>
        <v>0</v>
      </c>
    </row>
    <row r="81" spans="29:29">
      <c r="AC81" s="9">
        <f>IF(C81="","",IF(AB81="Closed",AA81-C81,TODAY()-C81))</f>
        <v>0</v>
      </c>
    </row>
    <row r="82" spans="29:29">
      <c r="AC82" s="9">
        <f>IF(C82="","",IF(AB82="Closed",AA82-C82,TODAY()-C82))</f>
        <v>0</v>
      </c>
    </row>
    <row r="83" spans="29:29">
      <c r="AC83" s="9">
        <f>IF(C83="","",IF(AB83="Closed",AA83-C83,TODAY()-C83))</f>
        <v>0</v>
      </c>
    </row>
    <row r="84" spans="29:29">
      <c r="AC84" s="9">
        <f>IF(C84="","",IF(AB84="Closed",AA84-C84,TODAY()-C84))</f>
        <v>0</v>
      </c>
    </row>
    <row r="85" spans="29:29">
      <c r="AC85" s="9">
        <f>IF(C85="","",IF(AB85="Closed",AA85-C85,TODAY()-C85))</f>
        <v>0</v>
      </c>
    </row>
    <row r="86" spans="29:29">
      <c r="AC86" s="9">
        <f>IF(C86="","",IF(AB86="Closed",AA86-C86,TODAY()-C86))</f>
        <v>0</v>
      </c>
    </row>
    <row r="87" spans="29:29">
      <c r="AC87" s="9">
        <f>IF(C87="","",IF(AB87="Closed",AA87-C87,TODAY()-C87))</f>
        <v>0</v>
      </c>
    </row>
    <row r="88" spans="29:29">
      <c r="AC88" s="9">
        <f>IF(C88="","",IF(AB88="Closed",AA88-C88,TODAY()-C88))</f>
        <v>0</v>
      </c>
    </row>
    <row r="89" spans="29:29">
      <c r="AC89" s="9">
        <f>IF(C89="","",IF(AB89="Closed",AA89-C89,TODAY()-C89))</f>
        <v>0</v>
      </c>
    </row>
    <row r="90" spans="29:29">
      <c r="AC90" s="9">
        <f>IF(C90="","",IF(AB90="Closed",AA90-C90,TODAY()-C90))</f>
        <v>0</v>
      </c>
    </row>
    <row r="91" spans="29:29">
      <c r="AC91" s="9">
        <f>IF(C91="","",IF(AB91="Closed",AA91-C91,TODAY()-C91))</f>
        <v>0</v>
      </c>
    </row>
    <row r="92" spans="29:29">
      <c r="AC92" s="9">
        <f>IF(C92="","",IF(AB92="Closed",AA92-C92,TODAY()-C92))</f>
        <v>0</v>
      </c>
    </row>
    <row r="93" spans="29:29">
      <c r="AC93" s="9">
        <f>IF(C93="","",IF(AB93="Closed",AA93-C93,TODAY()-C93))</f>
        <v>0</v>
      </c>
    </row>
    <row r="94" spans="29:29">
      <c r="AC94" s="9">
        <f>IF(C94="","",IF(AB94="Closed",AA94-C94,TODAY()-C94))</f>
        <v>0</v>
      </c>
    </row>
    <row r="95" spans="29:29">
      <c r="AC95" s="9">
        <f>IF(C95="","",IF(AB95="Closed",AA95-C95,TODAY()-C95))</f>
        <v>0</v>
      </c>
    </row>
    <row r="96" spans="29:29">
      <c r="AC96" s="9">
        <f>IF(C96="","",IF(AB96="Closed",AA96-C96,TODAY()-C96))</f>
        <v>0</v>
      </c>
    </row>
    <row r="97" spans="29:29">
      <c r="AC97" s="9">
        <f>IF(C97="","",IF(AB97="Closed",AA97-C97,TODAY()-C97))</f>
        <v>0</v>
      </c>
    </row>
    <row r="98" spans="29:29">
      <c r="AC98" s="9">
        <f>IF(C98="","",IF(AB98="Closed",AA98-C98,TODAY()-C98))</f>
        <v>0</v>
      </c>
    </row>
    <row r="99" spans="29:29">
      <c r="AC99" s="9">
        <f>IF(C99="","",IF(AB99="Closed",AA99-C99,TODAY()-C99))</f>
        <v>0</v>
      </c>
    </row>
    <row r="100" spans="29:29">
      <c r="AC100" s="9">
        <f>IF(C100="","",IF(AB100="Closed",AA100-C100,TODAY()-C100))</f>
        <v>0</v>
      </c>
    </row>
    <row r="101" spans="29:29">
      <c r="AC101" s="9">
        <f>IF(C101="","",IF(AB101="Closed",AA101-C101,TODAY()-C101))</f>
        <v>0</v>
      </c>
    </row>
    <row r="102" spans="29:29">
      <c r="AC102" s="9">
        <f>IF(C102="","",IF(AB102="Closed",AA102-C102,TODAY()-C102))</f>
        <v>0</v>
      </c>
    </row>
    <row r="103" spans="29:29">
      <c r="AC103" s="9">
        <f>IF(C103="","",IF(AB103="Closed",AA103-C103,TODAY()-C103))</f>
        <v>0</v>
      </c>
    </row>
    <row r="104" spans="29:29">
      <c r="AC104" s="9">
        <f>IF(C104="","",IF(AB104="Closed",AA104-C104,TODAY()-C104))</f>
        <v>0</v>
      </c>
    </row>
    <row r="105" spans="29:29">
      <c r="AC105" s="9">
        <f>IF(C105="","",IF(AB105="Closed",AA105-C105,TODAY()-C105))</f>
        <v>0</v>
      </c>
    </row>
    <row r="106" spans="29:29">
      <c r="AC106" s="9">
        <f>IF(C106="","",IF(AB106="Closed",AA106-C106,TODAY()-C106))</f>
        <v>0</v>
      </c>
    </row>
    <row r="107" spans="29:29">
      <c r="AC107" s="9">
        <f>IF(C107="","",IF(AB107="Closed",AA107-C107,TODAY()-C107))</f>
        <v>0</v>
      </c>
    </row>
    <row r="108" spans="29:29">
      <c r="AC108" s="9">
        <f>IF(C108="","",IF(AB108="Closed",AA108-C108,TODAY()-C108))</f>
        <v>0</v>
      </c>
    </row>
    <row r="109" spans="29:29">
      <c r="AC109" s="9">
        <f>IF(C109="","",IF(AB109="Closed",AA109-C109,TODAY()-C109))</f>
        <v>0</v>
      </c>
    </row>
    <row r="110" spans="29:29">
      <c r="AC110" s="9">
        <f>IF(C110="","",IF(AB110="Closed",AA110-C110,TODAY()-C110))</f>
        <v>0</v>
      </c>
    </row>
    <row r="111" spans="29:29">
      <c r="AC111" s="9">
        <f>IF(C111="","",IF(AB111="Closed",AA111-C111,TODAY()-C111))</f>
        <v>0</v>
      </c>
    </row>
    <row r="112" spans="29:29">
      <c r="AC112" s="9">
        <f>IF(C112="","",IF(AB112="Closed",AA112-C112,TODAY()-C112))</f>
        <v>0</v>
      </c>
    </row>
    <row r="113" spans="29:29">
      <c r="AC113" s="9">
        <f>IF(C113="","",IF(AB113="Closed",AA113-C113,TODAY()-C113))</f>
        <v>0</v>
      </c>
    </row>
    <row r="114" spans="29:29">
      <c r="AC114" s="9">
        <f>IF(C114="","",IF(AB114="Closed",AA114-C114,TODAY()-C114))</f>
        <v>0</v>
      </c>
    </row>
    <row r="115" spans="29:29">
      <c r="AC115" s="9">
        <f>IF(C115="","",IF(AB115="Closed",AA115-C115,TODAY()-C115))</f>
        <v>0</v>
      </c>
    </row>
    <row r="116" spans="29:29">
      <c r="AC116" s="9">
        <f>IF(C116="","",IF(AB116="Closed",AA116-C116,TODAY()-C116))</f>
        <v>0</v>
      </c>
    </row>
    <row r="117" spans="29:29">
      <c r="AC117" s="9">
        <f>IF(C117="","",IF(AB117="Closed",AA117-C117,TODAY()-C117))</f>
        <v>0</v>
      </c>
    </row>
    <row r="118" spans="29:29">
      <c r="AC118" s="9">
        <f>IF(C118="","",IF(AB118="Closed",AA118-C118,TODAY()-C118))</f>
        <v>0</v>
      </c>
    </row>
    <row r="119" spans="29:29">
      <c r="AC119" s="9">
        <f>IF(C119="","",IF(AB119="Closed",AA119-C119,TODAY()-C119))</f>
        <v>0</v>
      </c>
    </row>
    <row r="120" spans="29:29">
      <c r="AC120" s="9">
        <f>IF(C120="","",IF(AB120="Closed",AA120-C120,TODAY()-C120))</f>
        <v>0</v>
      </c>
    </row>
    <row r="121" spans="29:29">
      <c r="AC121" s="9">
        <f>IF(C121="","",IF(AB121="Closed",AA121-C121,TODAY()-C121))</f>
        <v>0</v>
      </c>
    </row>
    <row r="122" spans="29:29">
      <c r="AC122" s="9">
        <f>IF(C122="","",IF(AB122="Closed",AA122-C122,TODAY()-C122))</f>
        <v>0</v>
      </c>
    </row>
    <row r="123" spans="29:29">
      <c r="AC123" s="9">
        <f>IF(C123="","",IF(AB123="Closed",AA123-C123,TODAY()-C123))</f>
        <v>0</v>
      </c>
    </row>
    <row r="124" spans="29:29">
      <c r="AC124" s="9">
        <f>IF(C124="","",IF(AB124="Closed",AA124-C124,TODAY()-C124))</f>
        <v>0</v>
      </c>
    </row>
    <row r="125" spans="29:29">
      <c r="AC125" s="9">
        <f>IF(C125="","",IF(AB125="Closed",AA125-C125,TODAY()-C125))</f>
        <v>0</v>
      </c>
    </row>
    <row r="126" spans="29:29">
      <c r="AC126" s="9">
        <f>IF(C126="","",IF(AB126="Closed",AA126-C126,TODAY()-C126))</f>
        <v>0</v>
      </c>
    </row>
    <row r="127" spans="29:29">
      <c r="AC127" s="9">
        <f>IF(C127="","",IF(AB127="Closed",AA127-C127,TODAY()-C127))</f>
        <v>0</v>
      </c>
    </row>
    <row r="128" spans="29:29">
      <c r="AC128" s="9">
        <f>IF(C128="","",IF(AB128="Closed",AA128-C128,TODAY()-C128))</f>
        <v>0</v>
      </c>
    </row>
    <row r="129" spans="29:29">
      <c r="AC129" s="9">
        <f>IF(C129="","",IF(AB129="Closed",AA129-C129,TODAY()-C129))</f>
        <v>0</v>
      </c>
    </row>
    <row r="130" spans="29:29">
      <c r="AC130" s="9">
        <f>IF(C130="","",IF(AB130="Closed",AA130-C130,TODAY()-C130))</f>
        <v>0</v>
      </c>
    </row>
    <row r="131" spans="29:29">
      <c r="AC131" s="9">
        <f>IF(C131="","",IF(AB131="Closed",AA131-C131,TODAY()-C131))</f>
        <v>0</v>
      </c>
    </row>
    <row r="132" spans="29:29">
      <c r="AC132" s="9">
        <f>IF(C132="","",IF(AB132="Closed",AA132-C132,TODAY()-C132))</f>
        <v>0</v>
      </c>
    </row>
    <row r="133" spans="29:29">
      <c r="AC133" s="9">
        <f>IF(C133="","",IF(AB133="Closed",AA133-C133,TODAY()-C133))</f>
        <v>0</v>
      </c>
    </row>
    <row r="134" spans="29:29">
      <c r="AC134" s="9">
        <f>IF(C134="","",IF(AB134="Closed",AA134-C134,TODAY()-C134))</f>
        <v>0</v>
      </c>
    </row>
    <row r="135" spans="29:29">
      <c r="AC135" s="9">
        <f>IF(C135="","",IF(AB135="Closed",AA135-C135,TODAY()-C135))</f>
        <v>0</v>
      </c>
    </row>
    <row r="136" spans="29:29">
      <c r="AC136" s="9">
        <f>IF(C136="","",IF(AB136="Closed",AA136-C136,TODAY()-C136))</f>
        <v>0</v>
      </c>
    </row>
    <row r="137" spans="29:29">
      <c r="AC137" s="9">
        <f>IF(C137="","",IF(AB137="Closed",AA137-C137,TODAY()-C137))</f>
        <v>0</v>
      </c>
    </row>
    <row r="138" spans="29:29">
      <c r="AC138" s="9">
        <f>IF(C138="","",IF(AB138="Closed",AA138-C138,TODAY()-C138))</f>
        <v>0</v>
      </c>
    </row>
    <row r="139" spans="29:29">
      <c r="AC139" s="9">
        <f>IF(C139="","",IF(AB139="Closed",AA139-C139,TODAY()-C139))</f>
        <v>0</v>
      </c>
    </row>
    <row r="140" spans="29:29">
      <c r="AC140" s="9">
        <f>IF(C140="","",IF(AB140="Closed",AA140-C140,TODAY()-C140))</f>
        <v>0</v>
      </c>
    </row>
    <row r="141" spans="29:29">
      <c r="AC141" s="9">
        <f>IF(C141="","",IF(AB141="Closed",AA141-C141,TODAY()-C141))</f>
        <v>0</v>
      </c>
    </row>
    <row r="142" spans="29:29">
      <c r="AC142" s="9">
        <f>IF(C142="","",IF(AB142="Closed",AA142-C142,TODAY()-C142))</f>
        <v>0</v>
      </c>
    </row>
    <row r="143" spans="29:29">
      <c r="AC143" s="9">
        <f>IF(C143="","",IF(AB143="Closed",AA143-C143,TODAY()-C143))</f>
        <v>0</v>
      </c>
    </row>
    <row r="144" spans="29:29">
      <c r="AC144" s="9">
        <f>IF(C144="","",IF(AB144="Closed",AA144-C144,TODAY()-C144))</f>
        <v>0</v>
      </c>
    </row>
    <row r="145" spans="29:29">
      <c r="AC145" s="9">
        <f>IF(C145="","",IF(AB145="Closed",AA145-C145,TODAY()-C145))</f>
        <v>0</v>
      </c>
    </row>
    <row r="146" spans="29:29">
      <c r="AC146" s="9">
        <f>IF(C146="","",IF(AB146="Closed",AA146-C146,TODAY()-C146))</f>
        <v>0</v>
      </c>
    </row>
    <row r="147" spans="29:29">
      <c r="AC147" s="9">
        <f>IF(C147="","",IF(AB147="Closed",AA147-C147,TODAY()-C147))</f>
        <v>0</v>
      </c>
    </row>
    <row r="148" spans="29:29">
      <c r="AC148" s="9">
        <f>IF(C148="","",IF(AB148="Closed",AA148-C148,TODAY()-C148))</f>
        <v>0</v>
      </c>
    </row>
    <row r="149" spans="29:29">
      <c r="AC149" s="9">
        <f>IF(C149="","",IF(AB149="Closed",AA149-C149,TODAY()-C149))</f>
        <v>0</v>
      </c>
    </row>
    <row r="150" spans="29:29">
      <c r="AC150" s="9">
        <f>IF(C150="","",IF(AB150="Closed",AA150-C150,TODAY()-C150))</f>
        <v>0</v>
      </c>
    </row>
    <row r="151" spans="29:29">
      <c r="AC151" s="9">
        <f>IF(C151="","",IF(AB151="Closed",AA151-C151,TODAY()-C151))</f>
        <v>0</v>
      </c>
    </row>
    <row r="152" spans="29:29">
      <c r="AC152" s="9">
        <f>IF(C152="","",IF(AB152="Closed",AA152-C152,TODAY()-C152))</f>
        <v>0</v>
      </c>
    </row>
    <row r="153" spans="29:29">
      <c r="AC153" s="9">
        <f>IF(C153="","",IF(AB153="Closed",AA153-C153,TODAY()-C153))</f>
        <v>0</v>
      </c>
    </row>
    <row r="154" spans="29:29">
      <c r="AC154" s="9">
        <f>IF(C154="","",IF(AB154="Closed",AA154-C154,TODAY()-C154))</f>
        <v>0</v>
      </c>
    </row>
    <row r="155" spans="29:29">
      <c r="AC155" s="9">
        <f>IF(C155="","",IF(AB155="Closed",AA155-C155,TODAY()-C155))</f>
        <v>0</v>
      </c>
    </row>
    <row r="156" spans="29:29">
      <c r="AC156" s="9">
        <f>IF(C156="","",IF(AB156="Closed",AA156-C156,TODAY()-C156))</f>
        <v>0</v>
      </c>
    </row>
    <row r="157" spans="29:29">
      <c r="AC157" s="9">
        <f>IF(C157="","",IF(AB157="Closed",AA157-C157,TODAY()-C157))</f>
        <v>0</v>
      </c>
    </row>
    <row r="158" spans="29:29">
      <c r="AC158" s="9">
        <f>IF(C158="","",IF(AB158="Closed",AA158-C158,TODAY()-C158))</f>
        <v>0</v>
      </c>
    </row>
    <row r="159" spans="29:29">
      <c r="AC159" s="9">
        <f>IF(C159="","",IF(AB159="Closed",AA159-C159,TODAY()-C159))</f>
        <v>0</v>
      </c>
    </row>
    <row r="160" spans="29:29">
      <c r="AC160" s="9">
        <f>IF(C160="","",IF(AB160="Closed",AA160-C160,TODAY()-C160))</f>
        <v>0</v>
      </c>
    </row>
    <row r="161" spans="29:29">
      <c r="AC161" s="9">
        <f>IF(C161="","",IF(AB161="Closed",AA161-C161,TODAY()-C161))</f>
        <v>0</v>
      </c>
    </row>
    <row r="162" spans="29:29">
      <c r="AC162" s="9">
        <f>IF(C162="","",IF(AB162="Closed",AA162-C162,TODAY()-C162))</f>
        <v>0</v>
      </c>
    </row>
    <row r="163" spans="29:29">
      <c r="AC163" s="9">
        <f>IF(C163="","",IF(AB163="Closed",AA163-C163,TODAY()-C163))</f>
        <v>0</v>
      </c>
    </row>
    <row r="164" spans="29:29">
      <c r="AC164" s="9">
        <f>IF(C164="","",IF(AB164="Closed",AA164-C164,TODAY()-C164))</f>
        <v>0</v>
      </c>
    </row>
    <row r="165" spans="29:29">
      <c r="AC165" s="9">
        <f>IF(C165="","",IF(AB165="Closed",AA165-C165,TODAY()-C165))</f>
        <v>0</v>
      </c>
    </row>
    <row r="166" spans="29:29">
      <c r="AC166" s="9">
        <f>IF(C166="","",IF(AB166="Closed",AA166-C166,TODAY()-C166))</f>
        <v>0</v>
      </c>
    </row>
    <row r="167" spans="29:29">
      <c r="AC167" s="9">
        <f>IF(C167="","",IF(AB167="Closed",AA167-C167,TODAY()-C167))</f>
        <v>0</v>
      </c>
    </row>
    <row r="168" spans="29:29">
      <c r="AC168" s="9">
        <f>IF(C168="","",IF(AB168="Closed",AA168-C168,TODAY()-C168))</f>
        <v>0</v>
      </c>
    </row>
    <row r="169" spans="29:29">
      <c r="AC169" s="9">
        <f>IF(C169="","",IF(AB169="Closed",AA169-C169,TODAY()-C169))</f>
        <v>0</v>
      </c>
    </row>
    <row r="170" spans="29:29">
      <c r="AC170" s="9">
        <f>IF(C170="","",IF(AB170="Closed",AA170-C170,TODAY()-C170))</f>
        <v>0</v>
      </c>
    </row>
    <row r="171" spans="29:29">
      <c r="AC171" s="9">
        <f>IF(C171="","",IF(AB171="Closed",AA171-C171,TODAY()-C171))</f>
        <v>0</v>
      </c>
    </row>
    <row r="172" spans="29:29">
      <c r="AC172" s="9">
        <f>IF(C172="","",IF(AB172="Closed",AA172-C172,TODAY()-C172))</f>
        <v>0</v>
      </c>
    </row>
    <row r="173" spans="29:29">
      <c r="AC173" s="9">
        <f>IF(C173="","",IF(AB173="Closed",AA173-C173,TODAY()-C173))</f>
        <v>0</v>
      </c>
    </row>
    <row r="174" spans="29:29">
      <c r="AC174" s="9">
        <f>IF(C174="","",IF(AB174="Closed",AA174-C174,TODAY()-C174))</f>
        <v>0</v>
      </c>
    </row>
    <row r="175" spans="29:29">
      <c r="AC175" s="9">
        <f>IF(C175="","",IF(AB175="Closed",AA175-C175,TODAY()-C175))</f>
        <v>0</v>
      </c>
    </row>
    <row r="176" spans="29:29">
      <c r="AC176" s="9">
        <f>IF(C176="","",IF(AB176="Closed",AA176-C176,TODAY()-C176))</f>
        <v>0</v>
      </c>
    </row>
    <row r="177" spans="29:29">
      <c r="AC177" s="9">
        <f>IF(C177="","",IF(AB177="Closed",AA177-C177,TODAY()-C177))</f>
        <v>0</v>
      </c>
    </row>
    <row r="178" spans="29:29">
      <c r="AC178" s="9">
        <f>IF(C178="","",IF(AB178="Closed",AA178-C178,TODAY()-C178))</f>
        <v>0</v>
      </c>
    </row>
    <row r="179" spans="29:29">
      <c r="AC179" s="9">
        <f>IF(C179="","",IF(AB179="Closed",AA179-C179,TODAY()-C179))</f>
        <v>0</v>
      </c>
    </row>
    <row r="180" spans="29:29">
      <c r="AC180" s="9">
        <f>IF(C180="","",IF(AB180="Closed",AA180-C180,TODAY()-C180))</f>
        <v>0</v>
      </c>
    </row>
    <row r="181" spans="29:29">
      <c r="AC181" s="9">
        <f>IF(C181="","",IF(AB181="Closed",AA181-C181,TODAY()-C181))</f>
        <v>0</v>
      </c>
    </row>
    <row r="182" spans="29:29">
      <c r="AC182" s="9">
        <f>IF(C182="","",IF(AB182="Closed",AA182-C182,TODAY()-C182))</f>
        <v>0</v>
      </c>
    </row>
    <row r="183" spans="29:29">
      <c r="AC183" s="9">
        <f>IF(C183="","",IF(AB183="Closed",AA183-C183,TODAY()-C183))</f>
        <v>0</v>
      </c>
    </row>
    <row r="184" spans="29:29">
      <c r="AC184" s="9">
        <f>IF(C184="","",IF(AB184="Closed",AA184-C184,TODAY()-C184))</f>
        <v>0</v>
      </c>
    </row>
    <row r="185" spans="29:29">
      <c r="AC185" s="9">
        <f>IF(C185="","",IF(AB185="Closed",AA185-C185,TODAY()-C185))</f>
        <v>0</v>
      </c>
    </row>
    <row r="186" spans="29:29">
      <c r="AC186" s="9">
        <f>IF(C186="","",IF(AB186="Closed",AA186-C186,TODAY()-C186))</f>
        <v>0</v>
      </c>
    </row>
    <row r="187" spans="29:29">
      <c r="AC187" s="9">
        <f>IF(C187="","",IF(AB187="Closed",AA187-C187,TODAY()-C187))</f>
        <v>0</v>
      </c>
    </row>
    <row r="188" spans="29:29">
      <c r="AC188" s="9">
        <f>IF(C188="","",IF(AB188="Closed",AA188-C188,TODAY()-C188))</f>
        <v>0</v>
      </c>
    </row>
    <row r="189" spans="29:29">
      <c r="AC189" s="9">
        <f>IF(C189="","",IF(AB189="Closed",AA189-C189,TODAY()-C189))</f>
        <v>0</v>
      </c>
    </row>
    <row r="190" spans="29:29">
      <c r="AC190" s="9">
        <f>IF(C190="","",IF(AB190="Closed",AA190-C190,TODAY()-C190))</f>
        <v>0</v>
      </c>
    </row>
    <row r="191" spans="29:29">
      <c r="AC191" s="9">
        <f>IF(C191="","",IF(AB191="Closed",AA191-C191,TODAY()-C191))</f>
        <v>0</v>
      </c>
    </row>
    <row r="192" spans="29:29">
      <c r="AC192" s="9">
        <f>IF(C192="","",IF(AB192="Closed",AA192-C192,TODAY()-C192))</f>
        <v>0</v>
      </c>
    </row>
    <row r="193" spans="29:29">
      <c r="AC193" s="9">
        <f>IF(C193="","",IF(AB193="Closed",AA193-C193,TODAY()-C193))</f>
        <v>0</v>
      </c>
    </row>
    <row r="194" spans="29:29">
      <c r="AC194" s="9">
        <f>IF(C194="","",IF(AB194="Closed",AA194-C194,TODAY()-C194))</f>
        <v>0</v>
      </c>
    </row>
    <row r="195" spans="29:29">
      <c r="AC195" s="9">
        <f>IF(C195="","",IF(AB195="Closed",AA195-C195,TODAY()-C195))</f>
        <v>0</v>
      </c>
    </row>
    <row r="196" spans="29:29">
      <c r="AC196" s="9">
        <f>IF(C196="","",IF(AB196="Closed",AA196-C196,TODAY()-C196))</f>
        <v>0</v>
      </c>
    </row>
    <row r="197" spans="29:29">
      <c r="AC197" s="9">
        <f>IF(C197="","",IF(AB197="Closed",AA197-C197,TODAY()-C197))</f>
        <v>0</v>
      </c>
    </row>
    <row r="198" spans="29:29">
      <c r="AC198" s="9">
        <f>IF(C198="","",IF(AB198="Closed",AA198-C198,TODAY()-C198))</f>
        <v>0</v>
      </c>
    </row>
    <row r="199" spans="29:29">
      <c r="AC199" s="9">
        <f>IF(C199="","",IF(AB199="Closed",AA199-C199,TODAY()-C199))</f>
        <v>0</v>
      </c>
    </row>
    <row r="200" spans="29:29">
      <c r="AC200" s="9">
        <f>IF(C200="","",IF(AB200="Closed",AA200-C200,TODAY()-C200))</f>
        <v>0</v>
      </c>
    </row>
    <row r="201" spans="29:29">
      <c r="AC201" s="9">
        <f>IF(C201="","",IF(AB201="Closed",AA201-C201,TODAY()-C201))</f>
        <v>0</v>
      </c>
    </row>
    <row r="202" spans="29:29">
      <c r="AC202" s="9">
        <f>IF(C202="","",IF(AB202="Closed",AA202-C202,TODAY()-C202))</f>
        <v>0</v>
      </c>
    </row>
    <row r="203" spans="29:29">
      <c r="AC203" s="9">
        <f>IF(C203="","",IF(AB203="Closed",AA203-C203,TODAY()-C203))</f>
        <v>0</v>
      </c>
    </row>
    <row r="204" spans="29:29">
      <c r="AC204" s="9">
        <f>IF(C204="","",IF(AB204="Closed",AA204-C204,TODAY()-C204))</f>
        <v>0</v>
      </c>
    </row>
    <row r="205" spans="29:29">
      <c r="AC205" s="9">
        <f>IF(C205="","",IF(AB205="Closed",AA205-C205,TODAY()-C205))</f>
        <v>0</v>
      </c>
    </row>
    <row r="206" spans="29:29">
      <c r="AC206" s="9">
        <f>IF(C206="","",IF(AB206="Closed",AA206-C206,TODAY()-C206))</f>
        <v>0</v>
      </c>
    </row>
    <row r="207" spans="29:29">
      <c r="AC207" s="9">
        <f>IF(C207="","",IF(AB207="Closed",AA207-C207,TODAY()-C207))</f>
        <v>0</v>
      </c>
    </row>
    <row r="208" spans="29:29">
      <c r="AC208" s="9">
        <f>IF(C208="","",IF(AB208="Closed",AA208-C208,TODAY()-C208))</f>
        <v>0</v>
      </c>
    </row>
    <row r="209" spans="29:29">
      <c r="AC209" s="9">
        <f>IF(C209="","",IF(AB209="Closed",AA209-C209,TODAY()-C209))</f>
        <v>0</v>
      </c>
    </row>
    <row r="210" spans="29:29">
      <c r="AC210" s="9">
        <f>IF(C210="","",IF(AB210="Closed",AA210-C210,TODAY()-C210))</f>
        <v>0</v>
      </c>
    </row>
    <row r="211" spans="29:29">
      <c r="AC211" s="9">
        <f>IF(C211="","",IF(AB211="Closed",AA211-C211,TODAY()-C211))</f>
        <v>0</v>
      </c>
    </row>
    <row r="212" spans="29:29">
      <c r="AC212" s="9">
        <f>IF(C212="","",IF(AB212="Closed",AA212-C212,TODAY()-C212))</f>
        <v>0</v>
      </c>
    </row>
    <row r="213" spans="29:29">
      <c r="AC213" s="9">
        <f>IF(C213="","",IF(AB213="Closed",AA213-C213,TODAY()-C213))</f>
        <v>0</v>
      </c>
    </row>
    <row r="214" spans="29:29">
      <c r="AC214" s="9">
        <f>IF(C214="","",IF(AB214="Closed",AA214-C214,TODAY()-C214))</f>
        <v>0</v>
      </c>
    </row>
    <row r="215" spans="29:29">
      <c r="AC215" s="9">
        <f>IF(C215="","",IF(AB215="Closed",AA215-C215,TODAY()-C215))</f>
        <v>0</v>
      </c>
    </row>
    <row r="216" spans="29:29">
      <c r="AC216" s="9">
        <f>IF(C216="","",IF(AB216="Closed",AA216-C216,TODAY()-C216))</f>
        <v>0</v>
      </c>
    </row>
    <row r="217" spans="29:29">
      <c r="AC217" s="9">
        <f>IF(C217="","",IF(AB217="Closed",AA217-C217,TODAY()-C217))</f>
        <v>0</v>
      </c>
    </row>
    <row r="218" spans="29:29">
      <c r="AC218" s="9">
        <f>IF(C218="","",IF(AB218="Closed",AA218-C218,TODAY()-C218))</f>
        <v>0</v>
      </c>
    </row>
    <row r="219" spans="29:29">
      <c r="AC219" s="9">
        <f>IF(C219="","",IF(AB219="Closed",AA219-C219,TODAY()-C219))</f>
        <v>0</v>
      </c>
    </row>
    <row r="220" spans="29:29">
      <c r="AC220" s="9">
        <f>IF(C220="","",IF(AB220="Closed",AA220-C220,TODAY()-C220))</f>
        <v>0</v>
      </c>
    </row>
    <row r="221" spans="29:29">
      <c r="AC221" s="9">
        <f>IF(C221="","",IF(AB221="Closed",AA221-C221,TODAY()-C221))</f>
        <v>0</v>
      </c>
    </row>
    <row r="222" spans="29:29">
      <c r="AC222" s="9">
        <f>IF(C222="","",IF(AB222="Closed",AA222-C222,TODAY()-C222))</f>
        <v>0</v>
      </c>
    </row>
    <row r="223" spans="29:29">
      <c r="AC223" s="9">
        <f>IF(C223="","",IF(AB223="Closed",AA223-C223,TODAY()-C223))</f>
        <v>0</v>
      </c>
    </row>
    <row r="224" spans="29:29">
      <c r="AC224" s="9">
        <f>IF(C224="","",IF(AB224="Closed",AA224-C224,TODAY()-C224))</f>
        <v>0</v>
      </c>
    </row>
    <row r="225" spans="29:29">
      <c r="AC225" s="9">
        <f>IF(C225="","",IF(AB225="Closed",AA225-C225,TODAY()-C225))</f>
        <v>0</v>
      </c>
    </row>
    <row r="226" spans="29:29">
      <c r="AC226" s="9">
        <f>IF(C226="","",IF(AB226="Closed",AA226-C226,TODAY()-C226))</f>
        <v>0</v>
      </c>
    </row>
    <row r="227" spans="29:29">
      <c r="AC227" s="9">
        <f>IF(C227="","",IF(AB227="Closed",AA227-C227,TODAY()-C227))</f>
        <v>0</v>
      </c>
    </row>
    <row r="228" spans="29:29">
      <c r="AC228" s="9">
        <f>IF(C228="","",IF(AB228="Closed",AA228-C228,TODAY()-C228))</f>
        <v>0</v>
      </c>
    </row>
    <row r="229" spans="29:29">
      <c r="AC229" s="9">
        <f>IF(C229="","",IF(AB229="Closed",AA229-C229,TODAY()-C229))</f>
        <v>0</v>
      </c>
    </row>
    <row r="230" spans="29:29">
      <c r="AC230" s="9">
        <f>IF(C230="","",IF(AB230="Closed",AA230-C230,TODAY()-C230))</f>
        <v>0</v>
      </c>
    </row>
    <row r="231" spans="29:29">
      <c r="AC231" s="9">
        <f>IF(C231="","",IF(AB231="Closed",AA231-C231,TODAY()-C231))</f>
        <v>0</v>
      </c>
    </row>
    <row r="232" spans="29:29">
      <c r="AC232" s="9">
        <f>IF(C232="","",IF(AB232="Closed",AA232-C232,TODAY()-C232))</f>
        <v>0</v>
      </c>
    </row>
    <row r="233" spans="29:29">
      <c r="AC233" s="9">
        <f>IF(C233="","",IF(AB233="Closed",AA233-C233,TODAY()-C233))</f>
        <v>0</v>
      </c>
    </row>
    <row r="234" spans="29:29">
      <c r="AC234" s="9">
        <f>IF(C234="","",IF(AB234="Closed",AA234-C234,TODAY()-C234))</f>
        <v>0</v>
      </c>
    </row>
    <row r="235" spans="29:29">
      <c r="AC235" s="9">
        <f>IF(C235="","",IF(AB235="Closed",AA235-C235,TODAY()-C235))</f>
        <v>0</v>
      </c>
    </row>
    <row r="236" spans="29:29">
      <c r="AC236" s="9">
        <f>IF(C236="","",IF(AB236="Closed",AA236-C236,TODAY()-C236))</f>
        <v>0</v>
      </c>
    </row>
    <row r="237" spans="29:29">
      <c r="AC237" s="9">
        <f>IF(C237="","",IF(AB237="Closed",AA237-C237,TODAY()-C237))</f>
        <v>0</v>
      </c>
    </row>
    <row r="238" spans="29:29">
      <c r="AC238" s="9">
        <f>IF(C238="","",IF(AB238="Closed",AA238-C238,TODAY()-C238))</f>
        <v>0</v>
      </c>
    </row>
    <row r="239" spans="29:29">
      <c r="AC239" s="9">
        <f>IF(C239="","",IF(AB239="Closed",AA239-C239,TODAY()-C239))</f>
        <v>0</v>
      </c>
    </row>
    <row r="240" spans="29:29">
      <c r="AC240" s="9">
        <f>IF(C240="","",IF(AB240="Closed",AA240-C240,TODAY()-C240))</f>
        <v>0</v>
      </c>
    </row>
    <row r="241" spans="29:29">
      <c r="AC241" s="9">
        <f>IF(C241="","",IF(AB241="Closed",AA241-C241,TODAY()-C241))</f>
        <v>0</v>
      </c>
    </row>
    <row r="242" spans="29:29">
      <c r="AC242" s="9">
        <f>IF(C242="","",IF(AB242="Closed",AA242-C242,TODAY()-C242))</f>
        <v>0</v>
      </c>
    </row>
    <row r="243" spans="29:29">
      <c r="AC243" s="9">
        <f>IF(C243="","",IF(AB243="Closed",AA243-C243,TODAY()-C243))</f>
        <v>0</v>
      </c>
    </row>
    <row r="244" spans="29:29">
      <c r="AC244" s="9">
        <f>IF(C244="","",IF(AB244="Closed",AA244-C244,TODAY()-C244))</f>
        <v>0</v>
      </c>
    </row>
    <row r="245" spans="29:29">
      <c r="AC245" s="9">
        <f>IF(C245="","",IF(AB245="Closed",AA245-C245,TODAY()-C245))</f>
        <v>0</v>
      </c>
    </row>
    <row r="246" spans="29:29">
      <c r="AC246" s="9">
        <f>IF(C246="","",IF(AB246="Closed",AA246-C246,TODAY()-C246))</f>
        <v>0</v>
      </c>
    </row>
    <row r="247" spans="29:29">
      <c r="AC247" s="9">
        <f>IF(C247="","",IF(AB247="Closed",AA247-C247,TODAY()-C247))</f>
        <v>0</v>
      </c>
    </row>
    <row r="248" spans="29:29">
      <c r="AC248" s="9">
        <f>IF(C248="","",IF(AB248="Closed",AA248-C248,TODAY()-C248))</f>
        <v>0</v>
      </c>
    </row>
    <row r="249" spans="29:29">
      <c r="AC249" s="9">
        <f>IF(C249="","",IF(AB249="Closed",AA249-C249,TODAY()-C249))</f>
        <v>0</v>
      </c>
    </row>
    <row r="250" spans="29:29">
      <c r="AC250" s="9">
        <f>IF(C250="","",IF(AB250="Closed",AA250-C250,TODAY()-C250))</f>
        <v>0</v>
      </c>
    </row>
    <row r="251" spans="29:29">
      <c r="AC251" s="9">
        <f>IF(C251="","",IF(AB251="Closed",AA251-C251,TODAY()-C251))</f>
        <v>0</v>
      </c>
    </row>
    <row r="252" spans="29:29">
      <c r="AC252" s="9">
        <f>IF(C252="","",IF(AB252="Closed",AA252-C252,TODAY()-C252))</f>
        <v>0</v>
      </c>
    </row>
    <row r="253" spans="29:29">
      <c r="AC253" s="9">
        <f>IF(C253="","",IF(AB253="Closed",AA253-C253,TODAY()-C253))</f>
        <v>0</v>
      </c>
    </row>
    <row r="254" spans="29:29">
      <c r="AC254" s="9">
        <f>IF(C254="","",IF(AB254="Closed",AA254-C254,TODAY()-C254))</f>
        <v>0</v>
      </c>
    </row>
    <row r="255" spans="29:29">
      <c r="AC255" s="9">
        <f>IF(C255="","",IF(AB255="Closed",AA255-C255,TODAY()-C255))</f>
        <v>0</v>
      </c>
    </row>
    <row r="256" spans="29:29">
      <c r="AC256" s="9">
        <f>IF(C256="","",IF(AB256="Closed",AA256-C256,TODAY()-C256))</f>
        <v>0</v>
      </c>
    </row>
    <row r="257" spans="29:29">
      <c r="AC257" s="9">
        <f>IF(C257="","",IF(AB257="Closed",AA257-C257,TODAY()-C257))</f>
        <v>0</v>
      </c>
    </row>
    <row r="258" spans="29:29">
      <c r="AC258" s="9">
        <f>IF(C258="","",IF(AB258="Closed",AA258-C258,TODAY()-C258))</f>
        <v>0</v>
      </c>
    </row>
    <row r="259" spans="29:29">
      <c r="AC259" s="9">
        <f>IF(C259="","",IF(AB259="Closed",AA259-C259,TODAY()-C259))</f>
        <v>0</v>
      </c>
    </row>
    <row r="260" spans="29:29">
      <c r="AC260" s="9">
        <f>IF(C260="","",IF(AB260="Closed",AA260-C260,TODAY()-C260))</f>
        <v>0</v>
      </c>
    </row>
    <row r="261" spans="29:29">
      <c r="AC261" s="9">
        <f>IF(C261="","",IF(AB261="Closed",AA261-C261,TODAY()-C261))</f>
        <v>0</v>
      </c>
    </row>
    <row r="262" spans="29:29">
      <c r="AC262" s="9">
        <f>IF(C262="","",IF(AB262="Closed",AA262-C262,TODAY()-C262))</f>
        <v>0</v>
      </c>
    </row>
    <row r="263" spans="29:29">
      <c r="AC263" s="9">
        <f>IF(C263="","",IF(AB263="Closed",AA263-C263,TODAY()-C263))</f>
        <v>0</v>
      </c>
    </row>
    <row r="264" spans="29:29">
      <c r="AC264" s="9">
        <f>IF(C264="","",IF(AB264="Closed",AA264-C264,TODAY()-C264))</f>
        <v>0</v>
      </c>
    </row>
    <row r="265" spans="29:29">
      <c r="AC265" s="9">
        <f>IF(C265="","",IF(AB265="Closed",AA265-C265,TODAY()-C265))</f>
        <v>0</v>
      </c>
    </row>
    <row r="266" spans="29:29">
      <c r="AC266" s="9">
        <f>IF(C266="","",IF(AB266="Closed",AA266-C266,TODAY()-C266))</f>
        <v>0</v>
      </c>
    </row>
    <row r="267" spans="29:29">
      <c r="AC267" s="9">
        <f>IF(C267="","",IF(AB267="Closed",AA267-C267,TODAY()-C267))</f>
        <v>0</v>
      </c>
    </row>
    <row r="268" spans="29:29">
      <c r="AC268" s="9">
        <f>IF(C268="","",IF(AB268="Closed",AA268-C268,TODAY()-C268))</f>
        <v>0</v>
      </c>
    </row>
    <row r="269" spans="29:29">
      <c r="AC269" s="9">
        <f>IF(C269="","",IF(AB269="Closed",AA269-C269,TODAY()-C269))</f>
        <v>0</v>
      </c>
    </row>
    <row r="270" spans="29:29">
      <c r="AC270" s="9">
        <f>IF(C270="","",IF(AB270="Closed",AA270-C270,TODAY()-C270))</f>
        <v>0</v>
      </c>
    </row>
    <row r="271" spans="29:29">
      <c r="AC271" s="9">
        <f>IF(C271="","",IF(AB271="Closed",AA271-C271,TODAY()-C271))</f>
        <v>0</v>
      </c>
    </row>
    <row r="272" spans="29:29">
      <c r="AC272" s="9">
        <f>IF(C272="","",IF(AB272="Closed",AA272-C272,TODAY()-C272))</f>
        <v>0</v>
      </c>
    </row>
    <row r="273" spans="29:29">
      <c r="AC273" s="9">
        <f>IF(C273="","",IF(AB273="Closed",AA273-C273,TODAY()-C273))</f>
        <v>0</v>
      </c>
    </row>
    <row r="274" spans="29:29">
      <c r="AC274" s="9">
        <f>IF(C274="","",IF(AB274="Closed",AA274-C274,TODAY()-C274))</f>
        <v>0</v>
      </c>
    </row>
    <row r="275" spans="29:29">
      <c r="AC275" s="9">
        <f>IF(C275="","",IF(AB275="Closed",AA275-C275,TODAY()-C275))</f>
        <v>0</v>
      </c>
    </row>
    <row r="276" spans="29:29">
      <c r="AC276" s="9">
        <f>IF(C276="","",IF(AB276="Closed",AA276-C276,TODAY()-C276))</f>
        <v>0</v>
      </c>
    </row>
    <row r="277" spans="29:29">
      <c r="AC277" s="9">
        <f>IF(C277="","",IF(AB277="Closed",AA277-C277,TODAY()-C277))</f>
        <v>0</v>
      </c>
    </row>
    <row r="278" spans="29:29">
      <c r="AC278" s="9">
        <f>IF(C278="","",IF(AB278="Closed",AA278-C278,TODAY()-C278))</f>
        <v>0</v>
      </c>
    </row>
    <row r="279" spans="29:29">
      <c r="AC279" s="9">
        <f>IF(C279="","",IF(AB279="Closed",AA279-C279,TODAY()-C279))</f>
        <v>0</v>
      </c>
    </row>
    <row r="280" spans="29:29">
      <c r="AC280" s="9">
        <f>IF(C280="","",IF(AB280="Closed",AA280-C280,TODAY()-C280))</f>
        <v>0</v>
      </c>
    </row>
    <row r="281" spans="29:29">
      <c r="AC281" s="9">
        <f>IF(C281="","",IF(AB281="Closed",AA281-C281,TODAY()-C281))</f>
        <v>0</v>
      </c>
    </row>
    <row r="282" spans="29:29">
      <c r="AC282" s="9">
        <f>IF(C282="","",IF(AB282="Closed",AA282-C282,TODAY()-C282))</f>
        <v>0</v>
      </c>
    </row>
    <row r="283" spans="29:29">
      <c r="AC283" s="9">
        <f>IF(C283="","",IF(AB283="Closed",AA283-C283,TODAY()-C283))</f>
        <v>0</v>
      </c>
    </row>
    <row r="284" spans="29:29">
      <c r="AC284" s="9">
        <f>IF(C284="","",IF(AB284="Closed",AA284-C284,TODAY()-C284))</f>
        <v>0</v>
      </c>
    </row>
    <row r="285" spans="29:29">
      <c r="AC285" s="9">
        <f>IF(C285="","",IF(AB285="Closed",AA285-C285,TODAY()-C285))</f>
        <v>0</v>
      </c>
    </row>
    <row r="286" spans="29:29">
      <c r="AC286" s="9">
        <f>IF(C286="","",IF(AB286="Closed",AA286-C286,TODAY()-C286))</f>
        <v>0</v>
      </c>
    </row>
    <row r="287" spans="29:29">
      <c r="AC287" s="9">
        <f>IF(C287="","",IF(AB287="Closed",AA287-C287,TODAY()-C287))</f>
        <v>0</v>
      </c>
    </row>
    <row r="288" spans="29:29">
      <c r="AC288" s="9">
        <f>IF(C288="","",IF(AB288="Closed",AA288-C288,TODAY()-C288))</f>
        <v>0</v>
      </c>
    </row>
    <row r="289" spans="29:29">
      <c r="AC289" s="9">
        <f>IF(C289="","",IF(AB289="Closed",AA289-C289,TODAY()-C289))</f>
        <v>0</v>
      </c>
    </row>
    <row r="290" spans="29:29">
      <c r="AC290" s="9">
        <f>IF(C290="","",IF(AB290="Closed",AA290-C290,TODAY()-C290))</f>
        <v>0</v>
      </c>
    </row>
    <row r="291" spans="29:29">
      <c r="AC291" s="9">
        <f>IF(C291="","",IF(AB291="Closed",AA291-C291,TODAY()-C291))</f>
        <v>0</v>
      </c>
    </row>
    <row r="292" spans="29:29">
      <c r="AC292" s="9">
        <f>IF(C292="","",IF(AB292="Closed",AA292-C292,TODAY()-C292))</f>
        <v>0</v>
      </c>
    </row>
    <row r="293" spans="29:29">
      <c r="AC293" s="9">
        <f>IF(C293="","",IF(AB293="Closed",AA293-C293,TODAY()-C293))</f>
        <v>0</v>
      </c>
    </row>
    <row r="294" spans="29:29">
      <c r="AC294" s="9">
        <f>IF(C294="","",IF(AB294="Closed",AA294-C294,TODAY()-C294))</f>
        <v>0</v>
      </c>
    </row>
    <row r="295" spans="29:29">
      <c r="AC295" s="9">
        <f>IF(C295="","",IF(AB295="Closed",AA295-C295,TODAY()-C295))</f>
        <v>0</v>
      </c>
    </row>
    <row r="296" spans="29:29">
      <c r="AC296" s="9">
        <f>IF(C296="","",IF(AB296="Closed",AA296-C296,TODAY()-C296))</f>
        <v>0</v>
      </c>
    </row>
    <row r="297" spans="29:29">
      <c r="AC297" s="9">
        <f>IF(C297="","",IF(AB297="Closed",AA297-C297,TODAY()-C297))</f>
        <v>0</v>
      </c>
    </row>
    <row r="298" spans="29:29">
      <c r="AC298" s="9">
        <f>IF(C298="","",IF(AB298="Closed",AA298-C298,TODAY()-C298))</f>
        <v>0</v>
      </c>
    </row>
    <row r="299" spans="29:29">
      <c r="AC299" s="9">
        <f>IF(C299="","",IF(AB299="Closed",AA299-C299,TODAY()-C299))</f>
        <v>0</v>
      </c>
    </row>
    <row r="300" spans="29:29">
      <c r="AC300" s="9">
        <f>IF(C300="","",IF(AB300="Closed",AA300-C300,TODAY()-C300))</f>
        <v>0</v>
      </c>
    </row>
    <row r="301" spans="29:29">
      <c r="AC301" s="9">
        <f>IF(C301="","",IF(AB301="Closed",AA301-C301,TODAY()-C301))</f>
        <v>0</v>
      </c>
    </row>
    <row r="302" spans="29:29">
      <c r="AC302" s="9">
        <f>IF(C302="","",IF(AB302="Closed",AA302-C302,TODAY()-C302))</f>
        <v>0</v>
      </c>
    </row>
    <row r="303" spans="29:29">
      <c r="AC303" s="9">
        <f>IF(C303="","",IF(AB303="Closed",AA303-C303,TODAY()-C303))</f>
        <v>0</v>
      </c>
    </row>
    <row r="304" spans="29:29">
      <c r="AC304" s="9">
        <f>IF(C304="","",IF(AB304="Closed",AA304-C304,TODAY()-C304))</f>
        <v>0</v>
      </c>
    </row>
    <row r="305" spans="29:29">
      <c r="AC305" s="9">
        <f>IF(C305="","",IF(AB305="Closed",AA305-C305,TODAY()-C305))</f>
        <v>0</v>
      </c>
    </row>
    <row r="306" spans="29:29">
      <c r="AC306" s="9">
        <f>IF(C306="","",IF(AB306="Closed",AA306-C306,TODAY()-C306))</f>
        <v>0</v>
      </c>
    </row>
    <row r="307" spans="29:29">
      <c r="AC307" s="9">
        <f>IF(C307="","",IF(AB307="Closed",AA307-C307,TODAY()-C307))</f>
        <v>0</v>
      </c>
    </row>
    <row r="308" spans="29:29">
      <c r="AC308" s="9">
        <f>IF(C308="","",IF(AB308="Closed",AA308-C308,TODAY()-C308))</f>
        <v>0</v>
      </c>
    </row>
    <row r="309" spans="29:29">
      <c r="AC309" s="9">
        <f>IF(C309="","",IF(AB309="Closed",AA309-C309,TODAY()-C309))</f>
        <v>0</v>
      </c>
    </row>
    <row r="310" spans="29:29">
      <c r="AC310" s="9">
        <f>IF(C310="","",IF(AB310="Closed",AA310-C310,TODAY()-C310))</f>
        <v>0</v>
      </c>
    </row>
    <row r="311" spans="29:29">
      <c r="AC311" s="9">
        <f>IF(C311="","",IF(AB311="Closed",AA311-C311,TODAY()-C311))</f>
        <v>0</v>
      </c>
    </row>
    <row r="312" spans="29:29">
      <c r="AC312" s="9">
        <f>IF(C312="","",IF(AB312="Closed",AA312-C312,TODAY()-C312))</f>
        <v>0</v>
      </c>
    </row>
    <row r="313" spans="29:29">
      <c r="AC313" s="9">
        <f>IF(C313="","",IF(AB313="Closed",AA313-C313,TODAY()-C313))</f>
        <v>0</v>
      </c>
    </row>
    <row r="314" spans="29:29">
      <c r="AC314" s="9">
        <f>IF(C314="","",IF(AB314="Closed",AA314-C314,TODAY()-C314))</f>
        <v>0</v>
      </c>
    </row>
    <row r="315" spans="29:29">
      <c r="AC315" s="9">
        <f>IF(C315="","",IF(AB315="Closed",AA315-C315,TODAY()-C315))</f>
        <v>0</v>
      </c>
    </row>
    <row r="316" spans="29:29">
      <c r="AC316" s="9">
        <f>IF(C316="","",IF(AB316="Closed",AA316-C316,TODAY()-C316))</f>
        <v>0</v>
      </c>
    </row>
    <row r="317" spans="29:29">
      <c r="AC317" s="9">
        <f>IF(C317="","",IF(AB317="Closed",AA317-C317,TODAY()-C317))</f>
        <v>0</v>
      </c>
    </row>
    <row r="318" spans="29:29">
      <c r="AC318" s="9">
        <f>IF(C318="","",IF(AB318="Closed",AA318-C318,TODAY()-C318))</f>
        <v>0</v>
      </c>
    </row>
    <row r="319" spans="29:29">
      <c r="AC319" s="9">
        <f>IF(C319="","",IF(AB319="Closed",AA319-C319,TODAY()-C319))</f>
        <v>0</v>
      </c>
    </row>
    <row r="320" spans="29:29">
      <c r="AC320" s="9">
        <f>IF(C320="","",IF(AB320="Closed",AA320-C320,TODAY()-C320))</f>
        <v>0</v>
      </c>
    </row>
    <row r="321" spans="29:29">
      <c r="AC321" s="9">
        <f>IF(C321="","",IF(AB321="Closed",AA321-C321,TODAY()-C321))</f>
        <v>0</v>
      </c>
    </row>
    <row r="322" spans="29:29">
      <c r="AC322" s="9">
        <f>IF(C322="","",IF(AB322="Closed",AA322-C322,TODAY()-C322))</f>
        <v>0</v>
      </c>
    </row>
    <row r="323" spans="29:29">
      <c r="AC323" s="9">
        <f>IF(C323="","",IF(AB323="Closed",AA323-C323,TODAY()-C323))</f>
        <v>0</v>
      </c>
    </row>
    <row r="324" spans="29:29">
      <c r="AC324" s="9">
        <f>IF(C324="","",IF(AB324="Closed",AA324-C324,TODAY()-C324))</f>
        <v>0</v>
      </c>
    </row>
    <row r="325" spans="29:29">
      <c r="AC325" s="9">
        <f>IF(C325="","",IF(AB325="Closed",AA325-C325,TODAY()-C325))</f>
        <v>0</v>
      </c>
    </row>
    <row r="326" spans="29:29">
      <c r="AC326" s="9">
        <f>IF(C326="","",IF(AB326="Closed",AA326-C326,TODAY()-C326))</f>
        <v>0</v>
      </c>
    </row>
    <row r="327" spans="29:29">
      <c r="AC327" s="9">
        <f>IF(C327="","",IF(AB327="Closed",AA327-C327,TODAY()-C327))</f>
        <v>0</v>
      </c>
    </row>
    <row r="328" spans="29:29">
      <c r="AC328" s="9">
        <f>IF(C328="","",IF(AB328="Closed",AA328-C328,TODAY()-C328))</f>
        <v>0</v>
      </c>
    </row>
    <row r="329" spans="29:29">
      <c r="AC329" s="9">
        <f>IF(C329="","",IF(AB329="Closed",AA329-C329,TODAY()-C329))</f>
        <v>0</v>
      </c>
    </row>
    <row r="330" spans="29:29">
      <c r="AC330" s="9">
        <f>IF(C330="","",IF(AB330="Closed",AA330-C330,TODAY()-C330))</f>
        <v>0</v>
      </c>
    </row>
    <row r="331" spans="29:29">
      <c r="AC331" s="9">
        <f>IF(C331="","",IF(AB331="Closed",AA331-C331,TODAY()-C331))</f>
        <v>0</v>
      </c>
    </row>
    <row r="332" spans="29:29">
      <c r="AC332" s="9">
        <f>IF(C332="","",IF(AB332="Closed",AA332-C332,TODAY()-C332))</f>
        <v>0</v>
      </c>
    </row>
    <row r="333" spans="29:29">
      <c r="AC333" s="9">
        <f>IF(C333="","",IF(AB333="Closed",AA333-C333,TODAY()-C333))</f>
        <v>0</v>
      </c>
    </row>
    <row r="334" spans="29:29">
      <c r="AC334" s="9">
        <f>IF(C334="","",IF(AB334="Closed",AA334-C334,TODAY()-C334))</f>
        <v>0</v>
      </c>
    </row>
    <row r="335" spans="29:29">
      <c r="AC335" s="9">
        <f>IF(C335="","",IF(AB335="Closed",AA335-C335,TODAY()-C335))</f>
        <v>0</v>
      </c>
    </row>
    <row r="336" spans="29:29">
      <c r="AC336" s="9">
        <f>IF(C336="","",IF(AB336="Closed",AA336-C336,TODAY()-C336))</f>
        <v>0</v>
      </c>
    </row>
    <row r="337" spans="29:29">
      <c r="AC337" s="9">
        <f>IF(C337="","",IF(AB337="Closed",AA337-C337,TODAY()-C337))</f>
        <v>0</v>
      </c>
    </row>
    <row r="338" spans="29:29">
      <c r="AC338" s="9">
        <f>IF(C338="","",IF(AB338="Closed",AA338-C338,TODAY()-C338))</f>
        <v>0</v>
      </c>
    </row>
    <row r="339" spans="29:29">
      <c r="AC339" s="9">
        <f>IF(C339="","",IF(AB339="Closed",AA339-C339,TODAY()-C339))</f>
        <v>0</v>
      </c>
    </row>
    <row r="340" spans="29:29">
      <c r="AC340" s="9">
        <f>IF(C340="","",IF(AB340="Closed",AA340-C340,TODAY()-C340))</f>
        <v>0</v>
      </c>
    </row>
    <row r="341" spans="29:29">
      <c r="AC341" s="9">
        <f>IF(C341="","",IF(AB341="Closed",AA341-C341,TODAY()-C341))</f>
        <v>0</v>
      </c>
    </row>
    <row r="342" spans="29:29">
      <c r="AC342" s="9">
        <f>IF(C342="","",IF(AB342="Closed",AA342-C342,TODAY()-C342))</f>
        <v>0</v>
      </c>
    </row>
    <row r="343" spans="29:29">
      <c r="AC343" s="9">
        <f>IF(C343="","",IF(AB343="Closed",AA343-C343,TODAY()-C343))</f>
        <v>0</v>
      </c>
    </row>
    <row r="344" spans="29:29">
      <c r="AC344" s="9">
        <f>IF(C344="","",IF(AB344="Closed",AA344-C344,TODAY()-C344))</f>
        <v>0</v>
      </c>
    </row>
    <row r="345" spans="29:29">
      <c r="AC345" s="9">
        <f>IF(C345="","",IF(AB345="Closed",AA345-C345,TODAY()-C345))</f>
        <v>0</v>
      </c>
    </row>
    <row r="346" spans="29:29">
      <c r="AC346" s="9">
        <f>IF(C346="","",IF(AB346="Closed",AA346-C346,TODAY()-C346))</f>
        <v>0</v>
      </c>
    </row>
    <row r="347" spans="29:29">
      <c r="AC347" s="9">
        <f>IF(C347="","",IF(AB347="Closed",AA347-C347,TODAY()-C347))</f>
        <v>0</v>
      </c>
    </row>
    <row r="348" spans="29:29">
      <c r="AC348" s="9">
        <f>IF(C348="","",IF(AB348="Closed",AA348-C348,TODAY()-C348))</f>
        <v>0</v>
      </c>
    </row>
    <row r="349" spans="29:29">
      <c r="AC349" s="9">
        <f>IF(C349="","",IF(AB349="Closed",AA349-C349,TODAY()-C349))</f>
        <v>0</v>
      </c>
    </row>
    <row r="350" spans="29:29">
      <c r="AC350" s="9">
        <f>IF(C350="","",IF(AB350="Closed",AA350-C350,TODAY()-C350))</f>
        <v>0</v>
      </c>
    </row>
    <row r="351" spans="29:29">
      <c r="AC351" s="9">
        <f>IF(C351="","",IF(AB351="Closed",AA351-C351,TODAY()-C351))</f>
        <v>0</v>
      </c>
    </row>
    <row r="352" spans="29:29">
      <c r="AC352" s="9">
        <f>IF(C352="","",IF(AB352="Closed",AA352-C352,TODAY()-C352))</f>
        <v>0</v>
      </c>
    </row>
    <row r="353" spans="29:29">
      <c r="AC353" s="9">
        <f>IF(C353="","",IF(AB353="Closed",AA353-C353,TODAY()-C353))</f>
        <v>0</v>
      </c>
    </row>
    <row r="354" spans="29:29">
      <c r="AC354" s="9">
        <f>IF(C354="","",IF(AB354="Closed",AA354-C354,TODAY()-C354))</f>
        <v>0</v>
      </c>
    </row>
    <row r="355" spans="29:29">
      <c r="AC355" s="9">
        <f>IF(C355="","",IF(AB355="Closed",AA355-C355,TODAY()-C355))</f>
        <v>0</v>
      </c>
    </row>
    <row r="356" spans="29:29">
      <c r="AC356" s="9">
        <f>IF(C356="","",IF(AB356="Closed",AA356-C356,TODAY()-C356))</f>
        <v>0</v>
      </c>
    </row>
    <row r="357" spans="29:29">
      <c r="AC357" s="9">
        <f>IF(C357="","",IF(AB357="Closed",AA357-C357,TODAY()-C357))</f>
        <v>0</v>
      </c>
    </row>
    <row r="358" spans="29:29">
      <c r="AC358" s="9">
        <f>IF(C358="","",IF(AB358="Closed",AA358-C358,TODAY()-C358))</f>
        <v>0</v>
      </c>
    </row>
    <row r="359" spans="29:29">
      <c r="AC359" s="9">
        <f>IF(C359="","",IF(AB359="Closed",AA359-C359,TODAY()-C359))</f>
        <v>0</v>
      </c>
    </row>
    <row r="360" spans="29:29">
      <c r="AC360" s="9">
        <f>IF(C360="","",IF(AB360="Closed",AA360-C360,TODAY()-C360))</f>
        <v>0</v>
      </c>
    </row>
    <row r="361" spans="29:29">
      <c r="AC361" s="9">
        <f>IF(C361="","",IF(AB361="Closed",AA361-C361,TODAY()-C361))</f>
        <v>0</v>
      </c>
    </row>
    <row r="362" spans="29:29">
      <c r="AC362" s="9">
        <f>IF(C362="","",IF(AB362="Closed",AA362-C362,TODAY()-C362))</f>
        <v>0</v>
      </c>
    </row>
    <row r="363" spans="29:29">
      <c r="AC363" s="9">
        <f>IF(C363="","",IF(AB363="Closed",AA363-C363,TODAY()-C363))</f>
        <v>0</v>
      </c>
    </row>
    <row r="364" spans="29:29">
      <c r="AC364" s="9">
        <f>IF(C364="","",IF(AB364="Closed",AA364-C364,TODAY()-C364))</f>
        <v>0</v>
      </c>
    </row>
    <row r="365" spans="29:29">
      <c r="AC365" s="9">
        <f>IF(C365="","",IF(AB365="Closed",AA365-C365,TODAY()-C365))</f>
        <v>0</v>
      </c>
    </row>
    <row r="366" spans="29:29">
      <c r="AC366" s="9">
        <f>IF(C366="","",IF(AB366="Closed",AA366-C366,TODAY()-C366))</f>
        <v>0</v>
      </c>
    </row>
    <row r="367" spans="29:29">
      <c r="AC367" s="9">
        <f>IF(C367="","",IF(AB367="Closed",AA367-C367,TODAY()-C367))</f>
        <v>0</v>
      </c>
    </row>
    <row r="368" spans="29:29">
      <c r="AC368" s="9">
        <f>IF(C368="","",IF(AB368="Closed",AA368-C368,TODAY()-C368))</f>
        <v>0</v>
      </c>
    </row>
    <row r="369" spans="29:29">
      <c r="AC369" s="9">
        <f>IF(C369="","",IF(AB369="Closed",AA369-C369,TODAY()-C369))</f>
        <v>0</v>
      </c>
    </row>
    <row r="370" spans="29:29">
      <c r="AC370" s="9">
        <f>IF(C370="","",IF(AB370="Closed",AA370-C370,TODAY()-C370))</f>
        <v>0</v>
      </c>
    </row>
    <row r="371" spans="29:29">
      <c r="AC371" s="9">
        <f>IF(C371="","",IF(AB371="Closed",AA371-C371,TODAY()-C371))</f>
        <v>0</v>
      </c>
    </row>
    <row r="372" spans="29:29">
      <c r="AC372" s="9">
        <f>IF(C372="","",IF(AB372="Closed",AA372-C372,TODAY()-C372))</f>
        <v>0</v>
      </c>
    </row>
    <row r="373" spans="29:29">
      <c r="AC373" s="9">
        <f>IF(C373="","",IF(AB373="Closed",AA373-C373,TODAY()-C373))</f>
        <v>0</v>
      </c>
    </row>
    <row r="374" spans="29:29">
      <c r="AC374" s="9">
        <f>IF(C374="","",IF(AB374="Closed",AA374-C374,TODAY()-C374))</f>
        <v>0</v>
      </c>
    </row>
    <row r="375" spans="29:29">
      <c r="AC375" s="9">
        <f>IF(C375="","",IF(AB375="Closed",AA375-C375,TODAY()-C375))</f>
        <v>0</v>
      </c>
    </row>
    <row r="376" spans="29:29">
      <c r="AC376" s="9">
        <f>IF(C376="","",IF(AB376="Closed",AA376-C376,TODAY()-C376))</f>
        <v>0</v>
      </c>
    </row>
    <row r="377" spans="29:29">
      <c r="AC377" s="9">
        <f>IF(C377="","",IF(AB377="Closed",AA377-C377,TODAY()-C377))</f>
        <v>0</v>
      </c>
    </row>
    <row r="378" spans="29:29">
      <c r="AC378" s="9">
        <f>IF(C378="","",IF(AB378="Closed",AA378-C378,TODAY()-C378))</f>
        <v>0</v>
      </c>
    </row>
    <row r="379" spans="29:29">
      <c r="AC379" s="9">
        <f>IF(C379="","",IF(AB379="Closed",AA379-C379,TODAY()-C379))</f>
        <v>0</v>
      </c>
    </row>
    <row r="380" spans="29:29">
      <c r="AC380" s="9">
        <f>IF(C380="","",IF(AB380="Closed",AA380-C380,TODAY()-C380))</f>
        <v>0</v>
      </c>
    </row>
    <row r="381" spans="29:29">
      <c r="AC381" s="9">
        <f>IF(C381="","",IF(AB381="Closed",AA381-C381,TODAY()-C381))</f>
        <v>0</v>
      </c>
    </row>
    <row r="382" spans="29:29">
      <c r="AC382" s="9">
        <f>IF(C382="","",IF(AB382="Closed",AA382-C382,TODAY()-C382))</f>
        <v>0</v>
      </c>
    </row>
    <row r="383" spans="29:29">
      <c r="AC383" s="9">
        <f>IF(C383="","",IF(AB383="Closed",AA383-C383,TODAY()-C383))</f>
        <v>0</v>
      </c>
    </row>
    <row r="384" spans="29:29">
      <c r="AC384" s="9">
        <f>IF(C384="","",IF(AB384="Closed",AA384-C384,TODAY()-C384))</f>
        <v>0</v>
      </c>
    </row>
    <row r="385" spans="29:29">
      <c r="AC385" s="9">
        <f>IF(C385="","",IF(AB385="Closed",AA385-C385,TODAY()-C385))</f>
        <v>0</v>
      </c>
    </row>
    <row r="386" spans="29:29">
      <c r="AC386" s="9">
        <f>IF(C386="","",IF(AB386="Closed",AA386-C386,TODAY()-C386))</f>
        <v>0</v>
      </c>
    </row>
    <row r="387" spans="29:29">
      <c r="AC387" s="9">
        <f>IF(C387="","",IF(AB387="Closed",AA387-C387,TODAY()-C387))</f>
        <v>0</v>
      </c>
    </row>
    <row r="388" spans="29:29">
      <c r="AC388" s="9">
        <f>IF(C388="","",IF(AB388="Closed",AA388-C388,TODAY()-C388))</f>
        <v>0</v>
      </c>
    </row>
    <row r="389" spans="29:29">
      <c r="AC389" s="9">
        <f>IF(C389="","",IF(AB389="Closed",AA389-C389,TODAY()-C389))</f>
        <v>0</v>
      </c>
    </row>
    <row r="390" spans="29:29">
      <c r="AC390" s="9">
        <f>IF(C390="","",IF(AB390="Closed",AA390-C390,TODAY()-C390))</f>
        <v>0</v>
      </c>
    </row>
    <row r="391" spans="29:29">
      <c r="AC391" s="9">
        <f>IF(C391="","",IF(AB391="Closed",AA391-C391,TODAY()-C391))</f>
        <v>0</v>
      </c>
    </row>
    <row r="392" spans="29:29">
      <c r="AC392" s="9">
        <f>IF(C392="","",IF(AB392="Closed",AA392-C392,TODAY()-C392))</f>
        <v>0</v>
      </c>
    </row>
    <row r="393" spans="29:29">
      <c r="AC393" s="9">
        <f>IF(C393="","",IF(AB393="Closed",AA393-C393,TODAY()-C393))</f>
        <v>0</v>
      </c>
    </row>
    <row r="394" spans="29:29">
      <c r="AC394" s="9">
        <f>IF(C394="","",IF(AB394="Closed",AA394-C394,TODAY()-C394))</f>
        <v>0</v>
      </c>
    </row>
    <row r="395" spans="29:29">
      <c r="AC395" s="9">
        <f>IF(C395="","",IF(AB395="Closed",AA395-C395,TODAY()-C395))</f>
        <v>0</v>
      </c>
    </row>
    <row r="396" spans="29:29">
      <c r="AC396" s="9">
        <f>IF(C396="","",IF(AB396="Closed",AA396-C396,TODAY()-C396))</f>
        <v>0</v>
      </c>
    </row>
    <row r="397" spans="29:29">
      <c r="AC397" s="9">
        <f>IF(C397="","",IF(AB397="Closed",AA397-C397,TODAY()-C397))</f>
        <v>0</v>
      </c>
    </row>
    <row r="398" spans="29:29">
      <c r="AC398" s="9">
        <f>IF(C398="","",IF(AB398="Closed",AA398-C398,TODAY()-C398))</f>
        <v>0</v>
      </c>
    </row>
    <row r="399" spans="29:29">
      <c r="AC399" s="9">
        <f>IF(C399="","",IF(AB399="Closed",AA399-C399,TODAY()-C399))</f>
        <v>0</v>
      </c>
    </row>
    <row r="400" spans="29:29">
      <c r="AC400" s="9">
        <f>IF(C400="","",IF(AB400="Closed",AA400-C400,TODAY()-C400))</f>
        <v>0</v>
      </c>
    </row>
    <row r="401" spans="29:29">
      <c r="AC401" s="9">
        <f>IF(C401="","",IF(AB401="Closed",AA401-C401,TODAY()-C401))</f>
        <v>0</v>
      </c>
    </row>
    <row r="402" spans="29:29">
      <c r="AC402" s="9">
        <f>IF(C402="","",IF(AB402="Closed",AA402-C402,TODAY()-C402))</f>
        <v>0</v>
      </c>
    </row>
    <row r="403" spans="29:29">
      <c r="AC403" s="9">
        <f>IF(C403="","",IF(AB403="Closed",AA403-C403,TODAY()-C403))</f>
        <v>0</v>
      </c>
    </row>
    <row r="404" spans="29:29">
      <c r="AC404" s="9">
        <f>IF(C404="","",IF(AB404="Closed",AA404-C404,TODAY()-C404))</f>
        <v>0</v>
      </c>
    </row>
    <row r="405" spans="29:29">
      <c r="AC405" s="9">
        <f>IF(C405="","",IF(AB405="Closed",AA405-C405,TODAY()-C405))</f>
        <v>0</v>
      </c>
    </row>
    <row r="406" spans="29:29">
      <c r="AC406" s="9">
        <f>IF(C406="","",IF(AB406="Closed",AA406-C406,TODAY()-C406))</f>
        <v>0</v>
      </c>
    </row>
    <row r="407" spans="29:29">
      <c r="AC407" s="9">
        <f>IF(C407="","",IF(AB407="Closed",AA407-C407,TODAY()-C407))</f>
        <v>0</v>
      </c>
    </row>
    <row r="408" spans="29:29">
      <c r="AC408" s="9">
        <f>IF(C408="","",IF(AB408="Closed",AA408-C408,TODAY()-C408))</f>
        <v>0</v>
      </c>
    </row>
    <row r="409" spans="29:29">
      <c r="AC409" s="9">
        <f>IF(C409="","",IF(AB409="Closed",AA409-C409,TODAY()-C409))</f>
        <v>0</v>
      </c>
    </row>
    <row r="410" spans="29:29">
      <c r="AC410" s="9">
        <f>IF(C410="","",IF(AB410="Closed",AA410-C410,TODAY()-C410))</f>
        <v>0</v>
      </c>
    </row>
    <row r="411" spans="29:29">
      <c r="AC411" s="9">
        <f>IF(C411="","",IF(AB411="Closed",AA411-C411,TODAY()-C411))</f>
        <v>0</v>
      </c>
    </row>
    <row r="412" spans="29:29">
      <c r="AC412" s="9">
        <f>IF(C412="","",IF(AB412="Closed",AA412-C412,TODAY()-C412))</f>
        <v>0</v>
      </c>
    </row>
    <row r="413" spans="29:29">
      <c r="AC413" s="9">
        <f>IF(C413="","",IF(AB413="Closed",AA413-C413,TODAY()-C413))</f>
        <v>0</v>
      </c>
    </row>
    <row r="414" spans="29:29">
      <c r="AC414" s="9">
        <f>IF(C414="","",IF(AB414="Closed",AA414-C414,TODAY()-C414))</f>
        <v>0</v>
      </c>
    </row>
    <row r="415" spans="29:29">
      <c r="AC415" s="9">
        <f>IF(C415="","",IF(AB415="Closed",AA415-C415,TODAY()-C415))</f>
        <v>0</v>
      </c>
    </row>
    <row r="416" spans="29:29">
      <c r="AC416" s="9">
        <f>IF(C416="","",IF(AB416="Closed",AA416-C416,TODAY()-C416))</f>
        <v>0</v>
      </c>
    </row>
    <row r="417" spans="29:29">
      <c r="AC417" s="9">
        <f>IF(C417="","",IF(AB417="Closed",AA417-C417,TODAY()-C417))</f>
        <v>0</v>
      </c>
    </row>
    <row r="418" spans="29:29">
      <c r="AC418" s="9">
        <f>IF(C418="","",IF(AB418="Closed",AA418-C418,TODAY()-C418))</f>
        <v>0</v>
      </c>
    </row>
    <row r="419" spans="29:29">
      <c r="AC419" s="9">
        <f>IF(C419="","",IF(AB419="Closed",AA419-C419,TODAY()-C419))</f>
        <v>0</v>
      </c>
    </row>
    <row r="420" spans="29:29">
      <c r="AC420" s="9">
        <f>IF(C420="","",IF(AB420="Closed",AA420-C420,TODAY()-C420))</f>
        <v>0</v>
      </c>
    </row>
    <row r="421" spans="29:29">
      <c r="AC421" s="9">
        <f>IF(C421="","",IF(AB421="Closed",AA421-C421,TODAY()-C421))</f>
        <v>0</v>
      </c>
    </row>
    <row r="422" spans="29:29">
      <c r="AC422" s="9">
        <f>IF(C422="","",IF(AB422="Closed",AA422-C422,TODAY()-C422))</f>
        <v>0</v>
      </c>
    </row>
    <row r="423" spans="29:29">
      <c r="AC423" s="9">
        <f>IF(C423="","",IF(AB423="Closed",AA423-C423,TODAY()-C423))</f>
        <v>0</v>
      </c>
    </row>
    <row r="424" spans="29:29">
      <c r="AC424" s="9">
        <f>IF(C424="","",IF(AB424="Closed",AA424-C424,TODAY()-C424))</f>
        <v>0</v>
      </c>
    </row>
    <row r="425" spans="29:29">
      <c r="AC425" s="9">
        <f>IF(C425="","",IF(AB425="Closed",AA425-C425,TODAY()-C425))</f>
        <v>0</v>
      </c>
    </row>
    <row r="426" spans="29:29">
      <c r="AC426" s="9">
        <f>IF(C426="","",IF(AB426="Closed",AA426-C426,TODAY()-C426))</f>
        <v>0</v>
      </c>
    </row>
    <row r="427" spans="29:29">
      <c r="AC427" s="9">
        <f>IF(C427="","",IF(AB427="Closed",AA427-C427,TODAY()-C427))</f>
        <v>0</v>
      </c>
    </row>
    <row r="428" spans="29:29">
      <c r="AC428" s="9">
        <f>IF(C428="","",IF(AB428="Closed",AA428-C428,TODAY()-C428))</f>
        <v>0</v>
      </c>
    </row>
    <row r="429" spans="29:29">
      <c r="AC429" s="9">
        <f>IF(C429="","",IF(AB429="Closed",AA429-C429,TODAY()-C429))</f>
        <v>0</v>
      </c>
    </row>
    <row r="430" spans="29:29">
      <c r="AC430" s="9">
        <f>IF(C430="","",IF(AB430="Closed",AA430-C430,TODAY()-C430))</f>
        <v>0</v>
      </c>
    </row>
    <row r="431" spans="29:29">
      <c r="AC431" s="9">
        <f>IF(C431="","",IF(AB431="Closed",AA431-C431,TODAY()-C431))</f>
        <v>0</v>
      </c>
    </row>
    <row r="432" spans="29:29">
      <c r="AC432" s="9">
        <f>IF(C432="","",IF(AB432="Closed",AA432-C432,TODAY()-C432))</f>
        <v>0</v>
      </c>
    </row>
    <row r="433" spans="29:29">
      <c r="AC433" s="9">
        <f>IF(C433="","",IF(AB433="Closed",AA433-C433,TODAY()-C433))</f>
        <v>0</v>
      </c>
    </row>
    <row r="434" spans="29:29">
      <c r="AC434" s="9">
        <f>IF(C434="","",IF(AB434="Closed",AA434-C434,TODAY()-C434))</f>
        <v>0</v>
      </c>
    </row>
    <row r="435" spans="29:29">
      <c r="AC435" s="9">
        <f>IF(C435="","",IF(AB435="Closed",AA435-C435,TODAY()-C435))</f>
        <v>0</v>
      </c>
    </row>
    <row r="436" spans="29:29">
      <c r="AC436" s="9">
        <f>IF(C436="","",IF(AB436="Closed",AA436-C436,TODAY()-C436))</f>
        <v>0</v>
      </c>
    </row>
    <row r="437" spans="29:29">
      <c r="AC437" s="9">
        <f>IF(C437="","",IF(AB437="Closed",AA437-C437,TODAY()-C437))</f>
        <v>0</v>
      </c>
    </row>
    <row r="438" spans="29:29">
      <c r="AC438" s="9">
        <f>IF(C438="","",IF(AB438="Closed",AA438-C438,TODAY()-C438))</f>
        <v>0</v>
      </c>
    </row>
    <row r="439" spans="29:29">
      <c r="AC439" s="9">
        <f>IF(C439="","",IF(AB439="Closed",AA439-C439,TODAY()-C439))</f>
        <v>0</v>
      </c>
    </row>
    <row r="440" spans="29:29">
      <c r="AC440" s="9">
        <f>IF(C440="","",IF(AB440="Closed",AA440-C440,TODAY()-C440))</f>
        <v>0</v>
      </c>
    </row>
    <row r="441" spans="29:29">
      <c r="AC441" s="9">
        <f>IF(C441="","",IF(AB441="Closed",AA441-C441,TODAY()-C441))</f>
        <v>0</v>
      </c>
    </row>
    <row r="442" spans="29:29">
      <c r="AC442" s="9">
        <f>IF(C442="","",IF(AB442="Closed",AA442-C442,TODAY()-C442))</f>
        <v>0</v>
      </c>
    </row>
    <row r="443" spans="29:29">
      <c r="AC443" s="9">
        <f>IF(C443="","",IF(AB443="Closed",AA443-C443,TODAY()-C443))</f>
        <v>0</v>
      </c>
    </row>
    <row r="444" spans="29:29">
      <c r="AC444" s="9">
        <f>IF(C444="","",IF(AB444="Closed",AA444-C444,TODAY()-C444))</f>
        <v>0</v>
      </c>
    </row>
    <row r="445" spans="29:29">
      <c r="AC445" s="9">
        <f>IF(C445="","",IF(AB445="Closed",AA445-C445,TODAY()-C445))</f>
        <v>0</v>
      </c>
    </row>
    <row r="446" spans="29:29">
      <c r="AC446" s="9">
        <f>IF(C446="","",IF(AB446="Closed",AA446-C446,TODAY()-C446))</f>
        <v>0</v>
      </c>
    </row>
    <row r="447" spans="29:29">
      <c r="AC447" s="9">
        <f>IF(C447="","",IF(AB447="Closed",AA447-C447,TODAY()-C447))</f>
        <v>0</v>
      </c>
    </row>
    <row r="448" spans="29:29">
      <c r="AC448" s="9">
        <f>IF(C448="","",IF(AB448="Closed",AA448-C448,TODAY()-C448))</f>
        <v>0</v>
      </c>
    </row>
    <row r="449" spans="29:29">
      <c r="AC449" s="9">
        <f>IF(C449="","",IF(AB449="Closed",AA449-C449,TODAY()-C449))</f>
        <v>0</v>
      </c>
    </row>
    <row r="450" spans="29:29">
      <c r="AC450" s="9">
        <f>IF(C450="","",IF(AB450="Closed",AA450-C450,TODAY()-C450))</f>
        <v>0</v>
      </c>
    </row>
    <row r="451" spans="29:29">
      <c r="AC451" s="9">
        <f>IF(C451="","",IF(AB451="Closed",AA451-C451,TODAY()-C451))</f>
        <v>0</v>
      </c>
    </row>
    <row r="452" spans="29:29">
      <c r="AC452" s="9">
        <f>IF(C452="","",IF(AB452="Closed",AA452-C452,TODAY()-C452))</f>
        <v>0</v>
      </c>
    </row>
    <row r="453" spans="29:29">
      <c r="AC453" s="9">
        <f>IF(C453="","",IF(AB453="Closed",AA453-C453,TODAY()-C453))</f>
        <v>0</v>
      </c>
    </row>
    <row r="454" spans="29:29">
      <c r="AC454" s="9">
        <f>IF(C454="","",IF(AB454="Closed",AA454-C454,TODAY()-C454))</f>
        <v>0</v>
      </c>
    </row>
    <row r="455" spans="29:29">
      <c r="AC455" s="9">
        <f>IF(C455="","",IF(AB455="Closed",AA455-C455,TODAY()-C455))</f>
        <v>0</v>
      </c>
    </row>
    <row r="456" spans="29:29">
      <c r="AC456" s="9">
        <f>IF(C456="","",IF(AB456="Closed",AA456-C456,TODAY()-C456))</f>
        <v>0</v>
      </c>
    </row>
    <row r="457" spans="29:29">
      <c r="AC457" s="9">
        <f>IF(C457="","",IF(AB457="Closed",AA457-C457,TODAY()-C457))</f>
        <v>0</v>
      </c>
    </row>
    <row r="458" spans="29:29">
      <c r="AC458" s="9">
        <f>IF(C458="","",IF(AB458="Closed",AA458-C458,TODAY()-C458))</f>
        <v>0</v>
      </c>
    </row>
    <row r="459" spans="29:29">
      <c r="AC459" s="9">
        <f>IF(C459="","",IF(AB459="Closed",AA459-C459,TODAY()-C459))</f>
        <v>0</v>
      </c>
    </row>
    <row r="460" spans="29:29">
      <c r="AC460" s="9">
        <f>IF(C460="","",IF(AB460="Closed",AA460-C460,TODAY()-C460))</f>
        <v>0</v>
      </c>
    </row>
    <row r="461" spans="29:29">
      <c r="AC461" s="9">
        <f>IF(C461="","",IF(AB461="Closed",AA461-C461,TODAY()-C461))</f>
        <v>0</v>
      </c>
    </row>
    <row r="462" spans="29:29">
      <c r="AC462" s="9">
        <f>IF(C462="","",IF(AB462="Closed",AA462-C462,TODAY()-C462))</f>
        <v>0</v>
      </c>
    </row>
    <row r="463" spans="29:29">
      <c r="AC463" s="9">
        <f>IF(C463="","",IF(AB463="Closed",AA463-C463,TODAY()-C463))</f>
        <v>0</v>
      </c>
    </row>
    <row r="464" spans="29:29">
      <c r="AC464" s="9">
        <f>IF(C464="","",IF(AB464="Closed",AA464-C464,TODAY()-C464))</f>
        <v>0</v>
      </c>
    </row>
    <row r="465" spans="29:29">
      <c r="AC465" s="9">
        <f>IF(C465="","",IF(AB465="Closed",AA465-C465,TODAY()-C465))</f>
        <v>0</v>
      </c>
    </row>
    <row r="466" spans="29:29">
      <c r="AC466" s="9">
        <f>IF(C466="","",IF(AB466="Closed",AA466-C466,TODAY()-C466))</f>
        <v>0</v>
      </c>
    </row>
    <row r="467" spans="29:29">
      <c r="AC467" s="9">
        <f>IF(C467="","",IF(AB467="Closed",AA467-C467,TODAY()-C467))</f>
        <v>0</v>
      </c>
    </row>
    <row r="468" spans="29:29">
      <c r="AC468" s="9">
        <f>IF(C468="","",IF(AB468="Closed",AA468-C468,TODAY()-C468))</f>
        <v>0</v>
      </c>
    </row>
    <row r="469" spans="29:29">
      <c r="AC469" s="9">
        <f>IF(C469="","",IF(AB469="Closed",AA469-C469,TODAY()-C469))</f>
        <v>0</v>
      </c>
    </row>
    <row r="470" spans="29:29">
      <c r="AC470" s="9">
        <f>IF(C470="","",IF(AB470="Closed",AA470-C470,TODAY()-C470))</f>
        <v>0</v>
      </c>
    </row>
    <row r="471" spans="29:29">
      <c r="AC471" s="9">
        <f>IF(C471="","",IF(AB471="Closed",AA471-C471,TODAY()-C471))</f>
        <v>0</v>
      </c>
    </row>
    <row r="472" spans="29:29">
      <c r="AC472" s="9">
        <f>IF(C472="","",IF(AB472="Closed",AA472-C472,TODAY()-C472))</f>
        <v>0</v>
      </c>
    </row>
    <row r="473" spans="29:29">
      <c r="AC473" s="9">
        <f>IF(C473="","",IF(AB473="Closed",AA473-C473,TODAY()-C473))</f>
        <v>0</v>
      </c>
    </row>
    <row r="474" spans="29:29">
      <c r="AC474" s="9">
        <f>IF(C474="","",IF(AB474="Closed",AA474-C474,TODAY()-C474))</f>
        <v>0</v>
      </c>
    </row>
    <row r="475" spans="29:29">
      <c r="AC475" s="9">
        <f>IF(C475="","",IF(AB475="Closed",AA475-C475,TODAY()-C475))</f>
        <v>0</v>
      </c>
    </row>
    <row r="476" spans="29:29">
      <c r="AC476" s="9">
        <f>IF(C476="","",IF(AB476="Closed",AA476-C476,TODAY()-C476))</f>
        <v>0</v>
      </c>
    </row>
    <row r="477" spans="29:29">
      <c r="AC477" s="9">
        <f>IF(C477="","",IF(AB477="Closed",AA477-C477,TODAY()-C477))</f>
        <v>0</v>
      </c>
    </row>
    <row r="478" spans="29:29">
      <c r="AC478" s="9">
        <f>IF(C478="","",IF(AB478="Closed",AA478-C478,TODAY()-C478))</f>
        <v>0</v>
      </c>
    </row>
    <row r="479" spans="29:29">
      <c r="AC479" s="9">
        <f>IF(C479="","",IF(AB479="Closed",AA479-C479,TODAY()-C479))</f>
        <v>0</v>
      </c>
    </row>
    <row r="480" spans="29:29">
      <c r="AC480" s="9">
        <f>IF(C480="","",IF(AB480="Closed",AA480-C480,TODAY()-C480))</f>
        <v>0</v>
      </c>
    </row>
    <row r="481" spans="29:29">
      <c r="AC481" s="9">
        <f>IF(C481="","",IF(AB481="Closed",AA481-C481,TODAY()-C481))</f>
        <v>0</v>
      </c>
    </row>
    <row r="482" spans="29:29">
      <c r="AC482" s="9">
        <f>IF(C482="","",IF(AB482="Closed",AA482-C482,TODAY()-C482))</f>
        <v>0</v>
      </c>
    </row>
    <row r="483" spans="29:29">
      <c r="AC483" s="9">
        <f>IF(C483="","",IF(AB483="Closed",AA483-C483,TODAY()-C483))</f>
        <v>0</v>
      </c>
    </row>
    <row r="484" spans="29:29">
      <c r="AC484" s="9">
        <f>IF(C484="","",IF(AB484="Closed",AA484-C484,TODAY()-C484))</f>
        <v>0</v>
      </c>
    </row>
    <row r="485" spans="29:29">
      <c r="AC485" s="9">
        <f>IF(C485="","",IF(AB485="Closed",AA485-C485,TODAY()-C485))</f>
        <v>0</v>
      </c>
    </row>
    <row r="486" spans="29:29">
      <c r="AC486" s="9">
        <f>IF(C486="","",IF(AB486="Closed",AA486-C486,TODAY()-C486))</f>
        <v>0</v>
      </c>
    </row>
    <row r="487" spans="29:29">
      <c r="AC487" s="9">
        <f>IF(C487="","",IF(AB487="Closed",AA487-C487,TODAY()-C487))</f>
        <v>0</v>
      </c>
    </row>
    <row r="488" spans="29:29">
      <c r="AC488" s="9">
        <f>IF(C488="","",IF(AB488="Closed",AA488-C488,TODAY()-C488))</f>
        <v>0</v>
      </c>
    </row>
    <row r="489" spans="29:29">
      <c r="AC489" s="9">
        <f>IF(C489="","",IF(AB489="Closed",AA489-C489,TODAY()-C489))</f>
        <v>0</v>
      </c>
    </row>
    <row r="490" spans="29:29">
      <c r="AC490" s="9">
        <f>IF(C490="","",IF(AB490="Closed",AA490-C490,TODAY()-C490))</f>
        <v>0</v>
      </c>
    </row>
    <row r="491" spans="29:29">
      <c r="AC491" s="9">
        <f>IF(C491="","",IF(AB491="Closed",AA491-C491,TODAY()-C491))</f>
        <v>0</v>
      </c>
    </row>
    <row r="492" spans="29:29">
      <c r="AC492" s="9">
        <f>IF(C492="","",IF(AB492="Closed",AA492-C492,TODAY()-C492))</f>
        <v>0</v>
      </c>
    </row>
    <row r="493" spans="29:29">
      <c r="AC493" s="9">
        <f>IF(C493="","",IF(AB493="Closed",AA493-C493,TODAY()-C493))</f>
        <v>0</v>
      </c>
    </row>
    <row r="494" spans="29:29">
      <c r="AC494" s="9">
        <f>IF(C494="","",IF(AB494="Closed",AA494-C494,TODAY()-C494))</f>
        <v>0</v>
      </c>
    </row>
    <row r="495" spans="29:29">
      <c r="AC495" s="9">
        <f>IF(C495="","",IF(AB495="Closed",AA495-C495,TODAY()-C495))</f>
        <v>0</v>
      </c>
    </row>
    <row r="496" spans="29:29">
      <c r="AC496" s="9">
        <f>IF(C496="","",IF(AB496="Closed",AA496-C496,TODAY()-C496))</f>
        <v>0</v>
      </c>
    </row>
    <row r="497" spans="29:29">
      <c r="AC497" s="9">
        <f>IF(C497="","",IF(AB497="Closed",AA497-C497,TODAY()-C497))</f>
        <v>0</v>
      </c>
    </row>
    <row r="498" spans="29:29">
      <c r="AC498" s="9">
        <f>IF(C498="","",IF(AB498="Closed",AA498-C498,TODAY()-C498))</f>
        <v>0</v>
      </c>
    </row>
    <row r="499" spans="29:29">
      <c r="AC499" s="9">
        <f>IF(C499="","",IF(AB499="Closed",AA499-C499,TODAY()-C499))</f>
        <v>0</v>
      </c>
    </row>
    <row r="500" spans="29:29">
      <c r="AC500" s="9">
        <f>IF(C500="","",IF(AB500="Closed",AA500-C500,TODAY()-C500))</f>
        <v>0</v>
      </c>
    </row>
    <row r="501" spans="29:29">
      <c r="AC501" s="9">
        <f>IF(C501="","",IF(AB501="Closed",AA501-C501,TODAY()-C501))</f>
        <v>0</v>
      </c>
    </row>
    <row r="502" spans="29:29">
      <c r="AC502" s="9">
        <f>IF(C502="","",IF(AB502="Closed",AA502-C502,TODAY()-C502))</f>
        <v>0</v>
      </c>
    </row>
    <row r="503" spans="29:29">
      <c r="AC503" s="9">
        <f>IF(C503="","",IF(AB503="Closed",AA503-C503,TODAY()-C503))</f>
        <v>0</v>
      </c>
    </row>
    <row r="504" spans="29:29">
      <c r="AC504" s="9">
        <f>IF(C504="","",IF(AB504="Closed",AA504-C504,TODAY()-C504))</f>
        <v>0</v>
      </c>
    </row>
    <row r="505" spans="29:29">
      <c r="AC505" s="9">
        <f>IF(C505="","",IF(AB505="Closed",AA505-C505,TODAY()-C505))</f>
        <v>0</v>
      </c>
    </row>
    <row r="506" spans="29:29">
      <c r="AC506" s="9">
        <f>IF(C506="","",IF(AB506="Closed",AA506-C506,TODAY()-C506))</f>
        <v>0</v>
      </c>
    </row>
    <row r="507" spans="29:29">
      <c r="AC507" s="9">
        <f>IF(C507="","",IF(AB507="Closed",AA507-C507,TODAY()-C507))</f>
        <v>0</v>
      </c>
    </row>
    <row r="508" spans="29:29">
      <c r="AC508" s="9">
        <f>IF(C508="","",IF(AB508="Closed",AA508-C508,TODAY()-C508))</f>
        <v>0</v>
      </c>
    </row>
    <row r="509" spans="29:29">
      <c r="AC509" s="9">
        <f>IF(C509="","",IF(AB509="Closed",AA509-C509,TODAY()-C509))</f>
        <v>0</v>
      </c>
    </row>
    <row r="510" spans="29:29">
      <c r="AC510" s="9">
        <f>IF(C510="","",IF(AB510="Closed",AA510-C510,TODAY()-C510))</f>
        <v>0</v>
      </c>
    </row>
    <row r="511" spans="29:29">
      <c r="AC511" s="9">
        <f>IF(C511="","",IF(AB511="Closed",AA511-C511,TODAY()-C511))</f>
        <v>0</v>
      </c>
    </row>
    <row r="512" spans="29:29">
      <c r="AC512" s="9">
        <f>IF(C512="","",IF(AB512="Closed",AA512-C512,TODAY()-C512))</f>
        <v>0</v>
      </c>
    </row>
    <row r="513" spans="29:29">
      <c r="AC513" s="9">
        <f>IF(C513="","",IF(AB513="Closed",AA513-C513,TODAY()-C513))</f>
        <v>0</v>
      </c>
    </row>
    <row r="514" spans="29:29">
      <c r="AC514" s="9">
        <f>IF(C514="","",IF(AB514="Closed",AA514-C514,TODAY()-C514))</f>
        <v>0</v>
      </c>
    </row>
    <row r="515" spans="29:29">
      <c r="AC515" s="9">
        <f>IF(C515="","",IF(AB515="Closed",AA515-C515,TODAY()-C515))</f>
        <v>0</v>
      </c>
    </row>
    <row r="516" spans="29:29">
      <c r="AC516" s="9">
        <f>IF(C516="","",IF(AB516="Closed",AA516-C516,TODAY()-C516))</f>
        <v>0</v>
      </c>
    </row>
    <row r="517" spans="29:29">
      <c r="AC517" s="9">
        <f>IF(C517="","",IF(AB517="Closed",AA517-C517,TODAY()-C517))</f>
        <v>0</v>
      </c>
    </row>
    <row r="518" spans="29:29">
      <c r="AC518" s="9">
        <f>IF(C518="","",IF(AB518="Closed",AA518-C518,TODAY()-C518))</f>
        <v>0</v>
      </c>
    </row>
    <row r="519" spans="29:29">
      <c r="AC519" s="9">
        <f>IF(C519="","",IF(AB519="Closed",AA519-C519,TODAY()-C519))</f>
        <v>0</v>
      </c>
    </row>
    <row r="520" spans="29:29">
      <c r="AC520" s="9">
        <f>IF(C520="","",IF(AB520="Closed",AA520-C520,TODAY()-C520))</f>
        <v>0</v>
      </c>
    </row>
    <row r="521" spans="29:29">
      <c r="AC521" s="9">
        <f>IF(C521="","",IF(AB521="Closed",AA521-C521,TODAY()-C521))</f>
        <v>0</v>
      </c>
    </row>
    <row r="522" spans="29:29">
      <c r="AC522" s="9">
        <f>IF(C522="","",IF(AB522="Closed",AA522-C522,TODAY()-C522))</f>
        <v>0</v>
      </c>
    </row>
    <row r="523" spans="29:29">
      <c r="AC523" s="9">
        <f>IF(C523="","",IF(AB523="Closed",AA523-C523,TODAY()-C523))</f>
        <v>0</v>
      </c>
    </row>
    <row r="524" spans="29:29">
      <c r="AC524" s="9">
        <f>IF(C524="","",IF(AB524="Closed",AA524-C524,TODAY()-C524))</f>
        <v>0</v>
      </c>
    </row>
    <row r="525" spans="29:29">
      <c r="AC525" s="9">
        <f>IF(C525="","",IF(AB525="Closed",AA525-C525,TODAY()-C525))</f>
        <v>0</v>
      </c>
    </row>
    <row r="526" spans="29:29">
      <c r="AC526" s="9">
        <f>IF(C526="","",IF(AB526="Closed",AA526-C526,TODAY()-C526))</f>
        <v>0</v>
      </c>
    </row>
    <row r="527" spans="29:29">
      <c r="AC527" s="9">
        <f>IF(C527="","",IF(AB527="Closed",AA527-C527,TODAY()-C527))</f>
        <v>0</v>
      </c>
    </row>
    <row r="528" spans="29:29">
      <c r="AC528" s="9">
        <f>IF(C528="","",IF(AB528="Closed",AA528-C528,TODAY()-C528))</f>
        <v>0</v>
      </c>
    </row>
    <row r="529" spans="29:29">
      <c r="AC529" s="9">
        <f>IF(C529="","",IF(AB529="Closed",AA529-C529,TODAY()-C529))</f>
        <v>0</v>
      </c>
    </row>
    <row r="530" spans="29:29">
      <c r="AC530" s="9">
        <f>IF(C530="","",IF(AB530="Closed",AA530-C530,TODAY()-C530))</f>
        <v>0</v>
      </c>
    </row>
    <row r="531" spans="29:29">
      <c r="AC531" s="9">
        <f>IF(C531="","",IF(AB531="Closed",AA531-C531,TODAY()-C531))</f>
        <v>0</v>
      </c>
    </row>
    <row r="532" spans="29:29">
      <c r="AC532" s="9">
        <f>IF(C532="","",IF(AB532="Closed",AA532-C532,TODAY()-C532))</f>
        <v>0</v>
      </c>
    </row>
    <row r="533" spans="29:29">
      <c r="AC533" s="9">
        <f>IF(C533="","",IF(AB533="Closed",AA533-C533,TODAY()-C533))</f>
        <v>0</v>
      </c>
    </row>
    <row r="534" spans="29:29">
      <c r="AC534" s="9">
        <f>IF(C534="","",IF(AB534="Closed",AA534-C534,TODAY()-C534))</f>
        <v>0</v>
      </c>
    </row>
    <row r="535" spans="29:29">
      <c r="AC535" s="9">
        <f>IF(C535="","",IF(AB535="Closed",AA535-C535,TODAY()-C535))</f>
        <v>0</v>
      </c>
    </row>
    <row r="536" spans="29:29">
      <c r="AC536" s="9">
        <f>IF(C536="","",IF(AB536="Closed",AA536-C536,TODAY()-C536))</f>
        <v>0</v>
      </c>
    </row>
    <row r="537" spans="29:29">
      <c r="AC537" s="9">
        <f>IF(C537="","",IF(AB537="Closed",AA537-C537,TODAY()-C537))</f>
        <v>0</v>
      </c>
    </row>
    <row r="538" spans="29:29">
      <c r="AC538" s="9">
        <f>IF(C538="","",IF(AB538="Closed",AA538-C538,TODAY()-C538))</f>
        <v>0</v>
      </c>
    </row>
    <row r="539" spans="29:29">
      <c r="AC539" s="9">
        <f>IF(C539="","",IF(AB539="Closed",AA539-C539,TODAY()-C539))</f>
        <v>0</v>
      </c>
    </row>
    <row r="540" spans="29:29">
      <c r="AC540" s="9">
        <f>IF(C540="","",IF(AB540="Closed",AA540-C540,TODAY()-C540))</f>
        <v>0</v>
      </c>
    </row>
    <row r="541" spans="29:29">
      <c r="AC541" s="9">
        <f>IF(C541="","",IF(AB541="Closed",AA541-C541,TODAY()-C541))</f>
        <v>0</v>
      </c>
    </row>
    <row r="542" spans="29:29">
      <c r="AC542" s="9">
        <f>IF(C542="","",IF(AB542="Closed",AA542-C542,TODAY()-C542))</f>
        <v>0</v>
      </c>
    </row>
    <row r="543" spans="29:29">
      <c r="AC543" s="9">
        <f>IF(C543="","",IF(AB543="Closed",AA543-C543,TODAY()-C543))</f>
        <v>0</v>
      </c>
    </row>
    <row r="544" spans="29:29">
      <c r="AC544" s="9">
        <f>IF(C544="","",IF(AB544="Closed",AA544-C544,TODAY()-C544))</f>
        <v>0</v>
      </c>
    </row>
    <row r="545" spans="29:29">
      <c r="AC545" s="9">
        <f>IF(C545="","",IF(AB545="Closed",AA545-C545,TODAY()-C545))</f>
        <v>0</v>
      </c>
    </row>
    <row r="546" spans="29:29">
      <c r="AC546" s="9">
        <f>IF(C546="","",IF(AB546="Closed",AA546-C546,TODAY()-C546))</f>
        <v>0</v>
      </c>
    </row>
    <row r="547" spans="29:29">
      <c r="AC547" s="9">
        <f>IF(C547="","",IF(AB547="Closed",AA547-C547,TODAY()-C547))</f>
        <v>0</v>
      </c>
    </row>
    <row r="548" spans="29:29">
      <c r="AC548" s="9">
        <f>IF(C548="","",IF(AB548="Closed",AA548-C548,TODAY()-C548))</f>
        <v>0</v>
      </c>
    </row>
    <row r="549" spans="29:29">
      <c r="AC549" s="9">
        <f>IF(C549="","",IF(AB549="Closed",AA549-C549,TODAY()-C549))</f>
        <v>0</v>
      </c>
    </row>
    <row r="550" spans="29:29">
      <c r="AC550" s="9">
        <f>IF(C550="","",IF(AB550="Closed",AA550-C550,TODAY()-C550))</f>
        <v>0</v>
      </c>
    </row>
    <row r="551" spans="29:29">
      <c r="AC551" s="9">
        <f>IF(C551="","",IF(AB551="Closed",AA551-C551,TODAY()-C551))</f>
        <v>0</v>
      </c>
    </row>
    <row r="552" spans="29:29">
      <c r="AC552" s="9">
        <f>IF(C552="","",IF(AB552="Closed",AA552-C552,TODAY()-C552))</f>
        <v>0</v>
      </c>
    </row>
    <row r="553" spans="29:29">
      <c r="AC553" s="9">
        <f>IF(C553="","",IF(AB553="Closed",AA553-C553,TODAY()-C553))</f>
        <v>0</v>
      </c>
    </row>
    <row r="554" spans="29:29">
      <c r="AC554" s="9">
        <f>IF(C554="","",IF(AB554="Closed",AA554-C554,TODAY()-C554))</f>
        <v>0</v>
      </c>
    </row>
    <row r="555" spans="29:29">
      <c r="AC555" s="9">
        <f>IF(C555="","",IF(AB555="Closed",AA555-C555,TODAY()-C555))</f>
        <v>0</v>
      </c>
    </row>
    <row r="556" spans="29:29">
      <c r="AC556" s="9">
        <f>IF(C556="","",IF(AB556="Closed",AA556-C556,TODAY()-C556))</f>
        <v>0</v>
      </c>
    </row>
    <row r="557" spans="29:29">
      <c r="AC557" s="9">
        <f>IF(C557="","",IF(AB557="Closed",AA557-C557,TODAY()-C557))</f>
        <v>0</v>
      </c>
    </row>
    <row r="558" spans="29:29">
      <c r="AC558" s="9">
        <f>IF(C558="","",IF(AB558="Closed",AA558-C558,TODAY()-C558))</f>
        <v>0</v>
      </c>
    </row>
    <row r="559" spans="29:29">
      <c r="AC559" s="9">
        <f>IF(C559="","",IF(AB559="Closed",AA559-C559,TODAY()-C559))</f>
        <v>0</v>
      </c>
    </row>
    <row r="560" spans="29:29">
      <c r="AC560" s="9">
        <f>IF(C560="","",IF(AB560="Closed",AA560-C560,TODAY()-C560))</f>
        <v>0</v>
      </c>
    </row>
    <row r="561" spans="29:29">
      <c r="AC561" s="9">
        <f>IF(C561="","",IF(AB561="Closed",AA561-C561,TODAY()-C561))</f>
        <v>0</v>
      </c>
    </row>
    <row r="562" spans="29:29">
      <c r="AC562" s="9">
        <f>IF(C562="","",IF(AB562="Closed",AA562-C562,TODAY()-C562))</f>
        <v>0</v>
      </c>
    </row>
    <row r="563" spans="29:29">
      <c r="AC563" s="9">
        <f>IF(C563="","",IF(AB563="Closed",AA563-C563,TODAY()-C563))</f>
        <v>0</v>
      </c>
    </row>
    <row r="564" spans="29:29">
      <c r="AC564" s="9">
        <f>IF(C564="","",IF(AB564="Closed",AA564-C564,TODAY()-C564))</f>
        <v>0</v>
      </c>
    </row>
    <row r="565" spans="29:29">
      <c r="AC565" s="9">
        <f>IF(C565="","",IF(AB565="Closed",AA565-C565,TODAY()-C565))</f>
        <v>0</v>
      </c>
    </row>
    <row r="566" spans="29:29">
      <c r="AC566" s="9">
        <f>IF(C566="","",IF(AB566="Closed",AA566-C566,TODAY()-C566))</f>
        <v>0</v>
      </c>
    </row>
    <row r="567" spans="29:29">
      <c r="AC567" s="9">
        <f>IF(C567="","",IF(AB567="Closed",AA567-C567,TODAY()-C567))</f>
        <v>0</v>
      </c>
    </row>
    <row r="568" spans="29:29">
      <c r="AC568" s="9">
        <f>IF(C568="","",IF(AB568="Closed",AA568-C568,TODAY()-C568))</f>
        <v>0</v>
      </c>
    </row>
    <row r="569" spans="29:29">
      <c r="AC569" s="9">
        <f>IF(C569="","",IF(AB569="Closed",AA569-C569,TODAY()-C569))</f>
        <v>0</v>
      </c>
    </row>
    <row r="570" spans="29:29">
      <c r="AC570" s="9">
        <f>IF(C570="","",IF(AB570="Closed",AA570-C570,TODAY()-C570))</f>
        <v>0</v>
      </c>
    </row>
    <row r="571" spans="29:29">
      <c r="AC571" s="9">
        <f>IF(C571="","",IF(AB571="Closed",AA571-C571,TODAY()-C571))</f>
        <v>0</v>
      </c>
    </row>
    <row r="572" spans="29:29">
      <c r="AC572" s="9">
        <f>IF(C572="","",IF(AB572="Closed",AA572-C572,TODAY()-C572))</f>
        <v>0</v>
      </c>
    </row>
    <row r="573" spans="29:29">
      <c r="AC573" s="9">
        <f>IF(C573="","",IF(AB573="Closed",AA573-C573,TODAY()-C573))</f>
        <v>0</v>
      </c>
    </row>
    <row r="574" spans="29:29">
      <c r="AC574" s="9">
        <f>IF(C574="","",IF(AB574="Closed",AA574-C574,TODAY()-C574))</f>
        <v>0</v>
      </c>
    </row>
    <row r="575" spans="29:29">
      <c r="AC575" s="9">
        <f>IF(C575="","",IF(AB575="Closed",AA575-C575,TODAY()-C575))</f>
        <v>0</v>
      </c>
    </row>
    <row r="576" spans="29:29">
      <c r="AC576" s="9">
        <f>IF(C576="","",IF(AB576="Closed",AA576-C576,TODAY()-C576))</f>
        <v>0</v>
      </c>
    </row>
    <row r="577" spans="29:29">
      <c r="AC577" s="9">
        <f>IF(C577="","",IF(AB577="Closed",AA577-C577,TODAY()-C577))</f>
        <v>0</v>
      </c>
    </row>
    <row r="578" spans="29:29">
      <c r="AC578" s="9">
        <f>IF(C578="","",IF(AB578="Closed",AA578-C578,TODAY()-C578))</f>
        <v>0</v>
      </c>
    </row>
    <row r="579" spans="29:29">
      <c r="AC579" s="9">
        <f>IF(C579="","",IF(AB579="Closed",AA579-C579,TODAY()-C579))</f>
        <v>0</v>
      </c>
    </row>
    <row r="580" spans="29:29">
      <c r="AC580" s="9">
        <f>IF(C580="","",IF(AB580="Closed",AA580-C580,TODAY()-C580))</f>
        <v>0</v>
      </c>
    </row>
    <row r="581" spans="29:29">
      <c r="AC581" s="9">
        <f>IF(C581="","",IF(AB581="Closed",AA581-C581,TODAY()-C581))</f>
        <v>0</v>
      </c>
    </row>
    <row r="582" spans="29:29">
      <c r="AC582" s="9">
        <f>IF(C582="","",IF(AB582="Closed",AA582-C582,TODAY()-C582))</f>
        <v>0</v>
      </c>
    </row>
    <row r="583" spans="29:29">
      <c r="AC583" s="9">
        <f>IF(C583="","",IF(AB583="Closed",AA583-C583,TODAY()-C583))</f>
        <v>0</v>
      </c>
    </row>
    <row r="584" spans="29:29">
      <c r="AC584" s="9">
        <f>IF(C584="","",IF(AB584="Closed",AA584-C584,TODAY()-C584))</f>
        <v>0</v>
      </c>
    </row>
    <row r="585" spans="29:29">
      <c r="AC585" s="9">
        <f>IF(C585="","",IF(AB585="Closed",AA585-C585,TODAY()-C585))</f>
        <v>0</v>
      </c>
    </row>
    <row r="586" spans="29:29">
      <c r="AC586" s="9">
        <f>IF(C586="","",IF(AB586="Closed",AA586-C586,TODAY()-C586))</f>
        <v>0</v>
      </c>
    </row>
    <row r="587" spans="29:29">
      <c r="AC587" s="9">
        <f>IF(C587="","",IF(AB587="Closed",AA587-C587,TODAY()-C587))</f>
        <v>0</v>
      </c>
    </row>
    <row r="588" spans="29:29">
      <c r="AC588" s="9">
        <f>IF(C588="","",IF(AB588="Closed",AA588-C588,TODAY()-C588))</f>
        <v>0</v>
      </c>
    </row>
    <row r="589" spans="29:29">
      <c r="AC589" s="9">
        <f>IF(C589="","",IF(AB589="Closed",AA589-C589,TODAY()-C589))</f>
        <v>0</v>
      </c>
    </row>
    <row r="590" spans="29:29">
      <c r="AC590" s="9">
        <f>IF(C590="","",IF(AB590="Closed",AA590-C590,TODAY()-C590))</f>
        <v>0</v>
      </c>
    </row>
    <row r="591" spans="29:29">
      <c r="AC591" s="9">
        <f>IF(C591="","",IF(AB591="Closed",AA591-C591,TODAY()-C591))</f>
        <v>0</v>
      </c>
    </row>
    <row r="592" spans="29:29">
      <c r="AC592" s="9">
        <f>IF(C592="","",IF(AB592="Closed",AA592-C592,TODAY()-C592))</f>
        <v>0</v>
      </c>
    </row>
    <row r="593" spans="29:29">
      <c r="AC593" s="9">
        <f>IF(C593="","",IF(AB593="Closed",AA593-C593,TODAY()-C593))</f>
        <v>0</v>
      </c>
    </row>
    <row r="594" spans="29:29">
      <c r="AC594" s="9">
        <f>IF(C594="","",IF(AB594="Closed",AA594-C594,TODAY()-C594))</f>
        <v>0</v>
      </c>
    </row>
    <row r="595" spans="29:29">
      <c r="AC595" s="9">
        <f>IF(C595="","",IF(AB595="Closed",AA595-C595,TODAY()-C595))</f>
        <v>0</v>
      </c>
    </row>
    <row r="596" spans="29:29">
      <c r="AC596" s="9">
        <f>IF(C596="","",IF(AB596="Closed",AA596-C596,TODAY()-C596))</f>
        <v>0</v>
      </c>
    </row>
    <row r="597" spans="29:29">
      <c r="AC597" s="9">
        <f>IF(C597="","",IF(AB597="Closed",AA597-C597,TODAY()-C597))</f>
        <v>0</v>
      </c>
    </row>
    <row r="598" spans="29:29">
      <c r="AC598" s="9">
        <f>IF(C598="","",IF(AB598="Closed",AA598-C598,TODAY()-C598))</f>
        <v>0</v>
      </c>
    </row>
    <row r="599" spans="29:29">
      <c r="AC599" s="9">
        <f>IF(C599="","",IF(AB599="Closed",AA599-C599,TODAY()-C599))</f>
        <v>0</v>
      </c>
    </row>
    <row r="600" spans="29:29">
      <c r="AC600" s="9">
        <f>IF(C600="","",IF(AB600="Closed",AA600-C600,TODAY()-C600))</f>
        <v>0</v>
      </c>
    </row>
    <row r="601" spans="29:29">
      <c r="AC601" s="9">
        <f>IF(C601="","",IF(AB601="Closed",AA601-C601,TODAY()-C601))</f>
        <v>0</v>
      </c>
    </row>
    <row r="602" spans="29:29">
      <c r="AC602" s="9">
        <f>IF(C602="","",IF(AB602="Closed",AA602-C602,TODAY()-C602))</f>
        <v>0</v>
      </c>
    </row>
    <row r="603" spans="29:29">
      <c r="AC603" s="9">
        <f>IF(C603="","",IF(AB603="Closed",AA603-C603,TODAY()-C603))</f>
        <v>0</v>
      </c>
    </row>
    <row r="604" spans="29:29">
      <c r="AC604" s="9">
        <f>IF(C604="","",IF(AB604="Closed",AA604-C604,TODAY()-C604))</f>
        <v>0</v>
      </c>
    </row>
    <row r="605" spans="29:29">
      <c r="AC605" s="9">
        <f>IF(C605="","",IF(AB605="Closed",AA605-C605,TODAY()-C605))</f>
        <v>0</v>
      </c>
    </row>
    <row r="606" spans="29:29">
      <c r="AC606" s="9">
        <f>IF(C606="","",IF(AB606="Closed",AA606-C606,TODAY()-C606))</f>
        <v>0</v>
      </c>
    </row>
    <row r="607" spans="29:29">
      <c r="AC607" s="9">
        <f>IF(C607="","",IF(AB607="Closed",AA607-C607,TODAY()-C607))</f>
        <v>0</v>
      </c>
    </row>
    <row r="608" spans="29:29">
      <c r="AC608" s="9">
        <f>IF(C608="","",IF(AB608="Closed",AA608-C608,TODAY()-C608))</f>
        <v>0</v>
      </c>
    </row>
    <row r="609" spans="29:29">
      <c r="AC609" s="9">
        <f>IF(C609="","",IF(AB609="Closed",AA609-C609,TODAY()-C609))</f>
        <v>0</v>
      </c>
    </row>
    <row r="610" spans="29:29">
      <c r="AC610" s="9">
        <f>IF(C610="","",IF(AB610="Closed",AA610-C610,TODAY()-C610))</f>
        <v>0</v>
      </c>
    </row>
    <row r="611" spans="29:29">
      <c r="AC611" s="9">
        <f>IF(C611="","",IF(AB611="Closed",AA611-C611,TODAY()-C611))</f>
        <v>0</v>
      </c>
    </row>
    <row r="612" spans="29:29">
      <c r="AC612" s="9">
        <f>IF(C612="","",IF(AB612="Closed",AA612-C612,TODAY()-C612))</f>
        <v>0</v>
      </c>
    </row>
    <row r="613" spans="29:29">
      <c r="AC613" s="9">
        <f>IF(C613="","",IF(AB613="Closed",AA613-C613,TODAY()-C613))</f>
        <v>0</v>
      </c>
    </row>
    <row r="614" spans="29:29">
      <c r="AC614" s="9">
        <f>IF(C614="","",IF(AB614="Closed",AA614-C614,TODAY()-C614))</f>
        <v>0</v>
      </c>
    </row>
    <row r="615" spans="29:29">
      <c r="AC615" s="9">
        <f>IF(C615="","",IF(AB615="Closed",AA615-C615,TODAY()-C615))</f>
        <v>0</v>
      </c>
    </row>
    <row r="616" spans="29:29">
      <c r="AC616" s="9">
        <f>IF(C616="","",IF(AB616="Closed",AA616-C616,TODAY()-C616))</f>
        <v>0</v>
      </c>
    </row>
    <row r="617" spans="29:29">
      <c r="AC617" s="9">
        <f>IF(C617="","",IF(AB617="Closed",AA617-C617,TODAY()-C617))</f>
        <v>0</v>
      </c>
    </row>
    <row r="618" spans="29:29">
      <c r="AC618" s="9">
        <f>IF(C618="","",IF(AB618="Closed",AA618-C618,TODAY()-C618))</f>
        <v>0</v>
      </c>
    </row>
    <row r="619" spans="29:29">
      <c r="AC619" s="9">
        <f>IF(C619="","",IF(AB619="Closed",AA619-C619,TODAY()-C619))</f>
        <v>0</v>
      </c>
    </row>
    <row r="620" spans="29:29">
      <c r="AC620" s="9">
        <f>IF(C620="","",IF(AB620="Closed",AA620-C620,TODAY()-C620))</f>
        <v>0</v>
      </c>
    </row>
    <row r="621" spans="29:29">
      <c r="AC621" s="9">
        <f>IF(C621="","",IF(AB621="Closed",AA621-C621,TODAY()-C621))</f>
        <v>0</v>
      </c>
    </row>
    <row r="622" spans="29:29">
      <c r="AC622" s="9">
        <f>IF(C622="","",IF(AB622="Closed",AA622-C622,TODAY()-C622))</f>
        <v>0</v>
      </c>
    </row>
    <row r="623" spans="29:29">
      <c r="AC623" s="9">
        <f>IF(C623="","",IF(AB623="Closed",AA623-C623,TODAY()-C623))</f>
        <v>0</v>
      </c>
    </row>
    <row r="624" spans="29:29">
      <c r="AC624" s="9">
        <f>IF(C624="","",IF(AB624="Closed",AA624-C624,TODAY()-C624))</f>
        <v>0</v>
      </c>
    </row>
    <row r="625" spans="29:29">
      <c r="AC625" s="9">
        <f>IF(C625="","",IF(AB625="Closed",AA625-C625,TODAY()-C625))</f>
        <v>0</v>
      </c>
    </row>
    <row r="626" spans="29:29">
      <c r="AC626" s="9">
        <f>IF(C626="","",IF(AB626="Closed",AA626-C626,TODAY()-C626))</f>
        <v>0</v>
      </c>
    </row>
    <row r="627" spans="29:29">
      <c r="AC627" s="9">
        <f>IF(C627="","",IF(AB627="Closed",AA627-C627,TODAY()-C627))</f>
        <v>0</v>
      </c>
    </row>
    <row r="628" spans="29:29">
      <c r="AC628" s="9">
        <f>IF(C628="","",IF(AB628="Closed",AA628-C628,TODAY()-C628))</f>
        <v>0</v>
      </c>
    </row>
    <row r="629" spans="29:29">
      <c r="AC629" s="9">
        <f>IF(C629="","",IF(AB629="Closed",AA629-C629,TODAY()-C629))</f>
        <v>0</v>
      </c>
    </row>
    <row r="630" spans="29:29">
      <c r="AC630" s="9">
        <f>IF(C630="","",IF(AB630="Closed",AA630-C630,TODAY()-C630))</f>
        <v>0</v>
      </c>
    </row>
    <row r="631" spans="29:29">
      <c r="AC631" s="9">
        <f>IF(C631="","",IF(AB631="Closed",AA631-C631,TODAY()-C631))</f>
        <v>0</v>
      </c>
    </row>
    <row r="632" spans="29:29">
      <c r="AC632" s="9">
        <f>IF(C632="","",IF(AB632="Closed",AA632-C632,TODAY()-C632))</f>
        <v>0</v>
      </c>
    </row>
    <row r="633" spans="29:29">
      <c r="AC633" s="9">
        <f>IF(C633="","",IF(AB633="Closed",AA633-C633,TODAY()-C633))</f>
        <v>0</v>
      </c>
    </row>
    <row r="634" spans="29:29">
      <c r="AC634" s="9">
        <f>IF(C634="","",IF(AB634="Closed",AA634-C634,TODAY()-C634))</f>
        <v>0</v>
      </c>
    </row>
    <row r="635" spans="29:29">
      <c r="AC635" s="9">
        <f>IF(C635="","",IF(AB635="Closed",AA635-C635,TODAY()-C635))</f>
        <v>0</v>
      </c>
    </row>
    <row r="636" spans="29:29">
      <c r="AC636" s="9">
        <f>IF(C636="","",IF(AB636="Closed",AA636-C636,TODAY()-C636))</f>
        <v>0</v>
      </c>
    </row>
    <row r="637" spans="29:29">
      <c r="AC637" s="9">
        <f>IF(C637="","",IF(AB637="Closed",AA637-C637,TODAY()-C637))</f>
        <v>0</v>
      </c>
    </row>
    <row r="638" spans="29:29">
      <c r="AC638" s="9">
        <f>IF(C638="","",IF(AB638="Closed",AA638-C638,TODAY()-C638))</f>
        <v>0</v>
      </c>
    </row>
    <row r="639" spans="29:29">
      <c r="AC639" s="9">
        <f>IF(C639="","",IF(AB639="Closed",AA639-C639,TODAY()-C639))</f>
        <v>0</v>
      </c>
    </row>
    <row r="640" spans="29:29">
      <c r="AC640" s="9">
        <f>IF(C640="","",IF(AB640="Closed",AA640-C640,TODAY()-C640))</f>
        <v>0</v>
      </c>
    </row>
    <row r="641" spans="29:29">
      <c r="AC641" s="9">
        <f>IF(C641="","",IF(AB641="Closed",AA641-C641,TODAY()-C641))</f>
        <v>0</v>
      </c>
    </row>
    <row r="642" spans="29:29">
      <c r="AC642" s="9">
        <f>IF(C642="","",IF(AB642="Closed",AA642-C642,TODAY()-C642))</f>
        <v>0</v>
      </c>
    </row>
    <row r="643" spans="29:29">
      <c r="AC643" s="9">
        <f>IF(C643="","",IF(AB643="Closed",AA643-C643,TODAY()-C643))</f>
        <v>0</v>
      </c>
    </row>
    <row r="644" spans="29:29">
      <c r="AC644" s="9">
        <f>IF(C644="","",IF(AB644="Closed",AA644-C644,TODAY()-C644))</f>
        <v>0</v>
      </c>
    </row>
    <row r="645" spans="29:29">
      <c r="AC645" s="9">
        <f>IF(C645="","",IF(AB645="Closed",AA645-C645,TODAY()-C645))</f>
        <v>0</v>
      </c>
    </row>
    <row r="646" spans="29:29">
      <c r="AC646" s="9">
        <f>IF(C646="","",IF(AB646="Closed",AA646-C646,TODAY()-C646))</f>
        <v>0</v>
      </c>
    </row>
    <row r="647" spans="29:29">
      <c r="AC647" s="9">
        <f>IF(C647="","",IF(AB647="Closed",AA647-C647,TODAY()-C647))</f>
        <v>0</v>
      </c>
    </row>
    <row r="648" spans="29:29">
      <c r="AC648" s="9">
        <f>IF(C648="","",IF(AB648="Closed",AA648-C648,TODAY()-C648))</f>
        <v>0</v>
      </c>
    </row>
    <row r="649" spans="29:29">
      <c r="AC649" s="9">
        <f>IF(C649="","",IF(AB649="Closed",AA649-C649,TODAY()-C649))</f>
        <v>0</v>
      </c>
    </row>
    <row r="650" spans="29:29">
      <c r="AC650" s="9">
        <f>IF(C650="","",IF(AB650="Closed",AA650-C650,TODAY()-C650))</f>
        <v>0</v>
      </c>
    </row>
    <row r="651" spans="29:29">
      <c r="AC651" s="9">
        <f>IF(C651="","",IF(AB651="Closed",AA651-C651,TODAY()-C651))</f>
        <v>0</v>
      </c>
    </row>
    <row r="652" spans="29:29">
      <c r="AC652" s="9">
        <f>IF(C652="","",IF(AB652="Closed",AA652-C652,TODAY()-C652))</f>
        <v>0</v>
      </c>
    </row>
    <row r="653" spans="29:29">
      <c r="AC653" s="9">
        <f>IF(C653="","",IF(AB653="Closed",AA653-C653,TODAY()-C653))</f>
        <v>0</v>
      </c>
    </row>
    <row r="654" spans="29:29">
      <c r="AC654" s="9">
        <f>IF(C654="","",IF(AB654="Closed",AA654-C654,TODAY()-C654))</f>
        <v>0</v>
      </c>
    </row>
    <row r="655" spans="29:29">
      <c r="AC655" s="9">
        <f>IF(C655="","",IF(AB655="Closed",AA655-C655,TODAY()-C655))</f>
        <v>0</v>
      </c>
    </row>
    <row r="656" spans="29:29">
      <c r="AC656" s="9">
        <f>IF(C656="","",IF(AB656="Closed",AA656-C656,TODAY()-C656))</f>
        <v>0</v>
      </c>
    </row>
    <row r="657" spans="29:29">
      <c r="AC657" s="9">
        <f>IF(C657="","",IF(AB657="Closed",AA657-C657,TODAY()-C657))</f>
        <v>0</v>
      </c>
    </row>
    <row r="658" spans="29:29">
      <c r="AC658" s="9">
        <f>IF(C658="","",IF(AB658="Closed",AA658-C658,TODAY()-C658))</f>
        <v>0</v>
      </c>
    </row>
    <row r="659" spans="29:29">
      <c r="AC659" s="9">
        <f>IF(C659="","",IF(AB659="Closed",AA659-C659,TODAY()-C659))</f>
        <v>0</v>
      </c>
    </row>
    <row r="660" spans="29:29">
      <c r="AC660" s="9">
        <f>IF(C660="","",IF(AB660="Closed",AA660-C660,TODAY()-C660))</f>
        <v>0</v>
      </c>
    </row>
    <row r="661" spans="29:29">
      <c r="AC661" s="9">
        <f>IF(C661="","",IF(AB661="Closed",AA661-C661,TODAY()-C661))</f>
        <v>0</v>
      </c>
    </row>
    <row r="662" spans="29:29">
      <c r="AC662" s="9">
        <f>IF(C662="","",IF(AB662="Closed",AA662-C662,TODAY()-C662))</f>
        <v>0</v>
      </c>
    </row>
    <row r="663" spans="29:29">
      <c r="AC663" s="9">
        <f>IF(C663="","",IF(AB663="Closed",AA663-C663,TODAY()-C663))</f>
        <v>0</v>
      </c>
    </row>
    <row r="664" spans="29:29">
      <c r="AC664" s="9">
        <f>IF(C664="","",IF(AB664="Closed",AA664-C664,TODAY()-C664))</f>
        <v>0</v>
      </c>
    </row>
    <row r="665" spans="29:29">
      <c r="AC665" s="9">
        <f>IF(C665="","",IF(AB665="Closed",AA665-C665,TODAY()-C665))</f>
        <v>0</v>
      </c>
    </row>
    <row r="666" spans="29:29">
      <c r="AC666" s="9">
        <f>IF(C666="","",IF(AB666="Closed",AA666-C666,TODAY()-C666))</f>
        <v>0</v>
      </c>
    </row>
    <row r="667" spans="29:29">
      <c r="AC667" s="9">
        <f>IF(C667="","",IF(AB667="Closed",AA667-C667,TODAY()-C667))</f>
        <v>0</v>
      </c>
    </row>
    <row r="668" spans="29:29">
      <c r="AC668" s="9">
        <f>IF(C668="","",IF(AB668="Closed",AA668-C668,TODAY()-C668))</f>
        <v>0</v>
      </c>
    </row>
    <row r="669" spans="29:29">
      <c r="AC669" s="9">
        <f>IF(C669="","",IF(AB669="Closed",AA669-C669,TODAY()-C669))</f>
        <v>0</v>
      </c>
    </row>
    <row r="670" spans="29:29">
      <c r="AC670" s="9">
        <f>IF(C670="","",IF(AB670="Closed",AA670-C670,TODAY()-C670))</f>
        <v>0</v>
      </c>
    </row>
    <row r="671" spans="29:29">
      <c r="AC671" s="9">
        <f>IF(C671="","",IF(AB671="Closed",AA671-C671,TODAY()-C671))</f>
        <v>0</v>
      </c>
    </row>
    <row r="672" spans="29:29">
      <c r="AC672" s="9">
        <f>IF(C672="","",IF(AB672="Closed",AA672-C672,TODAY()-C672))</f>
        <v>0</v>
      </c>
    </row>
    <row r="673" spans="29:29">
      <c r="AC673" s="9">
        <f>IF(C673="","",IF(AB673="Closed",AA673-C673,TODAY()-C673))</f>
        <v>0</v>
      </c>
    </row>
    <row r="674" spans="29:29">
      <c r="AC674" s="9">
        <f>IF(C674="","",IF(AB674="Closed",AA674-C674,TODAY()-C674))</f>
        <v>0</v>
      </c>
    </row>
    <row r="675" spans="29:29">
      <c r="AC675" s="9">
        <f>IF(C675="","",IF(AB675="Closed",AA675-C675,TODAY()-C675))</f>
        <v>0</v>
      </c>
    </row>
    <row r="676" spans="29:29">
      <c r="AC676" s="9">
        <f>IF(C676="","",IF(AB676="Closed",AA676-C676,TODAY()-C676))</f>
        <v>0</v>
      </c>
    </row>
    <row r="677" spans="29:29">
      <c r="AC677" s="9">
        <f>IF(C677="","",IF(AB677="Closed",AA677-C677,TODAY()-C677))</f>
        <v>0</v>
      </c>
    </row>
    <row r="678" spans="29:29">
      <c r="AC678" s="9">
        <f>IF(C678="","",IF(AB678="Closed",AA678-C678,TODAY()-C678))</f>
        <v>0</v>
      </c>
    </row>
    <row r="679" spans="29:29">
      <c r="AC679" s="9">
        <f>IF(C679="","",IF(AB679="Closed",AA679-C679,TODAY()-C679))</f>
        <v>0</v>
      </c>
    </row>
    <row r="680" spans="29:29">
      <c r="AC680" s="9">
        <f>IF(C680="","",IF(AB680="Closed",AA680-C680,TODAY()-C680))</f>
        <v>0</v>
      </c>
    </row>
    <row r="681" spans="29:29">
      <c r="AC681" s="9">
        <f>IF(C681="","",IF(AB681="Closed",AA681-C681,TODAY()-C681))</f>
        <v>0</v>
      </c>
    </row>
    <row r="682" spans="29:29">
      <c r="AC682" s="9">
        <f>IF(C682="","",IF(AB682="Closed",AA682-C682,TODAY()-C682))</f>
        <v>0</v>
      </c>
    </row>
    <row r="683" spans="29:29">
      <c r="AC683" s="9">
        <f>IF(C683="","",IF(AB683="Closed",AA683-C683,TODAY()-C683))</f>
        <v>0</v>
      </c>
    </row>
    <row r="684" spans="29:29">
      <c r="AC684" s="9">
        <f>IF(C684="","",IF(AB684="Closed",AA684-C684,TODAY()-C684))</f>
        <v>0</v>
      </c>
    </row>
    <row r="685" spans="29:29">
      <c r="AC685" s="9">
        <f>IF(C685="","",IF(AB685="Closed",AA685-C685,TODAY()-C685))</f>
        <v>0</v>
      </c>
    </row>
    <row r="686" spans="29:29">
      <c r="AC686" s="9">
        <f>IF(C686="","",IF(AB686="Closed",AA686-C686,TODAY()-C686))</f>
        <v>0</v>
      </c>
    </row>
    <row r="687" spans="29:29">
      <c r="AC687" s="9">
        <f>IF(C687="","",IF(AB687="Closed",AA687-C687,TODAY()-C687))</f>
        <v>0</v>
      </c>
    </row>
    <row r="688" spans="29:29">
      <c r="AC688" s="9">
        <f>IF(C688="","",IF(AB688="Closed",AA688-C688,TODAY()-C688))</f>
        <v>0</v>
      </c>
    </row>
    <row r="689" spans="29:29">
      <c r="AC689" s="9">
        <f>IF(C689="","",IF(AB689="Closed",AA689-C689,TODAY()-C689))</f>
        <v>0</v>
      </c>
    </row>
    <row r="690" spans="29:29">
      <c r="AC690" s="9">
        <f>IF(C690="","",IF(AB690="Closed",AA690-C690,TODAY()-C690))</f>
        <v>0</v>
      </c>
    </row>
    <row r="691" spans="29:29">
      <c r="AC691" s="9">
        <f>IF(C691="","",IF(AB691="Closed",AA691-C691,TODAY()-C691))</f>
        <v>0</v>
      </c>
    </row>
    <row r="692" spans="29:29">
      <c r="AC692" s="9">
        <f>IF(C692="","",IF(AB692="Closed",AA692-C692,TODAY()-C692))</f>
        <v>0</v>
      </c>
    </row>
    <row r="693" spans="29:29">
      <c r="AC693" s="9">
        <f>IF(C693="","",IF(AB693="Closed",AA693-C693,TODAY()-C693))</f>
        <v>0</v>
      </c>
    </row>
    <row r="694" spans="29:29">
      <c r="AC694" s="9">
        <f>IF(C694="","",IF(AB694="Closed",AA694-C694,TODAY()-C694))</f>
        <v>0</v>
      </c>
    </row>
    <row r="695" spans="29:29">
      <c r="AC695" s="9">
        <f>IF(C695="","",IF(AB695="Closed",AA695-C695,TODAY()-C695))</f>
        <v>0</v>
      </c>
    </row>
    <row r="696" spans="29:29">
      <c r="AC696" s="9">
        <f>IF(C696="","",IF(AB696="Closed",AA696-C696,TODAY()-C696))</f>
        <v>0</v>
      </c>
    </row>
    <row r="697" spans="29:29">
      <c r="AC697" s="9">
        <f>IF(C697="","",IF(AB697="Closed",AA697-C697,TODAY()-C697))</f>
        <v>0</v>
      </c>
    </row>
    <row r="698" spans="29:29">
      <c r="AC698" s="9">
        <f>IF(C698="","",IF(AB698="Closed",AA698-C698,TODAY()-C698))</f>
        <v>0</v>
      </c>
    </row>
    <row r="699" spans="29:29">
      <c r="AC699" s="9">
        <f>IF(C699="","",IF(AB699="Closed",AA699-C699,TODAY()-C699))</f>
        <v>0</v>
      </c>
    </row>
    <row r="700" spans="29:29">
      <c r="AC700" s="9">
        <f>IF(C700="","",IF(AB700="Closed",AA700-C700,TODAY()-C700))</f>
        <v>0</v>
      </c>
    </row>
    <row r="701" spans="29:29">
      <c r="AC701" s="9">
        <f>IF(C701="","",IF(AB701="Closed",AA701-C701,TODAY()-C701))</f>
        <v>0</v>
      </c>
    </row>
    <row r="702" spans="29:29">
      <c r="AC702" s="9">
        <f>IF(C702="","",IF(AB702="Closed",AA702-C702,TODAY()-C702))</f>
        <v>0</v>
      </c>
    </row>
    <row r="703" spans="29:29">
      <c r="AC703" s="9">
        <f>IF(C703="","",IF(AB703="Closed",AA703-C703,TODAY()-C703))</f>
        <v>0</v>
      </c>
    </row>
    <row r="704" spans="29:29">
      <c r="AC704" s="9">
        <f>IF(C704="","",IF(AB704="Closed",AA704-C704,TODAY()-C704))</f>
        <v>0</v>
      </c>
    </row>
    <row r="705" spans="29:29">
      <c r="AC705" s="9">
        <f>IF(C705="","",IF(AB705="Closed",AA705-C705,TODAY()-C705))</f>
        <v>0</v>
      </c>
    </row>
    <row r="706" spans="29:29">
      <c r="AC706" s="9">
        <f>IF(C706="","",IF(AB706="Closed",AA706-C706,TODAY()-C706))</f>
        <v>0</v>
      </c>
    </row>
    <row r="707" spans="29:29">
      <c r="AC707" s="9">
        <f>IF(C707="","",IF(AB707="Closed",AA707-C707,TODAY()-C707))</f>
        <v>0</v>
      </c>
    </row>
    <row r="708" spans="29:29">
      <c r="AC708" s="9">
        <f>IF(C708="","",IF(AB708="Closed",AA708-C708,TODAY()-C708))</f>
        <v>0</v>
      </c>
    </row>
    <row r="709" spans="29:29">
      <c r="AC709" s="9">
        <f>IF(C709="","",IF(AB709="Closed",AA709-C709,TODAY()-C709))</f>
        <v>0</v>
      </c>
    </row>
    <row r="710" spans="29:29">
      <c r="AC710" s="9">
        <f>IF(C710="","",IF(AB710="Closed",AA710-C710,TODAY()-C710))</f>
        <v>0</v>
      </c>
    </row>
    <row r="711" spans="29:29">
      <c r="AC711" s="9">
        <f>IF(C711="","",IF(AB711="Closed",AA711-C711,TODAY()-C711))</f>
        <v>0</v>
      </c>
    </row>
    <row r="712" spans="29:29">
      <c r="AC712" s="9">
        <f>IF(C712="","",IF(AB712="Closed",AA712-C712,TODAY()-C712))</f>
        <v>0</v>
      </c>
    </row>
    <row r="713" spans="29:29">
      <c r="AC713" s="9">
        <f>IF(C713="","",IF(AB713="Closed",AA713-C713,TODAY()-C713))</f>
        <v>0</v>
      </c>
    </row>
    <row r="714" spans="29:29">
      <c r="AC714" s="9">
        <f>IF(C714="","",IF(AB714="Closed",AA714-C714,TODAY()-C714))</f>
        <v>0</v>
      </c>
    </row>
    <row r="715" spans="29:29">
      <c r="AC715" s="9">
        <f>IF(C715="","",IF(AB715="Closed",AA715-C715,TODAY()-C715))</f>
        <v>0</v>
      </c>
    </row>
    <row r="716" spans="29:29">
      <c r="AC716" s="9">
        <f>IF(C716="","",IF(AB716="Closed",AA716-C716,TODAY()-C716))</f>
        <v>0</v>
      </c>
    </row>
    <row r="717" spans="29:29">
      <c r="AC717" s="9">
        <f>IF(C717="","",IF(AB717="Closed",AA717-C717,TODAY()-C717))</f>
        <v>0</v>
      </c>
    </row>
    <row r="718" spans="29:29">
      <c r="AC718" s="9">
        <f>IF(C718="","",IF(AB718="Closed",AA718-C718,TODAY()-C718))</f>
        <v>0</v>
      </c>
    </row>
    <row r="719" spans="29:29">
      <c r="AC719" s="9">
        <f>IF(C719="","",IF(AB719="Closed",AA719-C719,TODAY()-C719))</f>
        <v>0</v>
      </c>
    </row>
    <row r="720" spans="29:29">
      <c r="AC720" s="9">
        <f>IF(C720="","",IF(AB720="Closed",AA720-C720,TODAY()-C720))</f>
        <v>0</v>
      </c>
    </row>
    <row r="721" spans="29:29">
      <c r="AC721" s="9">
        <f>IF(C721="","",IF(AB721="Closed",AA721-C721,TODAY()-C721))</f>
        <v>0</v>
      </c>
    </row>
    <row r="722" spans="29:29">
      <c r="AC722" s="9">
        <f>IF(C722="","",IF(AB722="Closed",AA722-C722,TODAY()-C722))</f>
        <v>0</v>
      </c>
    </row>
    <row r="723" spans="29:29">
      <c r="AC723" s="9">
        <f>IF(C723="","",IF(AB723="Closed",AA723-C723,TODAY()-C723))</f>
        <v>0</v>
      </c>
    </row>
    <row r="724" spans="29:29">
      <c r="AC724" s="9">
        <f>IF(C724="","",IF(AB724="Closed",AA724-C724,TODAY()-C724))</f>
        <v>0</v>
      </c>
    </row>
    <row r="725" spans="29:29">
      <c r="AC725" s="9">
        <f>IF(C725="","",IF(AB725="Closed",AA725-C725,TODAY()-C725))</f>
        <v>0</v>
      </c>
    </row>
    <row r="726" spans="29:29">
      <c r="AC726" s="9">
        <f>IF(C726="","",IF(AB726="Closed",AA726-C726,TODAY()-C726))</f>
        <v>0</v>
      </c>
    </row>
    <row r="727" spans="29:29">
      <c r="AC727" s="9">
        <f>IF(C727="","",IF(AB727="Closed",AA727-C727,TODAY()-C727))</f>
        <v>0</v>
      </c>
    </row>
    <row r="728" spans="29:29">
      <c r="AC728" s="9">
        <f>IF(C728="","",IF(AB728="Closed",AA728-C728,TODAY()-C728))</f>
        <v>0</v>
      </c>
    </row>
    <row r="729" spans="29:29">
      <c r="AC729" s="9">
        <f>IF(C729="","",IF(AB729="Closed",AA729-C729,TODAY()-C729))</f>
        <v>0</v>
      </c>
    </row>
    <row r="730" spans="29:29">
      <c r="AC730" s="9">
        <f>IF(C730="","",IF(AB730="Closed",AA730-C730,TODAY()-C730))</f>
        <v>0</v>
      </c>
    </row>
    <row r="731" spans="29:29">
      <c r="AC731" s="9">
        <f>IF(C731="","",IF(AB731="Closed",AA731-C731,TODAY()-C731))</f>
        <v>0</v>
      </c>
    </row>
    <row r="732" spans="29:29">
      <c r="AC732" s="9">
        <f>IF(C732="","",IF(AB732="Closed",AA732-C732,TODAY()-C732))</f>
        <v>0</v>
      </c>
    </row>
    <row r="733" spans="29:29">
      <c r="AC733" s="9">
        <f>IF(C733="","",IF(AB733="Closed",AA733-C733,TODAY()-C733))</f>
        <v>0</v>
      </c>
    </row>
    <row r="734" spans="29:29">
      <c r="AC734" s="9">
        <f>IF(C734="","",IF(AB734="Closed",AA734-C734,TODAY()-C734))</f>
        <v>0</v>
      </c>
    </row>
    <row r="735" spans="29:29">
      <c r="AC735" s="9">
        <f>IF(C735="","",IF(AB735="Closed",AA735-C735,TODAY()-C735))</f>
        <v>0</v>
      </c>
    </row>
    <row r="736" spans="29:29">
      <c r="AC736" s="9">
        <f>IF(C736="","",IF(AB736="Closed",AA736-C736,TODAY()-C736))</f>
        <v>0</v>
      </c>
    </row>
    <row r="737" spans="29:29">
      <c r="AC737" s="9">
        <f>IF(C737="","",IF(AB737="Closed",AA737-C737,TODAY()-C737))</f>
        <v>0</v>
      </c>
    </row>
    <row r="738" spans="29:29">
      <c r="AC738" s="9">
        <f>IF(C738="","",IF(AB738="Closed",AA738-C738,TODAY()-C738))</f>
        <v>0</v>
      </c>
    </row>
    <row r="739" spans="29:29">
      <c r="AC739" s="9">
        <f>IF(C739="","",IF(AB739="Closed",AA739-C739,TODAY()-C739))</f>
        <v>0</v>
      </c>
    </row>
    <row r="740" spans="29:29">
      <c r="AC740" s="9">
        <f>IF(C740="","",IF(AB740="Closed",AA740-C740,TODAY()-C740))</f>
        <v>0</v>
      </c>
    </row>
    <row r="741" spans="29:29">
      <c r="AC741" s="9">
        <f>IF(C741="","",IF(AB741="Closed",AA741-C741,TODAY()-C741))</f>
        <v>0</v>
      </c>
    </row>
    <row r="742" spans="29:29">
      <c r="AC742" s="9">
        <f>IF(C742="","",IF(AB742="Closed",AA742-C742,TODAY()-C742))</f>
        <v>0</v>
      </c>
    </row>
    <row r="743" spans="29:29">
      <c r="AC743" s="9">
        <f>IF(C743="","",IF(AB743="Closed",AA743-C743,TODAY()-C743))</f>
        <v>0</v>
      </c>
    </row>
    <row r="744" spans="29:29">
      <c r="AC744" s="9">
        <f>IF(C744="","",IF(AB744="Closed",AA744-C744,TODAY()-C744))</f>
        <v>0</v>
      </c>
    </row>
    <row r="745" spans="29:29">
      <c r="AC745" s="9">
        <f>IF(C745="","",IF(AB745="Closed",AA745-C745,TODAY()-C745))</f>
        <v>0</v>
      </c>
    </row>
    <row r="746" spans="29:29">
      <c r="AC746" s="9">
        <f>IF(C746="","",IF(AB746="Closed",AA746-C746,TODAY()-C746))</f>
        <v>0</v>
      </c>
    </row>
    <row r="747" spans="29:29">
      <c r="AC747" s="9">
        <f>IF(C747="","",IF(AB747="Closed",AA747-C747,TODAY()-C747))</f>
        <v>0</v>
      </c>
    </row>
    <row r="748" spans="29:29">
      <c r="AC748" s="9">
        <f>IF(C748="","",IF(AB748="Closed",AA748-C748,TODAY()-C748))</f>
        <v>0</v>
      </c>
    </row>
    <row r="749" spans="29:29">
      <c r="AC749" s="9">
        <f>IF(C749="","",IF(AB749="Closed",AA749-C749,TODAY()-C749))</f>
        <v>0</v>
      </c>
    </row>
    <row r="750" spans="29:29">
      <c r="AC750" s="9">
        <f>IF(C750="","",IF(AB750="Closed",AA750-C750,TODAY()-C750))</f>
        <v>0</v>
      </c>
    </row>
    <row r="751" spans="29:29">
      <c r="AC751" s="9">
        <f>IF(C751="","",IF(AB751="Closed",AA751-C751,TODAY()-C751))</f>
        <v>0</v>
      </c>
    </row>
    <row r="752" spans="29:29">
      <c r="AC752" s="9">
        <f>IF(C752="","",IF(AB752="Closed",AA752-C752,TODAY()-C752))</f>
        <v>0</v>
      </c>
    </row>
    <row r="753" spans="29:29">
      <c r="AC753" s="9">
        <f>IF(C753="","",IF(AB753="Closed",AA753-C753,TODAY()-C753))</f>
        <v>0</v>
      </c>
    </row>
    <row r="754" spans="29:29">
      <c r="AC754" s="9">
        <f>IF(C754="","",IF(AB754="Closed",AA754-C754,TODAY()-C754))</f>
        <v>0</v>
      </c>
    </row>
    <row r="755" spans="29:29">
      <c r="AC755" s="9">
        <f>IF(C755="","",IF(AB755="Closed",AA755-C755,TODAY()-C755))</f>
        <v>0</v>
      </c>
    </row>
    <row r="756" spans="29:29">
      <c r="AC756" s="9">
        <f>IF(C756="","",IF(AB756="Closed",AA756-C756,TODAY()-C756))</f>
        <v>0</v>
      </c>
    </row>
    <row r="757" spans="29:29">
      <c r="AC757" s="9">
        <f>IF(C757="","",IF(AB757="Closed",AA757-C757,TODAY()-C757))</f>
        <v>0</v>
      </c>
    </row>
    <row r="758" spans="29:29">
      <c r="AC758" s="9">
        <f>IF(C758="","",IF(AB758="Closed",AA758-C758,TODAY()-C758))</f>
        <v>0</v>
      </c>
    </row>
    <row r="759" spans="29:29">
      <c r="AC759" s="9">
        <f>IF(C759="","",IF(AB759="Closed",AA759-C759,TODAY()-C759))</f>
        <v>0</v>
      </c>
    </row>
    <row r="760" spans="29:29">
      <c r="AC760" s="9">
        <f>IF(C760="","",IF(AB760="Closed",AA760-C760,TODAY()-C760))</f>
        <v>0</v>
      </c>
    </row>
    <row r="761" spans="29:29">
      <c r="AC761" s="9">
        <f>IF(C761="","",IF(AB761="Closed",AA761-C761,TODAY()-C761))</f>
        <v>0</v>
      </c>
    </row>
    <row r="762" spans="29:29">
      <c r="AC762" s="9">
        <f>IF(C762="","",IF(AB762="Closed",AA762-C762,TODAY()-C762))</f>
        <v>0</v>
      </c>
    </row>
    <row r="763" spans="29:29">
      <c r="AC763" s="9">
        <f>IF(C763="","",IF(AB763="Closed",AA763-C763,TODAY()-C763))</f>
        <v>0</v>
      </c>
    </row>
    <row r="764" spans="29:29">
      <c r="AC764" s="9">
        <f>IF(C764="","",IF(AB764="Closed",AA764-C764,TODAY()-C764))</f>
        <v>0</v>
      </c>
    </row>
    <row r="765" spans="29:29">
      <c r="AC765" s="9">
        <f>IF(C765="","",IF(AB765="Closed",AA765-C765,TODAY()-C765))</f>
        <v>0</v>
      </c>
    </row>
    <row r="766" spans="29:29">
      <c r="AC766" s="9">
        <f>IF(C766="","",IF(AB766="Closed",AA766-C766,TODAY()-C766))</f>
        <v>0</v>
      </c>
    </row>
    <row r="767" spans="29:29">
      <c r="AC767" s="9">
        <f>IF(C767="","",IF(AB767="Closed",AA767-C767,TODAY()-C767))</f>
        <v>0</v>
      </c>
    </row>
    <row r="768" spans="29:29">
      <c r="AC768" s="9">
        <f>IF(C768="","",IF(AB768="Closed",AA768-C768,TODAY()-C768))</f>
        <v>0</v>
      </c>
    </row>
    <row r="769" spans="29:29">
      <c r="AC769" s="9">
        <f>IF(C769="","",IF(AB769="Closed",AA769-C769,TODAY()-C769))</f>
        <v>0</v>
      </c>
    </row>
    <row r="770" spans="29:29">
      <c r="AC770" s="9">
        <f>IF(C770="","",IF(AB770="Closed",AA770-C770,TODAY()-C770))</f>
        <v>0</v>
      </c>
    </row>
    <row r="771" spans="29:29">
      <c r="AC771" s="9">
        <f>IF(C771="","",IF(AB771="Closed",AA771-C771,TODAY()-C771))</f>
        <v>0</v>
      </c>
    </row>
    <row r="772" spans="29:29">
      <c r="AC772" s="9">
        <f>IF(C772="","",IF(AB772="Closed",AA772-C772,TODAY()-C772))</f>
        <v>0</v>
      </c>
    </row>
    <row r="773" spans="29:29">
      <c r="AC773" s="9">
        <f>IF(C773="","",IF(AB773="Closed",AA773-C773,TODAY()-C773))</f>
        <v>0</v>
      </c>
    </row>
    <row r="774" spans="29:29">
      <c r="AC774" s="9">
        <f>IF(C774="","",IF(AB774="Closed",AA774-C774,TODAY()-C774))</f>
        <v>0</v>
      </c>
    </row>
    <row r="775" spans="29:29">
      <c r="AC775" s="9">
        <f>IF(C775="","",IF(AB775="Closed",AA775-C775,TODAY()-C775))</f>
        <v>0</v>
      </c>
    </row>
    <row r="776" spans="29:29">
      <c r="AC776" s="9">
        <f>IF(C776="","",IF(AB776="Closed",AA776-C776,TODAY()-C776))</f>
        <v>0</v>
      </c>
    </row>
    <row r="777" spans="29:29">
      <c r="AC777" s="9">
        <f>IF(C777="","",IF(AB777="Closed",AA777-C777,TODAY()-C777))</f>
        <v>0</v>
      </c>
    </row>
    <row r="778" spans="29:29">
      <c r="AC778" s="9">
        <f>IF(C778="","",IF(AB778="Closed",AA778-C778,TODAY()-C778))</f>
        <v>0</v>
      </c>
    </row>
    <row r="779" spans="29:29">
      <c r="AC779" s="9">
        <f>IF(C779="","",IF(AB779="Closed",AA779-C779,TODAY()-C779))</f>
        <v>0</v>
      </c>
    </row>
    <row r="780" spans="29:29">
      <c r="AC780" s="9">
        <f>IF(C780="","",IF(AB780="Closed",AA780-C780,TODAY()-C780))</f>
        <v>0</v>
      </c>
    </row>
    <row r="781" spans="29:29">
      <c r="AC781" s="9">
        <f>IF(C781="","",IF(AB781="Closed",AA781-C781,TODAY()-C781))</f>
        <v>0</v>
      </c>
    </row>
    <row r="782" spans="29:29">
      <c r="AC782" s="9">
        <f>IF(C782="","",IF(AB782="Closed",AA782-C782,TODAY()-C782))</f>
        <v>0</v>
      </c>
    </row>
    <row r="783" spans="29:29">
      <c r="AC783" s="9">
        <f>IF(C783="","",IF(AB783="Closed",AA783-C783,TODAY()-C783))</f>
        <v>0</v>
      </c>
    </row>
    <row r="784" spans="29:29">
      <c r="AC784" s="9">
        <f>IF(C784="","",IF(AB784="Closed",AA784-C784,TODAY()-C784))</f>
        <v>0</v>
      </c>
    </row>
    <row r="785" spans="29:29">
      <c r="AC785" s="9">
        <f>IF(C785="","",IF(AB785="Closed",AA785-C785,TODAY()-C785))</f>
        <v>0</v>
      </c>
    </row>
    <row r="786" spans="29:29">
      <c r="AC786" s="9">
        <f>IF(C786="","",IF(AB786="Closed",AA786-C786,TODAY()-C786))</f>
        <v>0</v>
      </c>
    </row>
    <row r="787" spans="29:29">
      <c r="AC787" s="9">
        <f>IF(C787="","",IF(AB787="Closed",AA787-C787,TODAY()-C787))</f>
        <v>0</v>
      </c>
    </row>
    <row r="788" spans="29:29">
      <c r="AC788" s="9">
        <f>IF(C788="","",IF(AB788="Closed",AA788-C788,TODAY()-C788))</f>
        <v>0</v>
      </c>
    </row>
    <row r="789" spans="29:29">
      <c r="AC789" s="9">
        <f>IF(C789="","",IF(AB789="Closed",AA789-C789,TODAY()-C789))</f>
        <v>0</v>
      </c>
    </row>
    <row r="790" spans="29:29">
      <c r="AC790" s="9">
        <f>IF(C790="","",IF(AB790="Closed",AA790-C790,TODAY()-C790))</f>
        <v>0</v>
      </c>
    </row>
    <row r="791" spans="29:29">
      <c r="AC791" s="9">
        <f>IF(C791="","",IF(AB791="Closed",AA791-C791,TODAY()-C791))</f>
        <v>0</v>
      </c>
    </row>
    <row r="792" spans="29:29">
      <c r="AC792" s="9">
        <f>IF(C792="","",IF(AB792="Closed",AA792-C792,TODAY()-C792))</f>
        <v>0</v>
      </c>
    </row>
    <row r="793" spans="29:29">
      <c r="AC793" s="9">
        <f>IF(C793="","",IF(AB793="Closed",AA793-C793,TODAY()-C793))</f>
        <v>0</v>
      </c>
    </row>
    <row r="794" spans="29:29">
      <c r="AC794" s="9">
        <f>IF(C794="","",IF(AB794="Closed",AA794-C794,TODAY()-C794))</f>
        <v>0</v>
      </c>
    </row>
    <row r="795" spans="29:29">
      <c r="AC795" s="9">
        <f>IF(C795="","",IF(AB795="Closed",AA795-C795,TODAY()-C795))</f>
        <v>0</v>
      </c>
    </row>
    <row r="796" spans="29:29">
      <c r="AC796" s="9">
        <f>IF(C796="","",IF(AB796="Closed",AA796-C796,TODAY()-C796))</f>
        <v>0</v>
      </c>
    </row>
    <row r="797" spans="29:29">
      <c r="AC797" s="9">
        <f>IF(C797="","",IF(AB797="Closed",AA797-C797,TODAY()-C797))</f>
        <v>0</v>
      </c>
    </row>
    <row r="798" spans="29:29">
      <c r="AC798" s="9">
        <f>IF(C798="","",IF(AB798="Closed",AA798-C798,TODAY()-C798))</f>
        <v>0</v>
      </c>
    </row>
    <row r="799" spans="29:29">
      <c r="AC799" s="9">
        <f>IF(C799="","",IF(AB799="Closed",AA799-C799,TODAY()-C799))</f>
        <v>0</v>
      </c>
    </row>
    <row r="800" spans="29:29">
      <c r="AC800" s="9">
        <f>IF(C800="","",IF(AB800="Closed",AA800-C800,TODAY()-C800))</f>
        <v>0</v>
      </c>
    </row>
    <row r="801" spans="29:29">
      <c r="AC801" s="9">
        <f>IF(C801="","",IF(AB801="Closed",AA801-C801,TODAY()-C801))</f>
        <v>0</v>
      </c>
    </row>
    <row r="802" spans="29:29">
      <c r="AC802" s="9">
        <f>IF(C802="","",IF(AB802="Closed",AA802-C802,TODAY()-C802))</f>
        <v>0</v>
      </c>
    </row>
    <row r="803" spans="29:29">
      <c r="AC803" s="9">
        <f>IF(C803="","",IF(AB803="Closed",AA803-C803,TODAY()-C803))</f>
        <v>0</v>
      </c>
    </row>
    <row r="804" spans="29:29">
      <c r="AC804" s="9">
        <f>IF(C804="","",IF(AB804="Closed",AA804-C804,TODAY()-C804))</f>
        <v>0</v>
      </c>
    </row>
    <row r="805" spans="29:29">
      <c r="AC805" s="9">
        <f>IF(C805="","",IF(AB805="Closed",AA805-C805,TODAY()-C805))</f>
        <v>0</v>
      </c>
    </row>
    <row r="806" spans="29:29">
      <c r="AC806" s="9">
        <f>IF(C806="","",IF(AB806="Closed",AA806-C806,TODAY()-C806))</f>
        <v>0</v>
      </c>
    </row>
    <row r="807" spans="29:29">
      <c r="AC807" s="9">
        <f>IF(C807="","",IF(AB807="Closed",AA807-C807,TODAY()-C807))</f>
        <v>0</v>
      </c>
    </row>
    <row r="808" spans="29:29">
      <c r="AC808" s="9">
        <f>IF(C808="","",IF(AB808="Closed",AA808-C808,TODAY()-C808))</f>
        <v>0</v>
      </c>
    </row>
    <row r="809" spans="29:29">
      <c r="AC809" s="9">
        <f>IF(C809="","",IF(AB809="Closed",AA809-C809,TODAY()-C809))</f>
        <v>0</v>
      </c>
    </row>
    <row r="810" spans="29:29">
      <c r="AC810" s="9">
        <f>IF(C810="","",IF(AB810="Closed",AA810-C810,TODAY()-C810))</f>
        <v>0</v>
      </c>
    </row>
    <row r="811" spans="29:29">
      <c r="AC811" s="9">
        <f>IF(C811="","",IF(AB811="Closed",AA811-C811,TODAY()-C811))</f>
        <v>0</v>
      </c>
    </row>
    <row r="812" spans="29:29">
      <c r="AC812" s="9">
        <f>IF(C812="","",IF(AB812="Closed",AA812-C812,TODAY()-C812))</f>
        <v>0</v>
      </c>
    </row>
    <row r="813" spans="29:29">
      <c r="AC813" s="9">
        <f>IF(C813="","",IF(AB813="Closed",AA813-C813,TODAY()-C813))</f>
        <v>0</v>
      </c>
    </row>
    <row r="814" spans="29:29">
      <c r="AC814" s="9">
        <f>IF(C814="","",IF(AB814="Closed",AA814-C814,TODAY()-C814))</f>
        <v>0</v>
      </c>
    </row>
    <row r="815" spans="29:29">
      <c r="AC815" s="9">
        <f>IF(C815="","",IF(AB815="Closed",AA815-C815,TODAY()-C815))</f>
        <v>0</v>
      </c>
    </row>
    <row r="816" spans="29:29">
      <c r="AC816" s="9">
        <f>IF(C816="","",IF(AB816="Closed",AA816-C816,TODAY()-C816))</f>
        <v>0</v>
      </c>
    </row>
    <row r="817" spans="29:29">
      <c r="AC817" s="9">
        <f>IF(C817="","",IF(AB817="Closed",AA817-C817,TODAY()-C817))</f>
        <v>0</v>
      </c>
    </row>
    <row r="818" spans="29:29">
      <c r="AC818" s="9">
        <f>IF(C818="","",IF(AB818="Closed",AA818-C818,TODAY()-C818))</f>
        <v>0</v>
      </c>
    </row>
    <row r="819" spans="29:29">
      <c r="AC819" s="9">
        <f>IF(C819="","",IF(AB819="Closed",AA819-C819,TODAY()-C819))</f>
        <v>0</v>
      </c>
    </row>
    <row r="820" spans="29:29">
      <c r="AC820" s="9">
        <f>IF(C820="","",IF(AB820="Closed",AA820-C820,TODAY()-C820))</f>
        <v>0</v>
      </c>
    </row>
    <row r="821" spans="29:29">
      <c r="AC821" s="9">
        <f>IF(C821="","",IF(AB821="Closed",AA821-C821,TODAY()-C821))</f>
        <v>0</v>
      </c>
    </row>
    <row r="822" spans="29:29">
      <c r="AC822" s="9">
        <f>IF(C822="","",IF(AB822="Closed",AA822-C822,TODAY()-C822))</f>
        <v>0</v>
      </c>
    </row>
    <row r="823" spans="29:29">
      <c r="AC823" s="9">
        <f>IF(C823="","",IF(AB823="Closed",AA823-C823,TODAY()-C823))</f>
        <v>0</v>
      </c>
    </row>
    <row r="824" spans="29:29">
      <c r="AC824" s="9">
        <f>IF(C824="","",IF(AB824="Closed",AA824-C824,TODAY()-C824))</f>
        <v>0</v>
      </c>
    </row>
    <row r="825" spans="29:29">
      <c r="AC825" s="9">
        <f>IF(C825="","",IF(AB825="Closed",AA825-C825,TODAY()-C825))</f>
        <v>0</v>
      </c>
    </row>
    <row r="826" spans="29:29">
      <c r="AC826" s="9">
        <f>IF(C826="","",IF(AB826="Closed",AA826-C826,TODAY()-C826))</f>
        <v>0</v>
      </c>
    </row>
    <row r="827" spans="29:29">
      <c r="AC827" s="9">
        <f>IF(C827="","",IF(AB827="Closed",AA827-C827,TODAY()-C827))</f>
        <v>0</v>
      </c>
    </row>
    <row r="828" spans="29:29">
      <c r="AC828" s="9">
        <f>IF(C828="","",IF(AB828="Closed",AA828-C828,TODAY()-C828))</f>
        <v>0</v>
      </c>
    </row>
    <row r="829" spans="29:29">
      <c r="AC829" s="9">
        <f>IF(C829="","",IF(AB829="Closed",AA829-C829,TODAY()-C829))</f>
        <v>0</v>
      </c>
    </row>
    <row r="830" spans="29:29">
      <c r="AC830" s="9">
        <f>IF(C830="","",IF(AB830="Closed",AA830-C830,TODAY()-C830))</f>
        <v>0</v>
      </c>
    </row>
    <row r="831" spans="29:29">
      <c r="AC831" s="9">
        <f>IF(C831="","",IF(AB831="Closed",AA831-C831,TODAY()-C831))</f>
        <v>0</v>
      </c>
    </row>
    <row r="832" spans="29:29">
      <c r="AC832" s="9">
        <f>IF(C832="","",IF(AB832="Closed",AA832-C832,TODAY()-C832))</f>
        <v>0</v>
      </c>
    </row>
    <row r="833" spans="29:29">
      <c r="AC833" s="9">
        <f>IF(C833="","",IF(AB833="Closed",AA833-C833,TODAY()-C833))</f>
        <v>0</v>
      </c>
    </row>
    <row r="834" spans="29:29">
      <c r="AC834" s="9">
        <f>IF(C834="","",IF(AB834="Closed",AA834-C834,TODAY()-C834))</f>
        <v>0</v>
      </c>
    </row>
    <row r="835" spans="29:29">
      <c r="AC835" s="9">
        <f>IF(C835="","",IF(AB835="Closed",AA835-C835,TODAY()-C835))</f>
        <v>0</v>
      </c>
    </row>
    <row r="836" spans="29:29">
      <c r="AC836" s="9">
        <f>IF(C836="","",IF(AB836="Closed",AA836-C836,TODAY()-C836))</f>
        <v>0</v>
      </c>
    </row>
    <row r="837" spans="29:29">
      <c r="AC837" s="9">
        <f>IF(C837="","",IF(AB837="Closed",AA837-C837,TODAY()-C837))</f>
        <v>0</v>
      </c>
    </row>
    <row r="838" spans="29:29">
      <c r="AC838" s="9">
        <f>IF(C838="","",IF(AB838="Closed",AA838-C838,TODAY()-C838))</f>
        <v>0</v>
      </c>
    </row>
    <row r="839" spans="29:29">
      <c r="AC839" s="9">
        <f>IF(C839="","",IF(AB839="Closed",AA839-C839,TODAY()-C839))</f>
        <v>0</v>
      </c>
    </row>
    <row r="840" spans="29:29">
      <c r="AC840" s="9">
        <f>IF(C840="","",IF(AB840="Closed",AA840-C840,TODAY()-C840))</f>
        <v>0</v>
      </c>
    </row>
    <row r="841" spans="29:29">
      <c r="AC841" s="9">
        <f>IF(C841="","",IF(AB841="Closed",AA841-C841,TODAY()-C841))</f>
        <v>0</v>
      </c>
    </row>
    <row r="842" spans="29:29">
      <c r="AC842" s="9">
        <f>IF(C842="","",IF(AB842="Closed",AA842-C842,TODAY()-C842))</f>
        <v>0</v>
      </c>
    </row>
    <row r="843" spans="29:29">
      <c r="AC843" s="9">
        <f>IF(C843="","",IF(AB843="Closed",AA843-C843,TODAY()-C843))</f>
        <v>0</v>
      </c>
    </row>
    <row r="844" spans="29:29">
      <c r="AC844" s="9">
        <f>IF(C844="","",IF(AB844="Closed",AA844-C844,TODAY()-C844))</f>
        <v>0</v>
      </c>
    </row>
    <row r="845" spans="29:29">
      <c r="AC845" s="9">
        <f>IF(C845="","",IF(AB845="Closed",AA845-C845,TODAY()-C845))</f>
        <v>0</v>
      </c>
    </row>
    <row r="846" spans="29:29">
      <c r="AC846" s="9">
        <f>IF(C846="","",IF(AB846="Closed",AA846-C846,TODAY()-C846))</f>
        <v>0</v>
      </c>
    </row>
    <row r="847" spans="29:29">
      <c r="AC847" s="9">
        <f>IF(C847="","",IF(AB847="Closed",AA847-C847,TODAY()-C847))</f>
        <v>0</v>
      </c>
    </row>
    <row r="848" spans="29:29">
      <c r="AC848" s="9">
        <f>IF(C848="","",IF(AB848="Closed",AA848-C848,TODAY()-C848))</f>
        <v>0</v>
      </c>
    </row>
    <row r="849" spans="29:29">
      <c r="AC849" s="9">
        <f>IF(C849="","",IF(AB849="Closed",AA849-C849,TODAY()-C849))</f>
        <v>0</v>
      </c>
    </row>
    <row r="850" spans="29:29">
      <c r="AC850" s="9">
        <f>IF(C850="","",IF(AB850="Closed",AA850-C850,TODAY()-C850))</f>
        <v>0</v>
      </c>
    </row>
    <row r="851" spans="29:29">
      <c r="AC851" s="9">
        <f>IF(C851="","",IF(AB851="Closed",AA851-C851,TODAY()-C851))</f>
        <v>0</v>
      </c>
    </row>
    <row r="852" spans="29:29">
      <c r="AC852" s="9">
        <f>IF(C852="","",IF(AB852="Closed",AA852-C852,TODAY()-C852))</f>
        <v>0</v>
      </c>
    </row>
    <row r="853" spans="29:29">
      <c r="AC853" s="9">
        <f>IF(C853="","",IF(AB853="Closed",AA853-C853,TODAY()-C853))</f>
        <v>0</v>
      </c>
    </row>
    <row r="854" spans="29:29">
      <c r="AC854" s="9">
        <f>IF(C854="","",IF(AB854="Closed",AA854-C854,TODAY()-C854))</f>
        <v>0</v>
      </c>
    </row>
    <row r="855" spans="29:29">
      <c r="AC855" s="9">
        <f>IF(C855="","",IF(AB855="Closed",AA855-C855,TODAY()-C855))</f>
        <v>0</v>
      </c>
    </row>
    <row r="856" spans="29:29">
      <c r="AC856" s="9">
        <f>IF(C856="","",IF(AB856="Closed",AA856-C856,TODAY()-C856))</f>
        <v>0</v>
      </c>
    </row>
    <row r="857" spans="29:29">
      <c r="AC857" s="9">
        <f>IF(C857="","",IF(AB857="Closed",AA857-C857,TODAY()-C857))</f>
        <v>0</v>
      </c>
    </row>
    <row r="858" spans="29:29">
      <c r="AC858" s="9">
        <f>IF(C858="","",IF(AB858="Closed",AA858-C858,TODAY()-C858))</f>
        <v>0</v>
      </c>
    </row>
    <row r="859" spans="29:29">
      <c r="AC859" s="9">
        <f>IF(C859="","",IF(AB859="Closed",AA859-C859,TODAY()-C859))</f>
        <v>0</v>
      </c>
    </row>
    <row r="860" spans="29:29">
      <c r="AC860" s="9">
        <f>IF(C860="","",IF(AB860="Closed",AA860-C860,TODAY()-C860))</f>
        <v>0</v>
      </c>
    </row>
    <row r="861" spans="29:29">
      <c r="AC861" s="9">
        <f>IF(C861="","",IF(AB861="Closed",AA861-C861,TODAY()-C861))</f>
        <v>0</v>
      </c>
    </row>
    <row r="862" spans="29:29">
      <c r="AC862" s="9">
        <f>IF(C862="","",IF(AB862="Closed",AA862-C862,TODAY()-C862))</f>
        <v>0</v>
      </c>
    </row>
    <row r="863" spans="29:29">
      <c r="AC863" s="9">
        <f>IF(C863="","",IF(AB863="Closed",AA863-C863,TODAY()-C863))</f>
        <v>0</v>
      </c>
    </row>
    <row r="864" spans="29:29">
      <c r="AC864" s="9">
        <f>IF(C864="","",IF(AB864="Closed",AA864-C864,TODAY()-C864))</f>
        <v>0</v>
      </c>
    </row>
    <row r="865" spans="29:29">
      <c r="AC865" s="9">
        <f>IF(C865="","",IF(AB865="Closed",AA865-C865,TODAY()-C865))</f>
        <v>0</v>
      </c>
    </row>
    <row r="866" spans="29:29">
      <c r="AC866" s="9">
        <f>IF(C866="","",IF(AB866="Closed",AA866-C866,TODAY()-C866))</f>
        <v>0</v>
      </c>
    </row>
    <row r="867" spans="29:29">
      <c r="AC867" s="9">
        <f>IF(C867="","",IF(AB867="Closed",AA867-C867,TODAY()-C867))</f>
        <v>0</v>
      </c>
    </row>
    <row r="868" spans="29:29">
      <c r="AC868" s="9">
        <f>IF(C868="","",IF(AB868="Closed",AA868-C868,TODAY()-C868))</f>
        <v>0</v>
      </c>
    </row>
    <row r="869" spans="29:29">
      <c r="AC869" s="9">
        <f>IF(C869="","",IF(AB869="Closed",AA869-C869,TODAY()-C869))</f>
        <v>0</v>
      </c>
    </row>
    <row r="870" spans="29:29">
      <c r="AC870" s="9">
        <f>IF(C870="","",IF(AB870="Closed",AA870-C870,TODAY()-C870))</f>
        <v>0</v>
      </c>
    </row>
    <row r="871" spans="29:29">
      <c r="AC871" s="9">
        <f>IF(C871="","",IF(AB871="Closed",AA871-C871,TODAY()-C871))</f>
        <v>0</v>
      </c>
    </row>
    <row r="872" spans="29:29">
      <c r="AC872" s="9">
        <f>IF(C872="","",IF(AB872="Closed",AA872-C872,TODAY()-C872))</f>
        <v>0</v>
      </c>
    </row>
    <row r="873" spans="29:29">
      <c r="AC873" s="9">
        <f>IF(C873="","",IF(AB873="Closed",AA873-C873,TODAY()-C873))</f>
        <v>0</v>
      </c>
    </row>
    <row r="874" spans="29:29">
      <c r="AC874" s="9">
        <f>IF(C874="","",IF(AB874="Closed",AA874-C874,TODAY()-C874))</f>
        <v>0</v>
      </c>
    </row>
    <row r="875" spans="29:29">
      <c r="AC875" s="9">
        <f>IF(C875="","",IF(AB875="Closed",AA875-C875,TODAY()-C875))</f>
        <v>0</v>
      </c>
    </row>
    <row r="876" spans="29:29">
      <c r="AC876" s="9">
        <f>IF(C876="","",IF(AB876="Closed",AA876-C876,TODAY()-C876))</f>
        <v>0</v>
      </c>
    </row>
    <row r="877" spans="29:29">
      <c r="AC877" s="9">
        <f>IF(C877="","",IF(AB877="Closed",AA877-C877,TODAY()-C877))</f>
        <v>0</v>
      </c>
    </row>
    <row r="878" spans="29:29">
      <c r="AC878" s="9">
        <f>IF(C878="","",IF(AB878="Closed",AA878-C878,TODAY()-C878))</f>
        <v>0</v>
      </c>
    </row>
    <row r="879" spans="29:29">
      <c r="AC879" s="9">
        <f>IF(C879="","",IF(AB879="Closed",AA879-C879,TODAY()-C879))</f>
        <v>0</v>
      </c>
    </row>
    <row r="880" spans="29:29">
      <c r="AC880" s="9">
        <f>IF(C880="","",IF(AB880="Closed",AA880-C880,TODAY()-C880))</f>
        <v>0</v>
      </c>
    </row>
    <row r="881" spans="29:29">
      <c r="AC881" s="9">
        <f>IF(C881="","",IF(AB881="Closed",AA881-C881,TODAY()-C881))</f>
        <v>0</v>
      </c>
    </row>
    <row r="882" spans="29:29">
      <c r="AC882" s="9">
        <f>IF(C882="","",IF(AB882="Closed",AA882-C882,TODAY()-C882))</f>
        <v>0</v>
      </c>
    </row>
    <row r="883" spans="29:29">
      <c r="AC883" s="9">
        <f>IF(C883="","",IF(AB883="Closed",AA883-C883,TODAY()-C883))</f>
        <v>0</v>
      </c>
    </row>
    <row r="884" spans="29:29">
      <c r="AC884" s="9">
        <f>IF(C884="","",IF(AB884="Closed",AA884-C884,TODAY()-C884))</f>
        <v>0</v>
      </c>
    </row>
    <row r="885" spans="29:29">
      <c r="AC885" s="9">
        <f>IF(C885="","",IF(AB885="Closed",AA885-C885,TODAY()-C885))</f>
        <v>0</v>
      </c>
    </row>
    <row r="886" spans="29:29">
      <c r="AC886" s="9">
        <f>IF(C886="","",IF(AB886="Closed",AA886-C886,TODAY()-C886))</f>
        <v>0</v>
      </c>
    </row>
    <row r="887" spans="29:29">
      <c r="AC887" s="9">
        <f>IF(C887="","",IF(AB887="Closed",AA887-C887,TODAY()-C887))</f>
        <v>0</v>
      </c>
    </row>
    <row r="888" spans="29:29">
      <c r="AC888" s="9">
        <f>IF(C888="","",IF(AB888="Closed",AA888-C888,TODAY()-C888))</f>
        <v>0</v>
      </c>
    </row>
    <row r="889" spans="29:29">
      <c r="AC889" s="9">
        <f>IF(C889="","",IF(AB889="Closed",AA889-C889,TODAY()-C889))</f>
        <v>0</v>
      </c>
    </row>
    <row r="890" spans="29:29">
      <c r="AC890" s="9">
        <f>IF(C890="","",IF(AB890="Closed",AA890-C890,TODAY()-C890))</f>
        <v>0</v>
      </c>
    </row>
    <row r="891" spans="29:29">
      <c r="AC891" s="9">
        <f>IF(C891="","",IF(AB891="Closed",AA891-C891,TODAY()-C891))</f>
        <v>0</v>
      </c>
    </row>
    <row r="892" spans="29:29">
      <c r="AC892" s="9">
        <f>IF(C892="","",IF(AB892="Closed",AA892-C892,TODAY()-C892))</f>
        <v>0</v>
      </c>
    </row>
    <row r="893" spans="29:29">
      <c r="AC893" s="9">
        <f>IF(C893="","",IF(AB893="Closed",AA893-C893,TODAY()-C893))</f>
        <v>0</v>
      </c>
    </row>
    <row r="894" spans="29:29">
      <c r="AC894" s="9">
        <f>IF(C894="","",IF(AB894="Closed",AA894-C894,TODAY()-C894))</f>
        <v>0</v>
      </c>
    </row>
    <row r="895" spans="29:29">
      <c r="AC895" s="9">
        <f>IF(C895="","",IF(AB895="Closed",AA895-C895,TODAY()-C895))</f>
        <v>0</v>
      </c>
    </row>
    <row r="896" spans="29:29">
      <c r="AC896" s="9">
        <f>IF(C896="","",IF(AB896="Closed",AA896-C896,TODAY()-C896))</f>
        <v>0</v>
      </c>
    </row>
    <row r="897" spans="29:29">
      <c r="AC897" s="9">
        <f>IF(C897="","",IF(AB897="Closed",AA897-C897,TODAY()-C897))</f>
        <v>0</v>
      </c>
    </row>
    <row r="898" spans="29:29">
      <c r="AC898" s="9">
        <f>IF(C898="","",IF(AB898="Closed",AA898-C898,TODAY()-C898))</f>
        <v>0</v>
      </c>
    </row>
    <row r="899" spans="29:29">
      <c r="AC899" s="9">
        <f>IF(C899="","",IF(AB899="Closed",AA899-C899,TODAY()-C899))</f>
        <v>0</v>
      </c>
    </row>
    <row r="900" spans="29:29">
      <c r="AC900" s="9">
        <f>IF(C900="","",IF(AB900="Closed",AA900-C900,TODAY()-C900))</f>
        <v>0</v>
      </c>
    </row>
    <row r="901" spans="29:29">
      <c r="AC901" s="9">
        <f>IF(C901="","",IF(AB901="Closed",AA901-C901,TODAY()-C901))</f>
        <v>0</v>
      </c>
    </row>
    <row r="902" spans="29:29">
      <c r="AC902" s="9">
        <f>IF(C902="","",IF(AB902="Closed",AA902-C902,TODAY()-C902))</f>
        <v>0</v>
      </c>
    </row>
    <row r="903" spans="29:29">
      <c r="AC903" s="9">
        <f>IF(C903="","",IF(AB903="Closed",AA903-C903,TODAY()-C903))</f>
        <v>0</v>
      </c>
    </row>
    <row r="904" spans="29:29">
      <c r="AC904" s="9">
        <f>IF(C904="","",IF(AB904="Closed",AA904-C904,TODAY()-C904))</f>
        <v>0</v>
      </c>
    </row>
    <row r="905" spans="29:29">
      <c r="AC905" s="9">
        <f>IF(C905="","",IF(AB905="Closed",AA905-C905,TODAY()-C905))</f>
        <v>0</v>
      </c>
    </row>
    <row r="906" spans="29:29">
      <c r="AC906" s="9">
        <f>IF(C906="","",IF(AB906="Closed",AA906-C906,TODAY()-C906))</f>
        <v>0</v>
      </c>
    </row>
    <row r="907" spans="29:29">
      <c r="AC907" s="9">
        <f>IF(C907="","",IF(AB907="Closed",AA907-C907,TODAY()-C907))</f>
        <v>0</v>
      </c>
    </row>
    <row r="908" spans="29:29">
      <c r="AC908" s="9">
        <f>IF(C908="","",IF(AB908="Closed",AA908-C908,TODAY()-C908))</f>
        <v>0</v>
      </c>
    </row>
    <row r="909" spans="29:29">
      <c r="AC909" s="9">
        <f>IF(C909="","",IF(AB909="Closed",AA909-C909,TODAY()-C909))</f>
        <v>0</v>
      </c>
    </row>
    <row r="910" spans="29:29">
      <c r="AC910" s="9">
        <f>IF(C910="","",IF(AB910="Closed",AA910-C910,TODAY()-C910))</f>
        <v>0</v>
      </c>
    </row>
    <row r="911" spans="29:29">
      <c r="AC911" s="9">
        <f>IF(C911="","",IF(AB911="Closed",AA911-C911,TODAY()-C911))</f>
        <v>0</v>
      </c>
    </row>
    <row r="912" spans="29:29">
      <c r="AC912" s="9">
        <f>IF(C912="","",IF(AB912="Closed",AA912-C912,TODAY()-C912))</f>
        <v>0</v>
      </c>
    </row>
    <row r="913" spans="29:29">
      <c r="AC913" s="9">
        <f>IF(C913="","",IF(AB913="Closed",AA913-C913,TODAY()-C913))</f>
        <v>0</v>
      </c>
    </row>
    <row r="914" spans="29:29">
      <c r="AC914" s="9">
        <f>IF(C914="","",IF(AB914="Closed",AA914-C914,TODAY()-C914))</f>
        <v>0</v>
      </c>
    </row>
    <row r="915" spans="29:29">
      <c r="AC915" s="9">
        <f>IF(C915="","",IF(AB915="Closed",AA915-C915,TODAY()-C915))</f>
        <v>0</v>
      </c>
    </row>
    <row r="916" spans="29:29">
      <c r="AC916" s="9">
        <f>IF(C916="","",IF(AB916="Closed",AA916-C916,TODAY()-C916))</f>
        <v>0</v>
      </c>
    </row>
    <row r="917" spans="29:29">
      <c r="AC917" s="9">
        <f>IF(C917="","",IF(AB917="Closed",AA917-C917,TODAY()-C917))</f>
        <v>0</v>
      </c>
    </row>
    <row r="918" spans="29:29">
      <c r="AC918" s="9">
        <f>IF(C918="","",IF(AB918="Closed",AA918-C918,TODAY()-C918))</f>
        <v>0</v>
      </c>
    </row>
    <row r="919" spans="29:29">
      <c r="AC919" s="9">
        <f>IF(C919="","",IF(AB919="Closed",AA919-C919,TODAY()-C919))</f>
        <v>0</v>
      </c>
    </row>
    <row r="920" spans="29:29">
      <c r="AC920" s="9">
        <f>IF(C920="","",IF(AB920="Closed",AA920-C920,TODAY()-C920))</f>
        <v>0</v>
      </c>
    </row>
    <row r="921" spans="29:29">
      <c r="AC921" s="9">
        <f>IF(C921="","",IF(AB921="Closed",AA921-C921,TODAY()-C921))</f>
        <v>0</v>
      </c>
    </row>
    <row r="922" spans="29:29">
      <c r="AC922" s="9">
        <f>IF(C922="","",IF(AB922="Closed",AA922-C922,TODAY()-C922))</f>
        <v>0</v>
      </c>
    </row>
    <row r="923" spans="29:29">
      <c r="AC923" s="9">
        <f>IF(C923="","",IF(AB923="Closed",AA923-C923,TODAY()-C923))</f>
        <v>0</v>
      </c>
    </row>
    <row r="924" spans="29:29">
      <c r="AC924" s="9">
        <f>IF(C924="","",IF(AB924="Closed",AA924-C924,TODAY()-C924))</f>
        <v>0</v>
      </c>
    </row>
    <row r="925" spans="29:29">
      <c r="AC925" s="9">
        <f>IF(C925="","",IF(AB925="Closed",AA925-C925,TODAY()-C925))</f>
        <v>0</v>
      </c>
    </row>
    <row r="926" spans="29:29">
      <c r="AC926" s="9">
        <f>IF(C926="","",IF(AB926="Closed",AA926-C926,TODAY()-C926))</f>
        <v>0</v>
      </c>
    </row>
    <row r="927" spans="29:29">
      <c r="AC927" s="9">
        <f>IF(C927="","",IF(AB927="Closed",AA927-C927,TODAY()-C927))</f>
        <v>0</v>
      </c>
    </row>
    <row r="928" spans="29:29">
      <c r="AC928" s="9">
        <f>IF(C928="","",IF(AB928="Closed",AA928-C928,TODAY()-C928))</f>
        <v>0</v>
      </c>
    </row>
    <row r="929" spans="29:29">
      <c r="AC929" s="9">
        <f>IF(C929="","",IF(AB929="Closed",AA929-C929,TODAY()-C929))</f>
        <v>0</v>
      </c>
    </row>
    <row r="930" spans="29:29">
      <c r="AC930" s="9">
        <f>IF(C930="","",IF(AB930="Closed",AA930-C930,TODAY()-C930))</f>
        <v>0</v>
      </c>
    </row>
    <row r="931" spans="29:29">
      <c r="AC931" s="9">
        <f>IF(C931="","",IF(AB931="Closed",AA931-C931,TODAY()-C931))</f>
        <v>0</v>
      </c>
    </row>
    <row r="932" spans="29:29">
      <c r="AC932" s="9">
        <f>IF(C932="","",IF(AB932="Closed",AA932-C932,TODAY()-C932))</f>
        <v>0</v>
      </c>
    </row>
    <row r="933" spans="29:29">
      <c r="AC933" s="9">
        <f>IF(C933="","",IF(AB933="Closed",AA933-C933,TODAY()-C933))</f>
        <v>0</v>
      </c>
    </row>
    <row r="934" spans="29:29">
      <c r="AC934" s="9">
        <f>IF(C934="","",IF(AB934="Closed",AA934-C934,TODAY()-C934))</f>
        <v>0</v>
      </c>
    </row>
    <row r="935" spans="29:29">
      <c r="AC935" s="9">
        <f>IF(C935="","",IF(AB935="Closed",AA935-C935,TODAY()-C935))</f>
        <v>0</v>
      </c>
    </row>
    <row r="936" spans="29:29">
      <c r="AC936" s="9">
        <f>IF(C936="","",IF(AB936="Closed",AA936-C936,TODAY()-C936))</f>
        <v>0</v>
      </c>
    </row>
    <row r="937" spans="29:29">
      <c r="AC937" s="9">
        <f>IF(C937="","",IF(AB937="Closed",AA937-C937,TODAY()-C937))</f>
        <v>0</v>
      </c>
    </row>
    <row r="938" spans="29:29">
      <c r="AC938" s="9">
        <f>IF(C938="","",IF(AB938="Closed",AA938-C938,TODAY()-C938))</f>
        <v>0</v>
      </c>
    </row>
    <row r="939" spans="29:29">
      <c r="AC939" s="9">
        <f>IF(C939="","",IF(AB939="Closed",AA939-C939,TODAY()-C939))</f>
        <v>0</v>
      </c>
    </row>
    <row r="940" spans="29:29">
      <c r="AC940" s="9">
        <f>IF(C940="","",IF(AB940="Closed",AA940-C940,TODAY()-C940))</f>
        <v>0</v>
      </c>
    </row>
    <row r="941" spans="29:29">
      <c r="AC941" s="9">
        <f>IF(C941="","",IF(AB941="Closed",AA941-C941,TODAY()-C941))</f>
        <v>0</v>
      </c>
    </row>
    <row r="942" spans="29:29">
      <c r="AC942" s="9">
        <f>IF(C942="","",IF(AB942="Closed",AA942-C942,TODAY()-C942))</f>
        <v>0</v>
      </c>
    </row>
    <row r="943" spans="29:29">
      <c r="AC943" s="9">
        <f>IF(C943="","",IF(AB943="Closed",AA943-C943,TODAY()-C943))</f>
        <v>0</v>
      </c>
    </row>
    <row r="944" spans="29:29">
      <c r="AC944" s="9">
        <f>IF(C944="","",IF(AB944="Closed",AA944-C944,TODAY()-C944))</f>
        <v>0</v>
      </c>
    </row>
    <row r="945" spans="29:29">
      <c r="AC945" s="9">
        <f>IF(C945="","",IF(AB945="Closed",AA945-C945,TODAY()-C945))</f>
        <v>0</v>
      </c>
    </row>
    <row r="946" spans="29:29">
      <c r="AC946" s="9">
        <f>IF(C946="","",IF(AB946="Closed",AA946-C946,TODAY()-C946))</f>
        <v>0</v>
      </c>
    </row>
    <row r="947" spans="29:29">
      <c r="AC947" s="9">
        <f>IF(C947="","",IF(AB947="Closed",AA947-C947,TODAY()-C947))</f>
        <v>0</v>
      </c>
    </row>
    <row r="948" spans="29:29">
      <c r="AC948" s="9">
        <f>IF(C948="","",IF(AB948="Closed",AA948-C948,TODAY()-C948))</f>
        <v>0</v>
      </c>
    </row>
    <row r="949" spans="29:29">
      <c r="AC949" s="9">
        <f>IF(C949="","",IF(AB949="Closed",AA949-C949,TODAY()-C949))</f>
        <v>0</v>
      </c>
    </row>
    <row r="950" spans="29:29">
      <c r="AC950" s="9">
        <f>IF(C950="","",IF(AB950="Closed",AA950-C950,TODAY()-C950))</f>
        <v>0</v>
      </c>
    </row>
    <row r="951" spans="29:29">
      <c r="AC951" s="9">
        <f>IF(C951="","",IF(AB951="Closed",AA951-C951,TODAY()-C951))</f>
        <v>0</v>
      </c>
    </row>
    <row r="952" spans="29:29">
      <c r="AC952" s="9">
        <f>IF(C952="","",IF(AB952="Closed",AA952-C952,TODAY()-C952))</f>
        <v>0</v>
      </c>
    </row>
    <row r="953" spans="29:29">
      <c r="AC953" s="9">
        <f>IF(C953="","",IF(AB953="Closed",AA953-C953,TODAY()-C953))</f>
        <v>0</v>
      </c>
    </row>
    <row r="954" spans="29:29">
      <c r="AC954" s="9">
        <f>IF(C954="","",IF(AB954="Closed",AA954-C954,TODAY()-C954))</f>
        <v>0</v>
      </c>
    </row>
    <row r="955" spans="29:29">
      <c r="AC955" s="9">
        <f>IF(C955="","",IF(AB955="Closed",AA955-C955,TODAY()-C955))</f>
        <v>0</v>
      </c>
    </row>
    <row r="956" spans="29:29">
      <c r="AC956" s="9">
        <f>IF(C956="","",IF(AB956="Closed",AA956-C956,TODAY()-C956))</f>
        <v>0</v>
      </c>
    </row>
    <row r="957" spans="29:29">
      <c r="AC957" s="9">
        <f>IF(C957="","",IF(AB957="Closed",AA957-C957,TODAY()-C957))</f>
        <v>0</v>
      </c>
    </row>
    <row r="958" spans="29:29">
      <c r="AC958" s="9">
        <f>IF(C958="","",IF(AB958="Closed",AA958-C958,TODAY()-C958))</f>
        <v>0</v>
      </c>
    </row>
    <row r="959" spans="29:29">
      <c r="AC959" s="9">
        <f>IF(C959="","",IF(AB959="Closed",AA959-C959,TODAY()-C959))</f>
        <v>0</v>
      </c>
    </row>
    <row r="960" spans="29:29">
      <c r="AC960" s="9">
        <f>IF(C960="","",IF(AB960="Closed",AA960-C960,TODAY()-C960))</f>
        <v>0</v>
      </c>
    </row>
    <row r="961" spans="29:29">
      <c r="AC961" s="9">
        <f>IF(C961="","",IF(AB961="Closed",AA961-C961,TODAY()-C961))</f>
        <v>0</v>
      </c>
    </row>
    <row r="962" spans="29:29">
      <c r="AC962" s="9">
        <f>IF(C962="","",IF(AB962="Closed",AA962-C962,TODAY()-C962))</f>
        <v>0</v>
      </c>
    </row>
    <row r="963" spans="29:29">
      <c r="AC963" s="9">
        <f>IF(C963="","",IF(AB963="Closed",AA963-C963,TODAY()-C963))</f>
        <v>0</v>
      </c>
    </row>
    <row r="964" spans="29:29">
      <c r="AC964" s="9">
        <f>IF(C964="","",IF(AB964="Closed",AA964-C964,TODAY()-C964))</f>
        <v>0</v>
      </c>
    </row>
    <row r="965" spans="29:29">
      <c r="AC965" s="9">
        <f>IF(C965="","",IF(AB965="Closed",AA965-C965,TODAY()-C965))</f>
        <v>0</v>
      </c>
    </row>
    <row r="966" spans="29:29">
      <c r="AC966" s="9">
        <f>IF(C966="","",IF(AB966="Closed",AA966-C966,TODAY()-C966))</f>
        <v>0</v>
      </c>
    </row>
    <row r="967" spans="29:29">
      <c r="AC967" s="9">
        <f>IF(C967="","",IF(AB967="Closed",AA967-C967,TODAY()-C967))</f>
        <v>0</v>
      </c>
    </row>
    <row r="968" spans="29:29">
      <c r="AC968" s="9">
        <f>IF(C968="","",IF(AB968="Closed",AA968-C968,TODAY()-C968))</f>
        <v>0</v>
      </c>
    </row>
    <row r="969" spans="29:29">
      <c r="AC969" s="9">
        <f>IF(C969="","",IF(AB969="Closed",AA969-C969,TODAY()-C969))</f>
        <v>0</v>
      </c>
    </row>
    <row r="970" spans="29:29">
      <c r="AC970" s="9">
        <f>IF(C970="","",IF(AB970="Closed",AA970-C970,TODAY()-C970))</f>
        <v>0</v>
      </c>
    </row>
    <row r="971" spans="29:29">
      <c r="AC971" s="9">
        <f>IF(C971="","",IF(AB971="Closed",AA971-C971,TODAY()-C971))</f>
        <v>0</v>
      </c>
    </row>
    <row r="972" spans="29:29">
      <c r="AC972" s="9">
        <f>IF(C972="","",IF(AB972="Closed",AA972-C972,TODAY()-C972))</f>
        <v>0</v>
      </c>
    </row>
    <row r="973" spans="29:29">
      <c r="AC973" s="9">
        <f>IF(C973="","",IF(AB973="Closed",AA973-C973,TODAY()-C973))</f>
        <v>0</v>
      </c>
    </row>
    <row r="974" spans="29:29">
      <c r="AC974" s="9">
        <f>IF(C974="","",IF(AB974="Closed",AA974-C974,TODAY()-C974))</f>
        <v>0</v>
      </c>
    </row>
    <row r="975" spans="29:29">
      <c r="AC975" s="9">
        <f>IF(C975="","",IF(AB975="Closed",AA975-C975,TODAY()-C975))</f>
        <v>0</v>
      </c>
    </row>
    <row r="976" spans="29:29">
      <c r="AC976" s="9">
        <f>IF(C976="","",IF(AB976="Closed",AA976-C976,TODAY()-C976))</f>
        <v>0</v>
      </c>
    </row>
    <row r="977" spans="29:29">
      <c r="AC977" s="9">
        <f>IF(C977="","",IF(AB977="Closed",AA977-C977,TODAY()-C977))</f>
        <v>0</v>
      </c>
    </row>
    <row r="978" spans="29:29">
      <c r="AC978" s="9">
        <f>IF(C978="","",IF(AB978="Closed",AA978-C978,TODAY()-C978))</f>
        <v>0</v>
      </c>
    </row>
    <row r="979" spans="29:29">
      <c r="AC979" s="9">
        <f>IF(C979="","",IF(AB979="Closed",AA979-C979,TODAY()-C979))</f>
        <v>0</v>
      </c>
    </row>
    <row r="980" spans="29:29">
      <c r="AC980" s="9">
        <f>IF(C980="","",IF(AB980="Closed",AA980-C980,TODAY()-C980))</f>
        <v>0</v>
      </c>
    </row>
    <row r="981" spans="29:29">
      <c r="AC981" s="9">
        <f>IF(C981="","",IF(AB981="Closed",AA981-C981,TODAY()-C981))</f>
        <v>0</v>
      </c>
    </row>
    <row r="982" spans="29:29">
      <c r="AC982" s="9">
        <f>IF(C982="","",IF(AB982="Closed",AA982-C982,TODAY()-C982))</f>
        <v>0</v>
      </c>
    </row>
    <row r="983" spans="29:29">
      <c r="AC983" s="9">
        <f>IF(C983="","",IF(AB983="Closed",AA983-C983,TODAY()-C983))</f>
        <v>0</v>
      </c>
    </row>
    <row r="984" spans="29:29">
      <c r="AC984" s="9">
        <f>IF(C984="","",IF(AB984="Closed",AA984-C984,TODAY()-C984))</f>
        <v>0</v>
      </c>
    </row>
    <row r="985" spans="29:29">
      <c r="AC985" s="9">
        <f>IF(C985="","",IF(AB985="Closed",AA985-C985,TODAY()-C985))</f>
        <v>0</v>
      </c>
    </row>
    <row r="986" spans="29:29">
      <c r="AC986" s="9">
        <f>IF(C986="","",IF(AB986="Closed",AA986-C986,TODAY()-C986))</f>
        <v>0</v>
      </c>
    </row>
    <row r="987" spans="29:29">
      <c r="AC987" s="9">
        <f>IF(C987="","",IF(AB987="Closed",AA987-C987,TODAY()-C987))</f>
        <v>0</v>
      </c>
    </row>
    <row r="988" spans="29:29">
      <c r="AC988" s="9">
        <f>IF(C988="","",IF(AB988="Closed",AA988-C988,TODAY()-C988))</f>
        <v>0</v>
      </c>
    </row>
    <row r="989" spans="29:29">
      <c r="AC989" s="9">
        <f>IF(C989="","",IF(AB989="Closed",AA989-C989,TODAY()-C989))</f>
        <v>0</v>
      </c>
    </row>
    <row r="990" spans="29:29">
      <c r="AC990" s="9">
        <f>IF(C990="","",IF(AB990="Closed",AA990-C990,TODAY()-C990))</f>
        <v>0</v>
      </c>
    </row>
    <row r="991" spans="29:29">
      <c r="AC991" s="9">
        <f>IF(C991="","",IF(AB991="Closed",AA991-C991,TODAY()-C991))</f>
        <v>0</v>
      </c>
    </row>
    <row r="992" spans="29:29">
      <c r="AC992" s="9">
        <f>IF(C992="","",IF(AB992="Closed",AA992-C992,TODAY()-C992))</f>
        <v>0</v>
      </c>
    </row>
    <row r="993" spans="29:29">
      <c r="AC993" s="9">
        <f>IF(C993="","",IF(AB993="Closed",AA993-C993,TODAY()-C993))</f>
        <v>0</v>
      </c>
    </row>
    <row r="994" spans="29:29">
      <c r="AC994" s="9">
        <f>IF(C994="","",IF(AB994="Closed",AA994-C994,TODAY()-C994))</f>
        <v>0</v>
      </c>
    </row>
    <row r="995" spans="29:29">
      <c r="AC995" s="9">
        <f>IF(C995="","",IF(AB995="Closed",AA995-C995,TODAY()-C995))</f>
        <v>0</v>
      </c>
    </row>
    <row r="996" spans="29:29">
      <c r="AC996" s="9">
        <f>IF(C996="","",IF(AB996="Closed",AA996-C996,TODAY()-C996))</f>
        <v>0</v>
      </c>
    </row>
    <row r="997" spans="29:29">
      <c r="AC997" s="9">
        <f>IF(C997="","",IF(AB997="Closed",AA997-C997,TODAY()-C997))</f>
        <v>0</v>
      </c>
    </row>
    <row r="998" spans="29:29">
      <c r="AC998" s="9">
        <f>IF(C998="","",IF(AB998="Closed",AA998-C998,TODAY()-C998))</f>
        <v>0</v>
      </c>
    </row>
    <row r="999" spans="29:29">
      <c r="AC999" s="9">
        <f>IF(C999="","",IF(AB999="Closed",AA999-C999,TODAY()-C999))</f>
        <v>0</v>
      </c>
    </row>
    <row r="1000" spans="29:29">
      <c r="AC1000" s="9">
        <f>IF(C1000="","",IF(AB1000="Closed",AA1000-C1000,TODAY()-C1000))</f>
        <v>0</v>
      </c>
    </row>
    <row r="1001" spans="29:29">
      <c r="AC1001" s="9">
        <f>IF(C1001="","",IF(AB1001="Closed",AA1001-C1001,TODAY()-C1001))</f>
        <v>0</v>
      </c>
    </row>
    <row r="1002" spans="29:29">
      <c r="AC1002" s="9">
        <f>IF(C1002="","",IF(AB1002="Closed",AA1002-C1002,TODAY()-C1002))</f>
        <v>0</v>
      </c>
    </row>
    <row r="1003" spans="29:29">
      <c r="AC1003" s="9">
        <f>IF(C1003="","",IF(AB1003="Closed",AA1003-C1003,TODAY()-C1003))</f>
        <v>0</v>
      </c>
    </row>
  </sheetData>
  <mergeCells count="2">
    <mergeCell ref="A1:AD1"/>
    <mergeCell ref="A2:AD2"/>
  </mergeCells>
  <dataValidations count="5">
    <dataValidation type="list" allowBlank="1" showInputMessage="1" showErrorMessage="1" sqref="H4:H100003">
      <formula1>L_Dept</formula1>
    </dataValidation>
    <dataValidation type="list" allowBlank="1" showInputMessage="1" showErrorMessage="1" sqref="L4:L100003">
      <formula1>L_Loc</formula1>
    </dataValidation>
    <dataValidation type="list" allowBlank="1" showInputMessage="1" showErrorMessage="1" sqref="I4:I100003">
      <formula1>L_Loc</formula1>
    </dataValidation>
    <dataValidation type="list" allowBlank="1" showInputMessage="1" showErrorMessage="1" sqref="AB4:AB100003">
      <formula1>L_Status</formula1>
    </dataValidation>
    <dataValidation type="list" allowBlank="1" showInputMessage="1" showErrorMessage="1" sqref="U4:U100003">
      <formula1>L_Risk</formula1>
    </dataValidation>
  </dataValidations>
  <hyperlinks>
    <hyperlink ref="AF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>
    <tabColor rgb="FF64748B"/>
    <pageSetUpPr fitToPage="1"/>
  </sheetPr>
  <dimension ref="A1:P10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9.7109375" style="1" customWidth="1"/>
    <col min="2" max="2" width="12.7109375" style="1" customWidth="1"/>
    <col min="3" max="4" width="9.7109375" style="1" customWidth="1"/>
    <col min="5" max="5" width="12.7109375" style="1" customWidth="1"/>
    <col min="6" max="6" width="10.7109375" style="1" customWidth="1"/>
    <col min="7" max="7" width="12.7109375" style="1" customWidth="1"/>
    <col min="8" max="8" width="22.7109375" style="1" customWidth="1"/>
    <col min="9" max="9" width="21.7109375" style="1" customWidth="1"/>
    <col min="10" max="10" width="16.7109375" style="2" customWidth="1"/>
    <col min="11" max="12" width="24.7109375" style="1" customWidth="1"/>
    <col min="13" max="13" width="22.7109375" style="1" customWidth="1"/>
    <col min="14" max="14" width="9.7109375" style="1" customWidth="1"/>
  </cols>
  <sheetData>
    <row r="1" spans="1:16" ht="22" customHeight="1">
      <c r="A1" s="3" t="s">
        <v>1613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P1" s="4" t="s">
        <v>139</v>
      </c>
    </row>
    <row r="2" spans="1:16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6">
      <c r="A3" s="1" t="s">
        <v>124</v>
      </c>
      <c r="B3" s="1" t="s">
        <v>1676</v>
      </c>
      <c r="C3" s="1" t="s">
        <v>126</v>
      </c>
      <c r="D3" s="1" t="s">
        <v>127</v>
      </c>
      <c r="E3" s="1" t="s">
        <v>129</v>
      </c>
      <c r="F3" s="1" t="s">
        <v>130</v>
      </c>
      <c r="G3" s="1" t="s">
        <v>1677</v>
      </c>
      <c r="H3" s="1" t="s">
        <v>1678</v>
      </c>
      <c r="I3" s="1" t="s">
        <v>1679</v>
      </c>
      <c r="J3" s="2" t="s">
        <v>1680</v>
      </c>
      <c r="K3" s="1" t="s">
        <v>1681</v>
      </c>
      <c r="L3" s="1" t="s">
        <v>1682</v>
      </c>
      <c r="M3" s="1" t="s">
        <v>1683</v>
      </c>
      <c r="N3" s="1" t="s">
        <v>1684</v>
      </c>
    </row>
    <row r="4" spans="1:16">
      <c r="A4" s="1">
        <v>1</v>
      </c>
      <c r="B4" s="1" t="s">
        <v>1614</v>
      </c>
      <c r="C4" s="5">
        <v>46034</v>
      </c>
      <c r="D4" s="1" t="s">
        <v>3</v>
      </c>
      <c r="E4" s="6" t="s">
        <v>89</v>
      </c>
      <c r="F4" s="6" t="s">
        <v>82</v>
      </c>
      <c r="G4" s="1" t="s">
        <v>1615</v>
      </c>
      <c r="H4" s="1">
        <v>717</v>
      </c>
      <c r="I4" s="1">
        <v>325</v>
      </c>
      <c r="J4" s="2">
        <f>IFERROR(I4/H4*100,0)</f>
        <v>0</v>
      </c>
      <c r="K4" s="1">
        <v>27120</v>
      </c>
      <c r="L4" s="1">
        <v>1474</v>
      </c>
      <c r="M4" s="1">
        <v>3072</v>
      </c>
      <c r="N4" s="1" t="s">
        <v>1616</v>
      </c>
    </row>
    <row r="5" spans="1:16">
      <c r="A5" s="1">
        <v>2</v>
      </c>
      <c r="B5" s="1" t="s">
        <v>1617</v>
      </c>
      <c r="C5" s="5">
        <v>46039</v>
      </c>
      <c r="D5" s="1" t="s">
        <v>3</v>
      </c>
      <c r="E5" s="6" t="s">
        <v>65</v>
      </c>
      <c r="F5" s="6" t="s">
        <v>21</v>
      </c>
      <c r="G5" s="1" t="s">
        <v>1615</v>
      </c>
      <c r="H5" s="1">
        <v>1737</v>
      </c>
      <c r="I5" s="1">
        <v>710</v>
      </c>
      <c r="J5" s="2">
        <f>IFERROR(I5/H5*100,0)</f>
        <v>0</v>
      </c>
      <c r="K5" s="1">
        <v>23737</v>
      </c>
      <c r="L5" s="1">
        <v>527</v>
      </c>
      <c r="M5" s="1">
        <v>4224</v>
      </c>
      <c r="N5" s="1" t="s">
        <v>1618</v>
      </c>
    </row>
    <row r="6" spans="1:16">
      <c r="A6" s="1">
        <v>3</v>
      </c>
      <c r="B6" s="1" t="s">
        <v>1619</v>
      </c>
      <c r="C6" s="5">
        <v>46036</v>
      </c>
      <c r="D6" s="1" t="s">
        <v>3</v>
      </c>
      <c r="E6" s="6" t="s">
        <v>46</v>
      </c>
      <c r="F6" s="6" t="s">
        <v>40</v>
      </c>
      <c r="G6" s="1" t="s">
        <v>1615</v>
      </c>
      <c r="H6" s="1">
        <v>2027</v>
      </c>
      <c r="I6" s="1">
        <v>1324</v>
      </c>
      <c r="J6" s="2">
        <f>IFERROR(I6/H6*100,0)</f>
        <v>0</v>
      </c>
      <c r="K6" s="1">
        <v>9922</v>
      </c>
      <c r="L6" s="1">
        <v>1886</v>
      </c>
      <c r="M6" s="1">
        <v>2163</v>
      </c>
      <c r="N6" s="1" t="s">
        <v>1616</v>
      </c>
    </row>
    <row r="7" spans="1:16">
      <c r="A7" s="1">
        <v>4</v>
      </c>
      <c r="B7" s="1" t="s">
        <v>1620</v>
      </c>
      <c r="C7" s="5">
        <v>46026</v>
      </c>
      <c r="D7" s="1" t="s">
        <v>3</v>
      </c>
      <c r="E7" s="6" t="s">
        <v>92</v>
      </c>
      <c r="F7" s="6" t="s">
        <v>6</v>
      </c>
      <c r="G7" s="1" t="s">
        <v>1621</v>
      </c>
      <c r="H7" s="1">
        <v>956</v>
      </c>
      <c r="I7" s="1">
        <v>392</v>
      </c>
      <c r="J7" s="2">
        <f>IFERROR(I7/H7*100,0)</f>
        <v>0</v>
      </c>
      <c r="K7" s="1">
        <v>35385</v>
      </c>
      <c r="L7" s="1">
        <v>613</v>
      </c>
      <c r="M7" s="1">
        <v>1415</v>
      </c>
      <c r="N7" s="1" t="s">
        <v>1622</v>
      </c>
    </row>
    <row r="8" spans="1:16">
      <c r="A8" s="1">
        <v>5</v>
      </c>
      <c r="B8" s="1" t="s">
        <v>1623</v>
      </c>
      <c r="C8" s="5">
        <v>46094</v>
      </c>
      <c r="D8" s="1" t="s">
        <v>44</v>
      </c>
      <c r="E8" s="6" t="s">
        <v>89</v>
      </c>
      <c r="F8" s="6" t="s">
        <v>95</v>
      </c>
      <c r="G8" s="1" t="s">
        <v>1624</v>
      </c>
      <c r="H8" s="1">
        <v>2184</v>
      </c>
      <c r="I8" s="1">
        <v>1527</v>
      </c>
      <c r="J8" s="2">
        <f>IFERROR(I8/H8*100,0)</f>
        <v>0</v>
      </c>
      <c r="K8" s="1">
        <v>11639</v>
      </c>
      <c r="L8" s="1">
        <v>1427</v>
      </c>
      <c r="M8" s="1">
        <v>3462</v>
      </c>
      <c r="N8" s="1" t="s">
        <v>1625</v>
      </c>
    </row>
    <row r="9" spans="1:16">
      <c r="A9" s="1">
        <v>6</v>
      </c>
      <c r="B9" s="1" t="s">
        <v>1626</v>
      </c>
      <c r="C9" s="5">
        <v>46106</v>
      </c>
      <c r="D9" s="1" t="s">
        <v>44</v>
      </c>
      <c r="E9" s="6" t="s">
        <v>39</v>
      </c>
      <c r="F9" s="6" t="s">
        <v>95</v>
      </c>
      <c r="G9" s="1" t="s">
        <v>1627</v>
      </c>
      <c r="H9" s="1">
        <v>2627</v>
      </c>
      <c r="I9" s="1">
        <v>1027</v>
      </c>
      <c r="J9" s="2">
        <f>IFERROR(I9/H9*100,0)</f>
        <v>0</v>
      </c>
      <c r="K9" s="1">
        <v>17594</v>
      </c>
      <c r="L9" s="1">
        <v>1692</v>
      </c>
      <c r="M9" s="1">
        <v>2793</v>
      </c>
      <c r="N9" s="1" t="s">
        <v>1628</v>
      </c>
    </row>
    <row r="10" spans="1:16">
      <c r="A10" s="1">
        <v>7</v>
      </c>
      <c r="B10" s="1" t="s">
        <v>1629</v>
      </c>
      <c r="C10" s="5">
        <v>46106</v>
      </c>
      <c r="D10" s="1" t="s">
        <v>44</v>
      </c>
      <c r="E10" s="6" t="s">
        <v>5</v>
      </c>
      <c r="F10" s="6" t="s">
        <v>95</v>
      </c>
      <c r="G10" s="1" t="s">
        <v>1624</v>
      </c>
      <c r="H10" s="1">
        <v>2765</v>
      </c>
      <c r="I10" s="1">
        <v>1529</v>
      </c>
      <c r="J10" s="2">
        <f>IFERROR(I10/H10*100,0)</f>
        <v>0</v>
      </c>
      <c r="K10" s="1">
        <v>8669</v>
      </c>
      <c r="L10" s="1">
        <v>1524</v>
      </c>
      <c r="M10" s="1">
        <v>4507</v>
      </c>
      <c r="N10" s="1" t="s">
        <v>1630</v>
      </c>
    </row>
    <row r="11" spans="1:16">
      <c r="A11" s="1">
        <v>8</v>
      </c>
      <c r="B11" s="1" t="s">
        <v>1631</v>
      </c>
      <c r="C11" s="5">
        <v>46095</v>
      </c>
      <c r="D11" s="1" t="s">
        <v>44</v>
      </c>
      <c r="E11" s="6" t="s">
        <v>58</v>
      </c>
      <c r="F11" s="6" t="s">
        <v>77</v>
      </c>
      <c r="G11" s="1" t="s">
        <v>1621</v>
      </c>
      <c r="H11" s="1">
        <v>2408</v>
      </c>
      <c r="I11" s="1">
        <v>1110</v>
      </c>
      <c r="J11" s="2">
        <f>IFERROR(I11/H11*100,0)</f>
        <v>0</v>
      </c>
      <c r="K11" s="1">
        <v>21316</v>
      </c>
      <c r="L11" s="1">
        <v>119</v>
      </c>
      <c r="M11" s="1">
        <v>1570</v>
      </c>
      <c r="N11" s="1" t="s">
        <v>1616</v>
      </c>
    </row>
    <row r="12" spans="1:16">
      <c r="A12" s="1">
        <v>9</v>
      </c>
      <c r="B12" s="1" t="s">
        <v>1632</v>
      </c>
      <c r="C12" s="5">
        <v>46126</v>
      </c>
      <c r="D12" s="1" t="s">
        <v>53</v>
      </c>
      <c r="E12" s="6" t="s">
        <v>13</v>
      </c>
      <c r="F12" s="6" t="s">
        <v>35</v>
      </c>
      <c r="G12" s="1" t="s">
        <v>1633</v>
      </c>
      <c r="H12" s="1">
        <v>2144</v>
      </c>
      <c r="I12" s="1">
        <v>1042</v>
      </c>
      <c r="J12" s="2">
        <f>IFERROR(I12/H12*100,0)</f>
        <v>0</v>
      </c>
      <c r="K12" s="1">
        <v>5950</v>
      </c>
      <c r="L12" s="1">
        <v>1004</v>
      </c>
      <c r="M12" s="1">
        <v>4369</v>
      </c>
      <c r="N12" s="1" t="s">
        <v>1616</v>
      </c>
    </row>
    <row r="13" spans="1:16">
      <c r="A13" s="1">
        <v>10</v>
      </c>
      <c r="B13" s="1" t="s">
        <v>1634</v>
      </c>
      <c r="C13" s="5">
        <v>46113</v>
      </c>
      <c r="D13" s="1" t="s">
        <v>53</v>
      </c>
      <c r="E13" s="6" t="s">
        <v>5</v>
      </c>
      <c r="F13" s="6" t="s">
        <v>87</v>
      </c>
      <c r="G13" s="1" t="s">
        <v>1621</v>
      </c>
      <c r="H13" s="1">
        <v>1434</v>
      </c>
      <c r="I13" s="1">
        <v>741</v>
      </c>
      <c r="J13" s="2">
        <f>IFERROR(I13/H13*100,0)</f>
        <v>0</v>
      </c>
      <c r="K13" s="1">
        <v>45544</v>
      </c>
      <c r="L13" s="1">
        <v>918</v>
      </c>
      <c r="M13" s="1">
        <v>3426</v>
      </c>
      <c r="N13" s="1" t="s">
        <v>1630</v>
      </c>
    </row>
    <row r="14" spans="1:16">
      <c r="A14" s="1">
        <v>11</v>
      </c>
      <c r="B14" s="1" t="s">
        <v>1635</v>
      </c>
      <c r="C14" s="5">
        <v>46138</v>
      </c>
      <c r="D14" s="1" t="s">
        <v>53</v>
      </c>
      <c r="E14" s="6" t="s">
        <v>39</v>
      </c>
      <c r="F14" s="6" t="s">
        <v>80</v>
      </c>
      <c r="G14" s="1" t="s">
        <v>1621</v>
      </c>
      <c r="H14" s="1">
        <v>1917</v>
      </c>
      <c r="I14" s="1">
        <v>1373</v>
      </c>
      <c r="J14" s="2">
        <f>IFERROR(I14/H14*100,0)</f>
        <v>0</v>
      </c>
      <c r="K14" s="1">
        <v>23741</v>
      </c>
      <c r="L14" s="1">
        <v>1167</v>
      </c>
      <c r="M14" s="1">
        <v>4119</v>
      </c>
      <c r="N14" s="1" t="s">
        <v>1628</v>
      </c>
    </row>
    <row r="15" spans="1:16">
      <c r="A15" s="1">
        <v>12</v>
      </c>
      <c r="B15" s="1" t="s">
        <v>1636</v>
      </c>
      <c r="C15" s="5">
        <v>46113</v>
      </c>
      <c r="D15" s="1" t="s">
        <v>53</v>
      </c>
      <c r="E15" s="6" t="s">
        <v>89</v>
      </c>
      <c r="F15" s="6" t="s">
        <v>77</v>
      </c>
      <c r="G15" s="1" t="s">
        <v>1621</v>
      </c>
      <c r="H15" s="1">
        <v>2757</v>
      </c>
      <c r="I15" s="1">
        <v>1636</v>
      </c>
      <c r="J15" s="2">
        <f>IFERROR(I15/H15*100,0)</f>
        <v>0</v>
      </c>
      <c r="K15" s="1">
        <v>39038</v>
      </c>
      <c r="L15" s="1">
        <v>1775</v>
      </c>
      <c r="M15" s="1">
        <v>1146</v>
      </c>
      <c r="N15" s="1" t="s">
        <v>1616</v>
      </c>
    </row>
    <row r="16" spans="1:16">
      <c r="A16" s="1">
        <v>13</v>
      </c>
      <c r="B16" s="1" t="s">
        <v>1637</v>
      </c>
      <c r="C16" s="5">
        <v>46149</v>
      </c>
      <c r="D16" s="1" t="s">
        <v>60</v>
      </c>
      <c r="E16" s="6" t="s">
        <v>65</v>
      </c>
      <c r="F16" s="6" t="s">
        <v>35</v>
      </c>
      <c r="G16" s="1" t="s">
        <v>1633</v>
      </c>
      <c r="H16" s="1">
        <v>1659</v>
      </c>
      <c r="I16" s="1">
        <v>1063</v>
      </c>
      <c r="J16" s="2">
        <f>IFERROR(I16/H16*100,0)</f>
        <v>0</v>
      </c>
      <c r="K16" s="1">
        <v>24241</v>
      </c>
      <c r="L16" s="1">
        <v>1648</v>
      </c>
      <c r="M16" s="1">
        <v>1633</v>
      </c>
      <c r="N16" s="1" t="s">
        <v>1638</v>
      </c>
    </row>
    <row r="17" spans="1:14">
      <c r="A17" s="1">
        <v>14</v>
      </c>
      <c r="B17" s="1" t="s">
        <v>1639</v>
      </c>
      <c r="C17" s="5">
        <v>46146</v>
      </c>
      <c r="D17" s="1" t="s">
        <v>60</v>
      </c>
      <c r="E17" s="6" t="s">
        <v>92</v>
      </c>
      <c r="F17" s="6" t="s">
        <v>95</v>
      </c>
      <c r="G17" s="1" t="s">
        <v>1627</v>
      </c>
      <c r="H17" s="1">
        <v>1889</v>
      </c>
      <c r="I17" s="1">
        <v>1039</v>
      </c>
      <c r="J17" s="2">
        <f>IFERROR(I17/H17*100,0)</f>
        <v>0</v>
      </c>
      <c r="K17" s="1">
        <v>22924</v>
      </c>
      <c r="L17" s="1">
        <v>1417</v>
      </c>
      <c r="M17" s="1">
        <v>1168</v>
      </c>
      <c r="N17" s="1" t="s">
        <v>1630</v>
      </c>
    </row>
    <row r="18" spans="1:14">
      <c r="A18" s="1">
        <v>15</v>
      </c>
      <c r="B18" s="1" t="s">
        <v>1640</v>
      </c>
      <c r="C18" s="5">
        <v>46190</v>
      </c>
      <c r="D18" s="1" t="s">
        <v>73</v>
      </c>
      <c r="E18" s="6" t="s">
        <v>27</v>
      </c>
      <c r="F18" s="6" t="s">
        <v>51</v>
      </c>
      <c r="G18" s="1" t="s">
        <v>1641</v>
      </c>
      <c r="H18" s="1">
        <v>2802</v>
      </c>
      <c r="I18" s="1">
        <v>2032</v>
      </c>
      <c r="J18" s="2">
        <f>IFERROR(I18/H18*100,0)</f>
        <v>0</v>
      </c>
      <c r="K18" s="1">
        <v>29747</v>
      </c>
      <c r="L18" s="1">
        <v>400</v>
      </c>
      <c r="M18" s="1">
        <v>842</v>
      </c>
      <c r="N18" s="1" t="s">
        <v>1630</v>
      </c>
    </row>
    <row r="19" spans="1:14">
      <c r="A19" s="1">
        <v>16</v>
      </c>
      <c r="B19" s="1" t="s">
        <v>1642</v>
      </c>
      <c r="C19" s="5">
        <v>46185</v>
      </c>
      <c r="D19" s="1" t="s">
        <v>73</v>
      </c>
      <c r="E19" s="6" t="s">
        <v>27</v>
      </c>
      <c r="F19" s="6" t="s">
        <v>6</v>
      </c>
      <c r="G19" s="1" t="s">
        <v>1627</v>
      </c>
      <c r="H19" s="1">
        <v>2377</v>
      </c>
      <c r="I19" s="1">
        <v>864</v>
      </c>
      <c r="J19" s="2">
        <f>IFERROR(I19/H19*100,0)</f>
        <v>0</v>
      </c>
      <c r="K19" s="1">
        <v>24685</v>
      </c>
      <c r="L19" s="1">
        <v>871</v>
      </c>
      <c r="M19" s="1">
        <v>4510</v>
      </c>
      <c r="N19" s="1" t="s">
        <v>1618</v>
      </c>
    </row>
    <row r="20" spans="1:14">
      <c r="A20" s="1">
        <v>17</v>
      </c>
      <c r="B20" s="1" t="s">
        <v>1643</v>
      </c>
      <c r="C20" s="5">
        <v>46200</v>
      </c>
      <c r="D20" s="1" t="s">
        <v>73</v>
      </c>
      <c r="E20" s="6" t="s">
        <v>46</v>
      </c>
      <c r="F20" s="6" t="s">
        <v>95</v>
      </c>
      <c r="G20" s="1" t="s">
        <v>1633</v>
      </c>
      <c r="H20" s="1">
        <v>2079</v>
      </c>
      <c r="I20" s="1">
        <v>820</v>
      </c>
      <c r="J20" s="2">
        <f>IFERROR(I20/H20*100,0)</f>
        <v>0</v>
      </c>
      <c r="K20" s="1">
        <v>48167</v>
      </c>
      <c r="L20" s="1">
        <v>1753</v>
      </c>
      <c r="M20" s="1">
        <v>1470</v>
      </c>
      <c r="N20" s="1" t="s">
        <v>1625</v>
      </c>
    </row>
    <row r="21" spans="1:14">
      <c r="A21" s="1">
        <v>18</v>
      </c>
      <c r="B21" s="1" t="s">
        <v>1644</v>
      </c>
      <c r="C21" s="5">
        <v>46177</v>
      </c>
      <c r="D21" s="1" t="s">
        <v>73</v>
      </c>
      <c r="E21" s="6" t="s">
        <v>13</v>
      </c>
      <c r="F21" s="6" t="s">
        <v>51</v>
      </c>
      <c r="G21" s="1" t="s">
        <v>1624</v>
      </c>
      <c r="H21" s="1">
        <v>2165</v>
      </c>
      <c r="I21" s="1">
        <v>1442</v>
      </c>
      <c r="J21" s="2">
        <f>IFERROR(I21/H21*100,0)</f>
        <v>0</v>
      </c>
      <c r="K21" s="1">
        <v>31995</v>
      </c>
      <c r="L21" s="1">
        <v>613</v>
      </c>
      <c r="M21" s="1">
        <v>536</v>
      </c>
      <c r="N21" s="1" t="s">
        <v>1645</v>
      </c>
    </row>
    <row r="22" spans="1:14">
      <c r="A22" s="1">
        <v>19</v>
      </c>
      <c r="B22" s="1" t="s">
        <v>1646</v>
      </c>
      <c r="C22" s="5">
        <v>46195</v>
      </c>
      <c r="D22" s="1" t="s">
        <v>73</v>
      </c>
      <c r="E22" s="6" t="s">
        <v>58</v>
      </c>
      <c r="F22" s="6" t="s">
        <v>31</v>
      </c>
      <c r="G22" s="1" t="s">
        <v>1627</v>
      </c>
      <c r="H22" s="1">
        <v>1792</v>
      </c>
      <c r="I22" s="1">
        <v>1249</v>
      </c>
      <c r="J22" s="2">
        <f>IFERROR(I22/H22*100,0)</f>
        <v>0</v>
      </c>
      <c r="K22" s="1">
        <v>38274</v>
      </c>
      <c r="L22" s="1">
        <v>183</v>
      </c>
      <c r="M22" s="1">
        <v>2827</v>
      </c>
      <c r="N22" s="1" t="s">
        <v>1616</v>
      </c>
    </row>
    <row r="23" spans="1:14">
      <c r="A23" s="1">
        <v>20</v>
      </c>
      <c r="B23" s="1" t="s">
        <v>1647</v>
      </c>
      <c r="C23" s="5">
        <v>46222</v>
      </c>
      <c r="D23" s="1" t="s">
        <v>76</v>
      </c>
      <c r="E23" s="6" t="s">
        <v>92</v>
      </c>
      <c r="F23" s="6" t="s">
        <v>77</v>
      </c>
      <c r="G23" s="1" t="s">
        <v>1641</v>
      </c>
      <c r="H23" s="1">
        <v>1913</v>
      </c>
      <c r="I23" s="1">
        <v>973</v>
      </c>
      <c r="J23" s="2">
        <f>IFERROR(I23/H23*100,0)</f>
        <v>0</v>
      </c>
      <c r="K23" s="1">
        <v>10461</v>
      </c>
      <c r="L23" s="1">
        <v>507</v>
      </c>
      <c r="M23" s="1">
        <v>4781</v>
      </c>
      <c r="N23" s="1" t="s">
        <v>1645</v>
      </c>
    </row>
    <row r="24" spans="1:14">
      <c r="A24" s="1">
        <v>21</v>
      </c>
      <c r="B24" s="1" t="s">
        <v>1648</v>
      </c>
      <c r="C24" s="5">
        <v>46227</v>
      </c>
      <c r="D24" s="1" t="s">
        <v>76</v>
      </c>
      <c r="E24" s="6" t="s">
        <v>27</v>
      </c>
      <c r="F24" s="6" t="s">
        <v>21</v>
      </c>
      <c r="G24" s="1" t="s">
        <v>1615</v>
      </c>
      <c r="H24" s="1">
        <v>2089</v>
      </c>
      <c r="I24" s="1">
        <v>1091</v>
      </c>
      <c r="J24" s="2">
        <f>IFERROR(I24/H24*100,0)</f>
        <v>0</v>
      </c>
      <c r="K24" s="1">
        <v>24320</v>
      </c>
      <c r="L24" s="1">
        <v>438</v>
      </c>
      <c r="M24" s="1">
        <v>4711</v>
      </c>
      <c r="N24" s="1" t="s">
        <v>1625</v>
      </c>
    </row>
    <row r="25" spans="1:14">
      <c r="A25" s="1">
        <v>22</v>
      </c>
      <c r="B25" s="1" t="s">
        <v>1649</v>
      </c>
      <c r="C25" s="5">
        <v>46206</v>
      </c>
      <c r="D25" s="1" t="s">
        <v>76</v>
      </c>
      <c r="E25" s="6" t="s">
        <v>5</v>
      </c>
      <c r="F25" s="6" t="s">
        <v>21</v>
      </c>
      <c r="G25" s="1" t="s">
        <v>1621</v>
      </c>
      <c r="H25" s="1">
        <v>955</v>
      </c>
      <c r="I25" s="1">
        <v>604</v>
      </c>
      <c r="J25" s="2">
        <f>IFERROR(I25/H25*100,0)</f>
        <v>0</v>
      </c>
      <c r="K25" s="1">
        <v>30119</v>
      </c>
      <c r="L25" s="1">
        <v>150</v>
      </c>
      <c r="M25" s="1">
        <v>4665</v>
      </c>
      <c r="N25" s="1" t="s">
        <v>1622</v>
      </c>
    </row>
    <row r="26" spans="1:14">
      <c r="A26" s="1">
        <v>23</v>
      </c>
      <c r="B26" s="1" t="s">
        <v>1650</v>
      </c>
      <c r="C26" s="5">
        <v>46219</v>
      </c>
      <c r="D26" s="1" t="s">
        <v>76</v>
      </c>
      <c r="E26" s="6" t="s">
        <v>13</v>
      </c>
      <c r="F26" s="6" t="s">
        <v>87</v>
      </c>
      <c r="G26" s="1" t="s">
        <v>1633</v>
      </c>
      <c r="H26" s="1">
        <v>415</v>
      </c>
      <c r="I26" s="1">
        <v>227</v>
      </c>
      <c r="J26" s="2">
        <f>IFERROR(I26/H26*100,0)</f>
        <v>0</v>
      </c>
      <c r="K26" s="1">
        <v>42040</v>
      </c>
      <c r="L26" s="1">
        <v>110</v>
      </c>
      <c r="M26" s="1">
        <v>620</v>
      </c>
      <c r="N26" s="1" t="s">
        <v>1622</v>
      </c>
    </row>
    <row r="27" spans="1:14">
      <c r="A27" s="1">
        <v>24</v>
      </c>
      <c r="B27" s="1" t="s">
        <v>1651</v>
      </c>
      <c r="C27" s="5">
        <v>46215</v>
      </c>
      <c r="D27" s="1" t="s">
        <v>76</v>
      </c>
      <c r="E27" s="6" t="s">
        <v>50</v>
      </c>
      <c r="F27" s="6" t="s">
        <v>31</v>
      </c>
      <c r="G27" s="1" t="s">
        <v>1641</v>
      </c>
      <c r="H27" s="1">
        <v>1028</v>
      </c>
      <c r="I27" s="1">
        <v>842</v>
      </c>
      <c r="J27" s="2">
        <f>IFERROR(I27/H27*100,0)</f>
        <v>0</v>
      </c>
      <c r="K27" s="1">
        <v>7296</v>
      </c>
      <c r="L27" s="1">
        <v>749</v>
      </c>
      <c r="M27" s="1">
        <v>1213</v>
      </c>
      <c r="N27" s="1" t="s">
        <v>1645</v>
      </c>
    </row>
    <row r="28" spans="1:14">
      <c r="A28" s="1">
        <v>25</v>
      </c>
      <c r="B28" s="1" t="s">
        <v>1652</v>
      </c>
      <c r="C28" s="5">
        <v>46224</v>
      </c>
      <c r="D28" s="1" t="s">
        <v>76</v>
      </c>
      <c r="E28" s="6" t="s">
        <v>58</v>
      </c>
      <c r="F28" s="6" t="s">
        <v>35</v>
      </c>
      <c r="G28" s="1" t="s">
        <v>1627</v>
      </c>
      <c r="H28" s="1">
        <v>995</v>
      </c>
      <c r="I28" s="1">
        <v>434</v>
      </c>
      <c r="J28" s="2">
        <f>IFERROR(I28/H28*100,0)</f>
        <v>0</v>
      </c>
      <c r="K28" s="1">
        <v>48614</v>
      </c>
      <c r="L28" s="1">
        <v>926</v>
      </c>
      <c r="M28" s="1">
        <v>3082</v>
      </c>
      <c r="N28" s="1" t="s">
        <v>1622</v>
      </c>
    </row>
    <row r="29" spans="1:14">
      <c r="A29" s="1">
        <v>26</v>
      </c>
      <c r="B29" s="1" t="s">
        <v>1653</v>
      </c>
      <c r="C29" s="5">
        <v>46219</v>
      </c>
      <c r="D29" s="1" t="s">
        <v>76</v>
      </c>
      <c r="E29" s="6" t="s">
        <v>5</v>
      </c>
      <c r="F29" s="6" t="s">
        <v>95</v>
      </c>
      <c r="G29" s="1" t="s">
        <v>1624</v>
      </c>
      <c r="H29" s="1">
        <v>1228</v>
      </c>
      <c r="I29" s="1">
        <v>923</v>
      </c>
      <c r="J29" s="2">
        <f>IFERROR(I29/H29*100,0)</f>
        <v>0</v>
      </c>
      <c r="K29" s="1">
        <v>9250</v>
      </c>
      <c r="L29" s="1">
        <v>1211</v>
      </c>
      <c r="M29" s="1">
        <v>578</v>
      </c>
      <c r="N29" s="1" t="s">
        <v>1645</v>
      </c>
    </row>
    <row r="30" spans="1:14">
      <c r="A30" s="1">
        <v>27</v>
      </c>
      <c r="B30" s="1" t="s">
        <v>1654</v>
      </c>
      <c r="C30" s="5">
        <v>46211</v>
      </c>
      <c r="D30" s="1" t="s">
        <v>76</v>
      </c>
      <c r="E30" s="6" t="s">
        <v>58</v>
      </c>
      <c r="F30" s="6" t="s">
        <v>51</v>
      </c>
      <c r="G30" s="1" t="s">
        <v>1615</v>
      </c>
      <c r="H30" s="1">
        <v>2505</v>
      </c>
      <c r="I30" s="1">
        <v>1743</v>
      </c>
      <c r="J30" s="2">
        <f>IFERROR(I30/H30*100,0)</f>
        <v>0</v>
      </c>
      <c r="K30" s="1">
        <v>48793</v>
      </c>
      <c r="L30" s="1">
        <v>276</v>
      </c>
      <c r="M30" s="1">
        <v>4510</v>
      </c>
      <c r="N30" s="1" t="s">
        <v>1616</v>
      </c>
    </row>
    <row r="31" spans="1:14">
      <c r="A31" s="1">
        <v>28</v>
      </c>
      <c r="B31" s="1" t="s">
        <v>1655</v>
      </c>
      <c r="C31" s="5">
        <v>46251</v>
      </c>
      <c r="D31" s="1" t="s">
        <v>86</v>
      </c>
      <c r="E31" s="6" t="s">
        <v>92</v>
      </c>
      <c r="F31" s="6" t="s">
        <v>80</v>
      </c>
      <c r="G31" s="1" t="s">
        <v>1621</v>
      </c>
      <c r="H31" s="1">
        <v>2797</v>
      </c>
      <c r="I31" s="1">
        <v>1986</v>
      </c>
      <c r="J31" s="2">
        <f>IFERROR(I31/H31*100,0)</f>
        <v>0</v>
      </c>
      <c r="K31" s="1">
        <v>5745</v>
      </c>
      <c r="L31" s="1">
        <v>1354</v>
      </c>
      <c r="M31" s="1">
        <v>3714</v>
      </c>
      <c r="N31" s="1" t="s">
        <v>1645</v>
      </c>
    </row>
    <row r="32" spans="1:14">
      <c r="A32" s="1">
        <v>29</v>
      </c>
      <c r="B32" s="1" t="s">
        <v>1656</v>
      </c>
      <c r="C32" s="5">
        <v>46241</v>
      </c>
      <c r="D32" s="1" t="s">
        <v>86</v>
      </c>
      <c r="E32" s="6" t="s">
        <v>46</v>
      </c>
      <c r="F32" s="6" t="s">
        <v>6</v>
      </c>
      <c r="G32" s="1" t="s">
        <v>1615</v>
      </c>
      <c r="H32" s="1">
        <v>836</v>
      </c>
      <c r="I32" s="1">
        <v>652</v>
      </c>
      <c r="J32" s="2">
        <f>IFERROR(I32/H32*100,0)</f>
        <v>0</v>
      </c>
      <c r="K32" s="1">
        <v>43849</v>
      </c>
      <c r="L32" s="1">
        <v>1177</v>
      </c>
      <c r="M32" s="1">
        <v>2384</v>
      </c>
      <c r="N32" s="1" t="s">
        <v>1616</v>
      </c>
    </row>
    <row r="33" spans="1:14">
      <c r="A33" s="1">
        <v>30</v>
      </c>
      <c r="B33" s="1" t="s">
        <v>1657</v>
      </c>
      <c r="C33" s="5">
        <v>46236</v>
      </c>
      <c r="D33" s="1" t="s">
        <v>86</v>
      </c>
      <c r="E33" s="6" t="s">
        <v>58</v>
      </c>
      <c r="F33" s="6" t="s">
        <v>95</v>
      </c>
      <c r="G33" s="1" t="s">
        <v>1621</v>
      </c>
      <c r="H33" s="1">
        <v>1164</v>
      </c>
      <c r="I33" s="1">
        <v>585</v>
      </c>
      <c r="J33" s="2">
        <f>IFERROR(I33/H33*100,0)</f>
        <v>0</v>
      </c>
      <c r="K33" s="1">
        <v>17004</v>
      </c>
      <c r="L33" s="1">
        <v>1163</v>
      </c>
      <c r="M33" s="1">
        <v>4991</v>
      </c>
      <c r="N33" s="1" t="s">
        <v>1638</v>
      </c>
    </row>
    <row r="34" spans="1:14">
      <c r="A34" s="1">
        <v>31</v>
      </c>
      <c r="B34" s="1" t="s">
        <v>1658</v>
      </c>
      <c r="C34" s="5">
        <v>46262</v>
      </c>
      <c r="D34" s="1" t="s">
        <v>86</v>
      </c>
      <c r="E34" s="6" t="s">
        <v>5</v>
      </c>
      <c r="F34" s="6" t="s">
        <v>87</v>
      </c>
      <c r="G34" s="1" t="s">
        <v>1633</v>
      </c>
      <c r="H34" s="1">
        <v>2028</v>
      </c>
      <c r="I34" s="1">
        <v>958</v>
      </c>
      <c r="J34" s="2">
        <f>IFERROR(I34/H34*100,0)</f>
        <v>0</v>
      </c>
      <c r="K34" s="1">
        <v>14997</v>
      </c>
      <c r="L34" s="1">
        <v>1163</v>
      </c>
      <c r="M34" s="1">
        <v>3434</v>
      </c>
      <c r="N34" s="1" t="s">
        <v>1616</v>
      </c>
    </row>
    <row r="35" spans="1:14">
      <c r="A35" s="1">
        <v>32</v>
      </c>
      <c r="B35" s="1" t="s">
        <v>1659</v>
      </c>
      <c r="C35" s="5">
        <v>46277</v>
      </c>
      <c r="D35" s="1" t="s">
        <v>102</v>
      </c>
      <c r="E35" s="6" t="s">
        <v>46</v>
      </c>
      <c r="F35" s="6" t="s">
        <v>35</v>
      </c>
      <c r="G35" s="1" t="s">
        <v>1624</v>
      </c>
      <c r="H35" s="1">
        <v>1536</v>
      </c>
      <c r="I35" s="1">
        <v>899</v>
      </c>
      <c r="J35" s="2">
        <f>IFERROR(I35/H35*100,0)</f>
        <v>0</v>
      </c>
      <c r="K35" s="1">
        <v>22353</v>
      </c>
      <c r="L35" s="1">
        <v>1513</v>
      </c>
      <c r="M35" s="1">
        <v>1626</v>
      </c>
      <c r="N35" s="1" t="s">
        <v>1622</v>
      </c>
    </row>
    <row r="36" spans="1:14">
      <c r="A36" s="1">
        <v>33</v>
      </c>
      <c r="B36" s="1" t="s">
        <v>1660</v>
      </c>
      <c r="C36" s="5">
        <v>46291</v>
      </c>
      <c r="D36" s="1" t="s">
        <v>102</v>
      </c>
      <c r="E36" s="6" t="s">
        <v>92</v>
      </c>
      <c r="F36" s="6" t="s">
        <v>21</v>
      </c>
      <c r="G36" s="1" t="s">
        <v>1627</v>
      </c>
      <c r="H36" s="1">
        <v>1793</v>
      </c>
      <c r="I36" s="1">
        <v>1350</v>
      </c>
      <c r="J36" s="2">
        <f>IFERROR(I36/H36*100,0)</f>
        <v>0</v>
      </c>
      <c r="K36" s="1">
        <v>38486</v>
      </c>
      <c r="L36" s="1">
        <v>197</v>
      </c>
      <c r="M36" s="1">
        <v>2402</v>
      </c>
      <c r="N36" s="1" t="s">
        <v>1630</v>
      </c>
    </row>
    <row r="37" spans="1:14">
      <c r="A37" s="1">
        <v>34</v>
      </c>
      <c r="B37" s="1" t="s">
        <v>1661</v>
      </c>
      <c r="C37" s="5">
        <v>46287</v>
      </c>
      <c r="D37" s="1" t="s">
        <v>102</v>
      </c>
      <c r="E37" s="6" t="s">
        <v>92</v>
      </c>
      <c r="F37" s="6" t="s">
        <v>40</v>
      </c>
      <c r="G37" s="1" t="s">
        <v>1621</v>
      </c>
      <c r="H37" s="1">
        <v>1172</v>
      </c>
      <c r="I37" s="1">
        <v>828</v>
      </c>
      <c r="J37" s="2">
        <f>IFERROR(I37/H37*100,0)</f>
        <v>0</v>
      </c>
      <c r="K37" s="1">
        <v>27832</v>
      </c>
      <c r="L37" s="1">
        <v>1383</v>
      </c>
      <c r="M37" s="1">
        <v>3459</v>
      </c>
      <c r="N37" s="1" t="s">
        <v>1622</v>
      </c>
    </row>
    <row r="38" spans="1:14">
      <c r="A38" s="1">
        <v>35</v>
      </c>
      <c r="B38" s="1" t="s">
        <v>1662</v>
      </c>
      <c r="C38" s="5">
        <v>46286</v>
      </c>
      <c r="D38" s="1" t="s">
        <v>102</v>
      </c>
      <c r="E38" s="6" t="s">
        <v>92</v>
      </c>
      <c r="F38" s="6" t="s">
        <v>77</v>
      </c>
      <c r="G38" s="1" t="s">
        <v>1627</v>
      </c>
      <c r="H38" s="1">
        <v>1966</v>
      </c>
      <c r="I38" s="1">
        <v>1605</v>
      </c>
      <c r="J38" s="2">
        <f>IFERROR(I38/H38*100,0)</f>
        <v>0</v>
      </c>
      <c r="K38" s="1">
        <v>28337</v>
      </c>
      <c r="L38" s="1">
        <v>414</v>
      </c>
      <c r="M38" s="1">
        <v>4865</v>
      </c>
      <c r="N38" s="1" t="s">
        <v>1625</v>
      </c>
    </row>
    <row r="39" spans="1:14">
      <c r="A39" s="1">
        <v>36</v>
      </c>
      <c r="B39" s="1" t="s">
        <v>1663</v>
      </c>
      <c r="C39" s="5">
        <v>46318</v>
      </c>
      <c r="D39" s="1" t="s">
        <v>106</v>
      </c>
      <c r="E39" s="6" t="s">
        <v>27</v>
      </c>
      <c r="F39" s="6" t="s">
        <v>6</v>
      </c>
      <c r="G39" s="1" t="s">
        <v>1633</v>
      </c>
      <c r="H39" s="1">
        <v>837</v>
      </c>
      <c r="I39" s="1">
        <v>391</v>
      </c>
      <c r="J39" s="2">
        <f>IFERROR(I39/H39*100,0)</f>
        <v>0</v>
      </c>
      <c r="K39" s="1">
        <v>31725</v>
      </c>
      <c r="L39" s="1">
        <v>429</v>
      </c>
      <c r="M39" s="1">
        <v>2493</v>
      </c>
      <c r="N39" s="1" t="s">
        <v>1622</v>
      </c>
    </row>
    <row r="40" spans="1:14">
      <c r="A40" s="1">
        <v>37</v>
      </c>
      <c r="B40" s="1" t="s">
        <v>1664</v>
      </c>
      <c r="C40" s="5">
        <v>46346</v>
      </c>
      <c r="D40" s="1" t="s">
        <v>111</v>
      </c>
      <c r="E40" s="6" t="s">
        <v>89</v>
      </c>
      <c r="F40" s="6" t="s">
        <v>14</v>
      </c>
      <c r="G40" s="1" t="s">
        <v>1624</v>
      </c>
      <c r="H40" s="1">
        <v>1120</v>
      </c>
      <c r="I40" s="1">
        <v>528</v>
      </c>
      <c r="J40" s="2">
        <f>IFERROR(I40/H40*100,0)</f>
        <v>0</v>
      </c>
      <c r="K40" s="1">
        <v>28392</v>
      </c>
      <c r="L40" s="1">
        <v>1204</v>
      </c>
      <c r="M40" s="1">
        <v>2713</v>
      </c>
      <c r="N40" s="1" t="s">
        <v>1630</v>
      </c>
    </row>
    <row r="41" spans="1:14">
      <c r="A41" s="1">
        <v>38</v>
      </c>
      <c r="B41" s="1" t="s">
        <v>1665</v>
      </c>
      <c r="C41" s="5">
        <v>46329</v>
      </c>
      <c r="D41" s="1" t="s">
        <v>111</v>
      </c>
      <c r="E41" s="6" t="s">
        <v>46</v>
      </c>
      <c r="F41" s="6" t="s">
        <v>51</v>
      </c>
      <c r="G41" s="1" t="s">
        <v>1633</v>
      </c>
      <c r="H41" s="1">
        <v>1340</v>
      </c>
      <c r="I41" s="1">
        <v>595</v>
      </c>
      <c r="J41" s="2">
        <f>IFERROR(I41/H41*100,0)</f>
        <v>0</v>
      </c>
      <c r="K41" s="1">
        <v>19649</v>
      </c>
      <c r="L41" s="1">
        <v>1835</v>
      </c>
      <c r="M41" s="1">
        <v>1367</v>
      </c>
      <c r="N41" s="1" t="s">
        <v>1618</v>
      </c>
    </row>
    <row r="42" spans="1:14">
      <c r="A42" s="1">
        <v>39</v>
      </c>
      <c r="B42" s="1" t="s">
        <v>1666</v>
      </c>
      <c r="C42" s="5">
        <v>46343</v>
      </c>
      <c r="D42" s="1" t="s">
        <v>111</v>
      </c>
      <c r="E42" s="6" t="s">
        <v>50</v>
      </c>
      <c r="F42" s="6" t="s">
        <v>31</v>
      </c>
      <c r="G42" s="1" t="s">
        <v>1621</v>
      </c>
      <c r="H42" s="1">
        <v>1688</v>
      </c>
      <c r="I42" s="1">
        <v>1267</v>
      </c>
      <c r="J42" s="2">
        <f>IFERROR(I42/H42*100,0)</f>
        <v>0</v>
      </c>
      <c r="K42" s="1">
        <v>23248</v>
      </c>
      <c r="L42" s="1">
        <v>659</v>
      </c>
      <c r="M42" s="1">
        <v>4360</v>
      </c>
      <c r="N42" s="1" t="s">
        <v>1622</v>
      </c>
    </row>
    <row r="43" spans="1:14">
      <c r="A43" s="1">
        <v>40</v>
      </c>
      <c r="B43" s="1" t="s">
        <v>1667</v>
      </c>
      <c r="C43" s="5">
        <v>46341</v>
      </c>
      <c r="D43" s="1" t="s">
        <v>111</v>
      </c>
      <c r="E43" s="6" t="s">
        <v>92</v>
      </c>
      <c r="F43" s="6" t="s">
        <v>21</v>
      </c>
      <c r="G43" s="1" t="s">
        <v>1615</v>
      </c>
      <c r="H43" s="1">
        <v>2373</v>
      </c>
      <c r="I43" s="1">
        <v>1293</v>
      </c>
      <c r="J43" s="2">
        <f>IFERROR(I43/H43*100,0)</f>
        <v>0</v>
      </c>
      <c r="K43" s="1">
        <v>39709</v>
      </c>
      <c r="L43" s="1">
        <v>1435</v>
      </c>
      <c r="M43" s="1">
        <v>1050</v>
      </c>
      <c r="N43" s="1" t="s">
        <v>1628</v>
      </c>
    </row>
    <row r="44" spans="1:14">
      <c r="A44" s="1">
        <v>41</v>
      </c>
      <c r="B44" s="1" t="s">
        <v>1668</v>
      </c>
      <c r="C44" s="5">
        <v>46337</v>
      </c>
      <c r="D44" s="1" t="s">
        <v>111</v>
      </c>
      <c r="E44" s="6" t="s">
        <v>13</v>
      </c>
      <c r="F44" s="6" t="s">
        <v>6</v>
      </c>
      <c r="G44" s="1" t="s">
        <v>1615</v>
      </c>
      <c r="H44" s="1">
        <v>1308</v>
      </c>
      <c r="I44" s="1">
        <v>1109</v>
      </c>
      <c r="J44" s="2">
        <f>IFERROR(I44/H44*100,0)</f>
        <v>0</v>
      </c>
      <c r="K44" s="1">
        <v>43447</v>
      </c>
      <c r="L44" s="1">
        <v>619</v>
      </c>
      <c r="M44" s="1">
        <v>3874</v>
      </c>
      <c r="N44" s="1" t="s">
        <v>1625</v>
      </c>
    </row>
    <row r="45" spans="1:14">
      <c r="A45" s="1">
        <v>42</v>
      </c>
      <c r="B45" s="1" t="s">
        <v>1669</v>
      </c>
      <c r="C45" s="5">
        <v>46337</v>
      </c>
      <c r="D45" s="1" t="s">
        <v>111</v>
      </c>
      <c r="E45" s="6" t="s">
        <v>13</v>
      </c>
      <c r="F45" s="6" t="s">
        <v>6</v>
      </c>
      <c r="G45" s="1" t="s">
        <v>1627</v>
      </c>
      <c r="H45" s="1">
        <v>2248</v>
      </c>
      <c r="I45" s="1">
        <v>1060</v>
      </c>
      <c r="J45" s="2">
        <f>IFERROR(I45/H45*100,0)</f>
        <v>0</v>
      </c>
      <c r="K45" s="1">
        <v>34410</v>
      </c>
      <c r="L45" s="1">
        <v>1983</v>
      </c>
      <c r="M45" s="1">
        <v>436</v>
      </c>
      <c r="N45" s="1" t="s">
        <v>1628</v>
      </c>
    </row>
    <row r="46" spans="1:14">
      <c r="A46" s="1">
        <v>43</v>
      </c>
      <c r="B46" s="1" t="s">
        <v>1670</v>
      </c>
      <c r="C46" s="5">
        <v>46371</v>
      </c>
      <c r="D46" s="1" t="s">
        <v>122</v>
      </c>
      <c r="E46" s="6" t="s">
        <v>58</v>
      </c>
      <c r="F46" s="6" t="s">
        <v>87</v>
      </c>
      <c r="G46" s="1" t="s">
        <v>1641</v>
      </c>
      <c r="H46" s="1">
        <v>2281</v>
      </c>
      <c r="I46" s="1">
        <v>1223</v>
      </c>
      <c r="J46" s="2">
        <f>IFERROR(I46/H46*100,0)</f>
        <v>0</v>
      </c>
      <c r="K46" s="1">
        <v>24221</v>
      </c>
      <c r="L46" s="1">
        <v>1875</v>
      </c>
      <c r="M46" s="1">
        <v>3622</v>
      </c>
      <c r="N46" s="1" t="s">
        <v>1618</v>
      </c>
    </row>
    <row r="47" spans="1:14">
      <c r="A47" s="1">
        <v>44</v>
      </c>
      <c r="B47" s="1" t="s">
        <v>1671</v>
      </c>
      <c r="C47" s="5">
        <v>46374</v>
      </c>
      <c r="D47" s="1" t="s">
        <v>122</v>
      </c>
      <c r="E47" s="6" t="s">
        <v>89</v>
      </c>
      <c r="F47" s="6" t="s">
        <v>95</v>
      </c>
      <c r="G47" s="1" t="s">
        <v>1641</v>
      </c>
      <c r="H47" s="1">
        <v>2243</v>
      </c>
      <c r="I47" s="1">
        <v>1469</v>
      </c>
      <c r="J47" s="2">
        <f>IFERROR(I47/H47*100,0)</f>
        <v>0</v>
      </c>
      <c r="K47" s="1">
        <v>18422</v>
      </c>
      <c r="L47" s="1">
        <v>1771</v>
      </c>
      <c r="M47" s="1">
        <v>3803</v>
      </c>
      <c r="N47" s="1" t="s">
        <v>1622</v>
      </c>
    </row>
    <row r="48" spans="1:14">
      <c r="A48" s="1">
        <v>45</v>
      </c>
      <c r="B48" s="1" t="s">
        <v>1672</v>
      </c>
      <c r="C48" s="5">
        <v>46377</v>
      </c>
      <c r="D48" s="1" t="s">
        <v>122</v>
      </c>
      <c r="E48" s="6" t="s">
        <v>5</v>
      </c>
      <c r="F48" s="6" t="s">
        <v>6</v>
      </c>
      <c r="G48" s="1" t="s">
        <v>1624</v>
      </c>
      <c r="H48" s="1">
        <v>2212</v>
      </c>
      <c r="I48" s="1">
        <v>1070</v>
      </c>
      <c r="J48" s="2">
        <f>IFERROR(I48/H48*100,0)</f>
        <v>0</v>
      </c>
      <c r="K48" s="1">
        <v>12873</v>
      </c>
      <c r="L48" s="1">
        <v>430</v>
      </c>
      <c r="M48" s="1">
        <v>2203</v>
      </c>
      <c r="N48" s="1" t="s">
        <v>1622</v>
      </c>
    </row>
    <row r="49" spans="1:14">
      <c r="A49" s="1">
        <v>46</v>
      </c>
      <c r="B49" s="1" t="s">
        <v>1673</v>
      </c>
      <c r="C49" s="5">
        <v>46373</v>
      </c>
      <c r="D49" s="1" t="s">
        <v>122</v>
      </c>
      <c r="E49" s="6" t="s">
        <v>92</v>
      </c>
      <c r="F49" s="6" t="s">
        <v>40</v>
      </c>
      <c r="G49" s="1" t="s">
        <v>1633</v>
      </c>
      <c r="H49" s="1">
        <v>1323</v>
      </c>
      <c r="I49" s="1">
        <v>629</v>
      </c>
      <c r="J49" s="2">
        <f>IFERROR(I49/H49*100,0)</f>
        <v>0</v>
      </c>
      <c r="K49" s="1">
        <v>13839</v>
      </c>
      <c r="L49" s="1">
        <v>1852</v>
      </c>
      <c r="M49" s="1">
        <v>816</v>
      </c>
      <c r="N49" s="1" t="s">
        <v>1638</v>
      </c>
    </row>
    <row r="50" spans="1:14">
      <c r="A50" s="1">
        <v>47</v>
      </c>
      <c r="B50" s="1" t="s">
        <v>1674</v>
      </c>
      <c r="C50" s="5">
        <v>46364</v>
      </c>
      <c r="D50" s="1" t="s">
        <v>122</v>
      </c>
      <c r="E50" s="6" t="s">
        <v>65</v>
      </c>
      <c r="F50" s="6" t="s">
        <v>14</v>
      </c>
      <c r="G50" s="1" t="s">
        <v>1621</v>
      </c>
      <c r="H50" s="1">
        <v>1188</v>
      </c>
      <c r="I50" s="1">
        <v>576</v>
      </c>
      <c r="J50" s="2">
        <f>IFERROR(I50/H50*100,0)</f>
        <v>0</v>
      </c>
      <c r="K50" s="1">
        <v>17946</v>
      </c>
      <c r="L50" s="1">
        <v>1580</v>
      </c>
      <c r="M50" s="1">
        <v>3509</v>
      </c>
      <c r="N50" s="1" t="s">
        <v>1645</v>
      </c>
    </row>
    <row r="51" spans="1:14">
      <c r="A51" s="1">
        <v>48</v>
      </c>
      <c r="B51" s="1" t="s">
        <v>1675</v>
      </c>
      <c r="C51" s="5">
        <v>46379</v>
      </c>
      <c r="D51" s="1" t="s">
        <v>122</v>
      </c>
      <c r="E51" s="6" t="s">
        <v>65</v>
      </c>
      <c r="F51" s="6" t="s">
        <v>95</v>
      </c>
      <c r="G51" s="1" t="s">
        <v>1641</v>
      </c>
      <c r="H51" s="1">
        <v>2830</v>
      </c>
      <c r="I51" s="1">
        <v>1210</v>
      </c>
      <c r="J51" s="2">
        <f>IFERROR(I51/H51*100,0)</f>
        <v>0</v>
      </c>
      <c r="K51" s="1">
        <v>7179</v>
      </c>
      <c r="L51" s="1">
        <v>1967</v>
      </c>
      <c r="M51" s="1">
        <v>3521</v>
      </c>
      <c r="N51" s="1" t="s">
        <v>1638</v>
      </c>
    </row>
    <row r="52" spans="1:14">
      <c r="J52" s="2">
        <f>IFERROR(I52/H52*100,0)</f>
        <v>0</v>
      </c>
    </row>
    <row r="53" spans="1:14">
      <c r="J53" s="2">
        <f>IFERROR(I53/H53*100,0)</f>
        <v>0</v>
      </c>
    </row>
    <row r="54" spans="1:14">
      <c r="J54" s="2">
        <f>IFERROR(I54/H54*100,0)</f>
        <v>0</v>
      </c>
    </row>
    <row r="55" spans="1:14">
      <c r="J55" s="2">
        <f>IFERROR(I55/H55*100,0)</f>
        <v>0</v>
      </c>
    </row>
    <row r="56" spans="1:14">
      <c r="J56" s="2">
        <f>IFERROR(I56/H56*100,0)</f>
        <v>0</v>
      </c>
    </row>
    <row r="57" spans="1:14">
      <c r="J57" s="2">
        <f>IFERROR(I57/H57*100,0)</f>
        <v>0</v>
      </c>
    </row>
    <row r="58" spans="1:14">
      <c r="J58" s="2">
        <f>IFERROR(I58/H58*100,0)</f>
        <v>0</v>
      </c>
    </row>
    <row r="59" spans="1:14">
      <c r="J59" s="2">
        <f>IFERROR(I59/H59*100,0)</f>
        <v>0</v>
      </c>
    </row>
    <row r="60" spans="1:14">
      <c r="J60" s="2">
        <f>IFERROR(I60/H60*100,0)</f>
        <v>0</v>
      </c>
    </row>
    <row r="61" spans="1:14">
      <c r="J61" s="2">
        <f>IFERROR(I61/H61*100,0)</f>
        <v>0</v>
      </c>
    </row>
    <row r="62" spans="1:14">
      <c r="J62" s="2">
        <f>IFERROR(I62/H62*100,0)</f>
        <v>0</v>
      </c>
    </row>
    <row r="63" spans="1:14">
      <c r="J63" s="2">
        <f>IFERROR(I63/H63*100,0)</f>
        <v>0</v>
      </c>
    </row>
    <row r="64" spans="1:14">
      <c r="J64" s="2">
        <f>IFERROR(I64/H64*100,0)</f>
        <v>0</v>
      </c>
    </row>
    <row r="65" spans="10:10">
      <c r="J65" s="2">
        <f>IFERROR(I65/H65*100,0)</f>
        <v>0</v>
      </c>
    </row>
    <row r="66" spans="10:10">
      <c r="J66" s="2">
        <f>IFERROR(I66/H66*100,0)</f>
        <v>0</v>
      </c>
    </row>
    <row r="67" spans="10:10">
      <c r="J67" s="2">
        <f>IFERROR(I67/H67*100,0)</f>
        <v>0</v>
      </c>
    </row>
    <row r="68" spans="10:10">
      <c r="J68" s="2">
        <f>IFERROR(I68/H68*100,0)</f>
        <v>0</v>
      </c>
    </row>
    <row r="69" spans="10:10">
      <c r="J69" s="2">
        <f>IFERROR(I69/H69*100,0)</f>
        <v>0</v>
      </c>
    </row>
    <row r="70" spans="10:10">
      <c r="J70" s="2">
        <f>IFERROR(I70/H70*100,0)</f>
        <v>0</v>
      </c>
    </row>
    <row r="71" spans="10:10">
      <c r="J71" s="2">
        <f>IFERROR(I71/H71*100,0)</f>
        <v>0</v>
      </c>
    </row>
    <row r="72" spans="10:10">
      <c r="J72" s="2">
        <f>IFERROR(I72/H72*100,0)</f>
        <v>0</v>
      </c>
    </row>
    <row r="73" spans="10:10">
      <c r="J73" s="2">
        <f>IFERROR(I73/H73*100,0)</f>
        <v>0</v>
      </c>
    </row>
    <row r="74" spans="10:10">
      <c r="J74" s="2">
        <f>IFERROR(I74/H74*100,0)</f>
        <v>0</v>
      </c>
    </row>
    <row r="75" spans="10:10">
      <c r="J75" s="2">
        <f>IFERROR(I75/H75*100,0)</f>
        <v>0</v>
      </c>
    </row>
    <row r="76" spans="10:10">
      <c r="J76" s="2">
        <f>IFERROR(I76/H76*100,0)</f>
        <v>0</v>
      </c>
    </row>
    <row r="77" spans="10:10">
      <c r="J77" s="2">
        <f>IFERROR(I77/H77*100,0)</f>
        <v>0</v>
      </c>
    </row>
    <row r="78" spans="10:10">
      <c r="J78" s="2">
        <f>IFERROR(I78/H78*100,0)</f>
        <v>0</v>
      </c>
    </row>
    <row r="79" spans="10:10">
      <c r="J79" s="2">
        <f>IFERROR(I79/H79*100,0)</f>
        <v>0</v>
      </c>
    </row>
    <row r="80" spans="10:10">
      <c r="J80" s="2">
        <f>IFERROR(I80/H80*100,0)</f>
        <v>0</v>
      </c>
    </row>
    <row r="81" spans="10:10">
      <c r="J81" s="2">
        <f>IFERROR(I81/H81*100,0)</f>
        <v>0</v>
      </c>
    </row>
    <row r="82" spans="10:10">
      <c r="J82" s="2">
        <f>IFERROR(I82/H82*100,0)</f>
        <v>0</v>
      </c>
    </row>
    <row r="83" spans="10:10">
      <c r="J83" s="2">
        <f>IFERROR(I83/H83*100,0)</f>
        <v>0</v>
      </c>
    </row>
    <row r="84" spans="10:10">
      <c r="J84" s="2">
        <f>IFERROR(I84/H84*100,0)</f>
        <v>0</v>
      </c>
    </row>
    <row r="85" spans="10:10">
      <c r="J85" s="2">
        <f>IFERROR(I85/H85*100,0)</f>
        <v>0</v>
      </c>
    </row>
    <row r="86" spans="10:10">
      <c r="J86" s="2">
        <f>IFERROR(I86/H86*100,0)</f>
        <v>0</v>
      </c>
    </row>
    <row r="87" spans="10:10">
      <c r="J87" s="2">
        <f>IFERROR(I87/H87*100,0)</f>
        <v>0</v>
      </c>
    </row>
    <row r="88" spans="10:10">
      <c r="J88" s="2">
        <f>IFERROR(I88/H88*100,0)</f>
        <v>0</v>
      </c>
    </row>
    <row r="89" spans="10:10">
      <c r="J89" s="2">
        <f>IFERROR(I89/H89*100,0)</f>
        <v>0</v>
      </c>
    </row>
    <row r="90" spans="10:10">
      <c r="J90" s="2">
        <f>IFERROR(I90/H90*100,0)</f>
        <v>0</v>
      </c>
    </row>
    <row r="91" spans="10:10">
      <c r="J91" s="2">
        <f>IFERROR(I91/H91*100,0)</f>
        <v>0</v>
      </c>
    </row>
    <row r="92" spans="10:10">
      <c r="J92" s="2">
        <f>IFERROR(I92/H92*100,0)</f>
        <v>0</v>
      </c>
    </row>
    <row r="93" spans="10:10">
      <c r="J93" s="2">
        <f>IFERROR(I93/H93*100,0)</f>
        <v>0</v>
      </c>
    </row>
    <row r="94" spans="10:10">
      <c r="J94" s="2">
        <f>IFERROR(I94/H94*100,0)</f>
        <v>0</v>
      </c>
    </row>
    <row r="95" spans="10:10">
      <c r="J95" s="2">
        <f>IFERROR(I95/H95*100,0)</f>
        <v>0</v>
      </c>
    </row>
    <row r="96" spans="10:10">
      <c r="J96" s="2">
        <f>IFERROR(I96/H96*100,0)</f>
        <v>0</v>
      </c>
    </row>
    <row r="97" spans="10:10">
      <c r="J97" s="2">
        <f>IFERROR(I97/H97*100,0)</f>
        <v>0</v>
      </c>
    </row>
    <row r="98" spans="10:10">
      <c r="J98" s="2">
        <f>IFERROR(I98/H98*100,0)</f>
        <v>0</v>
      </c>
    </row>
    <row r="99" spans="10:10">
      <c r="J99" s="2">
        <f>IFERROR(I99/H99*100,0)</f>
        <v>0</v>
      </c>
    </row>
    <row r="100" spans="10:10">
      <c r="J100" s="2">
        <f>IFERROR(I100/H100*100,0)</f>
        <v>0</v>
      </c>
    </row>
    <row r="101" spans="10:10">
      <c r="J101" s="2">
        <f>IFERROR(I101/H101*100,0)</f>
        <v>0</v>
      </c>
    </row>
    <row r="102" spans="10:10">
      <c r="J102" s="2">
        <f>IFERROR(I102/H102*100,0)</f>
        <v>0</v>
      </c>
    </row>
    <row r="103" spans="10:10">
      <c r="J103" s="2">
        <f>IFERROR(I103/H103*100,0)</f>
        <v>0</v>
      </c>
    </row>
    <row r="104" spans="10:10">
      <c r="J104" s="2">
        <f>IFERROR(I104/H104*100,0)</f>
        <v>0</v>
      </c>
    </row>
    <row r="105" spans="10:10">
      <c r="J105" s="2">
        <f>IFERROR(I105/H105*100,0)</f>
        <v>0</v>
      </c>
    </row>
    <row r="106" spans="10:10">
      <c r="J106" s="2">
        <f>IFERROR(I106/H106*100,0)</f>
        <v>0</v>
      </c>
    </row>
    <row r="107" spans="10:10">
      <c r="J107" s="2">
        <f>IFERROR(I107/H107*100,0)</f>
        <v>0</v>
      </c>
    </row>
    <row r="108" spans="10:10">
      <c r="J108" s="2">
        <f>IFERROR(I108/H108*100,0)</f>
        <v>0</v>
      </c>
    </row>
    <row r="109" spans="10:10">
      <c r="J109" s="2">
        <f>IFERROR(I109/H109*100,0)</f>
        <v>0</v>
      </c>
    </row>
    <row r="110" spans="10:10">
      <c r="J110" s="2">
        <f>IFERROR(I110/H110*100,0)</f>
        <v>0</v>
      </c>
    </row>
    <row r="111" spans="10:10">
      <c r="J111" s="2">
        <f>IFERROR(I111/H111*100,0)</f>
        <v>0</v>
      </c>
    </row>
    <row r="112" spans="10:10">
      <c r="J112" s="2">
        <f>IFERROR(I112/H112*100,0)</f>
        <v>0</v>
      </c>
    </row>
    <row r="113" spans="10:10">
      <c r="J113" s="2">
        <f>IFERROR(I113/H113*100,0)</f>
        <v>0</v>
      </c>
    </row>
    <row r="114" spans="10:10">
      <c r="J114" s="2">
        <f>IFERROR(I114/H114*100,0)</f>
        <v>0</v>
      </c>
    </row>
    <row r="115" spans="10:10">
      <c r="J115" s="2">
        <f>IFERROR(I115/H115*100,0)</f>
        <v>0</v>
      </c>
    </row>
    <row r="116" spans="10:10">
      <c r="J116" s="2">
        <f>IFERROR(I116/H116*100,0)</f>
        <v>0</v>
      </c>
    </row>
    <row r="117" spans="10:10">
      <c r="J117" s="2">
        <f>IFERROR(I117/H117*100,0)</f>
        <v>0</v>
      </c>
    </row>
    <row r="118" spans="10:10">
      <c r="J118" s="2">
        <f>IFERROR(I118/H118*100,0)</f>
        <v>0</v>
      </c>
    </row>
    <row r="119" spans="10:10">
      <c r="J119" s="2">
        <f>IFERROR(I119/H119*100,0)</f>
        <v>0</v>
      </c>
    </row>
    <row r="120" spans="10:10">
      <c r="J120" s="2">
        <f>IFERROR(I120/H120*100,0)</f>
        <v>0</v>
      </c>
    </row>
    <row r="121" spans="10:10">
      <c r="J121" s="2">
        <f>IFERROR(I121/H121*100,0)</f>
        <v>0</v>
      </c>
    </row>
    <row r="122" spans="10:10">
      <c r="J122" s="2">
        <f>IFERROR(I122/H122*100,0)</f>
        <v>0</v>
      </c>
    </row>
    <row r="123" spans="10:10">
      <c r="J123" s="2">
        <f>IFERROR(I123/H123*100,0)</f>
        <v>0</v>
      </c>
    </row>
    <row r="124" spans="10:10">
      <c r="J124" s="2">
        <f>IFERROR(I124/H124*100,0)</f>
        <v>0</v>
      </c>
    </row>
    <row r="125" spans="10:10">
      <c r="J125" s="2">
        <f>IFERROR(I125/H125*100,0)</f>
        <v>0</v>
      </c>
    </row>
    <row r="126" spans="10:10">
      <c r="J126" s="2">
        <f>IFERROR(I126/H126*100,0)</f>
        <v>0</v>
      </c>
    </row>
    <row r="127" spans="10:10">
      <c r="J127" s="2">
        <f>IFERROR(I127/H127*100,0)</f>
        <v>0</v>
      </c>
    </row>
    <row r="128" spans="10:10">
      <c r="J128" s="2">
        <f>IFERROR(I128/H128*100,0)</f>
        <v>0</v>
      </c>
    </row>
    <row r="129" spans="10:10">
      <c r="J129" s="2">
        <f>IFERROR(I129/H129*100,0)</f>
        <v>0</v>
      </c>
    </row>
    <row r="130" spans="10:10">
      <c r="J130" s="2">
        <f>IFERROR(I130/H130*100,0)</f>
        <v>0</v>
      </c>
    </row>
    <row r="131" spans="10:10">
      <c r="J131" s="2">
        <f>IFERROR(I131/H131*100,0)</f>
        <v>0</v>
      </c>
    </row>
    <row r="132" spans="10:10">
      <c r="J132" s="2">
        <f>IFERROR(I132/H132*100,0)</f>
        <v>0</v>
      </c>
    </row>
    <row r="133" spans="10:10">
      <c r="J133" s="2">
        <f>IFERROR(I133/H133*100,0)</f>
        <v>0</v>
      </c>
    </row>
    <row r="134" spans="10:10">
      <c r="J134" s="2">
        <f>IFERROR(I134/H134*100,0)</f>
        <v>0</v>
      </c>
    </row>
    <row r="135" spans="10:10">
      <c r="J135" s="2">
        <f>IFERROR(I135/H135*100,0)</f>
        <v>0</v>
      </c>
    </row>
    <row r="136" spans="10:10">
      <c r="J136" s="2">
        <f>IFERROR(I136/H136*100,0)</f>
        <v>0</v>
      </c>
    </row>
    <row r="137" spans="10:10">
      <c r="J137" s="2">
        <f>IFERROR(I137/H137*100,0)</f>
        <v>0</v>
      </c>
    </row>
    <row r="138" spans="10:10">
      <c r="J138" s="2">
        <f>IFERROR(I138/H138*100,0)</f>
        <v>0</v>
      </c>
    </row>
    <row r="139" spans="10:10">
      <c r="J139" s="2">
        <f>IFERROR(I139/H139*100,0)</f>
        <v>0</v>
      </c>
    </row>
    <row r="140" spans="10:10">
      <c r="J140" s="2">
        <f>IFERROR(I140/H140*100,0)</f>
        <v>0</v>
      </c>
    </row>
    <row r="141" spans="10:10">
      <c r="J141" s="2">
        <f>IFERROR(I141/H141*100,0)</f>
        <v>0</v>
      </c>
    </row>
    <row r="142" spans="10:10">
      <c r="J142" s="2">
        <f>IFERROR(I142/H142*100,0)</f>
        <v>0</v>
      </c>
    </row>
    <row r="143" spans="10:10">
      <c r="J143" s="2">
        <f>IFERROR(I143/H143*100,0)</f>
        <v>0</v>
      </c>
    </row>
    <row r="144" spans="10:10">
      <c r="J144" s="2">
        <f>IFERROR(I144/H144*100,0)</f>
        <v>0</v>
      </c>
    </row>
    <row r="145" spans="10:10">
      <c r="J145" s="2">
        <f>IFERROR(I145/H145*100,0)</f>
        <v>0</v>
      </c>
    </row>
    <row r="146" spans="10:10">
      <c r="J146" s="2">
        <f>IFERROR(I146/H146*100,0)</f>
        <v>0</v>
      </c>
    </row>
    <row r="147" spans="10:10">
      <c r="J147" s="2">
        <f>IFERROR(I147/H147*100,0)</f>
        <v>0</v>
      </c>
    </row>
    <row r="148" spans="10:10">
      <c r="J148" s="2">
        <f>IFERROR(I148/H148*100,0)</f>
        <v>0</v>
      </c>
    </row>
    <row r="149" spans="10:10">
      <c r="J149" s="2">
        <f>IFERROR(I149/H149*100,0)</f>
        <v>0</v>
      </c>
    </row>
    <row r="150" spans="10:10">
      <c r="J150" s="2">
        <f>IFERROR(I150/H150*100,0)</f>
        <v>0</v>
      </c>
    </row>
    <row r="151" spans="10:10">
      <c r="J151" s="2">
        <f>IFERROR(I151/H151*100,0)</f>
        <v>0</v>
      </c>
    </row>
    <row r="152" spans="10:10">
      <c r="J152" s="2">
        <f>IFERROR(I152/H152*100,0)</f>
        <v>0</v>
      </c>
    </row>
    <row r="153" spans="10:10">
      <c r="J153" s="2">
        <f>IFERROR(I153/H153*100,0)</f>
        <v>0</v>
      </c>
    </row>
    <row r="154" spans="10:10">
      <c r="J154" s="2">
        <f>IFERROR(I154/H154*100,0)</f>
        <v>0</v>
      </c>
    </row>
    <row r="155" spans="10:10">
      <c r="J155" s="2">
        <f>IFERROR(I155/H155*100,0)</f>
        <v>0</v>
      </c>
    </row>
    <row r="156" spans="10:10">
      <c r="J156" s="2">
        <f>IFERROR(I156/H156*100,0)</f>
        <v>0</v>
      </c>
    </row>
    <row r="157" spans="10:10">
      <c r="J157" s="2">
        <f>IFERROR(I157/H157*100,0)</f>
        <v>0</v>
      </c>
    </row>
    <row r="158" spans="10:10">
      <c r="J158" s="2">
        <f>IFERROR(I158/H158*100,0)</f>
        <v>0</v>
      </c>
    </row>
    <row r="159" spans="10:10">
      <c r="J159" s="2">
        <f>IFERROR(I159/H159*100,0)</f>
        <v>0</v>
      </c>
    </row>
    <row r="160" spans="10:10">
      <c r="J160" s="2">
        <f>IFERROR(I160/H160*100,0)</f>
        <v>0</v>
      </c>
    </row>
    <row r="161" spans="10:10">
      <c r="J161" s="2">
        <f>IFERROR(I161/H161*100,0)</f>
        <v>0</v>
      </c>
    </row>
    <row r="162" spans="10:10">
      <c r="J162" s="2">
        <f>IFERROR(I162/H162*100,0)</f>
        <v>0</v>
      </c>
    </row>
    <row r="163" spans="10:10">
      <c r="J163" s="2">
        <f>IFERROR(I163/H163*100,0)</f>
        <v>0</v>
      </c>
    </row>
    <row r="164" spans="10:10">
      <c r="J164" s="2">
        <f>IFERROR(I164/H164*100,0)</f>
        <v>0</v>
      </c>
    </row>
    <row r="165" spans="10:10">
      <c r="J165" s="2">
        <f>IFERROR(I165/H165*100,0)</f>
        <v>0</v>
      </c>
    </row>
    <row r="166" spans="10:10">
      <c r="J166" s="2">
        <f>IFERROR(I166/H166*100,0)</f>
        <v>0</v>
      </c>
    </row>
    <row r="167" spans="10:10">
      <c r="J167" s="2">
        <f>IFERROR(I167/H167*100,0)</f>
        <v>0</v>
      </c>
    </row>
    <row r="168" spans="10:10">
      <c r="J168" s="2">
        <f>IFERROR(I168/H168*100,0)</f>
        <v>0</v>
      </c>
    </row>
    <row r="169" spans="10:10">
      <c r="J169" s="2">
        <f>IFERROR(I169/H169*100,0)</f>
        <v>0</v>
      </c>
    </row>
    <row r="170" spans="10:10">
      <c r="J170" s="2">
        <f>IFERROR(I170/H170*100,0)</f>
        <v>0</v>
      </c>
    </row>
    <row r="171" spans="10:10">
      <c r="J171" s="2">
        <f>IFERROR(I171/H171*100,0)</f>
        <v>0</v>
      </c>
    </row>
    <row r="172" spans="10:10">
      <c r="J172" s="2">
        <f>IFERROR(I172/H172*100,0)</f>
        <v>0</v>
      </c>
    </row>
    <row r="173" spans="10:10">
      <c r="J173" s="2">
        <f>IFERROR(I173/H173*100,0)</f>
        <v>0</v>
      </c>
    </row>
    <row r="174" spans="10:10">
      <c r="J174" s="2">
        <f>IFERROR(I174/H174*100,0)</f>
        <v>0</v>
      </c>
    </row>
    <row r="175" spans="10:10">
      <c r="J175" s="2">
        <f>IFERROR(I175/H175*100,0)</f>
        <v>0</v>
      </c>
    </row>
    <row r="176" spans="10:10">
      <c r="J176" s="2">
        <f>IFERROR(I176/H176*100,0)</f>
        <v>0</v>
      </c>
    </row>
    <row r="177" spans="10:10">
      <c r="J177" s="2">
        <f>IFERROR(I177/H177*100,0)</f>
        <v>0</v>
      </c>
    </row>
    <row r="178" spans="10:10">
      <c r="J178" s="2">
        <f>IFERROR(I178/H178*100,0)</f>
        <v>0</v>
      </c>
    </row>
    <row r="179" spans="10:10">
      <c r="J179" s="2">
        <f>IFERROR(I179/H179*100,0)</f>
        <v>0</v>
      </c>
    </row>
    <row r="180" spans="10:10">
      <c r="J180" s="2">
        <f>IFERROR(I180/H180*100,0)</f>
        <v>0</v>
      </c>
    </row>
    <row r="181" spans="10:10">
      <c r="J181" s="2">
        <f>IFERROR(I181/H181*100,0)</f>
        <v>0</v>
      </c>
    </row>
    <row r="182" spans="10:10">
      <c r="J182" s="2">
        <f>IFERROR(I182/H182*100,0)</f>
        <v>0</v>
      </c>
    </row>
    <row r="183" spans="10:10">
      <c r="J183" s="2">
        <f>IFERROR(I183/H183*100,0)</f>
        <v>0</v>
      </c>
    </row>
    <row r="184" spans="10:10">
      <c r="J184" s="2">
        <f>IFERROR(I184/H184*100,0)</f>
        <v>0</v>
      </c>
    </row>
    <row r="185" spans="10:10">
      <c r="J185" s="2">
        <f>IFERROR(I185/H185*100,0)</f>
        <v>0</v>
      </c>
    </row>
    <row r="186" spans="10:10">
      <c r="J186" s="2">
        <f>IFERROR(I186/H186*100,0)</f>
        <v>0</v>
      </c>
    </row>
    <row r="187" spans="10:10">
      <c r="J187" s="2">
        <f>IFERROR(I187/H187*100,0)</f>
        <v>0</v>
      </c>
    </row>
    <row r="188" spans="10:10">
      <c r="J188" s="2">
        <f>IFERROR(I188/H188*100,0)</f>
        <v>0</v>
      </c>
    </row>
    <row r="189" spans="10:10">
      <c r="J189" s="2">
        <f>IFERROR(I189/H189*100,0)</f>
        <v>0</v>
      </c>
    </row>
    <row r="190" spans="10:10">
      <c r="J190" s="2">
        <f>IFERROR(I190/H190*100,0)</f>
        <v>0</v>
      </c>
    </row>
    <row r="191" spans="10:10">
      <c r="J191" s="2">
        <f>IFERROR(I191/H191*100,0)</f>
        <v>0</v>
      </c>
    </row>
    <row r="192" spans="10:10">
      <c r="J192" s="2">
        <f>IFERROR(I192/H192*100,0)</f>
        <v>0</v>
      </c>
    </row>
    <row r="193" spans="10:10">
      <c r="J193" s="2">
        <f>IFERROR(I193/H193*100,0)</f>
        <v>0</v>
      </c>
    </row>
    <row r="194" spans="10:10">
      <c r="J194" s="2">
        <f>IFERROR(I194/H194*100,0)</f>
        <v>0</v>
      </c>
    </row>
    <row r="195" spans="10:10">
      <c r="J195" s="2">
        <f>IFERROR(I195/H195*100,0)</f>
        <v>0</v>
      </c>
    </row>
    <row r="196" spans="10:10">
      <c r="J196" s="2">
        <f>IFERROR(I196/H196*100,0)</f>
        <v>0</v>
      </c>
    </row>
    <row r="197" spans="10:10">
      <c r="J197" s="2">
        <f>IFERROR(I197/H197*100,0)</f>
        <v>0</v>
      </c>
    </row>
    <row r="198" spans="10:10">
      <c r="J198" s="2">
        <f>IFERROR(I198/H198*100,0)</f>
        <v>0</v>
      </c>
    </row>
    <row r="199" spans="10:10">
      <c r="J199" s="2">
        <f>IFERROR(I199/H199*100,0)</f>
        <v>0</v>
      </c>
    </row>
    <row r="200" spans="10:10">
      <c r="J200" s="2">
        <f>IFERROR(I200/H200*100,0)</f>
        <v>0</v>
      </c>
    </row>
    <row r="201" spans="10:10">
      <c r="J201" s="2">
        <f>IFERROR(I201/H201*100,0)</f>
        <v>0</v>
      </c>
    </row>
    <row r="202" spans="10:10">
      <c r="J202" s="2">
        <f>IFERROR(I202/H202*100,0)</f>
        <v>0</v>
      </c>
    </row>
    <row r="203" spans="10:10">
      <c r="J203" s="2">
        <f>IFERROR(I203/H203*100,0)</f>
        <v>0</v>
      </c>
    </row>
    <row r="204" spans="10:10">
      <c r="J204" s="2">
        <f>IFERROR(I204/H204*100,0)</f>
        <v>0</v>
      </c>
    </row>
    <row r="205" spans="10:10">
      <c r="J205" s="2">
        <f>IFERROR(I205/H205*100,0)</f>
        <v>0</v>
      </c>
    </row>
    <row r="206" spans="10:10">
      <c r="J206" s="2">
        <f>IFERROR(I206/H206*100,0)</f>
        <v>0</v>
      </c>
    </row>
    <row r="207" spans="10:10">
      <c r="J207" s="2">
        <f>IFERROR(I207/H207*100,0)</f>
        <v>0</v>
      </c>
    </row>
    <row r="208" spans="10:10">
      <c r="J208" s="2">
        <f>IFERROR(I208/H208*100,0)</f>
        <v>0</v>
      </c>
    </row>
    <row r="209" spans="10:10">
      <c r="J209" s="2">
        <f>IFERROR(I209/H209*100,0)</f>
        <v>0</v>
      </c>
    </row>
    <row r="210" spans="10:10">
      <c r="J210" s="2">
        <f>IFERROR(I210/H210*100,0)</f>
        <v>0</v>
      </c>
    </row>
    <row r="211" spans="10:10">
      <c r="J211" s="2">
        <f>IFERROR(I211/H211*100,0)</f>
        <v>0</v>
      </c>
    </row>
    <row r="212" spans="10:10">
      <c r="J212" s="2">
        <f>IFERROR(I212/H212*100,0)</f>
        <v>0</v>
      </c>
    </row>
    <row r="213" spans="10:10">
      <c r="J213" s="2">
        <f>IFERROR(I213/H213*100,0)</f>
        <v>0</v>
      </c>
    </row>
    <row r="214" spans="10:10">
      <c r="J214" s="2">
        <f>IFERROR(I214/H214*100,0)</f>
        <v>0</v>
      </c>
    </row>
    <row r="215" spans="10:10">
      <c r="J215" s="2">
        <f>IFERROR(I215/H215*100,0)</f>
        <v>0</v>
      </c>
    </row>
    <row r="216" spans="10:10">
      <c r="J216" s="2">
        <f>IFERROR(I216/H216*100,0)</f>
        <v>0</v>
      </c>
    </row>
    <row r="217" spans="10:10">
      <c r="J217" s="2">
        <f>IFERROR(I217/H217*100,0)</f>
        <v>0</v>
      </c>
    </row>
    <row r="218" spans="10:10">
      <c r="J218" s="2">
        <f>IFERROR(I218/H218*100,0)</f>
        <v>0</v>
      </c>
    </row>
    <row r="219" spans="10:10">
      <c r="J219" s="2">
        <f>IFERROR(I219/H219*100,0)</f>
        <v>0</v>
      </c>
    </row>
    <row r="220" spans="10:10">
      <c r="J220" s="2">
        <f>IFERROR(I220/H220*100,0)</f>
        <v>0</v>
      </c>
    </row>
    <row r="221" spans="10:10">
      <c r="J221" s="2">
        <f>IFERROR(I221/H221*100,0)</f>
        <v>0</v>
      </c>
    </row>
    <row r="222" spans="10:10">
      <c r="J222" s="2">
        <f>IFERROR(I222/H222*100,0)</f>
        <v>0</v>
      </c>
    </row>
    <row r="223" spans="10:10">
      <c r="J223" s="2">
        <f>IFERROR(I223/H223*100,0)</f>
        <v>0</v>
      </c>
    </row>
    <row r="224" spans="10:10">
      <c r="J224" s="2">
        <f>IFERROR(I224/H224*100,0)</f>
        <v>0</v>
      </c>
    </row>
    <row r="225" spans="10:10">
      <c r="J225" s="2">
        <f>IFERROR(I225/H225*100,0)</f>
        <v>0</v>
      </c>
    </row>
    <row r="226" spans="10:10">
      <c r="J226" s="2">
        <f>IFERROR(I226/H226*100,0)</f>
        <v>0</v>
      </c>
    </row>
    <row r="227" spans="10:10">
      <c r="J227" s="2">
        <f>IFERROR(I227/H227*100,0)</f>
        <v>0</v>
      </c>
    </row>
    <row r="228" spans="10:10">
      <c r="J228" s="2">
        <f>IFERROR(I228/H228*100,0)</f>
        <v>0</v>
      </c>
    </row>
    <row r="229" spans="10:10">
      <c r="J229" s="2">
        <f>IFERROR(I229/H229*100,0)</f>
        <v>0</v>
      </c>
    </row>
    <row r="230" spans="10:10">
      <c r="J230" s="2">
        <f>IFERROR(I230/H230*100,0)</f>
        <v>0</v>
      </c>
    </row>
    <row r="231" spans="10:10">
      <c r="J231" s="2">
        <f>IFERROR(I231/H231*100,0)</f>
        <v>0</v>
      </c>
    </row>
    <row r="232" spans="10:10">
      <c r="J232" s="2">
        <f>IFERROR(I232/H232*100,0)</f>
        <v>0</v>
      </c>
    </row>
    <row r="233" spans="10:10">
      <c r="J233" s="2">
        <f>IFERROR(I233/H233*100,0)</f>
        <v>0</v>
      </c>
    </row>
    <row r="234" spans="10:10">
      <c r="J234" s="2">
        <f>IFERROR(I234/H234*100,0)</f>
        <v>0</v>
      </c>
    </row>
    <row r="235" spans="10:10">
      <c r="J235" s="2">
        <f>IFERROR(I235/H235*100,0)</f>
        <v>0</v>
      </c>
    </row>
    <row r="236" spans="10:10">
      <c r="J236" s="2">
        <f>IFERROR(I236/H236*100,0)</f>
        <v>0</v>
      </c>
    </row>
    <row r="237" spans="10:10">
      <c r="J237" s="2">
        <f>IFERROR(I237/H237*100,0)</f>
        <v>0</v>
      </c>
    </row>
    <row r="238" spans="10:10">
      <c r="J238" s="2">
        <f>IFERROR(I238/H238*100,0)</f>
        <v>0</v>
      </c>
    </row>
    <row r="239" spans="10:10">
      <c r="J239" s="2">
        <f>IFERROR(I239/H239*100,0)</f>
        <v>0</v>
      </c>
    </row>
    <row r="240" spans="10:10">
      <c r="J240" s="2">
        <f>IFERROR(I240/H240*100,0)</f>
        <v>0</v>
      </c>
    </row>
    <row r="241" spans="10:10">
      <c r="J241" s="2">
        <f>IFERROR(I241/H241*100,0)</f>
        <v>0</v>
      </c>
    </row>
    <row r="242" spans="10:10">
      <c r="J242" s="2">
        <f>IFERROR(I242/H242*100,0)</f>
        <v>0</v>
      </c>
    </row>
    <row r="243" spans="10:10">
      <c r="J243" s="2">
        <f>IFERROR(I243/H243*100,0)</f>
        <v>0</v>
      </c>
    </row>
    <row r="244" spans="10:10">
      <c r="J244" s="2">
        <f>IFERROR(I244/H244*100,0)</f>
        <v>0</v>
      </c>
    </row>
    <row r="245" spans="10:10">
      <c r="J245" s="2">
        <f>IFERROR(I245/H245*100,0)</f>
        <v>0</v>
      </c>
    </row>
    <row r="246" spans="10:10">
      <c r="J246" s="2">
        <f>IFERROR(I246/H246*100,0)</f>
        <v>0</v>
      </c>
    </row>
    <row r="247" spans="10:10">
      <c r="J247" s="2">
        <f>IFERROR(I247/H247*100,0)</f>
        <v>0</v>
      </c>
    </row>
    <row r="248" spans="10:10">
      <c r="J248" s="2">
        <f>IFERROR(I248/H248*100,0)</f>
        <v>0</v>
      </c>
    </row>
    <row r="249" spans="10:10">
      <c r="J249" s="2">
        <f>IFERROR(I249/H249*100,0)</f>
        <v>0</v>
      </c>
    </row>
    <row r="250" spans="10:10">
      <c r="J250" s="2">
        <f>IFERROR(I250/H250*100,0)</f>
        <v>0</v>
      </c>
    </row>
    <row r="251" spans="10:10">
      <c r="J251" s="2">
        <f>IFERROR(I251/H251*100,0)</f>
        <v>0</v>
      </c>
    </row>
    <row r="252" spans="10:10">
      <c r="J252" s="2">
        <f>IFERROR(I252/H252*100,0)</f>
        <v>0</v>
      </c>
    </row>
    <row r="253" spans="10:10">
      <c r="J253" s="2">
        <f>IFERROR(I253/H253*100,0)</f>
        <v>0</v>
      </c>
    </row>
    <row r="254" spans="10:10">
      <c r="J254" s="2">
        <f>IFERROR(I254/H254*100,0)</f>
        <v>0</v>
      </c>
    </row>
    <row r="255" spans="10:10">
      <c r="J255" s="2">
        <f>IFERROR(I255/H255*100,0)</f>
        <v>0</v>
      </c>
    </row>
    <row r="256" spans="10:10">
      <c r="J256" s="2">
        <f>IFERROR(I256/H256*100,0)</f>
        <v>0</v>
      </c>
    </row>
    <row r="257" spans="10:10">
      <c r="J257" s="2">
        <f>IFERROR(I257/H257*100,0)</f>
        <v>0</v>
      </c>
    </row>
    <row r="258" spans="10:10">
      <c r="J258" s="2">
        <f>IFERROR(I258/H258*100,0)</f>
        <v>0</v>
      </c>
    </row>
    <row r="259" spans="10:10">
      <c r="J259" s="2">
        <f>IFERROR(I259/H259*100,0)</f>
        <v>0</v>
      </c>
    </row>
    <row r="260" spans="10:10">
      <c r="J260" s="2">
        <f>IFERROR(I260/H260*100,0)</f>
        <v>0</v>
      </c>
    </row>
    <row r="261" spans="10:10">
      <c r="J261" s="2">
        <f>IFERROR(I261/H261*100,0)</f>
        <v>0</v>
      </c>
    </row>
    <row r="262" spans="10:10">
      <c r="J262" s="2">
        <f>IFERROR(I262/H262*100,0)</f>
        <v>0</v>
      </c>
    </row>
    <row r="263" spans="10:10">
      <c r="J263" s="2">
        <f>IFERROR(I263/H263*100,0)</f>
        <v>0</v>
      </c>
    </row>
    <row r="264" spans="10:10">
      <c r="J264" s="2">
        <f>IFERROR(I264/H264*100,0)</f>
        <v>0</v>
      </c>
    </row>
    <row r="265" spans="10:10">
      <c r="J265" s="2">
        <f>IFERROR(I265/H265*100,0)</f>
        <v>0</v>
      </c>
    </row>
    <row r="266" spans="10:10">
      <c r="J266" s="2">
        <f>IFERROR(I266/H266*100,0)</f>
        <v>0</v>
      </c>
    </row>
    <row r="267" spans="10:10">
      <c r="J267" s="2">
        <f>IFERROR(I267/H267*100,0)</f>
        <v>0</v>
      </c>
    </row>
    <row r="268" spans="10:10">
      <c r="J268" s="2">
        <f>IFERROR(I268/H268*100,0)</f>
        <v>0</v>
      </c>
    </row>
    <row r="269" spans="10:10">
      <c r="J269" s="2">
        <f>IFERROR(I269/H269*100,0)</f>
        <v>0</v>
      </c>
    </row>
    <row r="270" spans="10:10">
      <c r="J270" s="2">
        <f>IFERROR(I270/H270*100,0)</f>
        <v>0</v>
      </c>
    </row>
    <row r="271" spans="10:10">
      <c r="J271" s="2">
        <f>IFERROR(I271/H271*100,0)</f>
        <v>0</v>
      </c>
    </row>
    <row r="272" spans="10:10">
      <c r="J272" s="2">
        <f>IFERROR(I272/H272*100,0)</f>
        <v>0</v>
      </c>
    </row>
    <row r="273" spans="10:10">
      <c r="J273" s="2">
        <f>IFERROR(I273/H273*100,0)</f>
        <v>0</v>
      </c>
    </row>
    <row r="274" spans="10:10">
      <c r="J274" s="2">
        <f>IFERROR(I274/H274*100,0)</f>
        <v>0</v>
      </c>
    </row>
    <row r="275" spans="10:10">
      <c r="J275" s="2">
        <f>IFERROR(I275/H275*100,0)</f>
        <v>0</v>
      </c>
    </row>
    <row r="276" spans="10:10">
      <c r="J276" s="2">
        <f>IFERROR(I276/H276*100,0)</f>
        <v>0</v>
      </c>
    </row>
    <row r="277" spans="10:10">
      <c r="J277" s="2">
        <f>IFERROR(I277/H277*100,0)</f>
        <v>0</v>
      </c>
    </row>
    <row r="278" spans="10:10">
      <c r="J278" s="2">
        <f>IFERROR(I278/H278*100,0)</f>
        <v>0</v>
      </c>
    </row>
    <row r="279" spans="10:10">
      <c r="J279" s="2">
        <f>IFERROR(I279/H279*100,0)</f>
        <v>0</v>
      </c>
    </row>
    <row r="280" spans="10:10">
      <c r="J280" s="2">
        <f>IFERROR(I280/H280*100,0)</f>
        <v>0</v>
      </c>
    </row>
    <row r="281" spans="10:10">
      <c r="J281" s="2">
        <f>IFERROR(I281/H281*100,0)</f>
        <v>0</v>
      </c>
    </row>
    <row r="282" spans="10:10">
      <c r="J282" s="2">
        <f>IFERROR(I282/H282*100,0)</f>
        <v>0</v>
      </c>
    </row>
    <row r="283" spans="10:10">
      <c r="J283" s="2">
        <f>IFERROR(I283/H283*100,0)</f>
        <v>0</v>
      </c>
    </row>
    <row r="284" spans="10:10">
      <c r="J284" s="2">
        <f>IFERROR(I284/H284*100,0)</f>
        <v>0</v>
      </c>
    </row>
    <row r="285" spans="10:10">
      <c r="J285" s="2">
        <f>IFERROR(I285/H285*100,0)</f>
        <v>0</v>
      </c>
    </row>
    <row r="286" spans="10:10">
      <c r="J286" s="2">
        <f>IFERROR(I286/H286*100,0)</f>
        <v>0</v>
      </c>
    </row>
    <row r="287" spans="10:10">
      <c r="J287" s="2">
        <f>IFERROR(I287/H287*100,0)</f>
        <v>0</v>
      </c>
    </row>
    <row r="288" spans="10:10">
      <c r="J288" s="2">
        <f>IFERROR(I288/H288*100,0)</f>
        <v>0</v>
      </c>
    </row>
    <row r="289" spans="10:10">
      <c r="J289" s="2">
        <f>IFERROR(I289/H289*100,0)</f>
        <v>0</v>
      </c>
    </row>
    <row r="290" spans="10:10">
      <c r="J290" s="2">
        <f>IFERROR(I290/H290*100,0)</f>
        <v>0</v>
      </c>
    </row>
    <row r="291" spans="10:10">
      <c r="J291" s="2">
        <f>IFERROR(I291/H291*100,0)</f>
        <v>0</v>
      </c>
    </row>
    <row r="292" spans="10:10">
      <c r="J292" s="2">
        <f>IFERROR(I292/H292*100,0)</f>
        <v>0</v>
      </c>
    </row>
    <row r="293" spans="10:10">
      <c r="J293" s="2">
        <f>IFERROR(I293/H293*100,0)</f>
        <v>0</v>
      </c>
    </row>
    <row r="294" spans="10:10">
      <c r="J294" s="2">
        <f>IFERROR(I294/H294*100,0)</f>
        <v>0</v>
      </c>
    </row>
    <row r="295" spans="10:10">
      <c r="J295" s="2">
        <f>IFERROR(I295/H295*100,0)</f>
        <v>0</v>
      </c>
    </row>
    <row r="296" spans="10:10">
      <c r="J296" s="2">
        <f>IFERROR(I296/H296*100,0)</f>
        <v>0</v>
      </c>
    </row>
    <row r="297" spans="10:10">
      <c r="J297" s="2">
        <f>IFERROR(I297/H297*100,0)</f>
        <v>0</v>
      </c>
    </row>
    <row r="298" spans="10:10">
      <c r="J298" s="2">
        <f>IFERROR(I298/H298*100,0)</f>
        <v>0</v>
      </c>
    </row>
    <row r="299" spans="10:10">
      <c r="J299" s="2">
        <f>IFERROR(I299/H299*100,0)</f>
        <v>0</v>
      </c>
    </row>
    <row r="300" spans="10:10">
      <c r="J300" s="2">
        <f>IFERROR(I300/H300*100,0)</f>
        <v>0</v>
      </c>
    </row>
    <row r="301" spans="10:10">
      <c r="J301" s="2">
        <f>IFERROR(I301/H301*100,0)</f>
        <v>0</v>
      </c>
    </row>
    <row r="302" spans="10:10">
      <c r="J302" s="2">
        <f>IFERROR(I302/H302*100,0)</f>
        <v>0</v>
      </c>
    </row>
    <row r="303" spans="10:10">
      <c r="J303" s="2">
        <f>IFERROR(I303/H303*100,0)</f>
        <v>0</v>
      </c>
    </row>
    <row r="304" spans="10:10">
      <c r="J304" s="2">
        <f>IFERROR(I304/H304*100,0)</f>
        <v>0</v>
      </c>
    </row>
    <row r="305" spans="10:10">
      <c r="J305" s="2">
        <f>IFERROR(I305/H305*100,0)</f>
        <v>0</v>
      </c>
    </row>
    <row r="306" spans="10:10">
      <c r="J306" s="2">
        <f>IFERROR(I306/H306*100,0)</f>
        <v>0</v>
      </c>
    </row>
    <row r="307" spans="10:10">
      <c r="J307" s="2">
        <f>IFERROR(I307/H307*100,0)</f>
        <v>0</v>
      </c>
    </row>
    <row r="308" spans="10:10">
      <c r="J308" s="2">
        <f>IFERROR(I308/H308*100,0)</f>
        <v>0</v>
      </c>
    </row>
    <row r="309" spans="10:10">
      <c r="J309" s="2">
        <f>IFERROR(I309/H309*100,0)</f>
        <v>0</v>
      </c>
    </row>
    <row r="310" spans="10:10">
      <c r="J310" s="2">
        <f>IFERROR(I310/H310*100,0)</f>
        <v>0</v>
      </c>
    </row>
    <row r="311" spans="10:10">
      <c r="J311" s="2">
        <f>IFERROR(I311/H311*100,0)</f>
        <v>0</v>
      </c>
    </row>
    <row r="312" spans="10:10">
      <c r="J312" s="2">
        <f>IFERROR(I312/H312*100,0)</f>
        <v>0</v>
      </c>
    </row>
    <row r="313" spans="10:10">
      <c r="J313" s="2">
        <f>IFERROR(I313/H313*100,0)</f>
        <v>0</v>
      </c>
    </row>
    <row r="314" spans="10:10">
      <c r="J314" s="2">
        <f>IFERROR(I314/H314*100,0)</f>
        <v>0</v>
      </c>
    </row>
    <row r="315" spans="10:10">
      <c r="J315" s="2">
        <f>IFERROR(I315/H315*100,0)</f>
        <v>0</v>
      </c>
    </row>
    <row r="316" spans="10:10">
      <c r="J316" s="2">
        <f>IFERROR(I316/H316*100,0)</f>
        <v>0</v>
      </c>
    </row>
    <row r="317" spans="10:10">
      <c r="J317" s="2">
        <f>IFERROR(I317/H317*100,0)</f>
        <v>0</v>
      </c>
    </row>
    <row r="318" spans="10:10">
      <c r="J318" s="2">
        <f>IFERROR(I318/H318*100,0)</f>
        <v>0</v>
      </c>
    </row>
    <row r="319" spans="10:10">
      <c r="J319" s="2">
        <f>IFERROR(I319/H319*100,0)</f>
        <v>0</v>
      </c>
    </row>
    <row r="320" spans="10:10">
      <c r="J320" s="2">
        <f>IFERROR(I320/H320*100,0)</f>
        <v>0</v>
      </c>
    </row>
    <row r="321" spans="10:10">
      <c r="J321" s="2">
        <f>IFERROR(I321/H321*100,0)</f>
        <v>0</v>
      </c>
    </row>
    <row r="322" spans="10:10">
      <c r="J322" s="2">
        <f>IFERROR(I322/H322*100,0)</f>
        <v>0</v>
      </c>
    </row>
    <row r="323" spans="10:10">
      <c r="J323" s="2">
        <f>IFERROR(I323/H323*100,0)</f>
        <v>0</v>
      </c>
    </row>
    <row r="324" spans="10:10">
      <c r="J324" s="2">
        <f>IFERROR(I324/H324*100,0)</f>
        <v>0</v>
      </c>
    </row>
    <row r="325" spans="10:10">
      <c r="J325" s="2">
        <f>IFERROR(I325/H325*100,0)</f>
        <v>0</v>
      </c>
    </row>
    <row r="326" spans="10:10">
      <c r="J326" s="2">
        <f>IFERROR(I326/H326*100,0)</f>
        <v>0</v>
      </c>
    </row>
    <row r="327" spans="10:10">
      <c r="J327" s="2">
        <f>IFERROR(I327/H327*100,0)</f>
        <v>0</v>
      </c>
    </row>
    <row r="328" spans="10:10">
      <c r="J328" s="2">
        <f>IFERROR(I328/H328*100,0)</f>
        <v>0</v>
      </c>
    </row>
    <row r="329" spans="10:10">
      <c r="J329" s="2">
        <f>IFERROR(I329/H329*100,0)</f>
        <v>0</v>
      </c>
    </row>
    <row r="330" spans="10:10">
      <c r="J330" s="2">
        <f>IFERROR(I330/H330*100,0)</f>
        <v>0</v>
      </c>
    </row>
    <row r="331" spans="10:10">
      <c r="J331" s="2">
        <f>IFERROR(I331/H331*100,0)</f>
        <v>0</v>
      </c>
    </row>
    <row r="332" spans="10:10">
      <c r="J332" s="2">
        <f>IFERROR(I332/H332*100,0)</f>
        <v>0</v>
      </c>
    </row>
    <row r="333" spans="10:10">
      <c r="J333" s="2">
        <f>IFERROR(I333/H333*100,0)</f>
        <v>0</v>
      </c>
    </row>
    <row r="334" spans="10:10">
      <c r="J334" s="2">
        <f>IFERROR(I334/H334*100,0)</f>
        <v>0</v>
      </c>
    </row>
    <row r="335" spans="10:10">
      <c r="J335" s="2">
        <f>IFERROR(I335/H335*100,0)</f>
        <v>0</v>
      </c>
    </row>
    <row r="336" spans="10:10">
      <c r="J336" s="2">
        <f>IFERROR(I336/H336*100,0)</f>
        <v>0</v>
      </c>
    </row>
    <row r="337" spans="10:10">
      <c r="J337" s="2">
        <f>IFERROR(I337/H337*100,0)</f>
        <v>0</v>
      </c>
    </row>
    <row r="338" spans="10:10">
      <c r="J338" s="2">
        <f>IFERROR(I338/H338*100,0)</f>
        <v>0</v>
      </c>
    </row>
    <row r="339" spans="10:10">
      <c r="J339" s="2">
        <f>IFERROR(I339/H339*100,0)</f>
        <v>0</v>
      </c>
    </row>
    <row r="340" spans="10:10">
      <c r="J340" s="2">
        <f>IFERROR(I340/H340*100,0)</f>
        <v>0</v>
      </c>
    </row>
    <row r="341" spans="10:10">
      <c r="J341" s="2">
        <f>IFERROR(I341/H341*100,0)</f>
        <v>0</v>
      </c>
    </row>
    <row r="342" spans="10:10">
      <c r="J342" s="2">
        <f>IFERROR(I342/H342*100,0)</f>
        <v>0</v>
      </c>
    </row>
    <row r="343" spans="10:10">
      <c r="J343" s="2">
        <f>IFERROR(I343/H343*100,0)</f>
        <v>0</v>
      </c>
    </row>
    <row r="344" spans="10:10">
      <c r="J344" s="2">
        <f>IFERROR(I344/H344*100,0)</f>
        <v>0</v>
      </c>
    </row>
    <row r="345" spans="10:10">
      <c r="J345" s="2">
        <f>IFERROR(I345/H345*100,0)</f>
        <v>0</v>
      </c>
    </row>
    <row r="346" spans="10:10">
      <c r="J346" s="2">
        <f>IFERROR(I346/H346*100,0)</f>
        <v>0</v>
      </c>
    </row>
    <row r="347" spans="10:10">
      <c r="J347" s="2">
        <f>IFERROR(I347/H347*100,0)</f>
        <v>0</v>
      </c>
    </row>
    <row r="348" spans="10:10">
      <c r="J348" s="2">
        <f>IFERROR(I348/H348*100,0)</f>
        <v>0</v>
      </c>
    </row>
    <row r="349" spans="10:10">
      <c r="J349" s="2">
        <f>IFERROR(I349/H349*100,0)</f>
        <v>0</v>
      </c>
    </row>
    <row r="350" spans="10:10">
      <c r="J350" s="2">
        <f>IFERROR(I350/H350*100,0)</f>
        <v>0</v>
      </c>
    </row>
    <row r="351" spans="10:10">
      <c r="J351" s="2">
        <f>IFERROR(I351/H351*100,0)</f>
        <v>0</v>
      </c>
    </row>
    <row r="352" spans="10:10">
      <c r="J352" s="2">
        <f>IFERROR(I352/H352*100,0)</f>
        <v>0</v>
      </c>
    </row>
    <row r="353" spans="10:10">
      <c r="J353" s="2">
        <f>IFERROR(I353/H353*100,0)</f>
        <v>0</v>
      </c>
    </row>
    <row r="354" spans="10:10">
      <c r="J354" s="2">
        <f>IFERROR(I354/H354*100,0)</f>
        <v>0</v>
      </c>
    </row>
    <row r="355" spans="10:10">
      <c r="J355" s="2">
        <f>IFERROR(I355/H355*100,0)</f>
        <v>0</v>
      </c>
    </row>
    <row r="356" spans="10:10">
      <c r="J356" s="2">
        <f>IFERROR(I356/H356*100,0)</f>
        <v>0</v>
      </c>
    </row>
    <row r="357" spans="10:10">
      <c r="J357" s="2">
        <f>IFERROR(I357/H357*100,0)</f>
        <v>0</v>
      </c>
    </row>
    <row r="358" spans="10:10">
      <c r="J358" s="2">
        <f>IFERROR(I358/H358*100,0)</f>
        <v>0</v>
      </c>
    </row>
    <row r="359" spans="10:10">
      <c r="J359" s="2">
        <f>IFERROR(I359/H359*100,0)</f>
        <v>0</v>
      </c>
    </row>
    <row r="360" spans="10:10">
      <c r="J360" s="2">
        <f>IFERROR(I360/H360*100,0)</f>
        <v>0</v>
      </c>
    </row>
    <row r="361" spans="10:10">
      <c r="J361" s="2">
        <f>IFERROR(I361/H361*100,0)</f>
        <v>0</v>
      </c>
    </row>
    <row r="362" spans="10:10">
      <c r="J362" s="2">
        <f>IFERROR(I362/H362*100,0)</f>
        <v>0</v>
      </c>
    </row>
    <row r="363" spans="10:10">
      <c r="J363" s="2">
        <f>IFERROR(I363/H363*100,0)</f>
        <v>0</v>
      </c>
    </row>
    <row r="364" spans="10:10">
      <c r="J364" s="2">
        <f>IFERROR(I364/H364*100,0)</f>
        <v>0</v>
      </c>
    </row>
    <row r="365" spans="10:10">
      <c r="J365" s="2">
        <f>IFERROR(I365/H365*100,0)</f>
        <v>0</v>
      </c>
    </row>
    <row r="366" spans="10:10">
      <c r="J366" s="2">
        <f>IFERROR(I366/H366*100,0)</f>
        <v>0</v>
      </c>
    </row>
    <row r="367" spans="10:10">
      <c r="J367" s="2">
        <f>IFERROR(I367/H367*100,0)</f>
        <v>0</v>
      </c>
    </row>
    <row r="368" spans="10:10">
      <c r="J368" s="2">
        <f>IFERROR(I368/H368*100,0)</f>
        <v>0</v>
      </c>
    </row>
    <row r="369" spans="10:10">
      <c r="J369" s="2">
        <f>IFERROR(I369/H369*100,0)</f>
        <v>0</v>
      </c>
    </row>
    <row r="370" spans="10:10">
      <c r="J370" s="2">
        <f>IFERROR(I370/H370*100,0)</f>
        <v>0</v>
      </c>
    </row>
    <row r="371" spans="10:10">
      <c r="J371" s="2">
        <f>IFERROR(I371/H371*100,0)</f>
        <v>0</v>
      </c>
    </row>
    <row r="372" spans="10:10">
      <c r="J372" s="2">
        <f>IFERROR(I372/H372*100,0)</f>
        <v>0</v>
      </c>
    </row>
    <row r="373" spans="10:10">
      <c r="J373" s="2">
        <f>IFERROR(I373/H373*100,0)</f>
        <v>0</v>
      </c>
    </row>
    <row r="374" spans="10:10">
      <c r="J374" s="2">
        <f>IFERROR(I374/H374*100,0)</f>
        <v>0</v>
      </c>
    </row>
    <row r="375" spans="10:10">
      <c r="J375" s="2">
        <f>IFERROR(I375/H375*100,0)</f>
        <v>0</v>
      </c>
    </row>
    <row r="376" spans="10:10">
      <c r="J376" s="2">
        <f>IFERROR(I376/H376*100,0)</f>
        <v>0</v>
      </c>
    </row>
    <row r="377" spans="10:10">
      <c r="J377" s="2">
        <f>IFERROR(I377/H377*100,0)</f>
        <v>0</v>
      </c>
    </row>
    <row r="378" spans="10:10">
      <c r="J378" s="2">
        <f>IFERROR(I378/H378*100,0)</f>
        <v>0</v>
      </c>
    </row>
    <row r="379" spans="10:10">
      <c r="J379" s="2">
        <f>IFERROR(I379/H379*100,0)</f>
        <v>0</v>
      </c>
    </row>
    <row r="380" spans="10:10">
      <c r="J380" s="2">
        <f>IFERROR(I380/H380*100,0)</f>
        <v>0</v>
      </c>
    </row>
    <row r="381" spans="10:10">
      <c r="J381" s="2">
        <f>IFERROR(I381/H381*100,0)</f>
        <v>0</v>
      </c>
    </row>
    <row r="382" spans="10:10">
      <c r="J382" s="2">
        <f>IFERROR(I382/H382*100,0)</f>
        <v>0</v>
      </c>
    </row>
    <row r="383" spans="10:10">
      <c r="J383" s="2">
        <f>IFERROR(I383/H383*100,0)</f>
        <v>0</v>
      </c>
    </row>
    <row r="384" spans="10:10">
      <c r="J384" s="2">
        <f>IFERROR(I384/H384*100,0)</f>
        <v>0</v>
      </c>
    </row>
    <row r="385" spans="10:10">
      <c r="J385" s="2">
        <f>IFERROR(I385/H385*100,0)</f>
        <v>0</v>
      </c>
    </row>
    <row r="386" spans="10:10">
      <c r="J386" s="2">
        <f>IFERROR(I386/H386*100,0)</f>
        <v>0</v>
      </c>
    </row>
    <row r="387" spans="10:10">
      <c r="J387" s="2">
        <f>IFERROR(I387/H387*100,0)</f>
        <v>0</v>
      </c>
    </row>
    <row r="388" spans="10:10">
      <c r="J388" s="2">
        <f>IFERROR(I388/H388*100,0)</f>
        <v>0</v>
      </c>
    </row>
    <row r="389" spans="10:10">
      <c r="J389" s="2">
        <f>IFERROR(I389/H389*100,0)</f>
        <v>0</v>
      </c>
    </row>
    <row r="390" spans="10:10">
      <c r="J390" s="2">
        <f>IFERROR(I390/H390*100,0)</f>
        <v>0</v>
      </c>
    </row>
    <row r="391" spans="10:10">
      <c r="J391" s="2">
        <f>IFERROR(I391/H391*100,0)</f>
        <v>0</v>
      </c>
    </row>
    <row r="392" spans="10:10">
      <c r="J392" s="2">
        <f>IFERROR(I392/H392*100,0)</f>
        <v>0</v>
      </c>
    </row>
    <row r="393" spans="10:10">
      <c r="J393" s="2">
        <f>IFERROR(I393/H393*100,0)</f>
        <v>0</v>
      </c>
    </row>
    <row r="394" spans="10:10">
      <c r="J394" s="2">
        <f>IFERROR(I394/H394*100,0)</f>
        <v>0</v>
      </c>
    </row>
    <row r="395" spans="10:10">
      <c r="J395" s="2">
        <f>IFERROR(I395/H395*100,0)</f>
        <v>0</v>
      </c>
    </row>
    <row r="396" spans="10:10">
      <c r="J396" s="2">
        <f>IFERROR(I396/H396*100,0)</f>
        <v>0</v>
      </c>
    </row>
    <row r="397" spans="10:10">
      <c r="J397" s="2">
        <f>IFERROR(I397/H397*100,0)</f>
        <v>0</v>
      </c>
    </row>
    <row r="398" spans="10:10">
      <c r="J398" s="2">
        <f>IFERROR(I398/H398*100,0)</f>
        <v>0</v>
      </c>
    </row>
    <row r="399" spans="10:10">
      <c r="J399" s="2">
        <f>IFERROR(I399/H399*100,0)</f>
        <v>0</v>
      </c>
    </row>
    <row r="400" spans="10:10">
      <c r="J400" s="2">
        <f>IFERROR(I400/H400*100,0)</f>
        <v>0</v>
      </c>
    </row>
    <row r="401" spans="10:10">
      <c r="J401" s="2">
        <f>IFERROR(I401/H401*100,0)</f>
        <v>0</v>
      </c>
    </row>
    <row r="402" spans="10:10">
      <c r="J402" s="2">
        <f>IFERROR(I402/H402*100,0)</f>
        <v>0</v>
      </c>
    </row>
    <row r="403" spans="10:10">
      <c r="J403" s="2">
        <f>IFERROR(I403/H403*100,0)</f>
        <v>0</v>
      </c>
    </row>
    <row r="404" spans="10:10">
      <c r="J404" s="2">
        <f>IFERROR(I404/H404*100,0)</f>
        <v>0</v>
      </c>
    </row>
    <row r="405" spans="10:10">
      <c r="J405" s="2">
        <f>IFERROR(I405/H405*100,0)</f>
        <v>0</v>
      </c>
    </row>
    <row r="406" spans="10:10">
      <c r="J406" s="2">
        <f>IFERROR(I406/H406*100,0)</f>
        <v>0</v>
      </c>
    </row>
    <row r="407" spans="10:10">
      <c r="J407" s="2">
        <f>IFERROR(I407/H407*100,0)</f>
        <v>0</v>
      </c>
    </row>
    <row r="408" spans="10:10">
      <c r="J408" s="2">
        <f>IFERROR(I408/H408*100,0)</f>
        <v>0</v>
      </c>
    </row>
    <row r="409" spans="10:10">
      <c r="J409" s="2">
        <f>IFERROR(I409/H409*100,0)</f>
        <v>0</v>
      </c>
    </row>
    <row r="410" spans="10:10">
      <c r="J410" s="2">
        <f>IFERROR(I410/H410*100,0)</f>
        <v>0</v>
      </c>
    </row>
    <row r="411" spans="10:10">
      <c r="J411" s="2">
        <f>IFERROR(I411/H411*100,0)</f>
        <v>0</v>
      </c>
    </row>
    <row r="412" spans="10:10">
      <c r="J412" s="2">
        <f>IFERROR(I412/H412*100,0)</f>
        <v>0</v>
      </c>
    </row>
    <row r="413" spans="10:10">
      <c r="J413" s="2">
        <f>IFERROR(I413/H413*100,0)</f>
        <v>0</v>
      </c>
    </row>
    <row r="414" spans="10:10">
      <c r="J414" s="2">
        <f>IFERROR(I414/H414*100,0)</f>
        <v>0</v>
      </c>
    </row>
    <row r="415" spans="10:10">
      <c r="J415" s="2">
        <f>IFERROR(I415/H415*100,0)</f>
        <v>0</v>
      </c>
    </row>
    <row r="416" spans="10:10">
      <c r="J416" s="2">
        <f>IFERROR(I416/H416*100,0)</f>
        <v>0</v>
      </c>
    </row>
    <row r="417" spans="10:10">
      <c r="J417" s="2">
        <f>IFERROR(I417/H417*100,0)</f>
        <v>0</v>
      </c>
    </row>
    <row r="418" spans="10:10">
      <c r="J418" s="2">
        <f>IFERROR(I418/H418*100,0)</f>
        <v>0</v>
      </c>
    </row>
    <row r="419" spans="10:10">
      <c r="J419" s="2">
        <f>IFERROR(I419/H419*100,0)</f>
        <v>0</v>
      </c>
    </row>
    <row r="420" spans="10:10">
      <c r="J420" s="2">
        <f>IFERROR(I420/H420*100,0)</f>
        <v>0</v>
      </c>
    </row>
    <row r="421" spans="10:10">
      <c r="J421" s="2">
        <f>IFERROR(I421/H421*100,0)</f>
        <v>0</v>
      </c>
    </row>
    <row r="422" spans="10:10">
      <c r="J422" s="2">
        <f>IFERROR(I422/H422*100,0)</f>
        <v>0</v>
      </c>
    </row>
    <row r="423" spans="10:10">
      <c r="J423" s="2">
        <f>IFERROR(I423/H423*100,0)</f>
        <v>0</v>
      </c>
    </row>
    <row r="424" spans="10:10">
      <c r="J424" s="2">
        <f>IFERROR(I424/H424*100,0)</f>
        <v>0</v>
      </c>
    </row>
    <row r="425" spans="10:10">
      <c r="J425" s="2">
        <f>IFERROR(I425/H425*100,0)</f>
        <v>0</v>
      </c>
    </row>
    <row r="426" spans="10:10">
      <c r="J426" s="2">
        <f>IFERROR(I426/H426*100,0)</f>
        <v>0</v>
      </c>
    </row>
    <row r="427" spans="10:10">
      <c r="J427" s="2">
        <f>IFERROR(I427/H427*100,0)</f>
        <v>0</v>
      </c>
    </row>
    <row r="428" spans="10:10">
      <c r="J428" s="2">
        <f>IFERROR(I428/H428*100,0)</f>
        <v>0</v>
      </c>
    </row>
    <row r="429" spans="10:10">
      <c r="J429" s="2">
        <f>IFERROR(I429/H429*100,0)</f>
        <v>0</v>
      </c>
    </row>
    <row r="430" spans="10:10">
      <c r="J430" s="2">
        <f>IFERROR(I430/H430*100,0)</f>
        <v>0</v>
      </c>
    </row>
    <row r="431" spans="10:10">
      <c r="J431" s="2">
        <f>IFERROR(I431/H431*100,0)</f>
        <v>0</v>
      </c>
    </row>
    <row r="432" spans="10:10">
      <c r="J432" s="2">
        <f>IFERROR(I432/H432*100,0)</f>
        <v>0</v>
      </c>
    </row>
    <row r="433" spans="10:10">
      <c r="J433" s="2">
        <f>IFERROR(I433/H433*100,0)</f>
        <v>0</v>
      </c>
    </row>
    <row r="434" spans="10:10">
      <c r="J434" s="2">
        <f>IFERROR(I434/H434*100,0)</f>
        <v>0</v>
      </c>
    </row>
    <row r="435" spans="10:10">
      <c r="J435" s="2">
        <f>IFERROR(I435/H435*100,0)</f>
        <v>0</v>
      </c>
    </row>
    <row r="436" spans="10:10">
      <c r="J436" s="2">
        <f>IFERROR(I436/H436*100,0)</f>
        <v>0</v>
      </c>
    </row>
    <row r="437" spans="10:10">
      <c r="J437" s="2">
        <f>IFERROR(I437/H437*100,0)</f>
        <v>0</v>
      </c>
    </row>
    <row r="438" spans="10:10">
      <c r="J438" s="2">
        <f>IFERROR(I438/H438*100,0)</f>
        <v>0</v>
      </c>
    </row>
    <row r="439" spans="10:10">
      <c r="J439" s="2">
        <f>IFERROR(I439/H439*100,0)</f>
        <v>0</v>
      </c>
    </row>
    <row r="440" spans="10:10">
      <c r="J440" s="2">
        <f>IFERROR(I440/H440*100,0)</f>
        <v>0</v>
      </c>
    </row>
    <row r="441" spans="10:10">
      <c r="J441" s="2">
        <f>IFERROR(I441/H441*100,0)</f>
        <v>0</v>
      </c>
    </row>
    <row r="442" spans="10:10">
      <c r="J442" s="2">
        <f>IFERROR(I442/H442*100,0)</f>
        <v>0</v>
      </c>
    </row>
    <row r="443" spans="10:10">
      <c r="J443" s="2">
        <f>IFERROR(I443/H443*100,0)</f>
        <v>0</v>
      </c>
    </row>
    <row r="444" spans="10:10">
      <c r="J444" s="2">
        <f>IFERROR(I444/H444*100,0)</f>
        <v>0</v>
      </c>
    </row>
    <row r="445" spans="10:10">
      <c r="J445" s="2">
        <f>IFERROR(I445/H445*100,0)</f>
        <v>0</v>
      </c>
    </row>
    <row r="446" spans="10:10">
      <c r="J446" s="2">
        <f>IFERROR(I446/H446*100,0)</f>
        <v>0</v>
      </c>
    </row>
    <row r="447" spans="10:10">
      <c r="J447" s="2">
        <f>IFERROR(I447/H447*100,0)</f>
        <v>0</v>
      </c>
    </row>
    <row r="448" spans="10:10">
      <c r="J448" s="2">
        <f>IFERROR(I448/H448*100,0)</f>
        <v>0</v>
      </c>
    </row>
    <row r="449" spans="10:10">
      <c r="J449" s="2">
        <f>IFERROR(I449/H449*100,0)</f>
        <v>0</v>
      </c>
    </row>
    <row r="450" spans="10:10">
      <c r="J450" s="2">
        <f>IFERROR(I450/H450*100,0)</f>
        <v>0</v>
      </c>
    </row>
    <row r="451" spans="10:10">
      <c r="J451" s="2">
        <f>IFERROR(I451/H451*100,0)</f>
        <v>0</v>
      </c>
    </row>
    <row r="452" spans="10:10">
      <c r="J452" s="2">
        <f>IFERROR(I452/H452*100,0)</f>
        <v>0</v>
      </c>
    </row>
    <row r="453" spans="10:10">
      <c r="J453" s="2">
        <f>IFERROR(I453/H453*100,0)</f>
        <v>0</v>
      </c>
    </row>
    <row r="454" spans="10:10">
      <c r="J454" s="2">
        <f>IFERROR(I454/H454*100,0)</f>
        <v>0</v>
      </c>
    </row>
    <row r="455" spans="10:10">
      <c r="J455" s="2">
        <f>IFERROR(I455/H455*100,0)</f>
        <v>0</v>
      </c>
    </row>
    <row r="456" spans="10:10">
      <c r="J456" s="2">
        <f>IFERROR(I456/H456*100,0)</f>
        <v>0</v>
      </c>
    </row>
    <row r="457" spans="10:10">
      <c r="J457" s="2">
        <f>IFERROR(I457/H457*100,0)</f>
        <v>0</v>
      </c>
    </row>
    <row r="458" spans="10:10">
      <c r="J458" s="2">
        <f>IFERROR(I458/H458*100,0)</f>
        <v>0</v>
      </c>
    </row>
    <row r="459" spans="10:10">
      <c r="J459" s="2">
        <f>IFERROR(I459/H459*100,0)</f>
        <v>0</v>
      </c>
    </row>
    <row r="460" spans="10:10">
      <c r="J460" s="2">
        <f>IFERROR(I460/H460*100,0)</f>
        <v>0</v>
      </c>
    </row>
    <row r="461" spans="10:10">
      <c r="J461" s="2">
        <f>IFERROR(I461/H461*100,0)</f>
        <v>0</v>
      </c>
    </row>
    <row r="462" spans="10:10">
      <c r="J462" s="2">
        <f>IFERROR(I462/H462*100,0)</f>
        <v>0</v>
      </c>
    </row>
    <row r="463" spans="10:10">
      <c r="J463" s="2">
        <f>IFERROR(I463/H463*100,0)</f>
        <v>0</v>
      </c>
    </row>
    <row r="464" spans="10:10">
      <c r="J464" s="2">
        <f>IFERROR(I464/H464*100,0)</f>
        <v>0</v>
      </c>
    </row>
    <row r="465" spans="10:10">
      <c r="J465" s="2">
        <f>IFERROR(I465/H465*100,0)</f>
        <v>0</v>
      </c>
    </row>
    <row r="466" spans="10:10">
      <c r="J466" s="2">
        <f>IFERROR(I466/H466*100,0)</f>
        <v>0</v>
      </c>
    </row>
    <row r="467" spans="10:10">
      <c r="J467" s="2">
        <f>IFERROR(I467/H467*100,0)</f>
        <v>0</v>
      </c>
    </row>
    <row r="468" spans="10:10">
      <c r="J468" s="2">
        <f>IFERROR(I468/H468*100,0)</f>
        <v>0</v>
      </c>
    </row>
    <row r="469" spans="10:10">
      <c r="J469" s="2">
        <f>IFERROR(I469/H469*100,0)</f>
        <v>0</v>
      </c>
    </row>
    <row r="470" spans="10:10">
      <c r="J470" s="2">
        <f>IFERROR(I470/H470*100,0)</f>
        <v>0</v>
      </c>
    </row>
    <row r="471" spans="10:10">
      <c r="J471" s="2">
        <f>IFERROR(I471/H471*100,0)</f>
        <v>0</v>
      </c>
    </row>
    <row r="472" spans="10:10">
      <c r="J472" s="2">
        <f>IFERROR(I472/H472*100,0)</f>
        <v>0</v>
      </c>
    </row>
    <row r="473" spans="10:10">
      <c r="J473" s="2">
        <f>IFERROR(I473/H473*100,0)</f>
        <v>0</v>
      </c>
    </row>
    <row r="474" spans="10:10">
      <c r="J474" s="2">
        <f>IFERROR(I474/H474*100,0)</f>
        <v>0</v>
      </c>
    </row>
    <row r="475" spans="10:10">
      <c r="J475" s="2">
        <f>IFERROR(I475/H475*100,0)</f>
        <v>0</v>
      </c>
    </row>
    <row r="476" spans="10:10">
      <c r="J476" s="2">
        <f>IFERROR(I476/H476*100,0)</f>
        <v>0</v>
      </c>
    </row>
    <row r="477" spans="10:10">
      <c r="J477" s="2">
        <f>IFERROR(I477/H477*100,0)</f>
        <v>0</v>
      </c>
    </row>
    <row r="478" spans="10:10">
      <c r="J478" s="2">
        <f>IFERROR(I478/H478*100,0)</f>
        <v>0</v>
      </c>
    </row>
    <row r="479" spans="10:10">
      <c r="J479" s="2">
        <f>IFERROR(I479/H479*100,0)</f>
        <v>0</v>
      </c>
    </row>
    <row r="480" spans="10:10">
      <c r="J480" s="2">
        <f>IFERROR(I480/H480*100,0)</f>
        <v>0</v>
      </c>
    </row>
    <row r="481" spans="10:10">
      <c r="J481" s="2">
        <f>IFERROR(I481/H481*100,0)</f>
        <v>0</v>
      </c>
    </row>
    <row r="482" spans="10:10">
      <c r="J482" s="2">
        <f>IFERROR(I482/H482*100,0)</f>
        <v>0</v>
      </c>
    </row>
    <row r="483" spans="10:10">
      <c r="J483" s="2">
        <f>IFERROR(I483/H483*100,0)</f>
        <v>0</v>
      </c>
    </row>
    <row r="484" spans="10:10">
      <c r="J484" s="2">
        <f>IFERROR(I484/H484*100,0)</f>
        <v>0</v>
      </c>
    </row>
    <row r="485" spans="10:10">
      <c r="J485" s="2">
        <f>IFERROR(I485/H485*100,0)</f>
        <v>0</v>
      </c>
    </row>
    <row r="486" spans="10:10">
      <c r="J486" s="2">
        <f>IFERROR(I486/H486*100,0)</f>
        <v>0</v>
      </c>
    </row>
    <row r="487" spans="10:10">
      <c r="J487" s="2">
        <f>IFERROR(I487/H487*100,0)</f>
        <v>0</v>
      </c>
    </row>
    <row r="488" spans="10:10">
      <c r="J488" s="2">
        <f>IFERROR(I488/H488*100,0)</f>
        <v>0</v>
      </c>
    </row>
    <row r="489" spans="10:10">
      <c r="J489" s="2">
        <f>IFERROR(I489/H489*100,0)</f>
        <v>0</v>
      </c>
    </row>
    <row r="490" spans="10:10">
      <c r="J490" s="2">
        <f>IFERROR(I490/H490*100,0)</f>
        <v>0</v>
      </c>
    </row>
    <row r="491" spans="10:10">
      <c r="J491" s="2">
        <f>IFERROR(I491/H491*100,0)</f>
        <v>0</v>
      </c>
    </row>
    <row r="492" spans="10:10">
      <c r="J492" s="2">
        <f>IFERROR(I492/H492*100,0)</f>
        <v>0</v>
      </c>
    </row>
    <row r="493" spans="10:10">
      <c r="J493" s="2">
        <f>IFERROR(I493/H493*100,0)</f>
        <v>0</v>
      </c>
    </row>
    <row r="494" spans="10:10">
      <c r="J494" s="2">
        <f>IFERROR(I494/H494*100,0)</f>
        <v>0</v>
      </c>
    </row>
    <row r="495" spans="10:10">
      <c r="J495" s="2">
        <f>IFERROR(I495/H495*100,0)</f>
        <v>0</v>
      </c>
    </row>
    <row r="496" spans="10:10">
      <c r="J496" s="2">
        <f>IFERROR(I496/H496*100,0)</f>
        <v>0</v>
      </c>
    </row>
    <row r="497" spans="10:10">
      <c r="J497" s="2">
        <f>IFERROR(I497/H497*100,0)</f>
        <v>0</v>
      </c>
    </row>
    <row r="498" spans="10:10">
      <c r="J498" s="2">
        <f>IFERROR(I498/H498*100,0)</f>
        <v>0</v>
      </c>
    </row>
    <row r="499" spans="10:10">
      <c r="J499" s="2">
        <f>IFERROR(I499/H499*100,0)</f>
        <v>0</v>
      </c>
    </row>
    <row r="500" spans="10:10">
      <c r="J500" s="2">
        <f>IFERROR(I500/H500*100,0)</f>
        <v>0</v>
      </c>
    </row>
    <row r="501" spans="10:10">
      <c r="J501" s="2">
        <f>IFERROR(I501/H501*100,0)</f>
        <v>0</v>
      </c>
    </row>
    <row r="502" spans="10:10">
      <c r="J502" s="2">
        <f>IFERROR(I502/H502*100,0)</f>
        <v>0</v>
      </c>
    </row>
    <row r="503" spans="10:10">
      <c r="J503" s="2">
        <f>IFERROR(I503/H503*100,0)</f>
        <v>0</v>
      </c>
    </row>
    <row r="504" spans="10:10">
      <c r="J504" s="2">
        <f>IFERROR(I504/H504*100,0)</f>
        <v>0</v>
      </c>
    </row>
    <row r="505" spans="10:10">
      <c r="J505" s="2">
        <f>IFERROR(I505/H505*100,0)</f>
        <v>0</v>
      </c>
    </row>
    <row r="506" spans="10:10">
      <c r="J506" s="2">
        <f>IFERROR(I506/H506*100,0)</f>
        <v>0</v>
      </c>
    </row>
    <row r="507" spans="10:10">
      <c r="J507" s="2">
        <f>IFERROR(I507/H507*100,0)</f>
        <v>0</v>
      </c>
    </row>
    <row r="508" spans="10:10">
      <c r="J508" s="2">
        <f>IFERROR(I508/H508*100,0)</f>
        <v>0</v>
      </c>
    </row>
    <row r="509" spans="10:10">
      <c r="J509" s="2">
        <f>IFERROR(I509/H509*100,0)</f>
        <v>0</v>
      </c>
    </row>
    <row r="510" spans="10:10">
      <c r="J510" s="2">
        <f>IFERROR(I510/H510*100,0)</f>
        <v>0</v>
      </c>
    </row>
    <row r="511" spans="10:10">
      <c r="J511" s="2">
        <f>IFERROR(I511/H511*100,0)</f>
        <v>0</v>
      </c>
    </row>
    <row r="512" spans="10:10">
      <c r="J512" s="2">
        <f>IFERROR(I512/H512*100,0)</f>
        <v>0</v>
      </c>
    </row>
    <row r="513" spans="10:10">
      <c r="J513" s="2">
        <f>IFERROR(I513/H513*100,0)</f>
        <v>0</v>
      </c>
    </row>
    <row r="514" spans="10:10">
      <c r="J514" s="2">
        <f>IFERROR(I514/H514*100,0)</f>
        <v>0</v>
      </c>
    </row>
    <row r="515" spans="10:10">
      <c r="J515" s="2">
        <f>IFERROR(I515/H515*100,0)</f>
        <v>0</v>
      </c>
    </row>
    <row r="516" spans="10:10">
      <c r="J516" s="2">
        <f>IFERROR(I516/H516*100,0)</f>
        <v>0</v>
      </c>
    </row>
    <row r="517" spans="10:10">
      <c r="J517" s="2">
        <f>IFERROR(I517/H517*100,0)</f>
        <v>0</v>
      </c>
    </row>
    <row r="518" spans="10:10">
      <c r="J518" s="2">
        <f>IFERROR(I518/H518*100,0)</f>
        <v>0</v>
      </c>
    </row>
    <row r="519" spans="10:10">
      <c r="J519" s="2">
        <f>IFERROR(I519/H519*100,0)</f>
        <v>0</v>
      </c>
    </row>
    <row r="520" spans="10:10">
      <c r="J520" s="2">
        <f>IFERROR(I520/H520*100,0)</f>
        <v>0</v>
      </c>
    </row>
    <row r="521" spans="10:10">
      <c r="J521" s="2">
        <f>IFERROR(I521/H521*100,0)</f>
        <v>0</v>
      </c>
    </row>
    <row r="522" spans="10:10">
      <c r="J522" s="2">
        <f>IFERROR(I522/H522*100,0)</f>
        <v>0</v>
      </c>
    </row>
    <row r="523" spans="10:10">
      <c r="J523" s="2">
        <f>IFERROR(I523/H523*100,0)</f>
        <v>0</v>
      </c>
    </row>
    <row r="524" spans="10:10">
      <c r="J524" s="2">
        <f>IFERROR(I524/H524*100,0)</f>
        <v>0</v>
      </c>
    </row>
    <row r="525" spans="10:10">
      <c r="J525" s="2">
        <f>IFERROR(I525/H525*100,0)</f>
        <v>0</v>
      </c>
    </row>
    <row r="526" spans="10:10">
      <c r="J526" s="2">
        <f>IFERROR(I526/H526*100,0)</f>
        <v>0</v>
      </c>
    </row>
    <row r="527" spans="10:10">
      <c r="J527" s="2">
        <f>IFERROR(I527/H527*100,0)</f>
        <v>0</v>
      </c>
    </row>
    <row r="528" spans="10:10">
      <c r="J528" s="2">
        <f>IFERROR(I528/H528*100,0)</f>
        <v>0</v>
      </c>
    </row>
    <row r="529" spans="10:10">
      <c r="J529" s="2">
        <f>IFERROR(I529/H529*100,0)</f>
        <v>0</v>
      </c>
    </row>
    <row r="530" spans="10:10">
      <c r="J530" s="2">
        <f>IFERROR(I530/H530*100,0)</f>
        <v>0</v>
      </c>
    </row>
    <row r="531" spans="10:10">
      <c r="J531" s="2">
        <f>IFERROR(I531/H531*100,0)</f>
        <v>0</v>
      </c>
    </row>
    <row r="532" spans="10:10">
      <c r="J532" s="2">
        <f>IFERROR(I532/H532*100,0)</f>
        <v>0</v>
      </c>
    </row>
    <row r="533" spans="10:10">
      <c r="J533" s="2">
        <f>IFERROR(I533/H533*100,0)</f>
        <v>0</v>
      </c>
    </row>
    <row r="534" spans="10:10">
      <c r="J534" s="2">
        <f>IFERROR(I534/H534*100,0)</f>
        <v>0</v>
      </c>
    </row>
    <row r="535" spans="10:10">
      <c r="J535" s="2">
        <f>IFERROR(I535/H535*100,0)</f>
        <v>0</v>
      </c>
    </row>
    <row r="536" spans="10:10">
      <c r="J536" s="2">
        <f>IFERROR(I536/H536*100,0)</f>
        <v>0</v>
      </c>
    </row>
    <row r="537" spans="10:10">
      <c r="J537" s="2">
        <f>IFERROR(I537/H537*100,0)</f>
        <v>0</v>
      </c>
    </row>
    <row r="538" spans="10:10">
      <c r="J538" s="2">
        <f>IFERROR(I538/H538*100,0)</f>
        <v>0</v>
      </c>
    </row>
    <row r="539" spans="10:10">
      <c r="J539" s="2">
        <f>IFERROR(I539/H539*100,0)</f>
        <v>0</v>
      </c>
    </row>
    <row r="540" spans="10:10">
      <c r="J540" s="2">
        <f>IFERROR(I540/H540*100,0)</f>
        <v>0</v>
      </c>
    </row>
    <row r="541" spans="10:10">
      <c r="J541" s="2">
        <f>IFERROR(I541/H541*100,0)</f>
        <v>0</v>
      </c>
    </row>
    <row r="542" spans="10:10">
      <c r="J542" s="2">
        <f>IFERROR(I542/H542*100,0)</f>
        <v>0</v>
      </c>
    </row>
    <row r="543" spans="10:10">
      <c r="J543" s="2">
        <f>IFERROR(I543/H543*100,0)</f>
        <v>0</v>
      </c>
    </row>
    <row r="544" spans="10:10">
      <c r="J544" s="2">
        <f>IFERROR(I544/H544*100,0)</f>
        <v>0</v>
      </c>
    </row>
    <row r="545" spans="10:10">
      <c r="J545" s="2">
        <f>IFERROR(I545/H545*100,0)</f>
        <v>0</v>
      </c>
    </row>
    <row r="546" spans="10:10">
      <c r="J546" s="2">
        <f>IFERROR(I546/H546*100,0)</f>
        <v>0</v>
      </c>
    </row>
    <row r="547" spans="10:10">
      <c r="J547" s="2">
        <f>IFERROR(I547/H547*100,0)</f>
        <v>0</v>
      </c>
    </row>
    <row r="548" spans="10:10">
      <c r="J548" s="2">
        <f>IFERROR(I548/H548*100,0)</f>
        <v>0</v>
      </c>
    </row>
    <row r="549" spans="10:10">
      <c r="J549" s="2">
        <f>IFERROR(I549/H549*100,0)</f>
        <v>0</v>
      </c>
    </row>
    <row r="550" spans="10:10">
      <c r="J550" s="2">
        <f>IFERROR(I550/H550*100,0)</f>
        <v>0</v>
      </c>
    </row>
    <row r="551" spans="10:10">
      <c r="J551" s="2">
        <f>IFERROR(I551/H551*100,0)</f>
        <v>0</v>
      </c>
    </row>
    <row r="552" spans="10:10">
      <c r="J552" s="2">
        <f>IFERROR(I552/H552*100,0)</f>
        <v>0</v>
      </c>
    </row>
    <row r="553" spans="10:10">
      <c r="J553" s="2">
        <f>IFERROR(I553/H553*100,0)</f>
        <v>0</v>
      </c>
    </row>
    <row r="554" spans="10:10">
      <c r="J554" s="2">
        <f>IFERROR(I554/H554*100,0)</f>
        <v>0</v>
      </c>
    </row>
    <row r="555" spans="10:10">
      <c r="J555" s="2">
        <f>IFERROR(I555/H555*100,0)</f>
        <v>0</v>
      </c>
    </row>
    <row r="556" spans="10:10">
      <c r="J556" s="2">
        <f>IFERROR(I556/H556*100,0)</f>
        <v>0</v>
      </c>
    </row>
    <row r="557" spans="10:10">
      <c r="J557" s="2">
        <f>IFERROR(I557/H557*100,0)</f>
        <v>0</v>
      </c>
    </row>
    <row r="558" spans="10:10">
      <c r="J558" s="2">
        <f>IFERROR(I558/H558*100,0)</f>
        <v>0</v>
      </c>
    </row>
    <row r="559" spans="10:10">
      <c r="J559" s="2">
        <f>IFERROR(I559/H559*100,0)</f>
        <v>0</v>
      </c>
    </row>
    <row r="560" spans="10:10">
      <c r="J560" s="2">
        <f>IFERROR(I560/H560*100,0)</f>
        <v>0</v>
      </c>
    </row>
    <row r="561" spans="10:10">
      <c r="J561" s="2">
        <f>IFERROR(I561/H561*100,0)</f>
        <v>0</v>
      </c>
    </row>
    <row r="562" spans="10:10">
      <c r="J562" s="2">
        <f>IFERROR(I562/H562*100,0)</f>
        <v>0</v>
      </c>
    </row>
    <row r="563" spans="10:10">
      <c r="J563" s="2">
        <f>IFERROR(I563/H563*100,0)</f>
        <v>0</v>
      </c>
    </row>
    <row r="564" spans="10:10">
      <c r="J564" s="2">
        <f>IFERROR(I564/H564*100,0)</f>
        <v>0</v>
      </c>
    </row>
    <row r="565" spans="10:10">
      <c r="J565" s="2">
        <f>IFERROR(I565/H565*100,0)</f>
        <v>0</v>
      </c>
    </row>
    <row r="566" spans="10:10">
      <c r="J566" s="2">
        <f>IFERROR(I566/H566*100,0)</f>
        <v>0</v>
      </c>
    </row>
    <row r="567" spans="10:10">
      <c r="J567" s="2">
        <f>IFERROR(I567/H567*100,0)</f>
        <v>0</v>
      </c>
    </row>
    <row r="568" spans="10:10">
      <c r="J568" s="2">
        <f>IFERROR(I568/H568*100,0)</f>
        <v>0</v>
      </c>
    </row>
    <row r="569" spans="10:10">
      <c r="J569" s="2">
        <f>IFERROR(I569/H569*100,0)</f>
        <v>0</v>
      </c>
    </row>
    <row r="570" spans="10:10">
      <c r="J570" s="2">
        <f>IFERROR(I570/H570*100,0)</f>
        <v>0</v>
      </c>
    </row>
    <row r="571" spans="10:10">
      <c r="J571" s="2">
        <f>IFERROR(I571/H571*100,0)</f>
        <v>0</v>
      </c>
    </row>
    <row r="572" spans="10:10">
      <c r="J572" s="2">
        <f>IFERROR(I572/H572*100,0)</f>
        <v>0</v>
      </c>
    </row>
    <row r="573" spans="10:10">
      <c r="J573" s="2">
        <f>IFERROR(I573/H573*100,0)</f>
        <v>0</v>
      </c>
    </row>
    <row r="574" spans="10:10">
      <c r="J574" s="2">
        <f>IFERROR(I574/H574*100,0)</f>
        <v>0</v>
      </c>
    </row>
    <row r="575" spans="10:10">
      <c r="J575" s="2">
        <f>IFERROR(I575/H575*100,0)</f>
        <v>0</v>
      </c>
    </row>
    <row r="576" spans="10:10">
      <c r="J576" s="2">
        <f>IFERROR(I576/H576*100,0)</f>
        <v>0</v>
      </c>
    </row>
    <row r="577" spans="10:10">
      <c r="J577" s="2">
        <f>IFERROR(I577/H577*100,0)</f>
        <v>0</v>
      </c>
    </row>
    <row r="578" spans="10:10">
      <c r="J578" s="2">
        <f>IFERROR(I578/H578*100,0)</f>
        <v>0</v>
      </c>
    </row>
    <row r="579" spans="10:10">
      <c r="J579" s="2">
        <f>IFERROR(I579/H579*100,0)</f>
        <v>0</v>
      </c>
    </row>
    <row r="580" spans="10:10">
      <c r="J580" s="2">
        <f>IFERROR(I580/H580*100,0)</f>
        <v>0</v>
      </c>
    </row>
    <row r="581" spans="10:10">
      <c r="J581" s="2">
        <f>IFERROR(I581/H581*100,0)</f>
        <v>0</v>
      </c>
    </row>
    <row r="582" spans="10:10">
      <c r="J582" s="2">
        <f>IFERROR(I582/H582*100,0)</f>
        <v>0</v>
      </c>
    </row>
    <row r="583" spans="10:10">
      <c r="J583" s="2">
        <f>IFERROR(I583/H583*100,0)</f>
        <v>0</v>
      </c>
    </row>
    <row r="584" spans="10:10">
      <c r="J584" s="2">
        <f>IFERROR(I584/H584*100,0)</f>
        <v>0</v>
      </c>
    </row>
    <row r="585" spans="10:10">
      <c r="J585" s="2">
        <f>IFERROR(I585/H585*100,0)</f>
        <v>0</v>
      </c>
    </row>
    <row r="586" spans="10:10">
      <c r="J586" s="2">
        <f>IFERROR(I586/H586*100,0)</f>
        <v>0</v>
      </c>
    </row>
    <row r="587" spans="10:10">
      <c r="J587" s="2">
        <f>IFERROR(I587/H587*100,0)</f>
        <v>0</v>
      </c>
    </row>
    <row r="588" spans="10:10">
      <c r="J588" s="2">
        <f>IFERROR(I588/H588*100,0)</f>
        <v>0</v>
      </c>
    </row>
    <row r="589" spans="10:10">
      <c r="J589" s="2">
        <f>IFERROR(I589/H589*100,0)</f>
        <v>0</v>
      </c>
    </row>
    <row r="590" spans="10:10">
      <c r="J590" s="2">
        <f>IFERROR(I590/H590*100,0)</f>
        <v>0</v>
      </c>
    </row>
    <row r="591" spans="10:10">
      <c r="J591" s="2">
        <f>IFERROR(I591/H591*100,0)</f>
        <v>0</v>
      </c>
    </row>
    <row r="592" spans="10:10">
      <c r="J592" s="2">
        <f>IFERROR(I592/H592*100,0)</f>
        <v>0</v>
      </c>
    </row>
    <row r="593" spans="10:10">
      <c r="J593" s="2">
        <f>IFERROR(I593/H593*100,0)</f>
        <v>0</v>
      </c>
    </row>
    <row r="594" spans="10:10">
      <c r="J594" s="2">
        <f>IFERROR(I594/H594*100,0)</f>
        <v>0</v>
      </c>
    </row>
    <row r="595" spans="10:10">
      <c r="J595" s="2">
        <f>IFERROR(I595/H595*100,0)</f>
        <v>0</v>
      </c>
    </row>
    <row r="596" spans="10:10">
      <c r="J596" s="2">
        <f>IFERROR(I596/H596*100,0)</f>
        <v>0</v>
      </c>
    </row>
    <row r="597" spans="10:10">
      <c r="J597" s="2">
        <f>IFERROR(I597/H597*100,0)</f>
        <v>0</v>
      </c>
    </row>
    <row r="598" spans="10:10">
      <c r="J598" s="2">
        <f>IFERROR(I598/H598*100,0)</f>
        <v>0</v>
      </c>
    </row>
    <row r="599" spans="10:10">
      <c r="J599" s="2">
        <f>IFERROR(I599/H599*100,0)</f>
        <v>0</v>
      </c>
    </row>
    <row r="600" spans="10:10">
      <c r="J600" s="2">
        <f>IFERROR(I600/H600*100,0)</f>
        <v>0</v>
      </c>
    </row>
    <row r="601" spans="10:10">
      <c r="J601" s="2">
        <f>IFERROR(I601/H601*100,0)</f>
        <v>0</v>
      </c>
    </row>
    <row r="602" spans="10:10">
      <c r="J602" s="2">
        <f>IFERROR(I602/H602*100,0)</f>
        <v>0</v>
      </c>
    </row>
    <row r="603" spans="10:10">
      <c r="J603" s="2">
        <f>IFERROR(I603/H603*100,0)</f>
        <v>0</v>
      </c>
    </row>
    <row r="604" spans="10:10">
      <c r="J604" s="2">
        <f>IFERROR(I604/H604*100,0)</f>
        <v>0</v>
      </c>
    </row>
    <row r="605" spans="10:10">
      <c r="J605" s="2">
        <f>IFERROR(I605/H605*100,0)</f>
        <v>0</v>
      </c>
    </row>
    <row r="606" spans="10:10">
      <c r="J606" s="2">
        <f>IFERROR(I606/H606*100,0)</f>
        <v>0</v>
      </c>
    </row>
    <row r="607" spans="10:10">
      <c r="J607" s="2">
        <f>IFERROR(I607/H607*100,0)</f>
        <v>0</v>
      </c>
    </row>
    <row r="608" spans="10:10">
      <c r="J608" s="2">
        <f>IFERROR(I608/H608*100,0)</f>
        <v>0</v>
      </c>
    </row>
    <row r="609" spans="10:10">
      <c r="J609" s="2">
        <f>IFERROR(I609/H609*100,0)</f>
        <v>0</v>
      </c>
    </row>
    <row r="610" spans="10:10">
      <c r="J610" s="2">
        <f>IFERROR(I610/H610*100,0)</f>
        <v>0</v>
      </c>
    </row>
    <row r="611" spans="10:10">
      <c r="J611" s="2">
        <f>IFERROR(I611/H611*100,0)</f>
        <v>0</v>
      </c>
    </row>
    <row r="612" spans="10:10">
      <c r="J612" s="2">
        <f>IFERROR(I612/H612*100,0)</f>
        <v>0</v>
      </c>
    </row>
    <row r="613" spans="10:10">
      <c r="J613" s="2">
        <f>IFERROR(I613/H613*100,0)</f>
        <v>0</v>
      </c>
    </row>
    <row r="614" spans="10:10">
      <c r="J614" s="2">
        <f>IFERROR(I614/H614*100,0)</f>
        <v>0</v>
      </c>
    </row>
    <row r="615" spans="10:10">
      <c r="J615" s="2">
        <f>IFERROR(I615/H615*100,0)</f>
        <v>0</v>
      </c>
    </row>
    <row r="616" spans="10:10">
      <c r="J616" s="2">
        <f>IFERROR(I616/H616*100,0)</f>
        <v>0</v>
      </c>
    </row>
    <row r="617" spans="10:10">
      <c r="J617" s="2">
        <f>IFERROR(I617/H617*100,0)</f>
        <v>0</v>
      </c>
    </row>
    <row r="618" spans="10:10">
      <c r="J618" s="2">
        <f>IFERROR(I618/H618*100,0)</f>
        <v>0</v>
      </c>
    </row>
    <row r="619" spans="10:10">
      <c r="J619" s="2">
        <f>IFERROR(I619/H619*100,0)</f>
        <v>0</v>
      </c>
    </row>
    <row r="620" spans="10:10">
      <c r="J620" s="2">
        <f>IFERROR(I620/H620*100,0)</f>
        <v>0</v>
      </c>
    </row>
    <row r="621" spans="10:10">
      <c r="J621" s="2">
        <f>IFERROR(I621/H621*100,0)</f>
        <v>0</v>
      </c>
    </row>
    <row r="622" spans="10:10">
      <c r="J622" s="2">
        <f>IFERROR(I622/H622*100,0)</f>
        <v>0</v>
      </c>
    </row>
    <row r="623" spans="10:10">
      <c r="J623" s="2">
        <f>IFERROR(I623/H623*100,0)</f>
        <v>0</v>
      </c>
    </row>
    <row r="624" spans="10:10">
      <c r="J624" s="2">
        <f>IFERROR(I624/H624*100,0)</f>
        <v>0</v>
      </c>
    </row>
    <row r="625" spans="10:10">
      <c r="J625" s="2">
        <f>IFERROR(I625/H625*100,0)</f>
        <v>0</v>
      </c>
    </row>
    <row r="626" spans="10:10">
      <c r="J626" s="2">
        <f>IFERROR(I626/H626*100,0)</f>
        <v>0</v>
      </c>
    </row>
    <row r="627" spans="10:10">
      <c r="J627" s="2">
        <f>IFERROR(I627/H627*100,0)</f>
        <v>0</v>
      </c>
    </row>
    <row r="628" spans="10:10">
      <c r="J628" s="2">
        <f>IFERROR(I628/H628*100,0)</f>
        <v>0</v>
      </c>
    </row>
    <row r="629" spans="10:10">
      <c r="J629" s="2">
        <f>IFERROR(I629/H629*100,0)</f>
        <v>0</v>
      </c>
    </row>
    <row r="630" spans="10:10">
      <c r="J630" s="2">
        <f>IFERROR(I630/H630*100,0)</f>
        <v>0</v>
      </c>
    </row>
    <row r="631" spans="10:10">
      <c r="J631" s="2">
        <f>IFERROR(I631/H631*100,0)</f>
        <v>0</v>
      </c>
    </row>
    <row r="632" spans="10:10">
      <c r="J632" s="2">
        <f>IFERROR(I632/H632*100,0)</f>
        <v>0</v>
      </c>
    </row>
    <row r="633" spans="10:10">
      <c r="J633" s="2">
        <f>IFERROR(I633/H633*100,0)</f>
        <v>0</v>
      </c>
    </row>
    <row r="634" spans="10:10">
      <c r="J634" s="2">
        <f>IFERROR(I634/H634*100,0)</f>
        <v>0</v>
      </c>
    </row>
    <row r="635" spans="10:10">
      <c r="J635" s="2">
        <f>IFERROR(I635/H635*100,0)</f>
        <v>0</v>
      </c>
    </row>
    <row r="636" spans="10:10">
      <c r="J636" s="2">
        <f>IFERROR(I636/H636*100,0)</f>
        <v>0</v>
      </c>
    </row>
    <row r="637" spans="10:10">
      <c r="J637" s="2">
        <f>IFERROR(I637/H637*100,0)</f>
        <v>0</v>
      </c>
    </row>
    <row r="638" spans="10:10">
      <c r="J638" s="2">
        <f>IFERROR(I638/H638*100,0)</f>
        <v>0</v>
      </c>
    </row>
    <row r="639" spans="10:10">
      <c r="J639" s="2">
        <f>IFERROR(I639/H639*100,0)</f>
        <v>0</v>
      </c>
    </row>
    <row r="640" spans="10:10">
      <c r="J640" s="2">
        <f>IFERROR(I640/H640*100,0)</f>
        <v>0</v>
      </c>
    </row>
    <row r="641" spans="10:10">
      <c r="J641" s="2">
        <f>IFERROR(I641/H641*100,0)</f>
        <v>0</v>
      </c>
    </row>
    <row r="642" spans="10:10">
      <c r="J642" s="2">
        <f>IFERROR(I642/H642*100,0)</f>
        <v>0</v>
      </c>
    </row>
    <row r="643" spans="10:10">
      <c r="J643" s="2">
        <f>IFERROR(I643/H643*100,0)</f>
        <v>0</v>
      </c>
    </row>
    <row r="644" spans="10:10">
      <c r="J644" s="2">
        <f>IFERROR(I644/H644*100,0)</f>
        <v>0</v>
      </c>
    </row>
    <row r="645" spans="10:10">
      <c r="J645" s="2">
        <f>IFERROR(I645/H645*100,0)</f>
        <v>0</v>
      </c>
    </row>
    <row r="646" spans="10:10">
      <c r="J646" s="2">
        <f>IFERROR(I646/H646*100,0)</f>
        <v>0</v>
      </c>
    </row>
    <row r="647" spans="10:10">
      <c r="J647" s="2">
        <f>IFERROR(I647/H647*100,0)</f>
        <v>0</v>
      </c>
    </row>
    <row r="648" spans="10:10">
      <c r="J648" s="2">
        <f>IFERROR(I648/H648*100,0)</f>
        <v>0</v>
      </c>
    </row>
    <row r="649" spans="10:10">
      <c r="J649" s="2">
        <f>IFERROR(I649/H649*100,0)</f>
        <v>0</v>
      </c>
    </row>
    <row r="650" spans="10:10">
      <c r="J650" s="2">
        <f>IFERROR(I650/H650*100,0)</f>
        <v>0</v>
      </c>
    </row>
    <row r="651" spans="10:10">
      <c r="J651" s="2">
        <f>IFERROR(I651/H651*100,0)</f>
        <v>0</v>
      </c>
    </row>
    <row r="652" spans="10:10">
      <c r="J652" s="2">
        <f>IFERROR(I652/H652*100,0)</f>
        <v>0</v>
      </c>
    </row>
    <row r="653" spans="10:10">
      <c r="J653" s="2">
        <f>IFERROR(I653/H653*100,0)</f>
        <v>0</v>
      </c>
    </row>
    <row r="654" spans="10:10">
      <c r="J654" s="2">
        <f>IFERROR(I654/H654*100,0)</f>
        <v>0</v>
      </c>
    </row>
    <row r="655" spans="10:10">
      <c r="J655" s="2">
        <f>IFERROR(I655/H655*100,0)</f>
        <v>0</v>
      </c>
    </row>
    <row r="656" spans="10:10">
      <c r="J656" s="2">
        <f>IFERROR(I656/H656*100,0)</f>
        <v>0</v>
      </c>
    </row>
    <row r="657" spans="10:10">
      <c r="J657" s="2">
        <f>IFERROR(I657/H657*100,0)</f>
        <v>0</v>
      </c>
    </row>
    <row r="658" spans="10:10">
      <c r="J658" s="2">
        <f>IFERROR(I658/H658*100,0)</f>
        <v>0</v>
      </c>
    </row>
    <row r="659" spans="10:10">
      <c r="J659" s="2">
        <f>IFERROR(I659/H659*100,0)</f>
        <v>0</v>
      </c>
    </row>
    <row r="660" spans="10:10">
      <c r="J660" s="2">
        <f>IFERROR(I660/H660*100,0)</f>
        <v>0</v>
      </c>
    </row>
    <row r="661" spans="10:10">
      <c r="J661" s="2">
        <f>IFERROR(I661/H661*100,0)</f>
        <v>0</v>
      </c>
    </row>
    <row r="662" spans="10:10">
      <c r="J662" s="2">
        <f>IFERROR(I662/H662*100,0)</f>
        <v>0</v>
      </c>
    </row>
    <row r="663" spans="10:10">
      <c r="J663" s="2">
        <f>IFERROR(I663/H663*100,0)</f>
        <v>0</v>
      </c>
    </row>
    <row r="664" spans="10:10">
      <c r="J664" s="2">
        <f>IFERROR(I664/H664*100,0)</f>
        <v>0</v>
      </c>
    </row>
    <row r="665" spans="10:10">
      <c r="J665" s="2">
        <f>IFERROR(I665/H665*100,0)</f>
        <v>0</v>
      </c>
    </row>
    <row r="666" spans="10:10">
      <c r="J666" s="2">
        <f>IFERROR(I666/H666*100,0)</f>
        <v>0</v>
      </c>
    </row>
    <row r="667" spans="10:10">
      <c r="J667" s="2">
        <f>IFERROR(I667/H667*100,0)</f>
        <v>0</v>
      </c>
    </row>
    <row r="668" spans="10:10">
      <c r="J668" s="2">
        <f>IFERROR(I668/H668*100,0)</f>
        <v>0</v>
      </c>
    </row>
    <row r="669" spans="10:10">
      <c r="J669" s="2">
        <f>IFERROR(I669/H669*100,0)</f>
        <v>0</v>
      </c>
    </row>
    <row r="670" spans="10:10">
      <c r="J670" s="2">
        <f>IFERROR(I670/H670*100,0)</f>
        <v>0</v>
      </c>
    </row>
    <row r="671" spans="10:10">
      <c r="J671" s="2">
        <f>IFERROR(I671/H671*100,0)</f>
        <v>0</v>
      </c>
    </row>
    <row r="672" spans="10:10">
      <c r="J672" s="2">
        <f>IFERROR(I672/H672*100,0)</f>
        <v>0</v>
      </c>
    </row>
    <row r="673" spans="10:10">
      <c r="J673" s="2">
        <f>IFERROR(I673/H673*100,0)</f>
        <v>0</v>
      </c>
    </row>
    <row r="674" spans="10:10">
      <c r="J674" s="2">
        <f>IFERROR(I674/H674*100,0)</f>
        <v>0</v>
      </c>
    </row>
    <row r="675" spans="10:10">
      <c r="J675" s="2">
        <f>IFERROR(I675/H675*100,0)</f>
        <v>0</v>
      </c>
    </row>
    <row r="676" spans="10:10">
      <c r="J676" s="2">
        <f>IFERROR(I676/H676*100,0)</f>
        <v>0</v>
      </c>
    </row>
    <row r="677" spans="10:10">
      <c r="J677" s="2">
        <f>IFERROR(I677/H677*100,0)</f>
        <v>0</v>
      </c>
    </row>
    <row r="678" spans="10:10">
      <c r="J678" s="2">
        <f>IFERROR(I678/H678*100,0)</f>
        <v>0</v>
      </c>
    </row>
    <row r="679" spans="10:10">
      <c r="J679" s="2">
        <f>IFERROR(I679/H679*100,0)</f>
        <v>0</v>
      </c>
    </row>
    <row r="680" spans="10:10">
      <c r="J680" s="2">
        <f>IFERROR(I680/H680*100,0)</f>
        <v>0</v>
      </c>
    </row>
    <row r="681" spans="10:10">
      <c r="J681" s="2">
        <f>IFERROR(I681/H681*100,0)</f>
        <v>0</v>
      </c>
    </row>
    <row r="682" spans="10:10">
      <c r="J682" s="2">
        <f>IFERROR(I682/H682*100,0)</f>
        <v>0</v>
      </c>
    </row>
    <row r="683" spans="10:10">
      <c r="J683" s="2">
        <f>IFERROR(I683/H683*100,0)</f>
        <v>0</v>
      </c>
    </row>
    <row r="684" spans="10:10">
      <c r="J684" s="2">
        <f>IFERROR(I684/H684*100,0)</f>
        <v>0</v>
      </c>
    </row>
    <row r="685" spans="10:10">
      <c r="J685" s="2">
        <f>IFERROR(I685/H685*100,0)</f>
        <v>0</v>
      </c>
    </row>
    <row r="686" spans="10:10">
      <c r="J686" s="2">
        <f>IFERROR(I686/H686*100,0)</f>
        <v>0</v>
      </c>
    </row>
    <row r="687" spans="10:10">
      <c r="J687" s="2">
        <f>IFERROR(I687/H687*100,0)</f>
        <v>0</v>
      </c>
    </row>
    <row r="688" spans="10:10">
      <c r="J688" s="2">
        <f>IFERROR(I688/H688*100,0)</f>
        <v>0</v>
      </c>
    </row>
    <row r="689" spans="10:10">
      <c r="J689" s="2">
        <f>IFERROR(I689/H689*100,0)</f>
        <v>0</v>
      </c>
    </row>
    <row r="690" spans="10:10">
      <c r="J690" s="2">
        <f>IFERROR(I690/H690*100,0)</f>
        <v>0</v>
      </c>
    </row>
    <row r="691" spans="10:10">
      <c r="J691" s="2">
        <f>IFERROR(I691/H691*100,0)</f>
        <v>0</v>
      </c>
    </row>
    <row r="692" spans="10:10">
      <c r="J692" s="2">
        <f>IFERROR(I692/H692*100,0)</f>
        <v>0</v>
      </c>
    </row>
    <row r="693" spans="10:10">
      <c r="J693" s="2">
        <f>IFERROR(I693/H693*100,0)</f>
        <v>0</v>
      </c>
    </row>
    <row r="694" spans="10:10">
      <c r="J694" s="2">
        <f>IFERROR(I694/H694*100,0)</f>
        <v>0</v>
      </c>
    </row>
    <row r="695" spans="10:10">
      <c r="J695" s="2">
        <f>IFERROR(I695/H695*100,0)</f>
        <v>0</v>
      </c>
    </row>
    <row r="696" spans="10:10">
      <c r="J696" s="2">
        <f>IFERROR(I696/H696*100,0)</f>
        <v>0</v>
      </c>
    </row>
    <row r="697" spans="10:10">
      <c r="J697" s="2">
        <f>IFERROR(I697/H697*100,0)</f>
        <v>0</v>
      </c>
    </row>
    <row r="698" spans="10:10">
      <c r="J698" s="2">
        <f>IFERROR(I698/H698*100,0)</f>
        <v>0</v>
      </c>
    </row>
    <row r="699" spans="10:10">
      <c r="J699" s="2">
        <f>IFERROR(I699/H699*100,0)</f>
        <v>0</v>
      </c>
    </row>
    <row r="700" spans="10:10">
      <c r="J700" s="2">
        <f>IFERROR(I700/H700*100,0)</f>
        <v>0</v>
      </c>
    </row>
    <row r="701" spans="10:10">
      <c r="J701" s="2">
        <f>IFERROR(I701/H701*100,0)</f>
        <v>0</v>
      </c>
    </row>
    <row r="702" spans="10:10">
      <c r="J702" s="2">
        <f>IFERROR(I702/H702*100,0)</f>
        <v>0</v>
      </c>
    </row>
    <row r="703" spans="10:10">
      <c r="J703" s="2">
        <f>IFERROR(I703/H703*100,0)</f>
        <v>0</v>
      </c>
    </row>
    <row r="704" spans="10:10">
      <c r="J704" s="2">
        <f>IFERROR(I704/H704*100,0)</f>
        <v>0</v>
      </c>
    </row>
    <row r="705" spans="10:10">
      <c r="J705" s="2">
        <f>IFERROR(I705/H705*100,0)</f>
        <v>0</v>
      </c>
    </row>
    <row r="706" spans="10:10">
      <c r="J706" s="2">
        <f>IFERROR(I706/H706*100,0)</f>
        <v>0</v>
      </c>
    </row>
    <row r="707" spans="10:10">
      <c r="J707" s="2">
        <f>IFERROR(I707/H707*100,0)</f>
        <v>0</v>
      </c>
    </row>
    <row r="708" spans="10:10">
      <c r="J708" s="2">
        <f>IFERROR(I708/H708*100,0)</f>
        <v>0</v>
      </c>
    </row>
    <row r="709" spans="10:10">
      <c r="J709" s="2">
        <f>IFERROR(I709/H709*100,0)</f>
        <v>0</v>
      </c>
    </row>
    <row r="710" spans="10:10">
      <c r="J710" s="2">
        <f>IFERROR(I710/H710*100,0)</f>
        <v>0</v>
      </c>
    </row>
    <row r="711" spans="10:10">
      <c r="J711" s="2">
        <f>IFERROR(I711/H711*100,0)</f>
        <v>0</v>
      </c>
    </row>
    <row r="712" spans="10:10">
      <c r="J712" s="2">
        <f>IFERROR(I712/H712*100,0)</f>
        <v>0</v>
      </c>
    </row>
    <row r="713" spans="10:10">
      <c r="J713" s="2">
        <f>IFERROR(I713/H713*100,0)</f>
        <v>0</v>
      </c>
    </row>
    <row r="714" spans="10:10">
      <c r="J714" s="2">
        <f>IFERROR(I714/H714*100,0)</f>
        <v>0</v>
      </c>
    </row>
    <row r="715" spans="10:10">
      <c r="J715" s="2">
        <f>IFERROR(I715/H715*100,0)</f>
        <v>0</v>
      </c>
    </row>
    <row r="716" spans="10:10">
      <c r="J716" s="2">
        <f>IFERROR(I716/H716*100,0)</f>
        <v>0</v>
      </c>
    </row>
    <row r="717" spans="10:10">
      <c r="J717" s="2">
        <f>IFERROR(I717/H717*100,0)</f>
        <v>0</v>
      </c>
    </row>
    <row r="718" spans="10:10">
      <c r="J718" s="2">
        <f>IFERROR(I718/H718*100,0)</f>
        <v>0</v>
      </c>
    </row>
    <row r="719" spans="10:10">
      <c r="J719" s="2">
        <f>IFERROR(I719/H719*100,0)</f>
        <v>0</v>
      </c>
    </row>
    <row r="720" spans="10:10">
      <c r="J720" s="2">
        <f>IFERROR(I720/H720*100,0)</f>
        <v>0</v>
      </c>
    </row>
    <row r="721" spans="10:10">
      <c r="J721" s="2">
        <f>IFERROR(I721/H721*100,0)</f>
        <v>0</v>
      </c>
    </row>
    <row r="722" spans="10:10">
      <c r="J722" s="2">
        <f>IFERROR(I722/H722*100,0)</f>
        <v>0</v>
      </c>
    </row>
    <row r="723" spans="10:10">
      <c r="J723" s="2">
        <f>IFERROR(I723/H723*100,0)</f>
        <v>0</v>
      </c>
    </row>
    <row r="724" spans="10:10">
      <c r="J724" s="2">
        <f>IFERROR(I724/H724*100,0)</f>
        <v>0</v>
      </c>
    </row>
    <row r="725" spans="10:10">
      <c r="J725" s="2">
        <f>IFERROR(I725/H725*100,0)</f>
        <v>0</v>
      </c>
    </row>
    <row r="726" spans="10:10">
      <c r="J726" s="2">
        <f>IFERROR(I726/H726*100,0)</f>
        <v>0</v>
      </c>
    </row>
    <row r="727" spans="10:10">
      <c r="J727" s="2">
        <f>IFERROR(I727/H727*100,0)</f>
        <v>0</v>
      </c>
    </row>
    <row r="728" spans="10:10">
      <c r="J728" s="2">
        <f>IFERROR(I728/H728*100,0)</f>
        <v>0</v>
      </c>
    </row>
    <row r="729" spans="10:10">
      <c r="J729" s="2">
        <f>IFERROR(I729/H729*100,0)</f>
        <v>0</v>
      </c>
    </row>
    <row r="730" spans="10:10">
      <c r="J730" s="2">
        <f>IFERROR(I730/H730*100,0)</f>
        <v>0</v>
      </c>
    </row>
    <row r="731" spans="10:10">
      <c r="J731" s="2">
        <f>IFERROR(I731/H731*100,0)</f>
        <v>0</v>
      </c>
    </row>
    <row r="732" spans="10:10">
      <c r="J732" s="2">
        <f>IFERROR(I732/H732*100,0)</f>
        <v>0</v>
      </c>
    </row>
    <row r="733" spans="10:10">
      <c r="J733" s="2">
        <f>IFERROR(I733/H733*100,0)</f>
        <v>0</v>
      </c>
    </row>
    <row r="734" spans="10:10">
      <c r="J734" s="2">
        <f>IFERROR(I734/H734*100,0)</f>
        <v>0</v>
      </c>
    </row>
    <row r="735" spans="10:10">
      <c r="J735" s="2">
        <f>IFERROR(I735/H735*100,0)</f>
        <v>0</v>
      </c>
    </row>
    <row r="736" spans="10:10">
      <c r="J736" s="2">
        <f>IFERROR(I736/H736*100,0)</f>
        <v>0</v>
      </c>
    </row>
    <row r="737" spans="10:10">
      <c r="J737" s="2">
        <f>IFERROR(I737/H737*100,0)</f>
        <v>0</v>
      </c>
    </row>
    <row r="738" spans="10:10">
      <c r="J738" s="2">
        <f>IFERROR(I738/H738*100,0)</f>
        <v>0</v>
      </c>
    </row>
    <row r="739" spans="10:10">
      <c r="J739" s="2">
        <f>IFERROR(I739/H739*100,0)</f>
        <v>0</v>
      </c>
    </row>
    <row r="740" spans="10:10">
      <c r="J740" s="2">
        <f>IFERROR(I740/H740*100,0)</f>
        <v>0</v>
      </c>
    </row>
    <row r="741" spans="10:10">
      <c r="J741" s="2">
        <f>IFERROR(I741/H741*100,0)</f>
        <v>0</v>
      </c>
    </row>
    <row r="742" spans="10:10">
      <c r="J742" s="2">
        <f>IFERROR(I742/H742*100,0)</f>
        <v>0</v>
      </c>
    </row>
    <row r="743" spans="10:10">
      <c r="J743" s="2">
        <f>IFERROR(I743/H743*100,0)</f>
        <v>0</v>
      </c>
    </row>
    <row r="744" spans="10:10">
      <c r="J744" s="2">
        <f>IFERROR(I744/H744*100,0)</f>
        <v>0</v>
      </c>
    </row>
    <row r="745" spans="10:10">
      <c r="J745" s="2">
        <f>IFERROR(I745/H745*100,0)</f>
        <v>0</v>
      </c>
    </row>
    <row r="746" spans="10:10">
      <c r="J746" s="2">
        <f>IFERROR(I746/H746*100,0)</f>
        <v>0</v>
      </c>
    </row>
    <row r="747" spans="10:10">
      <c r="J747" s="2">
        <f>IFERROR(I747/H747*100,0)</f>
        <v>0</v>
      </c>
    </row>
    <row r="748" spans="10:10">
      <c r="J748" s="2">
        <f>IFERROR(I748/H748*100,0)</f>
        <v>0</v>
      </c>
    </row>
    <row r="749" spans="10:10">
      <c r="J749" s="2">
        <f>IFERROR(I749/H749*100,0)</f>
        <v>0</v>
      </c>
    </row>
    <row r="750" spans="10:10">
      <c r="J750" s="2">
        <f>IFERROR(I750/H750*100,0)</f>
        <v>0</v>
      </c>
    </row>
    <row r="751" spans="10:10">
      <c r="J751" s="2">
        <f>IFERROR(I751/H751*100,0)</f>
        <v>0</v>
      </c>
    </row>
    <row r="752" spans="10:10">
      <c r="J752" s="2">
        <f>IFERROR(I752/H752*100,0)</f>
        <v>0</v>
      </c>
    </row>
    <row r="753" spans="10:10">
      <c r="J753" s="2">
        <f>IFERROR(I753/H753*100,0)</f>
        <v>0</v>
      </c>
    </row>
    <row r="754" spans="10:10">
      <c r="J754" s="2">
        <f>IFERROR(I754/H754*100,0)</f>
        <v>0</v>
      </c>
    </row>
    <row r="755" spans="10:10">
      <c r="J755" s="2">
        <f>IFERROR(I755/H755*100,0)</f>
        <v>0</v>
      </c>
    </row>
    <row r="756" spans="10:10">
      <c r="J756" s="2">
        <f>IFERROR(I756/H756*100,0)</f>
        <v>0</v>
      </c>
    </row>
    <row r="757" spans="10:10">
      <c r="J757" s="2">
        <f>IFERROR(I757/H757*100,0)</f>
        <v>0</v>
      </c>
    </row>
    <row r="758" spans="10:10">
      <c r="J758" s="2">
        <f>IFERROR(I758/H758*100,0)</f>
        <v>0</v>
      </c>
    </row>
    <row r="759" spans="10:10">
      <c r="J759" s="2">
        <f>IFERROR(I759/H759*100,0)</f>
        <v>0</v>
      </c>
    </row>
    <row r="760" spans="10:10">
      <c r="J760" s="2">
        <f>IFERROR(I760/H760*100,0)</f>
        <v>0</v>
      </c>
    </row>
    <row r="761" spans="10:10">
      <c r="J761" s="2">
        <f>IFERROR(I761/H761*100,0)</f>
        <v>0</v>
      </c>
    </row>
    <row r="762" spans="10:10">
      <c r="J762" s="2">
        <f>IFERROR(I762/H762*100,0)</f>
        <v>0</v>
      </c>
    </row>
    <row r="763" spans="10:10">
      <c r="J763" s="2">
        <f>IFERROR(I763/H763*100,0)</f>
        <v>0</v>
      </c>
    </row>
    <row r="764" spans="10:10">
      <c r="J764" s="2">
        <f>IFERROR(I764/H764*100,0)</f>
        <v>0</v>
      </c>
    </row>
    <row r="765" spans="10:10">
      <c r="J765" s="2">
        <f>IFERROR(I765/H765*100,0)</f>
        <v>0</v>
      </c>
    </row>
    <row r="766" spans="10:10">
      <c r="J766" s="2">
        <f>IFERROR(I766/H766*100,0)</f>
        <v>0</v>
      </c>
    </row>
    <row r="767" spans="10:10">
      <c r="J767" s="2">
        <f>IFERROR(I767/H767*100,0)</f>
        <v>0</v>
      </c>
    </row>
    <row r="768" spans="10:10">
      <c r="J768" s="2">
        <f>IFERROR(I768/H768*100,0)</f>
        <v>0</v>
      </c>
    </row>
    <row r="769" spans="10:10">
      <c r="J769" s="2">
        <f>IFERROR(I769/H769*100,0)</f>
        <v>0</v>
      </c>
    </row>
    <row r="770" spans="10:10">
      <c r="J770" s="2">
        <f>IFERROR(I770/H770*100,0)</f>
        <v>0</v>
      </c>
    </row>
    <row r="771" spans="10:10">
      <c r="J771" s="2">
        <f>IFERROR(I771/H771*100,0)</f>
        <v>0</v>
      </c>
    </row>
    <row r="772" spans="10:10">
      <c r="J772" s="2">
        <f>IFERROR(I772/H772*100,0)</f>
        <v>0</v>
      </c>
    </row>
    <row r="773" spans="10:10">
      <c r="J773" s="2">
        <f>IFERROR(I773/H773*100,0)</f>
        <v>0</v>
      </c>
    </row>
    <row r="774" spans="10:10">
      <c r="J774" s="2">
        <f>IFERROR(I774/H774*100,0)</f>
        <v>0</v>
      </c>
    </row>
    <row r="775" spans="10:10">
      <c r="J775" s="2">
        <f>IFERROR(I775/H775*100,0)</f>
        <v>0</v>
      </c>
    </row>
    <row r="776" spans="10:10">
      <c r="J776" s="2">
        <f>IFERROR(I776/H776*100,0)</f>
        <v>0</v>
      </c>
    </row>
    <row r="777" spans="10:10">
      <c r="J777" s="2">
        <f>IFERROR(I777/H777*100,0)</f>
        <v>0</v>
      </c>
    </row>
    <row r="778" spans="10:10">
      <c r="J778" s="2">
        <f>IFERROR(I778/H778*100,0)</f>
        <v>0</v>
      </c>
    </row>
    <row r="779" spans="10:10">
      <c r="J779" s="2">
        <f>IFERROR(I779/H779*100,0)</f>
        <v>0</v>
      </c>
    </row>
    <row r="780" spans="10:10">
      <c r="J780" s="2">
        <f>IFERROR(I780/H780*100,0)</f>
        <v>0</v>
      </c>
    </row>
    <row r="781" spans="10:10">
      <c r="J781" s="2">
        <f>IFERROR(I781/H781*100,0)</f>
        <v>0</v>
      </c>
    </row>
    <row r="782" spans="10:10">
      <c r="J782" s="2">
        <f>IFERROR(I782/H782*100,0)</f>
        <v>0</v>
      </c>
    </row>
    <row r="783" spans="10:10">
      <c r="J783" s="2">
        <f>IFERROR(I783/H783*100,0)</f>
        <v>0</v>
      </c>
    </row>
    <row r="784" spans="10:10">
      <c r="J784" s="2">
        <f>IFERROR(I784/H784*100,0)</f>
        <v>0</v>
      </c>
    </row>
    <row r="785" spans="10:10">
      <c r="J785" s="2">
        <f>IFERROR(I785/H785*100,0)</f>
        <v>0</v>
      </c>
    </row>
    <row r="786" spans="10:10">
      <c r="J786" s="2">
        <f>IFERROR(I786/H786*100,0)</f>
        <v>0</v>
      </c>
    </row>
    <row r="787" spans="10:10">
      <c r="J787" s="2">
        <f>IFERROR(I787/H787*100,0)</f>
        <v>0</v>
      </c>
    </row>
    <row r="788" spans="10:10">
      <c r="J788" s="2">
        <f>IFERROR(I788/H788*100,0)</f>
        <v>0</v>
      </c>
    </row>
    <row r="789" spans="10:10">
      <c r="J789" s="2">
        <f>IFERROR(I789/H789*100,0)</f>
        <v>0</v>
      </c>
    </row>
    <row r="790" spans="10:10">
      <c r="J790" s="2">
        <f>IFERROR(I790/H790*100,0)</f>
        <v>0</v>
      </c>
    </row>
    <row r="791" spans="10:10">
      <c r="J791" s="2">
        <f>IFERROR(I791/H791*100,0)</f>
        <v>0</v>
      </c>
    </row>
    <row r="792" spans="10:10">
      <c r="J792" s="2">
        <f>IFERROR(I792/H792*100,0)</f>
        <v>0</v>
      </c>
    </row>
    <row r="793" spans="10:10">
      <c r="J793" s="2">
        <f>IFERROR(I793/H793*100,0)</f>
        <v>0</v>
      </c>
    </row>
    <row r="794" spans="10:10">
      <c r="J794" s="2">
        <f>IFERROR(I794/H794*100,0)</f>
        <v>0</v>
      </c>
    </row>
    <row r="795" spans="10:10">
      <c r="J795" s="2">
        <f>IFERROR(I795/H795*100,0)</f>
        <v>0</v>
      </c>
    </row>
    <row r="796" spans="10:10">
      <c r="J796" s="2">
        <f>IFERROR(I796/H796*100,0)</f>
        <v>0</v>
      </c>
    </row>
    <row r="797" spans="10:10">
      <c r="J797" s="2">
        <f>IFERROR(I797/H797*100,0)</f>
        <v>0</v>
      </c>
    </row>
    <row r="798" spans="10:10">
      <c r="J798" s="2">
        <f>IFERROR(I798/H798*100,0)</f>
        <v>0</v>
      </c>
    </row>
    <row r="799" spans="10:10">
      <c r="J799" s="2">
        <f>IFERROR(I799/H799*100,0)</f>
        <v>0</v>
      </c>
    </row>
    <row r="800" spans="10:10">
      <c r="J800" s="2">
        <f>IFERROR(I800/H800*100,0)</f>
        <v>0</v>
      </c>
    </row>
    <row r="801" spans="10:10">
      <c r="J801" s="2">
        <f>IFERROR(I801/H801*100,0)</f>
        <v>0</v>
      </c>
    </row>
    <row r="802" spans="10:10">
      <c r="J802" s="2">
        <f>IFERROR(I802/H802*100,0)</f>
        <v>0</v>
      </c>
    </row>
    <row r="803" spans="10:10">
      <c r="J803" s="2">
        <f>IFERROR(I803/H803*100,0)</f>
        <v>0</v>
      </c>
    </row>
    <row r="804" spans="10:10">
      <c r="J804" s="2">
        <f>IFERROR(I804/H804*100,0)</f>
        <v>0</v>
      </c>
    </row>
    <row r="805" spans="10:10">
      <c r="J805" s="2">
        <f>IFERROR(I805/H805*100,0)</f>
        <v>0</v>
      </c>
    </row>
    <row r="806" spans="10:10">
      <c r="J806" s="2">
        <f>IFERROR(I806/H806*100,0)</f>
        <v>0</v>
      </c>
    </row>
    <row r="807" spans="10:10">
      <c r="J807" s="2">
        <f>IFERROR(I807/H807*100,0)</f>
        <v>0</v>
      </c>
    </row>
    <row r="808" spans="10:10">
      <c r="J808" s="2">
        <f>IFERROR(I808/H808*100,0)</f>
        <v>0</v>
      </c>
    </row>
    <row r="809" spans="10:10">
      <c r="J809" s="2">
        <f>IFERROR(I809/H809*100,0)</f>
        <v>0</v>
      </c>
    </row>
    <row r="810" spans="10:10">
      <c r="J810" s="2">
        <f>IFERROR(I810/H810*100,0)</f>
        <v>0</v>
      </c>
    </row>
    <row r="811" spans="10:10">
      <c r="J811" s="2">
        <f>IFERROR(I811/H811*100,0)</f>
        <v>0</v>
      </c>
    </row>
    <row r="812" spans="10:10">
      <c r="J812" s="2">
        <f>IFERROR(I812/H812*100,0)</f>
        <v>0</v>
      </c>
    </row>
    <row r="813" spans="10:10">
      <c r="J813" s="2">
        <f>IFERROR(I813/H813*100,0)</f>
        <v>0</v>
      </c>
    </row>
    <row r="814" spans="10:10">
      <c r="J814" s="2">
        <f>IFERROR(I814/H814*100,0)</f>
        <v>0</v>
      </c>
    </row>
    <row r="815" spans="10:10">
      <c r="J815" s="2">
        <f>IFERROR(I815/H815*100,0)</f>
        <v>0</v>
      </c>
    </row>
    <row r="816" spans="10:10">
      <c r="J816" s="2">
        <f>IFERROR(I816/H816*100,0)</f>
        <v>0</v>
      </c>
    </row>
    <row r="817" spans="10:10">
      <c r="J817" s="2">
        <f>IFERROR(I817/H817*100,0)</f>
        <v>0</v>
      </c>
    </row>
    <row r="818" spans="10:10">
      <c r="J818" s="2">
        <f>IFERROR(I818/H818*100,0)</f>
        <v>0</v>
      </c>
    </row>
    <row r="819" spans="10:10">
      <c r="J819" s="2">
        <f>IFERROR(I819/H819*100,0)</f>
        <v>0</v>
      </c>
    </row>
    <row r="820" spans="10:10">
      <c r="J820" s="2">
        <f>IFERROR(I820/H820*100,0)</f>
        <v>0</v>
      </c>
    </row>
    <row r="821" spans="10:10">
      <c r="J821" s="2">
        <f>IFERROR(I821/H821*100,0)</f>
        <v>0</v>
      </c>
    </row>
    <row r="822" spans="10:10">
      <c r="J822" s="2">
        <f>IFERROR(I822/H822*100,0)</f>
        <v>0</v>
      </c>
    </row>
    <row r="823" spans="10:10">
      <c r="J823" s="2">
        <f>IFERROR(I823/H823*100,0)</f>
        <v>0</v>
      </c>
    </row>
    <row r="824" spans="10:10">
      <c r="J824" s="2">
        <f>IFERROR(I824/H824*100,0)</f>
        <v>0</v>
      </c>
    </row>
    <row r="825" spans="10:10">
      <c r="J825" s="2">
        <f>IFERROR(I825/H825*100,0)</f>
        <v>0</v>
      </c>
    </row>
    <row r="826" spans="10:10">
      <c r="J826" s="2">
        <f>IFERROR(I826/H826*100,0)</f>
        <v>0</v>
      </c>
    </row>
    <row r="827" spans="10:10">
      <c r="J827" s="2">
        <f>IFERROR(I827/H827*100,0)</f>
        <v>0</v>
      </c>
    </row>
    <row r="828" spans="10:10">
      <c r="J828" s="2">
        <f>IFERROR(I828/H828*100,0)</f>
        <v>0</v>
      </c>
    </row>
    <row r="829" spans="10:10">
      <c r="J829" s="2">
        <f>IFERROR(I829/H829*100,0)</f>
        <v>0</v>
      </c>
    </row>
    <row r="830" spans="10:10">
      <c r="J830" s="2">
        <f>IFERROR(I830/H830*100,0)</f>
        <v>0</v>
      </c>
    </row>
    <row r="831" spans="10:10">
      <c r="J831" s="2">
        <f>IFERROR(I831/H831*100,0)</f>
        <v>0</v>
      </c>
    </row>
    <row r="832" spans="10:10">
      <c r="J832" s="2">
        <f>IFERROR(I832/H832*100,0)</f>
        <v>0</v>
      </c>
    </row>
    <row r="833" spans="10:10">
      <c r="J833" s="2">
        <f>IFERROR(I833/H833*100,0)</f>
        <v>0</v>
      </c>
    </row>
    <row r="834" spans="10:10">
      <c r="J834" s="2">
        <f>IFERROR(I834/H834*100,0)</f>
        <v>0</v>
      </c>
    </row>
    <row r="835" spans="10:10">
      <c r="J835" s="2">
        <f>IFERROR(I835/H835*100,0)</f>
        <v>0</v>
      </c>
    </row>
    <row r="836" spans="10:10">
      <c r="J836" s="2">
        <f>IFERROR(I836/H836*100,0)</f>
        <v>0</v>
      </c>
    </row>
    <row r="837" spans="10:10">
      <c r="J837" s="2">
        <f>IFERROR(I837/H837*100,0)</f>
        <v>0</v>
      </c>
    </row>
    <row r="838" spans="10:10">
      <c r="J838" s="2">
        <f>IFERROR(I838/H838*100,0)</f>
        <v>0</v>
      </c>
    </row>
    <row r="839" spans="10:10">
      <c r="J839" s="2">
        <f>IFERROR(I839/H839*100,0)</f>
        <v>0</v>
      </c>
    </row>
    <row r="840" spans="10:10">
      <c r="J840" s="2">
        <f>IFERROR(I840/H840*100,0)</f>
        <v>0</v>
      </c>
    </row>
    <row r="841" spans="10:10">
      <c r="J841" s="2">
        <f>IFERROR(I841/H841*100,0)</f>
        <v>0</v>
      </c>
    </row>
    <row r="842" spans="10:10">
      <c r="J842" s="2">
        <f>IFERROR(I842/H842*100,0)</f>
        <v>0</v>
      </c>
    </row>
    <row r="843" spans="10:10">
      <c r="J843" s="2">
        <f>IFERROR(I843/H843*100,0)</f>
        <v>0</v>
      </c>
    </row>
    <row r="844" spans="10:10">
      <c r="J844" s="2">
        <f>IFERROR(I844/H844*100,0)</f>
        <v>0</v>
      </c>
    </row>
    <row r="845" spans="10:10">
      <c r="J845" s="2">
        <f>IFERROR(I845/H845*100,0)</f>
        <v>0</v>
      </c>
    </row>
    <row r="846" spans="10:10">
      <c r="J846" s="2">
        <f>IFERROR(I846/H846*100,0)</f>
        <v>0</v>
      </c>
    </row>
    <row r="847" spans="10:10">
      <c r="J847" s="2">
        <f>IFERROR(I847/H847*100,0)</f>
        <v>0</v>
      </c>
    </row>
    <row r="848" spans="10:10">
      <c r="J848" s="2">
        <f>IFERROR(I848/H848*100,0)</f>
        <v>0</v>
      </c>
    </row>
    <row r="849" spans="10:10">
      <c r="J849" s="2">
        <f>IFERROR(I849/H849*100,0)</f>
        <v>0</v>
      </c>
    </row>
    <row r="850" spans="10:10">
      <c r="J850" s="2">
        <f>IFERROR(I850/H850*100,0)</f>
        <v>0</v>
      </c>
    </row>
    <row r="851" spans="10:10">
      <c r="J851" s="2">
        <f>IFERROR(I851/H851*100,0)</f>
        <v>0</v>
      </c>
    </row>
    <row r="852" spans="10:10">
      <c r="J852" s="2">
        <f>IFERROR(I852/H852*100,0)</f>
        <v>0</v>
      </c>
    </row>
    <row r="853" spans="10:10">
      <c r="J853" s="2">
        <f>IFERROR(I853/H853*100,0)</f>
        <v>0</v>
      </c>
    </row>
    <row r="854" spans="10:10">
      <c r="J854" s="2">
        <f>IFERROR(I854/H854*100,0)</f>
        <v>0</v>
      </c>
    </row>
    <row r="855" spans="10:10">
      <c r="J855" s="2">
        <f>IFERROR(I855/H855*100,0)</f>
        <v>0</v>
      </c>
    </row>
    <row r="856" spans="10:10">
      <c r="J856" s="2">
        <f>IFERROR(I856/H856*100,0)</f>
        <v>0</v>
      </c>
    </row>
    <row r="857" spans="10:10">
      <c r="J857" s="2">
        <f>IFERROR(I857/H857*100,0)</f>
        <v>0</v>
      </c>
    </row>
    <row r="858" spans="10:10">
      <c r="J858" s="2">
        <f>IFERROR(I858/H858*100,0)</f>
        <v>0</v>
      </c>
    </row>
    <row r="859" spans="10:10">
      <c r="J859" s="2">
        <f>IFERROR(I859/H859*100,0)</f>
        <v>0</v>
      </c>
    </row>
    <row r="860" spans="10:10">
      <c r="J860" s="2">
        <f>IFERROR(I860/H860*100,0)</f>
        <v>0</v>
      </c>
    </row>
    <row r="861" spans="10:10">
      <c r="J861" s="2">
        <f>IFERROR(I861/H861*100,0)</f>
        <v>0</v>
      </c>
    </row>
    <row r="862" spans="10:10">
      <c r="J862" s="2">
        <f>IFERROR(I862/H862*100,0)</f>
        <v>0</v>
      </c>
    </row>
    <row r="863" spans="10:10">
      <c r="J863" s="2">
        <f>IFERROR(I863/H863*100,0)</f>
        <v>0</v>
      </c>
    </row>
    <row r="864" spans="10:10">
      <c r="J864" s="2">
        <f>IFERROR(I864/H864*100,0)</f>
        <v>0</v>
      </c>
    </row>
    <row r="865" spans="10:10">
      <c r="J865" s="2">
        <f>IFERROR(I865/H865*100,0)</f>
        <v>0</v>
      </c>
    </row>
    <row r="866" spans="10:10">
      <c r="J866" s="2">
        <f>IFERROR(I866/H866*100,0)</f>
        <v>0</v>
      </c>
    </row>
    <row r="867" spans="10:10">
      <c r="J867" s="2">
        <f>IFERROR(I867/H867*100,0)</f>
        <v>0</v>
      </c>
    </row>
    <row r="868" spans="10:10">
      <c r="J868" s="2">
        <f>IFERROR(I868/H868*100,0)</f>
        <v>0</v>
      </c>
    </row>
    <row r="869" spans="10:10">
      <c r="J869" s="2">
        <f>IFERROR(I869/H869*100,0)</f>
        <v>0</v>
      </c>
    </row>
    <row r="870" spans="10:10">
      <c r="J870" s="2">
        <f>IFERROR(I870/H870*100,0)</f>
        <v>0</v>
      </c>
    </row>
    <row r="871" spans="10:10">
      <c r="J871" s="2">
        <f>IFERROR(I871/H871*100,0)</f>
        <v>0</v>
      </c>
    </row>
    <row r="872" spans="10:10">
      <c r="J872" s="2">
        <f>IFERROR(I872/H872*100,0)</f>
        <v>0</v>
      </c>
    </row>
    <row r="873" spans="10:10">
      <c r="J873" s="2">
        <f>IFERROR(I873/H873*100,0)</f>
        <v>0</v>
      </c>
    </row>
    <row r="874" spans="10:10">
      <c r="J874" s="2">
        <f>IFERROR(I874/H874*100,0)</f>
        <v>0</v>
      </c>
    </row>
    <row r="875" spans="10:10">
      <c r="J875" s="2">
        <f>IFERROR(I875/H875*100,0)</f>
        <v>0</v>
      </c>
    </row>
    <row r="876" spans="10:10">
      <c r="J876" s="2">
        <f>IFERROR(I876/H876*100,0)</f>
        <v>0</v>
      </c>
    </row>
    <row r="877" spans="10:10">
      <c r="J877" s="2">
        <f>IFERROR(I877/H877*100,0)</f>
        <v>0</v>
      </c>
    </row>
    <row r="878" spans="10:10">
      <c r="J878" s="2">
        <f>IFERROR(I878/H878*100,0)</f>
        <v>0</v>
      </c>
    </row>
    <row r="879" spans="10:10">
      <c r="J879" s="2">
        <f>IFERROR(I879/H879*100,0)</f>
        <v>0</v>
      </c>
    </row>
    <row r="880" spans="10:10">
      <c r="J880" s="2">
        <f>IFERROR(I880/H880*100,0)</f>
        <v>0</v>
      </c>
    </row>
    <row r="881" spans="10:10">
      <c r="J881" s="2">
        <f>IFERROR(I881/H881*100,0)</f>
        <v>0</v>
      </c>
    </row>
    <row r="882" spans="10:10">
      <c r="J882" s="2">
        <f>IFERROR(I882/H882*100,0)</f>
        <v>0</v>
      </c>
    </row>
    <row r="883" spans="10:10">
      <c r="J883" s="2">
        <f>IFERROR(I883/H883*100,0)</f>
        <v>0</v>
      </c>
    </row>
    <row r="884" spans="10:10">
      <c r="J884" s="2">
        <f>IFERROR(I884/H884*100,0)</f>
        <v>0</v>
      </c>
    </row>
    <row r="885" spans="10:10">
      <c r="J885" s="2">
        <f>IFERROR(I885/H885*100,0)</f>
        <v>0</v>
      </c>
    </row>
    <row r="886" spans="10:10">
      <c r="J886" s="2">
        <f>IFERROR(I886/H886*100,0)</f>
        <v>0</v>
      </c>
    </row>
    <row r="887" spans="10:10">
      <c r="J887" s="2">
        <f>IFERROR(I887/H887*100,0)</f>
        <v>0</v>
      </c>
    </row>
    <row r="888" spans="10:10">
      <c r="J888" s="2">
        <f>IFERROR(I888/H888*100,0)</f>
        <v>0</v>
      </c>
    </row>
    <row r="889" spans="10:10">
      <c r="J889" s="2">
        <f>IFERROR(I889/H889*100,0)</f>
        <v>0</v>
      </c>
    </row>
    <row r="890" spans="10:10">
      <c r="J890" s="2">
        <f>IFERROR(I890/H890*100,0)</f>
        <v>0</v>
      </c>
    </row>
    <row r="891" spans="10:10">
      <c r="J891" s="2">
        <f>IFERROR(I891/H891*100,0)</f>
        <v>0</v>
      </c>
    </row>
    <row r="892" spans="10:10">
      <c r="J892" s="2">
        <f>IFERROR(I892/H892*100,0)</f>
        <v>0</v>
      </c>
    </row>
    <row r="893" spans="10:10">
      <c r="J893" s="2">
        <f>IFERROR(I893/H893*100,0)</f>
        <v>0</v>
      </c>
    </row>
    <row r="894" spans="10:10">
      <c r="J894" s="2">
        <f>IFERROR(I894/H894*100,0)</f>
        <v>0</v>
      </c>
    </row>
    <row r="895" spans="10:10">
      <c r="J895" s="2">
        <f>IFERROR(I895/H895*100,0)</f>
        <v>0</v>
      </c>
    </row>
    <row r="896" spans="10:10">
      <c r="J896" s="2">
        <f>IFERROR(I896/H896*100,0)</f>
        <v>0</v>
      </c>
    </row>
    <row r="897" spans="10:10">
      <c r="J897" s="2">
        <f>IFERROR(I897/H897*100,0)</f>
        <v>0</v>
      </c>
    </row>
    <row r="898" spans="10:10">
      <c r="J898" s="2">
        <f>IFERROR(I898/H898*100,0)</f>
        <v>0</v>
      </c>
    </row>
    <row r="899" spans="10:10">
      <c r="J899" s="2">
        <f>IFERROR(I899/H899*100,0)</f>
        <v>0</v>
      </c>
    </row>
    <row r="900" spans="10:10">
      <c r="J900" s="2">
        <f>IFERROR(I900/H900*100,0)</f>
        <v>0</v>
      </c>
    </row>
    <row r="901" spans="10:10">
      <c r="J901" s="2">
        <f>IFERROR(I901/H901*100,0)</f>
        <v>0</v>
      </c>
    </row>
    <row r="902" spans="10:10">
      <c r="J902" s="2">
        <f>IFERROR(I902/H902*100,0)</f>
        <v>0</v>
      </c>
    </row>
    <row r="903" spans="10:10">
      <c r="J903" s="2">
        <f>IFERROR(I903/H903*100,0)</f>
        <v>0</v>
      </c>
    </row>
    <row r="904" spans="10:10">
      <c r="J904" s="2">
        <f>IFERROR(I904/H904*100,0)</f>
        <v>0</v>
      </c>
    </row>
    <row r="905" spans="10:10">
      <c r="J905" s="2">
        <f>IFERROR(I905/H905*100,0)</f>
        <v>0</v>
      </c>
    </row>
    <row r="906" spans="10:10">
      <c r="J906" s="2">
        <f>IFERROR(I906/H906*100,0)</f>
        <v>0</v>
      </c>
    </row>
    <row r="907" spans="10:10">
      <c r="J907" s="2">
        <f>IFERROR(I907/H907*100,0)</f>
        <v>0</v>
      </c>
    </row>
    <row r="908" spans="10:10">
      <c r="J908" s="2">
        <f>IFERROR(I908/H908*100,0)</f>
        <v>0</v>
      </c>
    </row>
    <row r="909" spans="10:10">
      <c r="J909" s="2">
        <f>IFERROR(I909/H909*100,0)</f>
        <v>0</v>
      </c>
    </row>
    <row r="910" spans="10:10">
      <c r="J910" s="2">
        <f>IFERROR(I910/H910*100,0)</f>
        <v>0</v>
      </c>
    </row>
    <row r="911" spans="10:10">
      <c r="J911" s="2">
        <f>IFERROR(I911/H911*100,0)</f>
        <v>0</v>
      </c>
    </row>
    <row r="912" spans="10:10">
      <c r="J912" s="2">
        <f>IFERROR(I912/H912*100,0)</f>
        <v>0</v>
      </c>
    </row>
    <row r="913" spans="10:10">
      <c r="J913" s="2">
        <f>IFERROR(I913/H913*100,0)</f>
        <v>0</v>
      </c>
    </row>
    <row r="914" spans="10:10">
      <c r="J914" s="2">
        <f>IFERROR(I914/H914*100,0)</f>
        <v>0</v>
      </c>
    </row>
    <row r="915" spans="10:10">
      <c r="J915" s="2">
        <f>IFERROR(I915/H915*100,0)</f>
        <v>0</v>
      </c>
    </row>
    <row r="916" spans="10:10">
      <c r="J916" s="2">
        <f>IFERROR(I916/H916*100,0)</f>
        <v>0</v>
      </c>
    </row>
    <row r="917" spans="10:10">
      <c r="J917" s="2">
        <f>IFERROR(I917/H917*100,0)</f>
        <v>0</v>
      </c>
    </row>
    <row r="918" spans="10:10">
      <c r="J918" s="2">
        <f>IFERROR(I918/H918*100,0)</f>
        <v>0</v>
      </c>
    </row>
    <row r="919" spans="10:10">
      <c r="J919" s="2">
        <f>IFERROR(I919/H919*100,0)</f>
        <v>0</v>
      </c>
    </row>
    <row r="920" spans="10:10">
      <c r="J920" s="2">
        <f>IFERROR(I920/H920*100,0)</f>
        <v>0</v>
      </c>
    </row>
    <row r="921" spans="10:10">
      <c r="J921" s="2">
        <f>IFERROR(I921/H921*100,0)</f>
        <v>0</v>
      </c>
    </row>
    <row r="922" spans="10:10">
      <c r="J922" s="2">
        <f>IFERROR(I922/H922*100,0)</f>
        <v>0</v>
      </c>
    </row>
    <row r="923" spans="10:10">
      <c r="J923" s="2">
        <f>IFERROR(I923/H923*100,0)</f>
        <v>0</v>
      </c>
    </row>
    <row r="924" spans="10:10">
      <c r="J924" s="2">
        <f>IFERROR(I924/H924*100,0)</f>
        <v>0</v>
      </c>
    </row>
    <row r="925" spans="10:10">
      <c r="J925" s="2">
        <f>IFERROR(I925/H925*100,0)</f>
        <v>0</v>
      </c>
    </row>
    <row r="926" spans="10:10">
      <c r="J926" s="2">
        <f>IFERROR(I926/H926*100,0)</f>
        <v>0</v>
      </c>
    </row>
    <row r="927" spans="10:10">
      <c r="J927" s="2">
        <f>IFERROR(I927/H927*100,0)</f>
        <v>0</v>
      </c>
    </row>
    <row r="928" spans="10:10">
      <c r="J928" s="2">
        <f>IFERROR(I928/H928*100,0)</f>
        <v>0</v>
      </c>
    </row>
    <row r="929" spans="10:10">
      <c r="J929" s="2">
        <f>IFERROR(I929/H929*100,0)</f>
        <v>0</v>
      </c>
    </row>
    <row r="930" spans="10:10">
      <c r="J930" s="2">
        <f>IFERROR(I930/H930*100,0)</f>
        <v>0</v>
      </c>
    </row>
    <row r="931" spans="10:10">
      <c r="J931" s="2">
        <f>IFERROR(I931/H931*100,0)</f>
        <v>0</v>
      </c>
    </row>
    <row r="932" spans="10:10">
      <c r="J932" s="2">
        <f>IFERROR(I932/H932*100,0)</f>
        <v>0</v>
      </c>
    </row>
    <row r="933" spans="10:10">
      <c r="J933" s="2">
        <f>IFERROR(I933/H933*100,0)</f>
        <v>0</v>
      </c>
    </row>
    <row r="934" spans="10:10">
      <c r="J934" s="2">
        <f>IFERROR(I934/H934*100,0)</f>
        <v>0</v>
      </c>
    </row>
    <row r="935" spans="10:10">
      <c r="J935" s="2">
        <f>IFERROR(I935/H935*100,0)</f>
        <v>0</v>
      </c>
    </row>
    <row r="936" spans="10:10">
      <c r="J936" s="2">
        <f>IFERROR(I936/H936*100,0)</f>
        <v>0</v>
      </c>
    </row>
    <row r="937" spans="10:10">
      <c r="J937" s="2">
        <f>IFERROR(I937/H937*100,0)</f>
        <v>0</v>
      </c>
    </row>
    <row r="938" spans="10:10">
      <c r="J938" s="2">
        <f>IFERROR(I938/H938*100,0)</f>
        <v>0</v>
      </c>
    </row>
    <row r="939" spans="10:10">
      <c r="J939" s="2">
        <f>IFERROR(I939/H939*100,0)</f>
        <v>0</v>
      </c>
    </row>
    <row r="940" spans="10:10">
      <c r="J940" s="2">
        <f>IFERROR(I940/H940*100,0)</f>
        <v>0</v>
      </c>
    </row>
    <row r="941" spans="10:10">
      <c r="J941" s="2">
        <f>IFERROR(I941/H941*100,0)</f>
        <v>0</v>
      </c>
    </row>
    <row r="942" spans="10:10">
      <c r="J942" s="2">
        <f>IFERROR(I942/H942*100,0)</f>
        <v>0</v>
      </c>
    </row>
    <row r="943" spans="10:10">
      <c r="J943" s="2">
        <f>IFERROR(I943/H943*100,0)</f>
        <v>0</v>
      </c>
    </row>
    <row r="944" spans="10:10">
      <c r="J944" s="2">
        <f>IFERROR(I944/H944*100,0)</f>
        <v>0</v>
      </c>
    </row>
    <row r="945" spans="10:10">
      <c r="J945" s="2">
        <f>IFERROR(I945/H945*100,0)</f>
        <v>0</v>
      </c>
    </row>
    <row r="946" spans="10:10">
      <c r="J946" s="2">
        <f>IFERROR(I946/H946*100,0)</f>
        <v>0</v>
      </c>
    </row>
    <row r="947" spans="10:10">
      <c r="J947" s="2">
        <f>IFERROR(I947/H947*100,0)</f>
        <v>0</v>
      </c>
    </row>
    <row r="948" spans="10:10">
      <c r="J948" s="2">
        <f>IFERROR(I948/H948*100,0)</f>
        <v>0</v>
      </c>
    </row>
    <row r="949" spans="10:10">
      <c r="J949" s="2">
        <f>IFERROR(I949/H949*100,0)</f>
        <v>0</v>
      </c>
    </row>
    <row r="950" spans="10:10">
      <c r="J950" s="2">
        <f>IFERROR(I950/H950*100,0)</f>
        <v>0</v>
      </c>
    </row>
    <row r="951" spans="10:10">
      <c r="J951" s="2">
        <f>IFERROR(I951/H951*100,0)</f>
        <v>0</v>
      </c>
    </row>
    <row r="952" spans="10:10">
      <c r="J952" s="2">
        <f>IFERROR(I952/H952*100,0)</f>
        <v>0</v>
      </c>
    </row>
    <row r="953" spans="10:10">
      <c r="J953" s="2">
        <f>IFERROR(I953/H953*100,0)</f>
        <v>0</v>
      </c>
    </row>
    <row r="954" spans="10:10">
      <c r="J954" s="2">
        <f>IFERROR(I954/H954*100,0)</f>
        <v>0</v>
      </c>
    </row>
    <row r="955" spans="10:10">
      <c r="J955" s="2">
        <f>IFERROR(I955/H955*100,0)</f>
        <v>0</v>
      </c>
    </row>
    <row r="956" spans="10:10">
      <c r="J956" s="2">
        <f>IFERROR(I956/H956*100,0)</f>
        <v>0</v>
      </c>
    </row>
    <row r="957" spans="10:10">
      <c r="J957" s="2">
        <f>IFERROR(I957/H957*100,0)</f>
        <v>0</v>
      </c>
    </row>
    <row r="958" spans="10:10">
      <c r="J958" s="2">
        <f>IFERROR(I958/H958*100,0)</f>
        <v>0</v>
      </c>
    </row>
    <row r="959" spans="10:10">
      <c r="J959" s="2">
        <f>IFERROR(I959/H959*100,0)</f>
        <v>0</v>
      </c>
    </row>
    <row r="960" spans="10:10">
      <c r="J960" s="2">
        <f>IFERROR(I960/H960*100,0)</f>
        <v>0</v>
      </c>
    </row>
    <row r="961" spans="10:10">
      <c r="J961" s="2">
        <f>IFERROR(I961/H961*100,0)</f>
        <v>0</v>
      </c>
    </row>
    <row r="962" spans="10:10">
      <c r="J962" s="2">
        <f>IFERROR(I962/H962*100,0)</f>
        <v>0</v>
      </c>
    </row>
    <row r="963" spans="10:10">
      <c r="J963" s="2">
        <f>IFERROR(I963/H963*100,0)</f>
        <v>0</v>
      </c>
    </row>
    <row r="964" spans="10:10">
      <c r="J964" s="2">
        <f>IFERROR(I964/H964*100,0)</f>
        <v>0</v>
      </c>
    </row>
    <row r="965" spans="10:10">
      <c r="J965" s="2">
        <f>IFERROR(I965/H965*100,0)</f>
        <v>0</v>
      </c>
    </row>
    <row r="966" spans="10:10">
      <c r="J966" s="2">
        <f>IFERROR(I966/H966*100,0)</f>
        <v>0</v>
      </c>
    </row>
    <row r="967" spans="10:10">
      <c r="J967" s="2">
        <f>IFERROR(I967/H967*100,0)</f>
        <v>0</v>
      </c>
    </row>
    <row r="968" spans="10:10">
      <c r="J968" s="2">
        <f>IFERROR(I968/H968*100,0)</f>
        <v>0</v>
      </c>
    </row>
    <row r="969" spans="10:10">
      <c r="J969" s="2">
        <f>IFERROR(I969/H969*100,0)</f>
        <v>0</v>
      </c>
    </row>
    <row r="970" spans="10:10">
      <c r="J970" s="2">
        <f>IFERROR(I970/H970*100,0)</f>
        <v>0</v>
      </c>
    </row>
    <row r="971" spans="10:10">
      <c r="J971" s="2">
        <f>IFERROR(I971/H971*100,0)</f>
        <v>0</v>
      </c>
    </row>
    <row r="972" spans="10:10">
      <c r="J972" s="2">
        <f>IFERROR(I972/H972*100,0)</f>
        <v>0</v>
      </c>
    </row>
    <row r="973" spans="10:10">
      <c r="J973" s="2">
        <f>IFERROR(I973/H973*100,0)</f>
        <v>0</v>
      </c>
    </row>
    <row r="974" spans="10:10">
      <c r="J974" s="2">
        <f>IFERROR(I974/H974*100,0)</f>
        <v>0</v>
      </c>
    </row>
    <row r="975" spans="10:10">
      <c r="J975" s="2">
        <f>IFERROR(I975/H975*100,0)</f>
        <v>0</v>
      </c>
    </row>
    <row r="976" spans="10:10">
      <c r="J976" s="2">
        <f>IFERROR(I976/H976*100,0)</f>
        <v>0</v>
      </c>
    </row>
    <row r="977" spans="10:10">
      <c r="J977" s="2">
        <f>IFERROR(I977/H977*100,0)</f>
        <v>0</v>
      </c>
    </row>
    <row r="978" spans="10:10">
      <c r="J978" s="2">
        <f>IFERROR(I978/H978*100,0)</f>
        <v>0</v>
      </c>
    </row>
    <row r="979" spans="10:10">
      <c r="J979" s="2">
        <f>IFERROR(I979/H979*100,0)</f>
        <v>0</v>
      </c>
    </row>
    <row r="980" spans="10:10">
      <c r="J980" s="2">
        <f>IFERROR(I980/H980*100,0)</f>
        <v>0</v>
      </c>
    </row>
    <row r="981" spans="10:10">
      <c r="J981" s="2">
        <f>IFERROR(I981/H981*100,0)</f>
        <v>0</v>
      </c>
    </row>
    <row r="982" spans="10:10">
      <c r="J982" s="2">
        <f>IFERROR(I982/H982*100,0)</f>
        <v>0</v>
      </c>
    </row>
    <row r="983" spans="10:10">
      <c r="J983" s="2">
        <f>IFERROR(I983/H983*100,0)</f>
        <v>0</v>
      </c>
    </row>
    <row r="984" spans="10:10">
      <c r="J984" s="2">
        <f>IFERROR(I984/H984*100,0)</f>
        <v>0</v>
      </c>
    </row>
    <row r="985" spans="10:10">
      <c r="J985" s="2">
        <f>IFERROR(I985/H985*100,0)</f>
        <v>0</v>
      </c>
    </row>
    <row r="986" spans="10:10">
      <c r="J986" s="2">
        <f>IFERROR(I986/H986*100,0)</f>
        <v>0</v>
      </c>
    </row>
    <row r="987" spans="10:10">
      <c r="J987" s="2">
        <f>IFERROR(I987/H987*100,0)</f>
        <v>0</v>
      </c>
    </row>
    <row r="988" spans="10:10">
      <c r="J988" s="2">
        <f>IFERROR(I988/H988*100,0)</f>
        <v>0</v>
      </c>
    </row>
    <row r="989" spans="10:10">
      <c r="J989" s="2">
        <f>IFERROR(I989/H989*100,0)</f>
        <v>0</v>
      </c>
    </row>
    <row r="990" spans="10:10">
      <c r="J990" s="2">
        <f>IFERROR(I990/H990*100,0)</f>
        <v>0</v>
      </c>
    </row>
    <row r="991" spans="10:10">
      <c r="J991" s="2">
        <f>IFERROR(I991/H991*100,0)</f>
        <v>0</v>
      </c>
    </row>
    <row r="992" spans="10:10">
      <c r="J992" s="2">
        <f>IFERROR(I992/H992*100,0)</f>
        <v>0</v>
      </c>
    </row>
    <row r="993" spans="10:10">
      <c r="J993" s="2">
        <f>IFERROR(I993/H993*100,0)</f>
        <v>0</v>
      </c>
    </row>
    <row r="994" spans="10:10">
      <c r="J994" s="2">
        <f>IFERROR(I994/H994*100,0)</f>
        <v>0</v>
      </c>
    </row>
    <row r="995" spans="10:10">
      <c r="J995" s="2">
        <f>IFERROR(I995/H995*100,0)</f>
        <v>0</v>
      </c>
    </row>
    <row r="996" spans="10:10">
      <c r="J996" s="2">
        <f>IFERROR(I996/H996*100,0)</f>
        <v>0</v>
      </c>
    </row>
    <row r="997" spans="10:10">
      <c r="J997" s="2">
        <f>IFERROR(I997/H997*100,0)</f>
        <v>0</v>
      </c>
    </row>
    <row r="998" spans="10:10">
      <c r="J998" s="2">
        <f>IFERROR(I998/H998*100,0)</f>
        <v>0</v>
      </c>
    </row>
    <row r="999" spans="10:10">
      <c r="J999" s="2">
        <f>IFERROR(I999/H999*100,0)</f>
        <v>0</v>
      </c>
    </row>
    <row r="1000" spans="10:10">
      <c r="J1000" s="2">
        <f>IFERROR(I1000/H1000*100,0)</f>
        <v>0</v>
      </c>
    </row>
    <row r="1001" spans="10:10">
      <c r="J1001" s="2">
        <f>IFERROR(I1001/H1001*100,0)</f>
        <v>0</v>
      </c>
    </row>
    <row r="1002" spans="10:10">
      <c r="J1002" s="2">
        <f>IFERROR(I1002/H1002*100,0)</f>
        <v>0</v>
      </c>
    </row>
    <row r="1003" spans="10:10">
      <c r="J1003" s="2">
        <f>IFERROR(I1003/H1003*100,0)</f>
        <v>0</v>
      </c>
    </row>
  </sheetData>
  <mergeCells count="2">
    <mergeCell ref="A1:N1"/>
    <mergeCell ref="A2:N2"/>
  </mergeCells>
  <dataValidations count="2">
    <dataValidation type="list" allowBlank="1" showInputMessage="1" showErrorMessage="1" sqref="E4:E100003">
      <formula1>L_Dept</formula1>
    </dataValidation>
    <dataValidation type="list" allowBlank="1" showInputMessage="1" showErrorMessage="1" sqref="F4:F100003">
      <formula1>L_Loc</formula1>
    </dataValidation>
  </dataValidations>
  <hyperlinks>
    <hyperlink ref="P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>
    <tabColor rgb="FF0B6EA8"/>
  </sheetPr>
  <dimension ref="B1:K20"/>
  <sheetViews>
    <sheetView showGridLines="0" workbookViewId="0"/>
  </sheetViews>
  <sheetFormatPr defaultRowHeight="15"/>
  <cols>
    <col min="1" max="1" width="2.7109375" customWidth="1"/>
    <col min="2" max="8" width="18.7109375" customWidth="1"/>
    <col min="9" max="11" width="14.7109375" customWidth="1"/>
  </cols>
  <sheetData>
    <row r="1" spans="2:11">
      <c r="B1" s="10" t="s">
        <v>139</v>
      </c>
    </row>
    <row r="2" spans="2:11">
      <c r="B2" s="11" t="s">
        <v>1685</v>
      </c>
      <c r="C2" s="11"/>
      <c r="D2" s="11"/>
      <c r="E2" s="11"/>
      <c r="F2" s="11"/>
      <c r="G2" s="11"/>
      <c r="H2" s="11"/>
      <c r="I2" s="11"/>
      <c r="J2" s="11"/>
      <c r="K2" s="11"/>
    </row>
    <row r="4" spans="2:11">
      <c r="B4" s="12" t="s">
        <v>129</v>
      </c>
      <c r="C4" s="12" t="s">
        <v>130</v>
      </c>
      <c r="D4" s="12" t="s">
        <v>288</v>
      </c>
      <c r="E4" s="12" t="s">
        <v>210</v>
      </c>
      <c r="F4" s="12" t="s">
        <v>1686</v>
      </c>
      <c r="G4" s="12" t="s">
        <v>1196</v>
      </c>
      <c r="H4" s="12" t="s">
        <v>127</v>
      </c>
      <c r="I4" s="12" t="s">
        <v>1687</v>
      </c>
      <c r="J4" s="12" t="s">
        <v>1689</v>
      </c>
      <c r="K4" s="12" t="s">
        <v>1690</v>
      </c>
    </row>
    <row r="5" spans="2:11">
      <c r="B5" s="13" t="s">
        <v>27</v>
      </c>
      <c r="C5" s="13" t="s">
        <v>87</v>
      </c>
      <c r="D5" s="13" t="s">
        <v>1144</v>
      </c>
      <c r="E5" s="13" t="s">
        <v>151</v>
      </c>
      <c r="F5" s="13" t="s">
        <v>10</v>
      </c>
      <c r="G5" s="13" t="s">
        <v>233</v>
      </c>
      <c r="H5" s="13" t="s">
        <v>3</v>
      </c>
      <c r="I5" s="13" t="s">
        <v>1688</v>
      </c>
      <c r="J5" s="13" t="s">
        <v>1688</v>
      </c>
      <c r="K5" s="13" t="s">
        <v>3</v>
      </c>
    </row>
    <row r="6" spans="2:11">
      <c r="B6" s="13" t="s">
        <v>92</v>
      </c>
      <c r="C6" s="13" t="s">
        <v>77</v>
      </c>
      <c r="D6" s="13" t="s">
        <v>226</v>
      </c>
      <c r="E6" s="13" t="s">
        <v>164</v>
      </c>
      <c r="F6" s="13" t="s">
        <v>42</v>
      </c>
      <c r="G6" s="13" t="s">
        <v>227</v>
      </c>
      <c r="H6" s="13" t="s">
        <v>19</v>
      </c>
      <c r="I6" s="13" t="s">
        <v>3</v>
      </c>
      <c r="J6" s="13" t="s">
        <v>27</v>
      </c>
      <c r="K6" s="13" t="s">
        <v>19</v>
      </c>
    </row>
    <row r="7" spans="2:11">
      <c r="B7" s="13" t="s">
        <v>39</v>
      </c>
      <c r="C7" s="13" t="s">
        <v>95</v>
      </c>
      <c r="D7" s="13" t="s">
        <v>582</v>
      </c>
      <c r="E7" s="13" t="s">
        <v>147</v>
      </c>
      <c r="F7" s="13" t="s">
        <v>17</v>
      </c>
      <c r="G7" s="13" t="s">
        <v>223</v>
      </c>
      <c r="H7" s="13" t="s">
        <v>44</v>
      </c>
      <c r="I7" s="13" t="s">
        <v>19</v>
      </c>
      <c r="J7" s="13" t="s">
        <v>92</v>
      </c>
      <c r="K7" s="13" t="s">
        <v>44</v>
      </c>
    </row>
    <row r="8" spans="2:11">
      <c r="B8" s="13" t="s">
        <v>89</v>
      </c>
      <c r="C8" s="13" t="s">
        <v>82</v>
      </c>
      <c r="D8" s="13" t="s">
        <v>331</v>
      </c>
      <c r="E8" s="13" t="s">
        <v>142</v>
      </c>
      <c r="F8" s="13" t="s">
        <v>96</v>
      </c>
      <c r="H8" s="13" t="s">
        <v>53</v>
      </c>
      <c r="I8" s="13" t="s">
        <v>44</v>
      </c>
      <c r="J8" s="13" t="s">
        <v>39</v>
      </c>
      <c r="K8" s="13" t="s">
        <v>53</v>
      </c>
    </row>
    <row r="9" spans="2:11">
      <c r="B9" s="13" t="s">
        <v>65</v>
      </c>
      <c r="C9" s="13" t="s">
        <v>80</v>
      </c>
      <c r="F9" s="13" t="s">
        <v>24</v>
      </c>
      <c r="H9" s="13" t="s">
        <v>60</v>
      </c>
      <c r="I9" s="13" t="s">
        <v>53</v>
      </c>
      <c r="J9" s="13" t="s">
        <v>89</v>
      </c>
      <c r="K9" s="13" t="s">
        <v>60</v>
      </c>
    </row>
    <row r="10" spans="2:11">
      <c r="B10" s="13" t="s">
        <v>5</v>
      </c>
      <c r="C10" s="13" t="s">
        <v>31</v>
      </c>
      <c r="H10" s="13" t="s">
        <v>73</v>
      </c>
      <c r="I10" s="13" t="s">
        <v>60</v>
      </c>
      <c r="J10" s="13" t="s">
        <v>65</v>
      </c>
      <c r="K10" s="13" t="s">
        <v>73</v>
      </c>
    </row>
    <row r="11" spans="2:11">
      <c r="B11" s="13" t="s">
        <v>50</v>
      </c>
      <c r="C11" s="13" t="s">
        <v>40</v>
      </c>
      <c r="H11" s="13" t="s">
        <v>76</v>
      </c>
      <c r="I11" s="13" t="s">
        <v>73</v>
      </c>
      <c r="J11" s="13" t="s">
        <v>5</v>
      </c>
      <c r="K11" s="13" t="s">
        <v>76</v>
      </c>
    </row>
    <row r="12" spans="2:11">
      <c r="B12" s="13" t="s">
        <v>46</v>
      </c>
      <c r="C12" s="13" t="s">
        <v>51</v>
      </c>
      <c r="H12" s="13" t="s">
        <v>86</v>
      </c>
      <c r="I12" s="13" t="s">
        <v>76</v>
      </c>
      <c r="J12" s="13" t="s">
        <v>50</v>
      </c>
      <c r="K12" s="13" t="s">
        <v>86</v>
      </c>
    </row>
    <row r="13" spans="2:11">
      <c r="B13" s="13" t="s">
        <v>13</v>
      </c>
      <c r="C13" s="13" t="s">
        <v>6</v>
      </c>
      <c r="H13" s="13" t="s">
        <v>102</v>
      </c>
      <c r="I13" s="13" t="s">
        <v>86</v>
      </c>
      <c r="J13" s="13" t="s">
        <v>46</v>
      </c>
      <c r="K13" s="13" t="s">
        <v>102</v>
      </c>
    </row>
    <row r="14" spans="2:11">
      <c r="B14" s="13" t="s">
        <v>58</v>
      </c>
      <c r="C14" s="13" t="s">
        <v>14</v>
      </c>
      <c r="H14" s="13" t="s">
        <v>106</v>
      </c>
      <c r="I14" s="13" t="s">
        <v>102</v>
      </c>
      <c r="J14" s="13" t="s">
        <v>13</v>
      </c>
      <c r="K14" s="13" t="s">
        <v>106</v>
      </c>
    </row>
    <row r="15" spans="2:11">
      <c r="C15" s="13" t="s">
        <v>21</v>
      </c>
      <c r="H15" s="13" t="s">
        <v>111</v>
      </c>
      <c r="I15" s="13" t="s">
        <v>106</v>
      </c>
      <c r="J15" s="13" t="s">
        <v>58</v>
      </c>
      <c r="K15" s="13" t="s">
        <v>111</v>
      </c>
    </row>
    <row r="16" spans="2:11">
      <c r="C16" s="13" t="s">
        <v>35</v>
      </c>
      <c r="H16" s="13" t="s">
        <v>122</v>
      </c>
      <c r="I16" s="13" t="s">
        <v>111</v>
      </c>
      <c r="K16" s="13" t="s">
        <v>122</v>
      </c>
    </row>
    <row r="17" spans="9:11">
      <c r="I17" s="13" t="s">
        <v>122</v>
      </c>
      <c r="K17" s="13" t="s">
        <v>1507</v>
      </c>
    </row>
    <row r="18" spans="9:11">
      <c r="K18" s="13" t="s">
        <v>1548</v>
      </c>
    </row>
    <row r="19" spans="9:11">
      <c r="K19" s="13" t="s">
        <v>1565</v>
      </c>
    </row>
    <row r="20" spans="9:11">
      <c r="K20" s="13" t="s">
        <v>1581</v>
      </c>
    </row>
  </sheetData>
  <mergeCells count="1">
    <mergeCell ref="B2:K2"/>
  </mergeCells>
  <hyperlinks>
    <hyperlink ref="B1" location="'Home'!A1" display="Home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27">
    <tabColor rgb="FF334155"/>
  </sheetPr>
  <dimension ref="B1:D68"/>
  <sheetViews>
    <sheetView showGridLines="0" workbookViewId="0"/>
  </sheetViews>
  <sheetFormatPr defaultRowHeight="15"/>
  <cols>
    <col min="1" max="1" width="2.7109375" customWidth="1"/>
    <col min="2" max="2" width="34.7109375" customWidth="1"/>
    <col min="3" max="3" width="16.7109375" customWidth="1"/>
    <col min="4" max="4" width="40.7109375" customWidth="1"/>
  </cols>
  <sheetData>
    <row r="1" spans="2:4">
      <c r="B1" s="10" t="s">
        <v>139</v>
      </c>
    </row>
    <row r="2" spans="2:4">
      <c r="B2" s="11" t="s">
        <v>1691</v>
      </c>
      <c r="C2" s="11"/>
      <c r="D2" s="11"/>
    </row>
    <row r="5" spans="2:4">
      <c r="B5" s="14" t="s">
        <v>1692</v>
      </c>
      <c r="C5" s="14"/>
      <c r="D5" s="14"/>
    </row>
    <row r="6" spans="2:4">
      <c r="B6" s="15" t="s">
        <v>1693</v>
      </c>
      <c r="C6" s="16" t="s">
        <v>1694</v>
      </c>
    </row>
    <row r="7" spans="2:4">
      <c r="B7" s="15" t="s">
        <v>1695</v>
      </c>
      <c r="C7" s="16" t="s">
        <v>1696</v>
      </c>
    </row>
    <row r="8" spans="2:4">
      <c r="B8" s="15" t="s">
        <v>130</v>
      </c>
      <c r="C8" s="16" t="s">
        <v>1697</v>
      </c>
    </row>
    <row r="9" spans="2:4">
      <c r="B9" s="15" t="s">
        <v>1698</v>
      </c>
      <c r="C9" s="16">
        <v>2026</v>
      </c>
    </row>
    <row r="11" spans="2:4">
      <c r="B11" s="14" t="s">
        <v>1699</v>
      </c>
      <c r="C11" s="14"/>
      <c r="D11" s="14"/>
    </row>
    <row r="12" spans="2:4">
      <c r="B12" s="17" t="s">
        <v>1700</v>
      </c>
      <c r="D12" s="18" t="s">
        <v>1701</v>
      </c>
    </row>
    <row r="13" spans="2:4">
      <c r="B13" s="15" t="s">
        <v>3</v>
      </c>
      <c r="C13" s="16">
        <v>83333</v>
      </c>
    </row>
    <row r="14" spans="2:4">
      <c r="B14" s="15" t="s">
        <v>19</v>
      </c>
      <c r="C14" s="16">
        <v>83333</v>
      </c>
    </row>
    <row r="15" spans="2:4">
      <c r="B15" s="15" t="s">
        <v>44</v>
      </c>
      <c r="C15" s="16">
        <v>83333</v>
      </c>
    </row>
    <row r="16" spans="2:4">
      <c r="B16" s="15" t="s">
        <v>53</v>
      </c>
      <c r="C16" s="16">
        <v>83333</v>
      </c>
    </row>
    <row r="17" spans="2:4">
      <c r="B17" s="15" t="s">
        <v>60</v>
      </c>
      <c r="C17" s="16">
        <v>83333</v>
      </c>
    </row>
    <row r="18" spans="2:4">
      <c r="B18" s="15" t="s">
        <v>73</v>
      </c>
      <c r="C18" s="16">
        <v>83333</v>
      </c>
    </row>
    <row r="19" spans="2:4">
      <c r="B19" s="15" t="s">
        <v>76</v>
      </c>
      <c r="C19" s="16">
        <v>83333</v>
      </c>
    </row>
    <row r="20" spans="2:4">
      <c r="B20" s="15" t="s">
        <v>86</v>
      </c>
      <c r="C20" s="16">
        <v>83333</v>
      </c>
    </row>
    <row r="21" spans="2:4">
      <c r="B21" s="15" t="s">
        <v>102</v>
      </c>
      <c r="C21" s="16">
        <v>83333</v>
      </c>
    </row>
    <row r="22" spans="2:4">
      <c r="B22" s="15" t="s">
        <v>106</v>
      </c>
      <c r="C22" s="16">
        <v>83333</v>
      </c>
    </row>
    <row r="23" spans="2:4">
      <c r="B23" s="15" t="s">
        <v>111</v>
      </c>
      <c r="C23" s="16">
        <v>83333</v>
      </c>
    </row>
    <row r="24" spans="2:4">
      <c r="B24" s="15" t="s">
        <v>122</v>
      </c>
      <c r="C24" s="16">
        <v>83333</v>
      </c>
    </row>
    <row r="25" spans="2:4">
      <c r="B25" s="15" t="s">
        <v>1702</v>
      </c>
      <c r="C25" s="19">
        <f>SUM(C13:C24)</f>
        <v>0</v>
      </c>
    </row>
    <row r="27" spans="2:4">
      <c r="B27" s="15" t="s">
        <v>1703</v>
      </c>
      <c r="C27" s="16">
        <v>200000</v>
      </c>
      <c r="D27" s="18" t="s">
        <v>1704</v>
      </c>
    </row>
    <row r="28" spans="2:4">
      <c r="B28" s="15" t="s">
        <v>1705</v>
      </c>
      <c r="C28" s="16">
        <v>1000000</v>
      </c>
      <c r="D28" s="18" t="s">
        <v>1706</v>
      </c>
    </row>
    <row r="30" spans="2:4">
      <c r="B30" s="14" t="s">
        <v>1707</v>
      </c>
      <c r="C30" s="14"/>
      <c r="D30" s="14"/>
    </row>
    <row r="31" spans="2:4">
      <c r="B31" s="15" t="s">
        <v>1708</v>
      </c>
      <c r="C31" s="16">
        <v>0.9</v>
      </c>
      <c r="D31" s="18" t="s">
        <v>1709</v>
      </c>
    </row>
    <row r="32" spans="2:4">
      <c r="B32" s="15" t="s">
        <v>1710</v>
      </c>
      <c r="C32" s="16">
        <v>0.95</v>
      </c>
      <c r="D32" s="18"/>
    </row>
    <row r="33" spans="2:4">
      <c r="B33" s="15" t="s">
        <v>1711</v>
      </c>
      <c r="C33" s="16">
        <v>0.9</v>
      </c>
      <c r="D33" s="18"/>
    </row>
    <row r="34" spans="2:4">
      <c r="B34" s="15" t="s">
        <v>1712</v>
      </c>
      <c r="C34" s="16">
        <v>0.95</v>
      </c>
      <c r="D34" s="18"/>
    </row>
    <row r="35" spans="2:4">
      <c r="B35" s="15" t="s">
        <v>1713</v>
      </c>
      <c r="C35" s="16">
        <v>0.85</v>
      </c>
      <c r="D35" s="18" t="s">
        <v>1714</v>
      </c>
    </row>
    <row r="36" spans="2:4">
      <c r="B36" s="15" t="s">
        <v>1715</v>
      </c>
      <c r="C36" s="16">
        <v>0.85</v>
      </c>
      <c r="D36" s="18" t="s">
        <v>1716</v>
      </c>
    </row>
    <row r="37" spans="2:4">
      <c r="B37" s="15" t="s">
        <v>1717</v>
      </c>
      <c r="C37" s="16">
        <v>0.05</v>
      </c>
      <c r="D37" s="18" t="s">
        <v>1718</v>
      </c>
    </row>
    <row r="38" spans="2:4">
      <c r="B38" s="15" t="s">
        <v>1719</v>
      </c>
      <c r="C38" s="16">
        <v>1</v>
      </c>
      <c r="D38" s="18" t="s">
        <v>1718</v>
      </c>
    </row>
    <row r="39" spans="2:4">
      <c r="B39" s="15" t="s">
        <v>1720</v>
      </c>
      <c r="C39" s="16">
        <v>2</v>
      </c>
      <c r="D39" s="18" t="s">
        <v>1718</v>
      </c>
    </row>
    <row r="40" spans="2:4">
      <c r="B40" s="15" t="s">
        <v>1721</v>
      </c>
      <c r="C40" s="16">
        <v>0.8</v>
      </c>
      <c r="D40" s="18" t="s">
        <v>1722</v>
      </c>
    </row>
    <row r="42" spans="2:4">
      <c r="B42" s="14" t="s">
        <v>1723</v>
      </c>
      <c r="C42" s="14"/>
      <c r="D42" s="14"/>
    </row>
    <row r="43" spans="2:4">
      <c r="B43" s="15" t="s">
        <v>1724</v>
      </c>
      <c r="C43" s="16">
        <v>150</v>
      </c>
      <c r="D43" s="18" t="s">
        <v>1725</v>
      </c>
    </row>
    <row r="44" spans="2:4">
      <c r="B44" s="15" t="s">
        <v>1726</v>
      </c>
      <c r="C44" s="16">
        <v>8000</v>
      </c>
      <c r="D44" s="18" t="s">
        <v>1727</v>
      </c>
    </row>
    <row r="46" spans="2:4">
      <c r="B46" s="14" t="s">
        <v>1728</v>
      </c>
      <c r="C46" s="14"/>
      <c r="D46" s="14"/>
    </row>
    <row r="47" spans="2:4">
      <c r="B47" s="17" t="s">
        <v>130</v>
      </c>
      <c r="C47" s="17" t="s">
        <v>594</v>
      </c>
      <c r="D47" s="17" t="s">
        <v>1729</v>
      </c>
    </row>
    <row r="48" spans="2:4">
      <c r="B48" s="15" t="s">
        <v>87</v>
      </c>
      <c r="C48" s="16">
        <v>500</v>
      </c>
      <c r="D48" s="16">
        <v>460</v>
      </c>
    </row>
    <row r="49" spans="2:4">
      <c r="B49" s="15" t="s">
        <v>77</v>
      </c>
      <c r="C49" s="16">
        <v>340</v>
      </c>
      <c r="D49" s="16">
        <v>300</v>
      </c>
    </row>
    <row r="50" spans="2:4">
      <c r="B50" s="15" t="s">
        <v>95</v>
      </c>
      <c r="C50" s="16">
        <v>210</v>
      </c>
      <c r="D50" s="16">
        <v>200</v>
      </c>
    </row>
    <row r="51" spans="2:4">
      <c r="B51" s="15" t="s">
        <v>82</v>
      </c>
      <c r="C51" s="16">
        <v>302</v>
      </c>
      <c r="D51" s="16">
        <v>280</v>
      </c>
    </row>
    <row r="52" spans="2:4">
      <c r="B52" s="15" t="s">
        <v>51</v>
      </c>
      <c r="C52" s="16">
        <v>180</v>
      </c>
      <c r="D52" s="16">
        <v>165</v>
      </c>
    </row>
    <row r="55" spans="2:4">
      <c r="B55" s="14" t="s">
        <v>1730</v>
      </c>
      <c r="C55" s="14"/>
      <c r="D55" s="14"/>
    </row>
    <row r="56" spans="2:4">
      <c r="B56" s="15" t="s">
        <v>1731</v>
      </c>
      <c r="C56" s="16">
        <v>1.5</v>
      </c>
      <c r="D56" s="18" t="s">
        <v>1732</v>
      </c>
    </row>
    <row r="57" spans="2:4">
      <c r="B57" s="15" t="s">
        <v>1733</v>
      </c>
      <c r="C57" s="16">
        <v>2.5</v>
      </c>
      <c r="D57" s="18" t="s">
        <v>1734</v>
      </c>
    </row>
    <row r="59" spans="2:4">
      <c r="B59" s="14" t="s">
        <v>1735</v>
      </c>
      <c r="C59" s="14"/>
      <c r="D59" s="14"/>
    </row>
    <row r="60" spans="2:4">
      <c r="B60" s="15" t="s">
        <v>1736</v>
      </c>
      <c r="C60" s="16">
        <v>365</v>
      </c>
      <c r="D60" s="18" t="s">
        <v>1737</v>
      </c>
    </row>
    <row r="62" spans="2:4">
      <c r="B62" s="14" t="s">
        <v>1738</v>
      </c>
      <c r="C62" s="14"/>
      <c r="D62" s="14"/>
    </row>
    <row r="63" spans="2:4">
      <c r="B63" s="15" t="s">
        <v>1739</v>
      </c>
      <c r="C63" s="16">
        <v>0</v>
      </c>
      <c r="D63" s="18"/>
    </row>
    <row r="64" spans="2:4">
      <c r="B64" s="15" t="s">
        <v>1740</v>
      </c>
      <c r="C64" s="16">
        <v>0</v>
      </c>
      <c r="D64" s="18"/>
    </row>
    <row r="65" spans="2:4">
      <c r="B65" s="15" t="s">
        <v>1741</v>
      </c>
      <c r="C65" s="16">
        <v>0</v>
      </c>
      <c r="D65" s="18"/>
    </row>
    <row r="66" spans="2:4">
      <c r="B66" s="15" t="s">
        <v>1742</v>
      </c>
      <c r="C66" s="16">
        <v>0</v>
      </c>
      <c r="D66" s="18"/>
    </row>
    <row r="67" spans="2:4">
      <c r="B67" s="15" t="s">
        <v>1743</v>
      </c>
      <c r="C67" s="16">
        <v>0</v>
      </c>
      <c r="D67" s="18"/>
    </row>
    <row r="68" spans="2:4">
      <c r="B68" s="15" t="s">
        <v>1744</v>
      </c>
      <c r="C68" s="16">
        <v>0</v>
      </c>
      <c r="D68" s="18"/>
    </row>
  </sheetData>
  <mergeCells count="9">
    <mergeCell ref="B2:D2"/>
    <mergeCell ref="B5:D5"/>
    <mergeCell ref="B11:D11"/>
    <mergeCell ref="B30:D30"/>
    <mergeCell ref="B42:D42"/>
    <mergeCell ref="B46:D46"/>
    <mergeCell ref="B55:D55"/>
    <mergeCell ref="B59:D59"/>
    <mergeCell ref="B62:D62"/>
  </mergeCells>
  <hyperlinks>
    <hyperlink ref="B1" location="'Home'!A1" display="Home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8">
    <tabColor rgb="FF15A34A"/>
  </sheetPr>
  <dimension ref="B2:J14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10" width="14.7109375" customWidth="1"/>
  </cols>
  <sheetData>
    <row r="2" spans="2:10">
      <c r="B2" s="20" t="s">
        <v>1745</v>
      </c>
    </row>
    <row r="3" spans="2:10">
      <c r="B3" s="14" t="s">
        <v>1746</v>
      </c>
    </row>
    <row r="5" spans="2:10" ht="30" customHeight="1">
      <c r="B5" s="17" t="s">
        <v>1747</v>
      </c>
      <c r="C5" s="21" t="s">
        <v>1748</v>
      </c>
      <c r="D5" s="21"/>
      <c r="E5" s="21"/>
      <c r="F5" s="21"/>
      <c r="G5" s="21"/>
      <c r="H5" s="21"/>
      <c r="I5" s="21"/>
      <c r="J5" s="21"/>
    </row>
    <row r="6" spans="2:10" ht="30" customHeight="1">
      <c r="B6" s="17" t="s">
        <v>1749</v>
      </c>
      <c r="C6" s="21" t="s">
        <v>1750</v>
      </c>
      <c r="D6" s="21"/>
      <c r="E6" s="21"/>
      <c r="F6" s="21"/>
      <c r="G6" s="21"/>
      <c r="H6" s="21"/>
      <c r="I6" s="21"/>
      <c r="J6" s="21"/>
    </row>
    <row r="7" spans="2:10" ht="30" customHeight="1">
      <c r="B7" s="17" t="s">
        <v>1751</v>
      </c>
      <c r="C7" s="21" t="s">
        <v>1752</v>
      </c>
      <c r="D7" s="21"/>
      <c r="E7" s="21"/>
      <c r="F7" s="21"/>
      <c r="G7" s="21"/>
      <c r="H7" s="21"/>
      <c r="I7" s="21"/>
      <c r="J7" s="21"/>
    </row>
    <row r="8" spans="2:10" ht="30" customHeight="1">
      <c r="B8" s="17" t="s">
        <v>1753</v>
      </c>
      <c r="C8" s="21" t="s">
        <v>1754</v>
      </c>
      <c r="D8" s="21"/>
      <c r="E8" s="21"/>
      <c r="F8" s="21"/>
      <c r="G8" s="21"/>
      <c r="H8" s="21"/>
      <c r="I8" s="21"/>
      <c r="J8" s="21"/>
    </row>
    <row r="9" spans="2:10" ht="30" customHeight="1">
      <c r="B9" s="17" t="s">
        <v>1755</v>
      </c>
      <c r="C9" s="21" t="s">
        <v>1756</v>
      </c>
      <c r="D9" s="21"/>
      <c r="E9" s="21"/>
      <c r="F9" s="21"/>
      <c r="G9" s="21"/>
      <c r="H9" s="21"/>
      <c r="I9" s="21"/>
      <c r="J9" s="21"/>
    </row>
    <row r="10" spans="2:10" ht="30" customHeight="1">
      <c r="B10" s="17" t="s">
        <v>1757</v>
      </c>
      <c r="C10" s="21" t="s">
        <v>1758</v>
      </c>
      <c r="D10" s="21"/>
      <c r="E10" s="21"/>
      <c r="F10" s="21"/>
      <c r="G10" s="21"/>
      <c r="H10" s="21"/>
      <c r="I10" s="21"/>
      <c r="J10" s="21"/>
    </row>
    <row r="11" spans="2:10" ht="30" customHeight="1">
      <c r="B11" s="17" t="s">
        <v>1759</v>
      </c>
      <c r="C11" s="21" t="s">
        <v>1760</v>
      </c>
      <c r="D11" s="21"/>
      <c r="E11" s="21"/>
      <c r="F11" s="21"/>
      <c r="G11" s="21"/>
      <c r="H11" s="21"/>
      <c r="I11" s="21"/>
      <c r="J11" s="21"/>
    </row>
    <row r="12" spans="2:10" ht="30" customHeight="1">
      <c r="B12" s="17" t="s">
        <v>1761</v>
      </c>
      <c r="C12" s="21" t="s">
        <v>1762</v>
      </c>
      <c r="D12" s="21"/>
      <c r="E12" s="21"/>
      <c r="F12" s="21"/>
      <c r="G12" s="21"/>
      <c r="H12" s="21"/>
      <c r="I12" s="21"/>
      <c r="J12" s="21"/>
    </row>
    <row r="13" spans="2:10" ht="30" customHeight="1">
      <c r="B13" s="17" t="s">
        <v>1763</v>
      </c>
      <c r="C13" s="21" t="s">
        <v>1764</v>
      </c>
      <c r="D13" s="21"/>
      <c r="E13" s="21"/>
      <c r="F13" s="21"/>
      <c r="G13" s="21"/>
      <c r="H13" s="21"/>
      <c r="I13" s="21"/>
      <c r="J13" s="21"/>
    </row>
    <row r="14" spans="2:10" ht="30" customHeight="1">
      <c r="B14" s="17" t="s">
        <v>1765</v>
      </c>
      <c r="C14" s="21" t="s">
        <v>1766</v>
      </c>
      <c r="D14" s="21"/>
      <c r="E14" s="21"/>
      <c r="F14" s="21"/>
      <c r="G14" s="21"/>
      <c r="H14" s="21"/>
      <c r="I14" s="21"/>
      <c r="J14" s="21"/>
    </row>
  </sheetData>
  <mergeCells count="10"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</mergeCells>
  <hyperlinks>
    <hyperlink ref="B3" location="'Home'!A1" display="⌂ Back to Home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29">
    <tabColor rgb="FFDC2626"/>
  </sheetPr>
  <dimension ref="B1:J32"/>
  <sheetViews>
    <sheetView showGridLines="0" workbookViewId="0"/>
  </sheetViews>
  <sheetFormatPr defaultRowHeight="15"/>
  <cols>
    <col min="1" max="1" width="2.7109375" customWidth="1"/>
    <col min="2" max="2" width="26.7109375" customWidth="1"/>
    <col min="3" max="10" width="15.7109375" customWidth="1"/>
  </cols>
  <sheetData>
    <row r="1" spans="2:10">
      <c r="B1" s="10" t="s">
        <v>139</v>
      </c>
    </row>
    <row r="2" spans="2:10">
      <c r="B2" s="11" t="s">
        <v>1767</v>
      </c>
      <c r="C2" s="11"/>
      <c r="D2" s="11"/>
      <c r="E2" s="11"/>
      <c r="F2" s="11"/>
      <c r="G2" s="11"/>
      <c r="H2" s="11"/>
      <c r="I2" s="11"/>
      <c r="J2" s="11"/>
    </row>
    <row r="3" spans="2:10">
      <c r="B3" s="10" t="s">
        <v>1768</v>
      </c>
    </row>
    <row r="5" spans="2:10">
      <c r="B5" s="12" t="s">
        <v>1769</v>
      </c>
      <c r="C5" s="12" t="s">
        <v>1770</v>
      </c>
      <c r="D5" s="12" t="s">
        <v>1771</v>
      </c>
      <c r="E5" s="12" t="s">
        <v>1772</v>
      </c>
      <c r="F5" s="12" t="s">
        <v>1773</v>
      </c>
      <c r="G5" s="12" t="s">
        <v>1774</v>
      </c>
      <c r="H5" s="12" t="s">
        <v>1775</v>
      </c>
      <c r="I5" s="12" t="s">
        <v>1776</v>
      </c>
    </row>
    <row r="6" spans="2:10">
      <c r="B6" s="13" t="s">
        <v>1777</v>
      </c>
      <c r="C6" s="22">
        <f>COUNTA('Toolbox Talks'!$B$4:$B$51)</f>
        <v>0</v>
      </c>
      <c r="D6" s="22">
        <f>COUNTBLANK('Toolbox Talks'!$F$4:$F$51)</f>
        <v>0</v>
      </c>
      <c r="E6" s="22">
        <f>COUNTBLANK('Toolbox Talks'!$C$4:$C$51)</f>
        <v>0</v>
      </c>
      <c r="F6" s="22">
        <f>SUMPRODUCT((COUNTIF('Toolbox Talks'!$B$4:$B$51,'Toolbox Talks'!$B$4:$B$51)&gt;1)*1)</f>
        <v>0</v>
      </c>
      <c r="G6" s="22">
        <f>SUMPRODUCT(('Toolbox Talks'!$C$4:$C$51&lt;&gt;"")*(YEAR('Toolbox Talks'!$C$4:$C$51)&lt;&gt;ReportYear))</f>
        <v>0</v>
      </c>
      <c r="H6" s="23" t="s">
        <v>1778</v>
      </c>
      <c r="I6" s="13">
        <f>IF(N(D6)+N(E6)+N(F6)+N(G6)+N(H6)&gt;0,"⚠ REVIEW","✅ OK")</f>
        <v>0</v>
      </c>
    </row>
    <row r="7" spans="2:10">
      <c r="B7" s="13" t="s">
        <v>1779</v>
      </c>
      <c r="C7" s="22">
        <f>COUNTA('JSA Risk Assessment'!$B$4:$B$51)</f>
        <v>0</v>
      </c>
      <c r="D7" s="22">
        <f>COUNTBLANK('JSA Risk Assessment'!$F$4:$F$51)</f>
        <v>0</v>
      </c>
      <c r="E7" s="22">
        <f>COUNTBLANK('JSA Risk Assessment'!$C$4:$C$51)</f>
        <v>0</v>
      </c>
      <c r="F7" s="22">
        <f>SUMPRODUCT((COUNTIF('JSA Risk Assessment'!$B$4:$B$51,'JSA Risk Assessment'!$B$4:$B$51)&gt;1)*1)</f>
        <v>0</v>
      </c>
      <c r="G7" s="22">
        <f>SUMPRODUCT(('JSA Risk Assessment'!$C$4:$C$51&lt;&gt;"")*(YEAR('JSA Risk Assessment'!$C$4:$C$51)&lt;&gt;ReportYear))</f>
        <v>0</v>
      </c>
      <c r="H7" s="23" t="s">
        <v>1778</v>
      </c>
      <c r="I7" s="13">
        <f>IF(N(D7)+N(E7)+N(F7)+N(G7)+N(H7)&gt;0,"⚠ REVIEW","✅ OK")</f>
        <v>0</v>
      </c>
    </row>
    <row r="8" spans="2:10">
      <c r="B8" s="13" t="s">
        <v>1780</v>
      </c>
      <c r="C8" s="22">
        <f>COUNTA('Training'!$B$4:$B$51)</f>
        <v>0</v>
      </c>
      <c r="D8" s="22">
        <f>COUNTBLANK('Training'!$G$4:$G$51)</f>
        <v>0</v>
      </c>
      <c r="E8" s="22">
        <f>COUNTBLANK('Training'!$C$4:$C$51)</f>
        <v>0</v>
      </c>
      <c r="F8" s="22">
        <f>SUMPRODUCT((COUNTIF('Training'!$B$4:$B$51,'Training'!$B$4:$B$51)&gt;1)*1)</f>
        <v>0</v>
      </c>
      <c r="G8" s="22">
        <f>SUMPRODUCT(('Training'!$C$4:$C$51&lt;&gt;"")*(YEAR('Training'!$C$4:$C$51)&lt;&gt;ReportYear))</f>
        <v>0</v>
      </c>
      <c r="H8" s="23" t="s">
        <v>1778</v>
      </c>
      <c r="I8" s="13">
        <f>IF(N(D8)+N(E8)+N(F8)+N(G8)+N(H8)&gt;0,"⚠ REVIEW","✅ OK")</f>
        <v>0</v>
      </c>
    </row>
    <row r="9" spans="2:10">
      <c r="B9" s="13" t="s">
        <v>1781</v>
      </c>
      <c r="C9" s="22">
        <f>COUNTA('HSE Observations'!$B$4:$B$51)</f>
        <v>0</v>
      </c>
      <c r="D9" s="22">
        <f>COUNTBLANK('HSE Observations'!$G$4:$G$51)</f>
        <v>0</v>
      </c>
      <c r="E9" s="22">
        <f>COUNTBLANK('HSE Observations'!$C$4:$C$51)</f>
        <v>0</v>
      </c>
      <c r="F9" s="22">
        <f>SUMPRODUCT((COUNTIF('HSE Observations'!$B$4:$B$51,'HSE Observations'!$B$4:$B$51)&gt;1)*1)</f>
        <v>0</v>
      </c>
      <c r="G9" s="22">
        <f>SUMPRODUCT(('HSE Observations'!$C$4:$C$51&lt;&gt;"")*(YEAR('HSE Observations'!$C$4:$C$51)&lt;&gt;ReportYear))</f>
        <v>0</v>
      </c>
      <c r="H9" s="23" t="s">
        <v>1778</v>
      </c>
      <c r="I9" s="13">
        <f>IF(N(D9)+N(E9)+N(F9)+N(G9)+N(H9)&gt;0,"⚠ REVIEW","✅ OK")</f>
        <v>0</v>
      </c>
    </row>
    <row r="10" spans="2:10">
      <c r="B10" s="13" t="s">
        <v>1782</v>
      </c>
      <c r="C10" s="22">
        <f>COUNTA('Workplace Inspections'!$B$4:$B$51)</f>
        <v>0</v>
      </c>
      <c r="D10" s="22">
        <f>COUNTBLANK('Workplace Inspections'!$F$4:$F$51)</f>
        <v>0</v>
      </c>
      <c r="E10" s="22">
        <f>COUNTBLANK('Workplace Inspections'!$C$4:$C$51)</f>
        <v>0</v>
      </c>
      <c r="F10" s="22">
        <f>SUMPRODUCT((COUNTIF('Workplace Inspections'!$B$4:$B$51,'Workplace Inspections'!$B$4:$B$51)&gt;1)*1)</f>
        <v>0</v>
      </c>
      <c r="G10" s="22">
        <f>SUMPRODUCT(('Workplace Inspections'!$C$4:$C$51&lt;&gt;"")*(YEAR('Workplace Inspections'!$C$4:$C$51)&lt;&gt;ReportYear))</f>
        <v>0</v>
      </c>
      <c r="H10" s="23" t="s">
        <v>1778</v>
      </c>
      <c r="I10" s="13">
        <f>IF(N(D10)+N(E10)+N(F10)+N(G10)+N(H10)&gt;0,"⚠ REVIEW","✅ OK")</f>
        <v>0</v>
      </c>
    </row>
    <row r="11" spans="2:10">
      <c r="B11" s="13" t="s">
        <v>1783</v>
      </c>
      <c r="C11" s="22">
        <f>COUNTA('Equipment Inspections'!$B$4:$B$51)</f>
        <v>0</v>
      </c>
      <c r="D11" s="22">
        <f>COUNTBLANK('Equipment Inspections'!$F$4:$F$51)</f>
        <v>0</v>
      </c>
      <c r="E11" s="22">
        <f>COUNTBLANK('Equipment Inspections'!$C$4:$C$51)</f>
        <v>0</v>
      </c>
      <c r="F11" s="22">
        <f>SUMPRODUCT((COUNTIF('Equipment Inspections'!$B$4:$B$51,'Equipment Inspections'!$B$4:$B$51)&gt;1)*1)</f>
        <v>0</v>
      </c>
      <c r="G11" s="22">
        <f>SUMPRODUCT(('Equipment Inspections'!$C$4:$C$51&lt;&gt;"")*(YEAR('Equipment Inspections'!$C$4:$C$51)&lt;&gt;ReportYear))</f>
        <v>0</v>
      </c>
      <c r="H11" s="23" t="s">
        <v>1778</v>
      </c>
      <c r="I11" s="13">
        <f>IF(N(D11)+N(E11)+N(F11)+N(G11)+N(H11)&gt;0,"⚠ REVIEW","✅ OK")</f>
        <v>0</v>
      </c>
    </row>
    <row r="12" spans="2:10">
      <c r="B12" s="13" t="s">
        <v>1784</v>
      </c>
      <c r="C12" s="22">
        <f>COUNTA('Safety Walkthroughs'!$B$4:$B$51)</f>
        <v>0</v>
      </c>
      <c r="D12" s="22">
        <f>COUNTBLANK('Safety Walkthroughs'!$F$4:$F$51)</f>
        <v>0</v>
      </c>
      <c r="E12" s="22">
        <f>COUNTBLANK('Safety Walkthroughs'!$C$4:$C$51)</f>
        <v>0</v>
      </c>
      <c r="F12" s="22">
        <f>SUMPRODUCT((COUNTIF('Safety Walkthroughs'!$B$4:$B$51,'Safety Walkthroughs'!$B$4:$B$51)&gt;1)*1)</f>
        <v>0</v>
      </c>
      <c r="G12" s="22">
        <f>SUMPRODUCT(('Safety Walkthroughs'!$C$4:$C$51&lt;&gt;"")*(YEAR('Safety Walkthroughs'!$C$4:$C$51)&lt;&gt;ReportYear))</f>
        <v>0</v>
      </c>
      <c r="H12" s="23" t="s">
        <v>1778</v>
      </c>
      <c r="I12" s="13">
        <f>IF(N(D12)+N(E12)+N(F12)+N(G12)+N(H12)&gt;0,"⚠ REVIEW","✅ OK")</f>
        <v>0</v>
      </c>
    </row>
    <row r="13" spans="2:10">
      <c r="B13" s="13" t="s">
        <v>1785</v>
      </c>
      <c r="C13" s="22">
        <f>COUNTA('Safety Meetings'!$B$4:$B$51)</f>
        <v>0</v>
      </c>
      <c r="D13" s="22">
        <f>COUNTBLANK('Safety Meetings'!$G$4:$G$51)</f>
        <v>0</v>
      </c>
      <c r="E13" s="22">
        <f>COUNTBLANK('Safety Meetings'!$C$4:$C$51)</f>
        <v>0</v>
      </c>
      <c r="F13" s="22">
        <f>SUMPRODUCT((COUNTIF('Safety Meetings'!$B$4:$B$51,'Safety Meetings'!$B$4:$B$51)&gt;1)*1)</f>
        <v>0</v>
      </c>
      <c r="G13" s="22">
        <f>SUMPRODUCT(('Safety Meetings'!$C$4:$C$51&lt;&gt;"")*(YEAR('Safety Meetings'!$C$4:$C$51)&lt;&gt;ReportYear))</f>
        <v>0</v>
      </c>
      <c r="H13" s="23" t="s">
        <v>1778</v>
      </c>
      <c r="I13" s="13">
        <f>IF(N(D13)+N(E13)+N(F13)+N(G13)+N(H13)&gt;0,"⚠ REVIEW","✅ OK")</f>
        <v>0</v>
      </c>
    </row>
    <row r="14" spans="2:10">
      <c r="B14" s="13" t="s">
        <v>1786</v>
      </c>
      <c r="C14" s="22">
        <f>COUNTA('Safety Bulletins'!$B$4:$B$51)</f>
        <v>0</v>
      </c>
      <c r="D14" s="23" t="s">
        <v>1778</v>
      </c>
      <c r="E14" s="22">
        <f>COUNTBLANK('Safety Bulletins'!$C$4:$C$51)</f>
        <v>0</v>
      </c>
      <c r="F14" s="22">
        <f>SUMPRODUCT((COUNTIF('Safety Bulletins'!$B$4:$B$51,'Safety Bulletins'!$B$4:$B$51)&gt;1)*1)</f>
        <v>0</v>
      </c>
      <c r="G14" s="22">
        <f>SUMPRODUCT(('Safety Bulletins'!$C$4:$C$51&lt;&gt;"")*(YEAR('Safety Bulletins'!$C$4:$C$51)&lt;&gt;ReportYear))</f>
        <v>0</v>
      </c>
      <c r="H14" s="23" t="s">
        <v>1778</v>
      </c>
      <c r="I14" s="13">
        <f>IF(N(D14)+N(E14)+N(F14)+N(G14)+N(H14)&gt;0,"⚠ REVIEW","✅ OK")</f>
        <v>0</v>
      </c>
    </row>
    <row r="15" spans="2:10">
      <c r="B15" s="13" t="s">
        <v>1787</v>
      </c>
      <c r="C15" s="22">
        <f>COUNTA('Emergency Drills'!$B$4:$B$51)</f>
        <v>0</v>
      </c>
      <c r="D15" s="23" t="s">
        <v>1778</v>
      </c>
      <c r="E15" s="22">
        <f>COUNTBLANK('Emergency Drills'!$C$4:$C$51)</f>
        <v>0</v>
      </c>
      <c r="F15" s="22">
        <f>SUMPRODUCT((COUNTIF('Emergency Drills'!$B$4:$B$51,'Emergency Drills'!$B$4:$B$51)&gt;1)*1)</f>
        <v>0</v>
      </c>
      <c r="G15" s="22">
        <f>SUMPRODUCT(('Emergency Drills'!$C$4:$C$51&lt;&gt;"")*(YEAR('Emergency Drills'!$C$4:$C$51)&lt;&gt;ReportYear))</f>
        <v>0</v>
      </c>
      <c r="H15" s="23" t="s">
        <v>1778</v>
      </c>
      <c r="I15" s="13">
        <f>IF(N(D15)+N(E15)+N(F15)+N(G15)+N(H15)&gt;0,"⚠ REVIEW","✅ OK")</f>
        <v>0</v>
      </c>
    </row>
    <row r="16" spans="2:10">
      <c r="B16" s="13" t="s">
        <v>1788</v>
      </c>
      <c r="C16" s="22">
        <f>COUNTA('Internal Audits'!$B$4:$B$51)</f>
        <v>0</v>
      </c>
      <c r="D16" s="22">
        <f>COUNTBLANK('Internal Audits'!$G$4:$G$51)</f>
        <v>0</v>
      </c>
      <c r="E16" s="22">
        <f>COUNTBLANK('Internal Audits'!$C$4:$C$51)</f>
        <v>0</v>
      </c>
      <c r="F16" s="22">
        <f>SUMPRODUCT((COUNTIF('Internal Audits'!$B$4:$B$51,'Internal Audits'!$B$4:$B$51)&gt;1)*1)</f>
        <v>0</v>
      </c>
      <c r="G16" s="22">
        <f>SUMPRODUCT(('Internal Audits'!$C$4:$C$51&lt;&gt;"")*(YEAR('Internal Audits'!$C$4:$C$51)&lt;&gt;ReportYear))</f>
        <v>0</v>
      </c>
      <c r="H16" s="23" t="s">
        <v>1778</v>
      </c>
      <c r="I16" s="13">
        <f>IF(N(D16)+N(E16)+N(F16)+N(G16)+N(H16)&gt;0,"⚠ REVIEW","✅ OK")</f>
        <v>0</v>
      </c>
    </row>
    <row r="17" spans="2:9">
      <c r="B17" s="13" t="s">
        <v>1789</v>
      </c>
      <c r="C17" s="22">
        <f>COUNTA('External Audits'!$B$4:$B$51)</f>
        <v>0</v>
      </c>
      <c r="D17" s="22">
        <f>COUNTBLANK('External Audits'!$G$4:$G$51)</f>
        <v>0</v>
      </c>
      <c r="E17" s="22">
        <f>COUNTBLANK('External Audits'!$C$4:$C$51)</f>
        <v>0</v>
      </c>
      <c r="F17" s="22">
        <f>SUMPRODUCT((COUNTIF('External Audits'!$B$4:$B$51,'External Audits'!$B$4:$B$51)&gt;1)*1)</f>
        <v>0</v>
      </c>
      <c r="G17" s="22">
        <f>SUMPRODUCT(('External Audits'!$C$4:$C$51&lt;&gt;"")*(YEAR('External Audits'!$C$4:$C$51)&lt;&gt;ReportYear))</f>
        <v>0</v>
      </c>
      <c r="H17" s="23" t="s">
        <v>1778</v>
      </c>
      <c r="I17" s="13">
        <f>IF(N(D17)+N(E17)+N(F17)+N(G17)+N(H17)&gt;0,"⚠ REVIEW","✅ OK")</f>
        <v>0</v>
      </c>
    </row>
    <row r="18" spans="2:9">
      <c r="B18" s="13" t="s">
        <v>1790</v>
      </c>
      <c r="C18" s="22">
        <f>COUNTA('Management Visits'!$B$4:$B$51)</f>
        <v>0</v>
      </c>
      <c r="D18" s="22">
        <f>COUNTBLANK('Management Visits'!$F$4:$F$51)</f>
        <v>0</v>
      </c>
      <c r="E18" s="22">
        <f>COUNTBLANK('Management Visits'!$C$4:$C$51)</f>
        <v>0</v>
      </c>
      <c r="F18" s="22">
        <f>SUMPRODUCT((COUNTIF('Management Visits'!$B$4:$B$51,'Management Visits'!$B$4:$B$51)&gt;1)*1)</f>
        <v>0</v>
      </c>
      <c r="G18" s="22">
        <f>SUMPRODUCT(('Management Visits'!$C$4:$C$51&lt;&gt;"")*(YEAR('Management Visits'!$C$4:$C$51)&lt;&gt;ReportYear))</f>
        <v>0</v>
      </c>
      <c r="H18" s="23" t="s">
        <v>1778</v>
      </c>
      <c r="I18" s="13">
        <f>IF(N(D18)+N(E18)+N(F18)+N(G18)+N(H18)&gt;0,"⚠ REVIEW","✅ OK")</f>
        <v>0</v>
      </c>
    </row>
    <row r="19" spans="2:9">
      <c r="B19" s="13" t="s">
        <v>1791</v>
      </c>
      <c r="C19" s="22">
        <f>COUNTA('Management Reviews'!$B$4:$B$51)</f>
        <v>0</v>
      </c>
      <c r="D19" s="23" t="s">
        <v>1778</v>
      </c>
      <c r="E19" s="22">
        <f>COUNTBLANK('Management Reviews'!$C$4:$C$51)</f>
        <v>0</v>
      </c>
      <c r="F19" s="22">
        <f>SUMPRODUCT((COUNTIF('Management Reviews'!$B$4:$B$51,'Management Reviews'!$B$4:$B$51)&gt;1)*1)</f>
        <v>0</v>
      </c>
      <c r="G19" s="22">
        <f>SUMPRODUCT(('Management Reviews'!$C$4:$C$51&lt;&gt;"")*(YEAR('Management Reviews'!$C$4:$C$51)&lt;&gt;ReportYear))</f>
        <v>0</v>
      </c>
      <c r="H19" s="23" t="s">
        <v>1778</v>
      </c>
      <c r="I19" s="13">
        <f>IF(N(D19)+N(E19)+N(F19)+N(G19)+N(H19)&gt;0,"⚠ REVIEW","✅ OK")</f>
        <v>0</v>
      </c>
    </row>
    <row r="20" spans="2:9">
      <c r="B20" s="13" t="s">
        <v>1792</v>
      </c>
      <c r="C20" s="22">
        <f>COUNTA('Disciplinary Actions'!$B$4:$B$51)</f>
        <v>0</v>
      </c>
      <c r="D20" s="22">
        <f>COUNTBLANK('Disciplinary Actions'!$F$4:$F$51)</f>
        <v>0</v>
      </c>
      <c r="E20" s="22">
        <f>COUNTBLANK('Disciplinary Actions'!$C$4:$C$51)</f>
        <v>0</v>
      </c>
      <c r="F20" s="22">
        <f>SUMPRODUCT((COUNTIF('Disciplinary Actions'!$B$4:$B$51,'Disciplinary Actions'!$B$4:$B$51)&gt;1)*1)</f>
        <v>0</v>
      </c>
      <c r="G20" s="22">
        <f>SUMPRODUCT(('Disciplinary Actions'!$C$4:$C$51&lt;&gt;"")*(YEAR('Disciplinary Actions'!$C$4:$C$51)&lt;&gt;ReportYear))</f>
        <v>0</v>
      </c>
      <c r="H20" s="23" t="s">
        <v>1778</v>
      </c>
      <c r="I20" s="13">
        <f>IF(N(D20)+N(E20)+N(F20)+N(G20)+N(H20)&gt;0,"⚠ REVIEW","✅ OK")</f>
        <v>0</v>
      </c>
    </row>
    <row r="21" spans="2:9">
      <c r="B21" s="13" t="s">
        <v>1793</v>
      </c>
      <c r="C21" s="22">
        <f>COUNTA('Safety Awards'!$B$4:$B$51)</f>
        <v>0</v>
      </c>
      <c r="D21" s="22">
        <f>COUNTBLANK('Safety Awards'!$F$4:$F$51)</f>
        <v>0</v>
      </c>
      <c r="E21" s="22">
        <f>COUNTBLANK('Safety Awards'!$C$4:$C$51)</f>
        <v>0</v>
      </c>
      <c r="F21" s="22">
        <f>SUMPRODUCT((COUNTIF('Safety Awards'!$B$4:$B$51,'Safety Awards'!$B$4:$B$51)&gt;1)*1)</f>
        <v>0</v>
      </c>
      <c r="G21" s="22">
        <f>SUMPRODUCT(('Safety Awards'!$C$4:$C$51&lt;&gt;"")*(YEAR('Safety Awards'!$C$4:$C$51)&lt;&gt;ReportYear))</f>
        <v>0</v>
      </c>
      <c r="H21" s="23" t="s">
        <v>1778</v>
      </c>
      <c r="I21" s="13">
        <f>IF(N(D21)+N(E21)+N(F21)+N(G21)+N(H21)&gt;0,"⚠ REVIEW","✅ OK")</f>
        <v>0</v>
      </c>
    </row>
    <row r="22" spans="2:9">
      <c r="B22" s="13" t="s">
        <v>1794</v>
      </c>
      <c r="C22" s="22">
        <f>COUNTA('Stop Work Authority'!$B$4:$B$51)</f>
        <v>0</v>
      </c>
      <c r="D22" s="22">
        <f>COUNTBLANK('Stop Work Authority'!$F$4:$F$51)</f>
        <v>0</v>
      </c>
      <c r="E22" s="22">
        <f>COUNTBLANK('Stop Work Authority'!$C$4:$C$51)</f>
        <v>0</v>
      </c>
      <c r="F22" s="22">
        <f>SUMPRODUCT((COUNTIF('Stop Work Authority'!$B$4:$B$51,'Stop Work Authority'!$B$4:$B$51)&gt;1)*1)</f>
        <v>0</v>
      </c>
      <c r="G22" s="22">
        <f>SUMPRODUCT(('Stop Work Authority'!$C$4:$C$51&lt;&gt;"")*(YEAR('Stop Work Authority'!$C$4:$C$51)&lt;&gt;ReportYear))</f>
        <v>0</v>
      </c>
      <c r="H22" s="23" t="s">
        <v>1778</v>
      </c>
      <c r="I22" s="13">
        <f>IF(N(D22)+N(E22)+N(F22)+N(G22)+N(H22)&gt;0,"⚠ REVIEW","✅ OK")</f>
        <v>0</v>
      </c>
    </row>
    <row r="23" spans="2:9">
      <c r="B23" s="13" t="s">
        <v>1795</v>
      </c>
      <c r="C23" s="22">
        <f>COUNTA('Alcohol Tests'!$B$4:$B$51)</f>
        <v>0</v>
      </c>
      <c r="D23" s="22">
        <f>COUNTBLANK('Alcohol Tests'!$E$4:$E$51)</f>
        <v>0</v>
      </c>
      <c r="E23" s="22">
        <f>COUNTBLANK('Alcohol Tests'!$C$4:$C$51)</f>
        <v>0</v>
      </c>
      <c r="F23" s="22">
        <f>SUMPRODUCT((COUNTIF('Alcohol Tests'!$B$4:$B$51,'Alcohol Tests'!$B$4:$B$51)&gt;1)*1)</f>
        <v>0</v>
      </c>
      <c r="G23" s="22">
        <f>SUMPRODUCT(('Alcohol Tests'!$C$4:$C$51&lt;&gt;"")*(YEAR('Alcohol Tests'!$C$4:$C$51)&lt;&gt;ReportYear))</f>
        <v>0</v>
      </c>
      <c r="H23" s="23" t="s">
        <v>1778</v>
      </c>
      <c r="I23" s="13">
        <f>IF(N(D23)+N(E23)+N(F23)+N(G23)+N(H23)&gt;0,"⚠ REVIEW","✅ OK")</f>
        <v>0</v>
      </c>
    </row>
    <row r="24" spans="2:9">
      <c r="B24" s="13" t="s">
        <v>1796</v>
      </c>
      <c r="C24" s="22">
        <f>COUNTA('PTW Audits'!$B$4:$B$51)</f>
        <v>0</v>
      </c>
      <c r="D24" s="22">
        <f>COUNTBLANK('PTW Audits'!$F$4:$F$51)</f>
        <v>0</v>
      </c>
      <c r="E24" s="22">
        <f>COUNTBLANK('PTW Audits'!$C$4:$C$51)</f>
        <v>0</v>
      </c>
      <c r="F24" s="22">
        <f>SUMPRODUCT((COUNTIF('PTW Audits'!$B$4:$B$51,'PTW Audits'!$B$4:$B$51)&gt;1)*1)</f>
        <v>0</v>
      </c>
      <c r="G24" s="22">
        <f>SUMPRODUCT(('PTW Audits'!$C$4:$C$51&lt;&gt;"")*(YEAR('PTW Audits'!$C$4:$C$51)&lt;&gt;ReportYear))</f>
        <v>0</v>
      </c>
      <c r="H24" s="23" t="s">
        <v>1778</v>
      </c>
      <c r="I24" s="13">
        <f>IF(N(D24)+N(E24)+N(F24)+N(G24)+N(H24)&gt;0,"⚠ REVIEW","✅ OK")</f>
        <v>0</v>
      </c>
    </row>
    <row r="25" spans="2:9">
      <c r="B25" s="13" t="s">
        <v>1797</v>
      </c>
      <c r="C25" s="22">
        <f>COUNTA('Corrective Actions'!$B$4:$B$51)</f>
        <v>0</v>
      </c>
      <c r="D25" s="22">
        <f>COUNTBLANK('Corrective Actions'!$F$4:$F$51)</f>
        <v>0</v>
      </c>
      <c r="E25" s="22">
        <f>COUNTBLANK('Corrective Actions'!$C$4:$C$51)</f>
        <v>0</v>
      </c>
      <c r="F25" s="22">
        <f>SUMPRODUCT((COUNTIF('Corrective Actions'!$B$4:$B$51,'Corrective Actions'!$B$4:$B$51)&gt;1)*1)</f>
        <v>0</v>
      </c>
      <c r="G25" s="22">
        <f>SUMPRODUCT(('Corrective Actions'!$C$4:$C$51&lt;&gt;"")*(YEAR('Corrective Actions'!$C$4:$C$51)&lt;&gt;ReportYear))</f>
        <v>0</v>
      </c>
      <c r="H25" s="22">
        <f>SUMPRODUCT(('Corrective Actions'!$M$4:$M$51&lt;&gt;"")*('Corrective Actions'!$M$4:$M$51&lt;'Corrective Actions'!$C$4:$C$51))</f>
        <v>0</v>
      </c>
      <c r="I25" s="13">
        <f>IF(N(D25)+N(E25)+N(F25)+N(G25)+N(H25)&gt;0,"⚠ REVIEW","✅ OK")</f>
        <v>0</v>
      </c>
    </row>
    <row r="26" spans="2:9">
      <c r="B26" s="13" t="s">
        <v>1798</v>
      </c>
      <c r="C26" s="22">
        <f>COUNTA('NC Management'!$B$4:$B$51)</f>
        <v>0</v>
      </c>
      <c r="D26" s="22">
        <f>COUNTBLANK('NC Management'!$G$4:$G$51)</f>
        <v>0</v>
      </c>
      <c r="E26" s="22">
        <f>COUNTBLANK('NC Management'!$C$4:$C$51)</f>
        <v>0</v>
      </c>
      <c r="F26" s="22">
        <f>SUMPRODUCT((COUNTIF('NC Management'!$B$4:$B$51,'NC Management'!$B$4:$B$51)&gt;1)*1)</f>
        <v>0</v>
      </c>
      <c r="G26" s="22">
        <f>SUMPRODUCT(('NC Management'!$C$4:$C$51&lt;&gt;"")*(YEAR('NC Management'!$C$4:$C$51)&lt;&gt;ReportYear))</f>
        <v>0</v>
      </c>
      <c r="H26" s="22">
        <f>SUMPRODUCT(('NC Management'!$L$4:$L$51&lt;&gt;"")*('NC Management'!$L$4:$L$51&lt;'NC Management'!$C$4:$C$51))</f>
        <v>0</v>
      </c>
      <c r="I26" s="13">
        <f>IF(N(D26)+N(E26)+N(F26)+N(G26)+N(H26)&gt;0,"⚠ REVIEW","✅ OK")</f>
        <v>0</v>
      </c>
    </row>
    <row r="27" spans="2:9">
      <c r="B27" s="13" t="s">
        <v>1799</v>
      </c>
      <c r="C27" s="22">
        <f>COUNTA('Unsafe Acts'!$B$4:$B$51)</f>
        <v>0</v>
      </c>
      <c r="D27" s="22">
        <f>COUNTBLANK('Unsafe Acts'!$F$4:$F$51)</f>
        <v>0</v>
      </c>
      <c r="E27" s="22">
        <f>COUNTBLANK('Unsafe Acts'!$C$4:$C$51)</f>
        <v>0</v>
      </c>
      <c r="F27" s="22">
        <f>SUMPRODUCT((COUNTIF('Unsafe Acts'!$B$4:$B$51,'Unsafe Acts'!$B$4:$B$51)&gt;1)*1)</f>
        <v>0</v>
      </c>
      <c r="G27" s="22">
        <f>SUMPRODUCT(('Unsafe Acts'!$C$4:$C$51&lt;&gt;"")*(YEAR('Unsafe Acts'!$C$4:$C$51)&lt;&gt;ReportYear))</f>
        <v>0</v>
      </c>
      <c r="H27" s="23" t="s">
        <v>1778</v>
      </c>
      <c r="I27" s="13">
        <f>IF(N(D27)+N(E27)+N(F27)+N(G27)+N(H27)&gt;0,"⚠ REVIEW","✅ OK")</f>
        <v>0</v>
      </c>
    </row>
    <row r="28" spans="2:9">
      <c r="B28" s="13" t="s">
        <v>1800</v>
      </c>
      <c r="C28" s="22">
        <f>COUNTA('Unsafe Conditions'!$B$4:$B$51)</f>
        <v>0</v>
      </c>
      <c r="D28" s="22">
        <f>COUNTBLANK('Unsafe Conditions'!$F$4:$F$51)</f>
        <v>0</v>
      </c>
      <c r="E28" s="22">
        <f>COUNTBLANK('Unsafe Conditions'!$C$4:$C$51)</f>
        <v>0</v>
      </c>
      <c r="F28" s="22">
        <f>SUMPRODUCT((COUNTIF('Unsafe Conditions'!$B$4:$B$51,'Unsafe Conditions'!$B$4:$B$51)&gt;1)*1)</f>
        <v>0</v>
      </c>
      <c r="G28" s="22">
        <f>SUMPRODUCT(('Unsafe Conditions'!$C$4:$C$51&lt;&gt;"")*(YEAR('Unsafe Conditions'!$C$4:$C$51)&lt;&gt;ReportYear))</f>
        <v>0</v>
      </c>
      <c r="H28" s="23" t="s">
        <v>1778</v>
      </c>
      <c r="I28" s="13">
        <f>IF(N(D28)+N(E28)+N(F28)+N(G28)+N(H28)&gt;0,"⚠ REVIEW","✅ OK")</f>
        <v>0</v>
      </c>
    </row>
    <row r="29" spans="2:9">
      <c r="B29" s="13" t="s">
        <v>1801</v>
      </c>
      <c r="C29" s="22">
        <f>COUNTA('Incident'!$B$4:$B$51)</f>
        <v>0</v>
      </c>
      <c r="D29" s="22">
        <f>COUNTBLANK('Incident'!$H$4:$H$51)</f>
        <v>0</v>
      </c>
      <c r="E29" s="22">
        <f>COUNTBLANK('Incident'!$C$4:$C$51)</f>
        <v>0</v>
      </c>
      <c r="F29" s="22">
        <f>SUMPRODUCT((COUNTIF('Incident'!$B$4:$B$51,'Incident'!$B$4:$B$51)&gt;1)*1)</f>
        <v>0</v>
      </c>
      <c r="G29" s="22">
        <f>SUMPRODUCT(('Incident'!$C$4:$C$51&lt;&gt;"")*(YEAR('Incident'!$C$4:$C$51)&lt;&gt;ReportYear))</f>
        <v>0</v>
      </c>
      <c r="H29" s="22">
        <f>SUMPRODUCT(('Incident'!$AA$4:$AA$51&lt;&gt;"")*('Incident'!$AA$4:$AA$51&lt;'Incident'!$C$4:$C$51))</f>
        <v>0</v>
      </c>
      <c r="I29" s="13">
        <f>IF(N(D29)+N(E29)+N(F29)+N(G29)+N(H29)&gt;0,"⚠ REVIEW","✅ OK")</f>
        <v>0</v>
      </c>
    </row>
    <row r="30" spans="2:9">
      <c r="B30" s="13" t="s">
        <v>1802</v>
      </c>
      <c r="C30" s="22">
        <f>COUNTA('Environmental Perf'!$B$4:$B$51)</f>
        <v>0</v>
      </c>
      <c r="D30" s="22">
        <f>COUNTBLANK('Environmental Perf'!$E$4:$E$51)</f>
        <v>0</v>
      </c>
      <c r="E30" s="22">
        <f>COUNTBLANK('Environmental Perf'!$C$4:$C$51)</f>
        <v>0</v>
      </c>
      <c r="F30" s="22">
        <f>SUMPRODUCT((COUNTIF('Environmental Perf'!$B$4:$B$51,'Environmental Perf'!$B$4:$B$51)&gt;1)*1)</f>
        <v>0</v>
      </c>
      <c r="G30" s="22">
        <f>SUMPRODUCT(('Environmental Perf'!$C$4:$C$51&lt;&gt;"")*(YEAR('Environmental Perf'!$C$4:$C$51)&lt;&gt;ReportYear))</f>
        <v>0</v>
      </c>
      <c r="H30" s="23" t="s">
        <v>1778</v>
      </c>
      <c r="I30" s="13">
        <f>IF(N(D30)+N(E30)+N(F30)+N(G30)+N(H30)&gt;0,"⚠ REVIEW","✅ OK")</f>
        <v>0</v>
      </c>
    </row>
    <row r="32" spans="2:9">
      <c r="B32" s="17" t="s">
        <v>1803</v>
      </c>
      <c r="D32" s="24">
        <f>SUMPRODUCT(N(D$6:D$30))</f>
        <v>0</v>
      </c>
      <c r="E32" s="24">
        <f>SUMPRODUCT(N(E$6:E$30))</f>
        <v>0</v>
      </c>
      <c r="F32" s="24">
        <f>SUMPRODUCT(N(F$6:F$30))</f>
        <v>0</v>
      </c>
      <c r="G32" s="24">
        <f>SUMPRODUCT(N(G$6:G$30))</f>
        <v>0</v>
      </c>
      <c r="H32" s="24">
        <f>SUMPRODUCT(N(H$6:H$30))</f>
        <v>0</v>
      </c>
    </row>
  </sheetData>
  <mergeCells count="1">
    <mergeCell ref="B2:J2"/>
  </mergeCells>
  <conditionalFormatting sqref="I6:I30">
    <cfRule type="containsText" dxfId="0" priority="1" operator="containsText" text="REVIEW">
      <formula>NOT(ISERROR(SEARCH("REVIEW",I6)))</formula>
    </cfRule>
    <cfRule type="containsText" dxfId="1" priority="2" operator="containsText" text="OK">
      <formula>NOT(ISERROR(SEARCH("OK",I6)))</formula>
    </cfRule>
  </conditionalFormatting>
  <hyperlinks>
    <hyperlink ref="B1" location="'Home'!A1" display="Home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0">
    <tabColor rgb="FFD71920"/>
    <pageSetUpPr fitToPage="1"/>
  </sheetPr>
  <dimension ref="A1:R303"/>
  <sheetViews>
    <sheetView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12.7109375" style="1" customWidth="1"/>
    <col min="2" max="2" width="26.7109375" style="1" customWidth="1"/>
    <col min="3" max="5" width="12.7109375" style="1" customWidth="1"/>
    <col min="6" max="7" width="18.7109375" style="2" customWidth="1"/>
    <col min="8" max="14" width="26.7109375" style="1" customWidth="1"/>
    <col min="15" max="15" width="18.7109375" style="1" customWidth="1"/>
    <col min="16" max="16" width="12.7109375" style="1" customWidth="1"/>
  </cols>
  <sheetData>
    <row r="1" spans="1:18" ht="22" customHeight="1">
      <c r="A1" s="3" t="s">
        <v>1804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R1" s="4" t="s">
        <v>139</v>
      </c>
    </row>
    <row r="2" spans="1:18">
      <c r="A2" s="4" t="s">
        <v>1805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>
      <c r="A3" s="1" t="s">
        <v>124</v>
      </c>
      <c r="B3" s="1" t="s">
        <v>1806</v>
      </c>
      <c r="C3" s="1" t="s">
        <v>126</v>
      </c>
      <c r="D3" s="1" t="s">
        <v>1591</v>
      </c>
      <c r="E3" s="1" t="s">
        <v>1379</v>
      </c>
      <c r="F3" s="2" t="s">
        <v>129</v>
      </c>
      <c r="G3" s="2" t="s">
        <v>1807</v>
      </c>
      <c r="H3" s="1" t="s">
        <v>1808</v>
      </c>
      <c r="I3" s="1" t="s">
        <v>1809</v>
      </c>
      <c r="J3" s="1" t="s">
        <v>1810</v>
      </c>
      <c r="K3" s="1" t="s">
        <v>1811</v>
      </c>
      <c r="L3" s="1" t="s">
        <v>1812</v>
      </c>
      <c r="M3" s="1" t="s">
        <v>1604</v>
      </c>
      <c r="N3" s="1" t="s">
        <v>416</v>
      </c>
      <c r="O3" s="1" t="s">
        <v>1813</v>
      </c>
      <c r="P3" s="1" t="s">
        <v>288</v>
      </c>
    </row>
    <row r="4" spans="1:18">
      <c r="A4" s="1">
        <v>1</v>
      </c>
      <c r="B4" s="6"/>
      <c r="C4" s="5"/>
      <c r="D4" s="1"/>
      <c r="E4" s="1"/>
      <c r="F4" s="2">
        <f>IFERROR(INDEX('Incident'!$H$4:$H$100003,MATCH(D4,'Incident'!$B$4:$B$100003,0)),IFERROR(INDEX('NC Management'!$G$4:$G$100003,MATCH(E4,'NC Management'!$B$4:$B$100003,0)),""))</f>
        <v>0</v>
      </c>
      <c r="G4" s="2">
        <f>IFERROR(INDEX('Incident'!$N$4:$N$100003,MATCH(D4,'Incident'!$B$4:$B$100003,0)),IFERROR(INDEX('NC Management'!$F$4:$F$100003,MATCH(E4,'NC Management'!$B$4:$B$100003,0)),""))</f>
        <v>0</v>
      </c>
      <c r="H4" s="6"/>
      <c r="I4" s="6"/>
      <c r="J4" s="6"/>
      <c r="K4" s="6"/>
      <c r="L4" s="6"/>
      <c r="M4" s="6"/>
      <c r="N4" s="6"/>
      <c r="O4" s="6"/>
      <c r="P4" s="1"/>
    </row>
    <row r="5" spans="1:18">
      <c r="A5" s="1">
        <v>2</v>
      </c>
      <c r="B5" s="6"/>
      <c r="C5" s="5"/>
      <c r="D5" s="1"/>
      <c r="E5" s="1"/>
      <c r="F5" s="2">
        <f>IFERROR(INDEX('Incident'!$H$4:$H$100003,MATCH(D5,'Incident'!$B$4:$B$100003,0)),IFERROR(INDEX('NC Management'!$G$4:$G$100003,MATCH(E5,'NC Management'!$B$4:$B$100003,0)),""))</f>
        <v>0</v>
      </c>
      <c r="G5" s="2">
        <f>IFERROR(INDEX('Incident'!$N$4:$N$100003,MATCH(D5,'Incident'!$B$4:$B$100003,0)),IFERROR(INDEX('NC Management'!$F$4:$F$100003,MATCH(E5,'NC Management'!$B$4:$B$100003,0)),""))</f>
        <v>0</v>
      </c>
      <c r="H5" s="6"/>
      <c r="I5" s="6"/>
      <c r="J5" s="6"/>
      <c r="K5" s="6"/>
      <c r="L5" s="6"/>
      <c r="M5" s="6"/>
      <c r="N5" s="6"/>
      <c r="O5" s="6"/>
      <c r="P5" s="1"/>
    </row>
    <row r="6" spans="1:18">
      <c r="A6" s="1">
        <v>3</v>
      </c>
      <c r="B6" s="6"/>
      <c r="C6" s="5"/>
      <c r="D6" s="1"/>
      <c r="E6" s="1"/>
      <c r="F6" s="2">
        <f>IFERROR(INDEX('Incident'!$H$4:$H$100003,MATCH(D6,'Incident'!$B$4:$B$100003,0)),IFERROR(INDEX('NC Management'!$G$4:$G$100003,MATCH(E6,'NC Management'!$B$4:$B$100003,0)),""))</f>
        <v>0</v>
      </c>
      <c r="G6" s="2">
        <f>IFERROR(INDEX('Incident'!$N$4:$N$100003,MATCH(D6,'Incident'!$B$4:$B$100003,0)),IFERROR(INDEX('NC Management'!$F$4:$F$100003,MATCH(E6,'NC Management'!$B$4:$B$100003,0)),""))</f>
        <v>0</v>
      </c>
      <c r="H6" s="6"/>
      <c r="I6" s="6"/>
      <c r="J6" s="6"/>
      <c r="K6" s="6"/>
      <c r="L6" s="6"/>
      <c r="M6" s="6"/>
      <c r="N6" s="6"/>
      <c r="O6" s="6"/>
      <c r="P6" s="1"/>
    </row>
    <row r="7" spans="1:18">
      <c r="A7" s="1">
        <v>4</v>
      </c>
      <c r="B7" s="6"/>
      <c r="C7" s="5"/>
      <c r="D7" s="1"/>
      <c r="E7" s="1"/>
      <c r="F7" s="2">
        <f>IFERROR(INDEX('Incident'!$H$4:$H$100003,MATCH(D7,'Incident'!$B$4:$B$100003,0)),IFERROR(INDEX('NC Management'!$G$4:$G$100003,MATCH(E7,'NC Management'!$B$4:$B$100003,0)),""))</f>
        <v>0</v>
      </c>
      <c r="G7" s="2">
        <f>IFERROR(INDEX('Incident'!$N$4:$N$100003,MATCH(D7,'Incident'!$B$4:$B$100003,0)),IFERROR(INDEX('NC Management'!$F$4:$F$100003,MATCH(E7,'NC Management'!$B$4:$B$100003,0)),""))</f>
        <v>0</v>
      </c>
      <c r="H7" s="6"/>
      <c r="I7" s="6"/>
      <c r="J7" s="6"/>
      <c r="K7" s="6"/>
      <c r="L7" s="6"/>
      <c r="M7" s="6"/>
      <c r="N7" s="6"/>
      <c r="O7" s="6"/>
      <c r="P7" s="1"/>
    </row>
    <row r="8" spans="1:18">
      <c r="A8" s="1">
        <v>5</v>
      </c>
      <c r="B8" s="6"/>
      <c r="C8" s="5"/>
      <c r="D8" s="1"/>
      <c r="E8" s="1"/>
      <c r="F8" s="2">
        <f>IFERROR(INDEX('Incident'!$H$4:$H$100003,MATCH(D8,'Incident'!$B$4:$B$100003,0)),IFERROR(INDEX('NC Management'!$G$4:$G$100003,MATCH(E8,'NC Management'!$B$4:$B$100003,0)),""))</f>
        <v>0</v>
      </c>
      <c r="G8" s="2">
        <f>IFERROR(INDEX('Incident'!$N$4:$N$100003,MATCH(D8,'Incident'!$B$4:$B$100003,0)),IFERROR(INDEX('NC Management'!$F$4:$F$100003,MATCH(E8,'NC Management'!$B$4:$B$100003,0)),""))</f>
        <v>0</v>
      </c>
      <c r="H8" s="6"/>
      <c r="I8" s="6"/>
      <c r="J8" s="6"/>
      <c r="K8" s="6"/>
      <c r="L8" s="6"/>
      <c r="M8" s="6"/>
      <c r="N8" s="6"/>
      <c r="O8" s="6"/>
      <c r="P8" s="1"/>
    </row>
    <row r="9" spans="1:18">
      <c r="A9" s="1">
        <v>6</v>
      </c>
      <c r="B9" s="6"/>
      <c r="C9" s="5"/>
      <c r="D9" s="1"/>
      <c r="E9" s="1"/>
      <c r="F9" s="2">
        <f>IFERROR(INDEX('Incident'!$H$4:$H$100003,MATCH(D9,'Incident'!$B$4:$B$100003,0)),IFERROR(INDEX('NC Management'!$G$4:$G$100003,MATCH(E9,'NC Management'!$B$4:$B$100003,0)),""))</f>
        <v>0</v>
      </c>
      <c r="G9" s="2">
        <f>IFERROR(INDEX('Incident'!$N$4:$N$100003,MATCH(D9,'Incident'!$B$4:$B$100003,0)),IFERROR(INDEX('NC Management'!$F$4:$F$100003,MATCH(E9,'NC Management'!$B$4:$B$100003,0)),""))</f>
        <v>0</v>
      </c>
      <c r="H9" s="6"/>
      <c r="I9" s="6"/>
      <c r="J9" s="6"/>
      <c r="K9" s="6"/>
      <c r="L9" s="6"/>
      <c r="M9" s="6"/>
      <c r="N9" s="6"/>
      <c r="O9" s="6"/>
      <c r="P9" s="1"/>
    </row>
    <row r="10" spans="1:18">
      <c r="A10" s="1">
        <v>7</v>
      </c>
      <c r="B10" s="6"/>
      <c r="C10" s="5"/>
      <c r="D10" s="1"/>
      <c r="E10" s="1"/>
      <c r="F10" s="2">
        <f>IFERROR(INDEX('Incident'!$H$4:$H$100003,MATCH(D10,'Incident'!$B$4:$B$100003,0)),IFERROR(INDEX('NC Management'!$G$4:$G$100003,MATCH(E10,'NC Management'!$B$4:$B$100003,0)),""))</f>
        <v>0</v>
      </c>
      <c r="G10" s="2">
        <f>IFERROR(INDEX('Incident'!$N$4:$N$100003,MATCH(D10,'Incident'!$B$4:$B$100003,0)),IFERROR(INDEX('NC Management'!$F$4:$F$100003,MATCH(E10,'NC Management'!$B$4:$B$100003,0)),""))</f>
        <v>0</v>
      </c>
      <c r="H10" s="6"/>
      <c r="I10" s="6"/>
      <c r="J10" s="6"/>
      <c r="K10" s="6"/>
      <c r="L10" s="6"/>
      <c r="M10" s="6"/>
      <c r="N10" s="6"/>
      <c r="O10" s="6"/>
      <c r="P10" s="1"/>
    </row>
    <row r="11" spans="1:18">
      <c r="A11" s="1">
        <v>8</v>
      </c>
      <c r="B11" s="6"/>
      <c r="C11" s="5"/>
      <c r="D11" s="1"/>
      <c r="E11" s="1"/>
      <c r="F11" s="2">
        <f>IFERROR(INDEX('Incident'!$H$4:$H$100003,MATCH(D11,'Incident'!$B$4:$B$100003,0)),IFERROR(INDEX('NC Management'!$G$4:$G$100003,MATCH(E11,'NC Management'!$B$4:$B$100003,0)),""))</f>
        <v>0</v>
      </c>
      <c r="G11" s="2">
        <f>IFERROR(INDEX('Incident'!$N$4:$N$100003,MATCH(D11,'Incident'!$B$4:$B$100003,0)),IFERROR(INDEX('NC Management'!$F$4:$F$100003,MATCH(E11,'NC Management'!$B$4:$B$100003,0)),""))</f>
        <v>0</v>
      </c>
      <c r="H11" s="6"/>
      <c r="I11" s="6"/>
      <c r="J11" s="6"/>
      <c r="K11" s="6"/>
      <c r="L11" s="6"/>
      <c r="M11" s="6"/>
      <c r="N11" s="6"/>
      <c r="O11" s="6"/>
      <c r="P11" s="1"/>
    </row>
    <row r="12" spans="1:18">
      <c r="A12" s="1">
        <v>9</v>
      </c>
      <c r="B12" s="6"/>
      <c r="C12" s="5"/>
      <c r="D12" s="1"/>
      <c r="E12" s="1"/>
      <c r="F12" s="2">
        <f>IFERROR(INDEX('Incident'!$H$4:$H$100003,MATCH(D12,'Incident'!$B$4:$B$100003,0)),IFERROR(INDEX('NC Management'!$G$4:$G$100003,MATCH(E12,'NC Management'!$B$4:$B$100003,0)),""))</f>
        <v>0</v>
      </c>
      <c r="G12" s="2">
        <f>IFERROR(INDEX('Incident'!$N$4:$N$100003,MATCH(D12,'Incident'!$B$4:$B$100003,0)),IFERROR(INDEX('NC Management'!$F$4:$F$100003,MATCH(E12,'NC Management'!$B$4:$B$100003,0)),""))</f>
        <v>0</v>
      </c>
      <c r="H12" s="6"/>
      <c r="I12" s="6"/>
      <c r="J12" s="6"/>
      <c r="K12" s="6"/>
      <c r="L12" s="6"/>
      <c r="M12" s="6"/>
      <c r="N12" s="6"/>
      <c r="O12" s="6"/>
      <c r="P12" s="1"/>
    </row>
    <row r="13" spans="1:18">
      <c r="A13" s="1">
        <v>10</v>
      </c>
      <c r="B13" s="6"/>
      <c r="C13" s="5"/>
      <c r="D13" s="1"/>
      <c r="E13" s="1"/>
      <c r="F13" s="2">
        <f>IFERROR(INDEX('Incident'!$H$4:$H$100003,MATCH(D13,'Incident'!$B$4:$B$100003,0)),IFERROR(INDEX('NC Management'!$G$4:$G$100003,MATCH(E13,'NC Management'!$B$4:$B$100003,0)),""))</f>
        <v>0</v>
      </c>
      <c r="G13" s="2">
        <f>IFERROR(INDEX('Incident'!$N$4:$N$100003,MATCH(D13,'Incident'!$B$4:$B$100003,0)),IFERROR(INDEX('NC Management'!$F$4:$F$100003,MATCH(E13,'NC Management'!$B$4:$B$100003,0)),""))</f>
        <v>0</v>
      </c>
      <c r="H13" s="6"/>
      <c r="I13" s="6"/>
      <c r="J13" s="6"/>
      <c r="K13" s="6"/>
      <c r="L13" s="6"/>
      <c r="M13" s="6"/>
      <c r="N13" s="6"/>
      <c r="O13" s="6"/>
      <c r="P13" s="1"/>
    </row>
    <row r="14" spans="1:18">
      <c r="A14" s="1">
        <v>11</v>
      </c>
      <c r="B14" s="6"/>
      <c r="C14" s="5"/>
      <c r="D14" s="1"/>
      <c r="E14" s="1"/>
      <c r="F14" s="2">
        <f>IFERROR(INDEX('Incident'!$H$4:$H$100003,MATCH(D14,'Incident'!$B$4:$B$100003,0)),IFERROR(INDEX('NC Management'!$G$4:$G$100003,MATCH(E14,'NC Management'!$B$4:$B$100003,0)),""))</f>
        <v>0</v>
      </c>
      <c r="G14" s="2">
        <f>IFERROR(INDEX('Incident'!$N$4:$N$100003,MATCH(D14,'Incident'!$B$4:$B$100003,0)),IFERROR(INDEX('NC Management'!$F$4:$F$100003,MATCH(E14,'NC Management'!$B$4:$B$100003,0)),""))</f>
        <v>0</v>
      </c>
      <c r="H14" s="6"/>
      <c r="I14" s="6"/>
      <c r="J14" s="6"/>
      <c r="K14" s="6"/>
      <c r="L14" s="6"/>
      <c r="M14" s="6"/>
      <c r="N14" s="6"/>
      <c r="O14" s="6"/>
      <c r="P14" s="1"/>
    </row>
    <row r="15" spans="1:18">
      <c r="A15" s="1">
        <v>12</v>
      </c>
      <c r="B15" s="6"/>
      <c r="C15" s="5"/>
      <c r="D15" s="1"/>
      <c r="E15" s="1"/>
      <c r="F15" s="2">
        <f>IFERROR(INDEX('Incident'!$H$4:$H$100003,MATCH(D15,'Incident'!$B$4:$B$100003,0)),IFERROR(INDEX('NC Management'!$G$4:$G$100003,MATCH(E15,'NC Management'!$B$4:$B$100003,0)),""))</f>
        <v>0</v>
      </c>
      <c r="G15" s="2">
        <f>IFERROR(INDEX('Incident'!$N$4:$N$100003,MATCH(D15,'Incident'!$B$4:$B$100003,0)),IFERROR(INDEX('NC Management'!$F$4:$F$100003,MATCH(E15,'NC Management'!$B$4:$B$100003,0)),""))</f>
        <v>0</v>
      </c>
      <c r="H15" s="6"/>
      <c r="I15" s="6"/>
      <c r="J15" s="6"/>
      <c r="K15" s="6"/>
      <c r="L15" s="6"/>
      <c r="M15" s="6"/>
      <c r="N15" s="6"/>
      <c r="O15" s="6"/>
      <c r="P15" s="1"/>
    </row>
    <row r="16" spans="1:18">
      <c r="A16" s="1">
        <v>13</v>
      </c>
      <c r="B16" s="6"/>
      <c r="C16" s="5"/>
      <c r="D16" s="1"/>
      <c r="E16" s="1"/>
      <c r="F16" s="2">
        <f>IFERROR(INDEX('Incident'!$H$4:$H$100003,MATCH(D16,'Incident'!$B$4:$B$100003,0)),IFERROR(INDEX('NC Management'!$G$4:$G$100003,MATCH(E16,'NC Management'!$B$4:$B$100003,0)),""))</f>
        <v>0</v>
      </c>
      <c r="G16" s="2">
        <f>IFERROR(INDEX('Incident'!$N$4:$N$100003,MATCH(D16,'Incident'!$B$4:$B$100003,0)),IFERROR(INDEX('NC Management'!$F$4:$F$100003,MATCH(E16,'NC Management'!$B$4:$B$100003,0)),""))</f>
        <v>0</v>
      </c>
      <c r="H16" s="6"/>
      <c r="I16" s="6"/>
      <c r="J16" s="6"/>
      <c r="K16" s="6"/>
      <c r="L16" s="6"/>
      <c r="M16" s="6"/>
      <c r="N16" s="6"/>
      <c r="O16" s="6"/>
      <c r="P16" s="1"/>
    </row>
    <row r="17" spans="1:16">
      <c r="A17" s="1">
        <v>14</v>
      </c>
      <c r="B17" s="6"/>
      <c r="C17" s="5"/>
      <c r="D17" s="1"/>
      <c r="E17" s="1"/>
      <c r="F17" s="2">
        <f>IFERROR(INDEX('Incident'!$H$4:$H$100003,MATCH(D17,'Incident'!$B$4:$B$100003,0)),IFERROR(INDEX('NC Management'!$G$4:$G$100003,MATCH(E17,'NC Management'!$B$4:$B$100003,0)),""))</f>
        <v>0</v>
      </c>
      <c r="G17" s="2">
        <f>IFERROR(INDEX('Incident'!$N$4:$N$100003,MATCH(D17,'Incident'!$B$4:$B$100003,0)),IFERROR(INDEX('NC Management'!$F$4:$F$100003,MATCH(E17,'NC Management'!$B$4:$B$100003,0)),""))</f>
        <v>0</v>
      </c>
      <c r="H17" s="6"/>
      <c r="I17" s="6"/>
      <c r="J17" s="6"/>
      <c r="K17" s="6"/>
      <c r="L17" s="6"/>
      <c r="M17" s="6"/>
      <c r="N17" s="6"/>
      <c r="O17" s="6"/>
      <c r="P17" s="1"/>
    </row>
    <row r="18" spans="1:16">
      <c r="A18" s="1">
        <v>15</v>
      </c>
      <c r="B18" s="6"/>
      <c r="C18" s="5"/>
      <c r="D18" s="1"/>
      <c r="E18" s="1"/>
      <c r="F18" s="2">
        <f>IFERROR(INDEX('Incident'!$H$4:$H$100003,MATCH(D18,'Incident'!$B$4:$B$100003,0)),IFERROR(INDEX('NC Management'!$G$4:$G$100003,MATCH(E18,'NC Management'!$B$4:$B$100003,0)),""))</f>
        <v>0</v>
      </c>
      <c r="G18" s="2">
        <f>IFERROR(INDEX('Incident'!$N$4:$N$100003,MATCH(D18,'Incident'!$B$4:$B$100003,0)),IFERROR(INDEX('NC Management'!$F$4:$F$100003,MATCH(E18,'NC Management'!$B$4:$B$100003,0)),""))</f>
        <v>0</v>
      </c>
      <c r="H18" s="6"/>
      <c r="I18" s="6"/>
      <c r="J18" s="6"/>
      <c r="K18" s="6"/>
      <c r="L18" s="6"/>
      <c r="M18" s="6"/>
      <c r="N18" s="6"/>
      <c r="O18" s="6"/>
      <c r="P18" s="1"/>
    </row>
    <row r="19" spans="1:16">
      <c r="A19" s="1">
        <v>16</v>
      </c>
      <c r="B19" s="6"/>
      <c r="C19" s="5"/>
      <c r="D19" s="1"/>
      <c r="E19" s="1"/>
      <c r="F19" s="2">
        <f>IFERROR(INDEX('Incident'!$H$4:$H$100003,MATCH(D19,'Incident'!$B$4:$B$100003,0)),IFERROR(INDEX('NC Management'!$G$4:$G$100003,MATCH(E19,'NC Management'!$B$4:$B$100003,0)),""))</f>
        <v>0</v>
      </c>
      <c r="G19" s="2">
        <f>IFERROR(INDEX('Incident'!$N$4:$N$100003,MATCH(D19,'Incident'!$B$4:$B$100003,0)),IFERROR(INDEX('NC Management'!$F$4:$F$100003,MATCH(E19,'NC Management'!$B$4:$B$100003,0)),""))</f>
        <v>0</v>
      </c>
      <c r="H19" s="6"/>
      <c r="I19" s="6"/>
      <c r="J19" s="6"/>
      <c r="K19" s="6"/>
      <c r="L19" s="6"/>
      <c r="M19" s="6"/>
      <c r="N19" s="6"/>
      <c r="O19" s="6"/>
      <c r="P19" s="1"/>
    </row>
    <row r="20" spans="1:16">
      <c r="A20" s="1">
        <v>17</v>
      </c>
      <c r="B20" s="6"/>
      <c r="C20" s="5"/>
      <c r="D20" s="1"/>
      <c r="E20" s="1"/>
      <c r="F20" s="2">
        <f>IFERROR(INDEX('Incident'!$H$4:$H$100003,MATCH(D20,'Incident'!$B$4:$B$100003,0)),IFERROR(INDEX('NC Management'!$G$4:$G$100003,MATCH(E20,'NC Management'!$B$4:$B$100003,0)),""))</f>
        <v>0</v>
      </c>
      <c r="G20" s="2">
        <f>IFERROR(INDEX('Incident'!$N$4:$N$100003,MATCH(D20,'Incident'!$B$4:$B$100003,0)),IFERROR(INDEX('NC Management'!$F$4:$F$100003,MATCH(E20,'NC Management'!$B$4:$B$100003,0)),""))</f>
        <v>0</v>
      </c>
      <c r="H20" s="6"/>
      <c r="I20" s="6"/>
      <c r="J20" s="6"/>
      <c r="K20" s="6"/>
      <c r="L20" s="6"/>
      <c r="M20" s="6"/>
      <c r="N20" s="6"/>
      <c r="O20" s="6"/>
      <c r="P20" s="1"/>
    </row>
    <row r="21" spans="1:16">
      <c r="A21" s="1">
        <v>18</v>
      </c>
      <c r="B21" s="6"/>
      <c r="C21" s="5"/>
      <c r="D21" s="1"/>
      <c r="E21" s="1"/>
      <c r="F21" s="2">
        <f>IFERROR(INDEX('Incident'!$H$4:$H$100003,MATCH(D21,'Incident'!$B$4:$B$100003,0)),IFERROR(INDEX('NC Management'!$G$4:$G$100003,MATCH(E21,'NC Management'!$B$4:$B$100003,0)),""))</f>
        <v>0</v>
      </c>
      <c r="G21" s="2">
        <f>IFERROR(INDEX('Incident'!$N$4:$N$100003,MATCH(D21,'Incident'!$B$4:$B$100003,0)),IFERROR(INDEX('NC Management'!$F$4:$F$100003,MATCH(E21,'NC Management'!$B$4:$B$100003,0)),""))</f>
        <v>0</v>
      </c>
      <c r="H21" s="6"/>
      <c r="I21" s="6"/>
      <c r="J21" s="6"/>
      <c r="K21" s="6"/>
      <c r="L21" s="6"/>
      <c r="M21" s="6"/>
      <c r="N21" s="6"/>
      <c r="O21" s="6"/>
      <c r="P21" s="1"/>
    </row>
    <row r="22" spans="1:16">
      <c r="A22" s="1">
        <v>19</v>
      </c>
      <c r="B22" s="6"/>
      <c r="C22" s="5"/>
      <c r="D22" s="1"/>
      <c r="E22" s="1"/>
      <c r="F22" s="2">
        <f>IFERROR(INDEX('Incident'!$H$4:$H$100003,MATCH(D22,'Incident'!$B$4:$B$100003,0)),IFERROR(INDEX('NC Management'!$G$4:$G$100003,MATCH(E22,'NC Management'!$B$4:$B$100003,0)),""))</f>
        <v>0</v>
      </c>
      <c r="G22" s="2">
        <f>IFERROR(INDEX('Incident'!$N$4:$N$100003,MATCH(D22,'Incident'!$B$4:$B$100003,0)),IFERROR(INDEX('NC Management'!$F$4:$F$100003,MATCH(E22,'NC Management'!$B$4:$B$100003,0)),""))</f>
        <v>0</v>
      </c>
      <c r="H22" s="6"/>
      <c r="I22" s="6"/>
      <c r="J22" s="6"/>
      <c r="K22" s="6"/>
      <c r="L22" s="6"/>
      <c r="M22" s="6"/>
      <c r="N22" s="6"/>
      <c r="O22" s="6"/>
      <c r="P22" s="1"/>
    </row>
    <row r="23" spans="1:16">
      <c r="A23" s="1">
        <v>20</v>
      </c>
      <c r="B23" s="6"/>
      <c r="C23" s="5"/>
      <c r="D23" s="1"/>
      <c r="E23" s="1"/>
      <c r="F23" s="2">
        <f>IFERROR(INDEX('Incident'!$H$4:$H$100003,MATCH(D23,'Incident'!$B$4:$B$100003,0)),IFERROR(INDEX('NC Management'!$G$4:$G$100003,MATCH(E23,'NC Management'!$B$4:$B$100003,0)),""))</f>
        <v>0</v>
      </c>
      <c r="G23" s="2">
        <f>IFERROR(INDEX('Incident'!$N$4:$N$100003,MATCH(D23,'Incident'!$B$4:$B$100003,0)),IFERROR(INDEX('NC Management'!$F$4:$F$100003,MATCH(E23,'NC Management'!$B$4:$B$100003,0)),""))</f>
        <v>0</v>
      </c>
      <c r="H23" s="6"/>
      <c r="I23" s="6"/>
      <c r="J23" s="6"/>
      <c r="K23" s="6"/>
      <c r="L23" s="6"/>
      <c r="M23" s="6"/>
      <c r="N23" s="6"/>
      <c r="O23" s="6"/>
      <c r="P23" s="1"/>
    </row>
    <row r="24" spans="1:16">
      <c r="A24" s="1">
        <v>21</v>
      </c>
      <c r="B24" s="6"/>
      <c r="C24" s="5"/>
      <c r="D24" s="1"/>
      <c r="E24" s="1"/>
      <c r="F24" s="2">
        <f>IFERROR(INDEX('Incident'!$H$4:$H$100003,MATCH(D24,'Incident'!$B$4:$B$100003,0)),IFERROR(INDEX('NC Management'!$G$4:$G$100003,MATCH(E24,'NC Management'!$B$4:$B$100003,0)),""))</f>
        <v>0</v>
      </c>
      <c r="G24" s="2">
        <f>IFERROR(INDEX('Incident'!$N$4:$N$100003,MATCH(D24,'Incident'!$B$4:$B$100003,0)),IFERROR(INDEX('NC Management'!$F$4:$F$100003,MATCH(E24,'NC Management'!$B$4:$B$100003,0)),""))</f>
        <v>0</v>
      </c>
      <c r="H24" s="6"/>
      <c r="I24" s="6"/>
      <c r="J24" s="6"/>
      <c r="K24" s="6"/>
      <c r="L24" s="6"/>
      <c r="M24" s="6"/>
      <c r="N24" s="6"/>
      <c r="O24" s="6"/>
      <c r="P24" s="1"/>
    </row>
    <row r="25" spans="1:16">
      <c r="A25" s="1">
        <v>22</v>
      </c>
      <c r="B25" s="6"/>
      <c r="C25" s="5"/>
      <c r="D25" s="1"/>
      <c r="E25" s="1"/>
      <c r="F25" s="2">
        <f>IFERROR(INDEX('Incident'!$H$4:$H$100003,MATCH(D25,'Incident'!$B$4:$B$100003,0)),IFERROR(INDEX('NC Management'!$G$4:$G$100003,MATCH(E25,'NC Management'!$B$4:$B$100003,0)),""))</f>
        <v>0</v>
      </c>
      <c r="G25" s="2">
        <f>IFERROR(INDEX('Incident'!$N$4:$N$100003,MATCH(D25,'Incident'!$B$4:$B$100003,0)),IFERROR(INDEX('NC Management'!$F$4:$F$100003,MATCH(E25,'NC Management'!$B$4:$B$100003,0)),""))</f>
        <v>0</v>
      </c>
      <c r="H25" s="6"/>
      <c r="I25" s="6"/>
      <c r="J25" s="6"/>
      <c r="K25" s="6"/>
      <c r="L25" s="6"/>
      <c r="M25" s="6"/>
      <c r="N25" s="6"/>
      <c r="O25" s="6"/>
      <c r="P25" s="1"/>
    </row>
    <row r="26" spans="1:16">
      <c r="A26" s="1">
        <v>23</v>
      </c>
      <c r="B26" s="6"/>
      <c r="C26" s="5"/>
      <c r="D26" s="1"/>
      <c r="E26" s="1"/>
      <c r="F26" s="2">
        <f>IFERROR(INDEX('Incident'!$H$4:$H$100003,MATCH(D26,'Incident'!$B$4:$B$100003,0)),IFERROR(INDEX('NC Management'!$G$4:$G$100003,MATCH(E26,'NC Management'!$B$4:$B$100003,0)),""))</f>
        <v>0</v>
      </c>
      <c r="G26" s="2">
        <f>IFERROR(INDEX('Incident'!$N$4:$N$100003,MATCH(D26,'Incident'!$B$4:$B$100003,0)),IFERROR(INDEX('NC Management'!$F$4:$F$100003,MATCH(E26,'NC Management'!$B$4:$B$100003,0)),""))</f>
        <v>0</v>
      </c>
      <c r="H26" s="6"/>
      <c r="I26" s="6"/>
      <c r="J26" s="6"/>
      <c r="K26" s="6"/>
      <c r="L26" s="6"/>
      <c r="M26" s="6"/>
      <c r="N26" s="6"/>
      <c r="O26" s="6"/>
      <c r="P26" s="1"/>
    </row>
    <row r="27" spans="1:16">
      <c r="A27" s="1">
        <v>24</v>
      </c>
      <c r="B27" s="6"/>
      <c r="C27" s="5"/>
      <c r="D27" s="1"/>
      <c r="E27" s="1"/>
      <c r="F27" s="2">
        <f>IFERROR(INDEX('Incident'!$H$4:$H$100003,MATCH(D27,'Incident'!$B$4:$B$100003,0)),IFERROR(INDEX('NC Management'!$G$4:$G$100003,MATCH(E27,'NC Management'!$B$4:$B$100003,0)),""))</f>
        <v>0</v>
      </c>
      <c r="G27" s="2">
        <f>IFERROR(INDEX('Incident'!$N$4:$N$100003,MATCH(D27,'Incident'!$B$4:$B$100003,0)),IFERROR(INDEX('NC Management'!$F$4:$F$100003,MATCH(E27,'NC Management'!$B$4:$B$100003,0)),""))</f>
        <v>0</v>
      </c>
      <c r="H27" s="6"/>
      <c r="I27" s="6"/>
      <c r="J27" s="6"/>
      <c r="K27" s="6"/>
      <c r="L27" s="6"/>
      <c r="M27" s="6"/>
      <c r="N27" s="6"/>
      <c r="O27" s="6"/>
      <c r="P27" s="1"/>
    </row>
    <row r="28" spans="1:16">
      <c r="A28" s="1">
        <v>25</v>
      </c>
      <c r="B28" s="6"/>
      <c r="C28" s="5"/>
      <c r="D28" s="1"/>
      <c r="E28" s="1"/>
      <c r="F28" s="2">
        <f>IFERROR(INDEX('Incident'!$H$4:$H$100003,MATCH(D28,'Incident'!$B$4:$B$100003,0)),IFERROR(INDEX('NC Management'!$G$4:$G$100003,MATCH(E28,'NC Management'!$B$4:$B$100003,0)),""))</f>
        <v>0</v>
      </c>
      <c r="G28" s="2">
        <f>IFERROR(INDEX('Incident'!$N$4:$N$100003,MATCH(D28,'Incident'!$B$4:$B$100003,0)),IFERROR(INDEX('NC Management'!$F$4:$F$100003,MATCH(E28,'NC Management'!$B$4:$B$100003,0)),""))</f>
        <v>0</v>
      </c>
      <c r="H28" s="6"/>
      <c r="I28" s="6"/>
      <c r="J28" s="6"/>
      <c r="K28" s="6"/>
      <c r="L28" s="6"/>
      <c r="M28" s="6"/>
      <c r="N28" s="6"/>
      <c r="O28" s="6"/>
      <c r="P28" s="1"/>
    </row>
    <row r="29" spans="1:16">
      <c r="A29" s="1">
        <v>26</v>
      </c>
      <c r="B29" s="6"/>
      <c r="C29" s="5"/>
      <c r="D29" s="1"/>
      <c r="E29" s="1"/>
      <c r="F29" s="2">
        <f>IFERROR(INDEX('Incident'!$H$4:$H$100003,MATCH(D29,'Incident'!$B$4:$B$100003,0)),IFERROR(INDEX('NC Management'!$G$4:$G$100003,MATCH(E29,'NC Management'!$B$4:$B$100003,0)),""))</f>
        <v>0</v>
      </c>
      <c r="G29" s="2">
        <f>IFERROR(INDEX('Incident'!$N$4:$N$100003,MATCH(D29,'Incident'!$B$4:$B$100003,0)),IFERROR(INDEX('NC Management'!$F$4:$F$100003,MATCH(E29,'NC Management'!$B$4:$B$100003,0)),""))</f>
        <v>0</v>
      </c>
      <c r="H29" s="6"/>
      <c r="I29" s="6"/>
      <c r="J29" s="6"/>
      <c r="K29" s="6"/>
      <c r="L29" s="6"/>
      <c r="M29" s="6"/>
      <c r="N29" s="6"/>
      <c r="O29" s="6"/>
      <c r="P29" s="1"/>
    </row>
    <row r="30" spans="1:16">
      <c r="A30" s="1">
        <v>27</v>
      </c>
      <c r="B30" s="6"/>
      <c r="C30" s="5"/>
      <c r="D30" s="1"/>
      <c r="E30" s="1"/>
      <c r="F30" s="2">
        <f>IFERROR(INDEX('Incident'!$H$4:$H$100003,MATCH(D30,'Incident'!$B$4:$B$100003,0)),IFERROR(INDEX('NC Management'!$G$4:$G$100003,MATCH(E30,'NC Management'!$B$4:$B$100003,0)),""))</f>
        <v>0</v>
      </c>
      <c r="G30" s="2">
        <f>IFERROR(INDEX('Incident'!$N$4:$N$100003,MATCH(D30,'Incident'!$B$4:$B$100003,0)),IFERROR(INDEX('NC Management'!$F$4:$F$100003,MATCH(E30,'NC Management'!$B$4:$B$100003,0)),""))</f>
        <v>0</v>
      </c>
      <c r="H30" s="6"/>
      <c r="I30" s="6"/>
      <c r="J30" s="6"/>
      <c r="K30" s="6"/>
      <c r="L30" s="6"/>
      <c r="M30" s="6"/>
      <c r="N30" s="6"/>
      <c r="O30" s="6"/>
      <c r="P30" s="1"/>
    </row>
    <row r="31" spans="1:16">
      <c r="A31" s="1">
        <v>28</v>
      </c>
      <c r="B31" s="6"/>
      <c r="C31" s="5"/>
      <c r="D31" s="1"/>
      <c r="E31" s="1"/>
      <c r="F31" s="2">
        <f>IFERROR(INDEX('Incident'!$H$4:$H$100003,MATCH(D31,'Incident'!$B$4:$B$100003,0)),IFERROR(INDEX('NC Management'!$G$4:$G$100003,MATCH(E31,'NC Management'!$B$4:$B$100003,0)),""))</f>
        <v>0</v>
      </c>
      <c r="G31" s="2">
        <f>IFERROR(INDEX('Incident'!$N$4:$N$100003,MATCH(D31,'Incident'!$B$4:$B$100003,0)),IFERROR(INDEX('NC Management'!$F$4:$F$100003,MATCH(E31,'NC Management'!$B$4:$B$100003,0)),""))</f>
        <v>0</v>
      </c>
      <c r="H31" s="6"/>
      <c r="I31" s="6"/>
      <c r="J31" s="6"/>
      <c r="K31" s="6"/>
      <c r="L31" s="6"/>
      <c r="M31" s="6"/>
      <c r="N31" s="6"/>
      <c r="O31" s="6"/>
      <c r="P31" s="1"/>
    </row>
    <row r="32" spans="1:16">
      <c r="A32" s="1">
        <v>29</v>
      </c>
      <c r="B32" s="6"/>
      <c r="C32" s="5"/>
      <c r="D32" s="1"/>
      <c r="E32" s="1"/>
      <c r="F32" s="2">
        <f>IFERROR(INDEX('Incident'!$H$4:$H$100003,MATCH(D32,'Incident'!$B$4:$B$100003,0)),IFERROR(INDEX('NC Management'!$G$4:$G$100003,MATCH(E32,'NC Management'!$B$4:$B$100003,0)),""))</f>
        <v>0</v>
      </c>
      <c r="G32" s="2">
        <f>IFERROR(INDEX('Incident'!$N$4:$N$100003,MATCH(D32,'Incident'!$B$4:$B$100003,0)),IFERROR(INDEX('NC Management'!$F$4:$F$100003,MATCH(E32,'NC Management'!$B$4:$B$100003,0)),""))</f>
        <v>0</v>
      </c>
      <c r="H32" s="6"/>
      <c r="I32" s="6"/>
      <c r="J32" s="6"/>
      <c r="K32" s="6"/>
      <c r="L32" s="6"/>
      <c r="M32" s="6"/>
      <c r="N32" s="6"/>
      <c r="O32" s="6"/>
      <c r="P32" s="1"/>
    </row>
    <row r="33" spans="1:16">
      <c r="A33" s="1">
        <v>30</v>
      </c>
      <c r="B33" s="6"/>
      <c r="C33" s="5"/>
      <c r="D33" s="1"/>
      <c r="E33" s="1"/>
      <c r="F33" s="2">
        <f>IFERROR(INDEX('Incident'!$H$4:$H$100003,MATCH(D33,'Incident'!$B$4:$B$100003,0)),IFERROR(INDEX('NC Management'!$G$4:$G$100003,MATCH(E33,'NC Management'!$B$4:$B$100003,0)),""))</f>
        <v>0</v>
      </c>
      <c r="G33" s="2">
        <f>IFERROR(INDEX('Incident'!$N$4:$N$100003,MATCH(D33,'Incident'!$B$4:$B$100003,0)),IFERROR(INDEX('NC Management'!$F$4:$F$100003,MATCH(E33,'NC Management'!$B$4:$B$100003,0)),""))</f>
        <v>0</v>
      </c>
      <c r="H33" s="6"/>
      <c r="I33" s="6"/>
      <c r="J33" s="6"/>
      <c r="K33" s="6"/>
      <c r="L33" s="6"/>
      <c r="M33" s="6"/>
      <c r="N33" s="6"/>
      <c r="O33" s="6"/>
      <c r="P33" s="1"/>
    </row>
    <row r="34" spans="1:16">
      <c r="A34" s="1">
        <v>31</v>
      </c>
      <c r="B34" s="6"/>
      <c r="C34" s="5"/>
      <c r="D34" s="1"/>
      <c r="E34" s="1"/>
      <c r="F34" s="2">
        <f>IFERROR(INDEX('Incident'!$H$4:$H$100003,MATCH(D34,'Incident'!$B$4:$B$100003,0)),IFERROR(INDEX('NC Management'!$G$4:$G$100003,MATCH(E34,'NC Management'!$B$4:$B$100003,0)),""))</f>
        <v>0</v>
      </c>
      <c r="G34" s="2">
        <f>IFERROR(INDEX('Incident'!$N$4:$N$100003,MATCH(D34,'Incident'!$B$4:$B$100003,0)),IFERROR(INDEX('NC Management'!$F$4:$F$100003,MATCH(E34,'NC Management'!$B$4:$B$100003,0)),""))</f>
        <v>0</v>
      </c>
      <c r="H34" s="6"/>
      <c r="I34" s="6"/>
      <c r="J34" s="6"/>
      <c r="K34" s="6"/>
      <c r="L34" s="6"/>
      <c r="M34" s="6"/>
      <c r="N34" s="6"/>
      <c r="O34" s="6"/>
      <c r="P34" s="1"/>
    </row>
    <row r="35" spans="1:16">
      <c r="A35" s="1">
        <v>32</v>
      </c>
      <c r="B35" s="6"/>
      <c r="C35" s="5"/>
      <c r="D35" s="1"/>
      <c r="E35" s="1"/>
      <c r="F35" s="2">
        <f>IFERROR(INDEX('Incident'!$H$4:$H$100003,MATCH(D35,'Incident'!$B$4:$B$100003,0)),IFERROR(INDEX('NC Management'!$G$4:$G$100003,MATCH(E35,'NC Management'!$B$4:$B$100003,0)),""))</f>
        <v>0</v>
      </c>
      <c r="G35" s="2">
        <f>IFERROR(INDEX('Incident'!$N$4:$N$100003,MATCH(D35,'Incident'!$B$4:$B$100003,0)),IFERROR(INDEX('NC Management'!$F$4:$F$100003,MATCH(E35,'NC Management'!$B$4:$B$100003,0)),""))</f>
        <v>0</v>
      </c>
      <c r="H35" s="6"/>
      <c r="I35" s="6"/>
      <c r="J35" s="6"/>
      <c r="K35" s="6"/>
      <c r="L35" s="6"/>
      <c r="M35" s="6"/>
      <c r="N35" s="6"/>
      <c r="O35" s="6"/>
      <c r="P35" s="1"/>
    </row>
    <row r="36" spans="1:16">
      <c r="A36" s="1">
        <v>33</v>
      </c>
      <c r="B36" s="6"/>
      <c r="C36" s="5"/>
      <c r="D36" s="1"/>
      <c r="E36" s="1"/>
      <c r="F36" s="2">
        <f>IFERROR(INDEX('Incident'!$H$4:$H$100003,MATCH(D36,'Incident'!$B$4:$B$100003,0)),IFERROR(INDEX('NC Management'!$G$4:$G$100003,MATCH(E36,'NC Management'!$B$4:$B$100003,0)),""))</f>
        <v>0</v>
      </c>
      <c r="G36" s="2">
        <f>IFERROR(INDEX('Incident'!$N$4:$N$100003,MATCH(D36,'Incident'!$B$4:$B$100003,0)),IFERROR(INDEX('NC Management'!$F$4:$F$100003,MATCH(E36,'NC Management'!$B$4:$B$100003,0)),""))</f>
        <v>0</v>
      </c>
      <c r="H36" s="6"/>
      <c r="I36" s="6"/>
      <c r="J36" s="6"/>
      <c r="K36" s="6"/>
      <c r="L36" s="6"/>
      <c r="M36" s="6"/>
      <c r="N36" s="6"/>
      <c r="O36" s="6"/>
      <c r="P36" s="1"/>
    </row>
    <row r="37" spans="1:16">
      <c r="A37" s="1">
        <v>34</v>
      </c>
      <c r="B37" s="6"/>
      <c r="C37" s="5"/>
      <c r="D37" s="1"/>
      <c r="E37" s="1"/>
      <c r="F37" s="2">
        <f>IFERROR(INDEX('Incident'!$H$4:$H$100003,MATCH(D37,'Incident'!$B$4:$B$100003,0)),IFERROR(INDEX('NC Management'!$G$4:$G$100003,MATCH(E37,'NC Management'!$B$4:$B$100003,0)),""))</f>
        <v>0</v>
      </c>
      <c r="G37" s="2">
        <f>IFERROR(INDEX('Incident'!$N$4:$N$100003,MATCH(D37,'Incident'!$B$4:$B$100003,0)),IFERROR(INDEX('NC Management'!$F$4:$F$100003,MATCH(E37,'NC Management'!$B$4:$B$100003,0)),""))</f>
        <v>0</v>
      </c>
      <c r="H37" s="6"/>
      <c r="I37" s="6"/>
      <c r="J37" s="6"/>
      <c r="K37" s="6"/>
      <c r="L37" s="6"/>
      <c r="M37" s="6"/>
      <c r="N37" s="6"/>
      <c r="O37" s="6"/>
      <c r="P37" s="1"/>
    </row>
    <row r="38" spans="1:16">
      <c r="A38" s="1">
        <v>35</v>
      </c>
      <c r="B38" s="6"/>
      <c r="C38" s="5"/>
      <c r="D38" s="1"/>
      <c r="E38" s="1"/>
      <c r="F38" s="2">
        <f>IFERROR(INDEX('Incident'!$H$4:$H$100003,MATCH(D38,'Incident'!$B$4:$B$100003,0)),IFERROR(INDEX('NC Management'!$G$4:$G$100003,MATCH(E38,'NC Management'!$B$4:$B$100003,0)),""))</f>
        <v>0</v>
      </c>
      <c r="G38" s="2">
        <f>IFERROR(INDEX('Incident'!$N$4:$N$100003,MATCH(D38,'Incident'!$B$4:$B$100003,0)),IFERROR(INDEX('NC Management'!$F$4:$F$100003,MATCH(E38,'NC Management'!$B$4:$B$100003,0)),""))</f>
        <v>0</v>
      </c>
      <c r="H38" s="6"/>
      <c r="I38" s="6"/>
      <c r="J38" s="6"/>
      <c r="K38" s="6"/>
      <c r="L38" s="6"/>
      <c r="M38" s="6"/>
      <c r="N38" s="6"/>
      <c r="O38" s="6"/>
      <c r="P38" s="1"/>
    </row>
    <row r="39" spans="1:16">
      <c r="A39" s="1">
        <v>36</v>
      </c>
      <c r="B39" s="6"/>
      <c r="C39" s="5"/>
      <c r="D39" s="1"/>
      <c r="E39" s="1"/>
      <c r="F39" s="2">
        <f>IFERROR(INDEX('Incident'!$H$4:$H$100003,MATCH(D39,'Incident'!$B$4:$B$100003,0)),IFERROR(INDEX('NC Management'!$G$4:$G$100003,MATCH(E39,'NC Management'!$B$4:$B$100003,0)),""))</f>
        <v>0</v>
      </c>
      <c r="G39" s="2">
        <f>IFERROR(INDEX('Incident'!$N$4:$N$100003,MATCH(D39,'Incident'!$B$4:$B$100003,0)),IFERROR(INDEX('NC Management'!$F$4:$F$100003,MATCH(E39,'NC Management'!$B$4:$B$100003,0)),""))</f>
        <v>0</v>
      </c>
      <c r="H39" s="6"/>
      <c r="I39" s="6"/>
      <c r="J39" s="6"/>
      <c r="K39" s="6"/>
      <c r="L39" s="6"/>
      <c r="M39" s="6"/>
      <c r="N39" s="6"/>
      <c r="O39" s="6"/>
      <c r="P39" s="1"/>
    </row>
    <row r="40" spans="1:16">
      <c r="A40" s="1">
        <v>37</v>
      </c>
      <c r="B40" s="6"/>
      <c r="C40" s="5"/>
      <c r="D40" s="1"/>
      <c r="E40" s="1"/>
      <c r="F40" s="2">
        <f>IFERROR(INDEX('Incident'!$H$4:$H$100003,MATCH(D40,'Incident'!$B$4:$B$100003,0)),IFERROR(INDEX('NC Management'!$G$4:$G$100003,MATCH(E40,'NC Management'!$B$4:$B$100003,0)),""))</f>
        <v>0</v>
      </c>
      <c r="G40" s="2">
        <f>IFERROR(INDEX('Incident'!$N$4:$N$100003,MATCH(D40,'Incident'!$B$4:$B$100003,0)),IFERROR(INDEX('NC Management'!$F$4:$F$100003,MATCH(E40,'NC Management'!$B$4:$B$100003,0)),""))</f>
        <v>0</v>
      </c>
      <c r="H40" s="6"/>
      <c r="I40" s="6"/>
      <c r="J40" s="6"/>
      <c r="K40" s="6"/>
      <c r="L40" s="6"/>
      <c r="M40" s="6"/>
      <c r="N40" s="6"/>
      <c r="O40" s="6"/>
      <c r="P40" s="1"/>
    </row>
    <row r="41" spans="1:16">
      <c r="A41" s="1">
        <v>38</v>
      </c>
      <c r="B41" s="6"/>
      <c r="C41" s="5"/>
      <c r="D41" s="1"/>
      <c r="E41" s="1"/>
      <c r="F41" s="2">
        <f>IFERROR(INDEX('Incident'!$H$4:$H$100003,MATCH(D41,'Incident'!$B$4:$B$100003,0)),IFERROR(INDEX('NC Management'!$G$4:$G$100003,MATCH(E41,'NC Management'!$B$4:$B$100003,0)),""))</f>
        <v>0</v>
      </c>
      <c r="G41" s="2">
        <f>IFERROR(INDEX('Incident'!$N$4:$N$100003,MATCH(D41,'Incident'!$B$4:$B$100003,0)),IFERROR(INDEX('NC Management'!$F$4:$F$100003,MATCH(E41,'NC Management'!$B$4:$B$100003,0)),""))</f>
        <v>0</v>
      </c>
      <c r="H41" s="6"/>
      <c r="I41" s="6"/>
      <c r="J41" s="6"/>
      <c r="K41" s="6"/>
      <c r="L41" s="6"/>
      <c r="M41" s="6"/>
      <c r="N41" s="6"/>
      <c r="O41" s="6"/>
      <c r="P41" s="1"/>
    </row>
    <row r="42" spans="1:16">
      <c r="A42" s="1">
        <v>39</v>
      </c>
      <c r="B42" s="6"/>
      <c r="C42" s="5"/>
      <c r="D42" s="1"/>
      <c r="E42" s="1"/>
      <c r="F42" s="2">
        <f>IFERROR(INDEX('Incident'!$H$4:$H$100003,MATCH(D42,'Incident'!$B$4:$B$100003,0)),IFERROR(INDEX('NC Management'!$G$4:$G$100003,MATCH(E42,'NC Management'!$B$4:$B$100003,0)),""))</f>
        <v>0</v>
      </c>
      <c r="G42" s="2">
        <f>IFERROR(INDEX('Incident'!$N$4:$N$100003,MATCH(D42,'Incident'!$B$4:$B$100003,0)),IFERROR(INDEX('NC Management'!$F$4:$F$100003,MATCH(E42,'NC Management'!$B$4:$B$100003,0)),""))</f>
        <v>0</v>
      </c>
      <c r="H42" s="6"/>
      <c r="I42" s="6"/>
      <c r="J42" s="6"/>
      <c r="K42" s="6"/>
      <c r="L42" s="6"/>
      <c r="M42" s="6"/>
      <c r="N42" s="6"/>
      <c r="O42" s="6"/>
      <c r="P42" s="1"/>
    </row>
    <row r="43" spans="1:16">
      <c r="A43" s="1">
        <v>40</v>
      </c>
      <c r="B43" s="6"/>
      <c r="C43" s="5"/>
      <c r="D43" s="1"/>
      <c r="E43" s="1"/>
      <c r="F43" s="2">
        <f>IFERROR(INDEX('Incident'!$H$4:$H$100003,MATCH(D43,'Incident'!$B$4:$B$100003,0)),IFERROR(INDEX('NC Management'!$G$4:$G$100003,MATCH(E43,'NC Management'!$B$4:$B$100003,0)),""))</f>
        <v>0</v>
      </c>
      <c r="G43" s="2">
        <f>IFERROR(INDEX('Incident'!$N$4:$N$100003,MATCH(D43,'Incident'!$B$4:$B$100003,0)),IFERROR(INDEX('NC Management'!$F$4:$F$100003,MATCH(E43,'NC Management'!$B$4:$B$100003,0)),""))</f>
        <v>0</v>
      </c>
      <c r="H43" s="6"/>
      <c r="I43" s="6"/>
      <c r="J43" s="6"/>
      <c r="K43" s="6"/>
      <c r="L43" s="6"/>
      <c r="M43" s="6"/>
      <c r="N43" s="6"/>
      <c r="O43" s="6"/>
      <c r="P43" s="1"/>
    </row>
    <row r="44" spans="1:16">
      <c r="A44" s="1">
        <v>41</v>
      </c>
      <c r="B44" s="6"/>
      <c r="C44" s="5"/>
      <c r="D44" s="1"/>
      <c r="E44" s="1"/>
      <c r="F44" s="2">
        <f>IFERROR(INDEX('Incident'!$H$4:$H$100003,MATCH(D44,'Incident'!$B$4:$B$100003,0)),IFERROR(INDEX('NC Management'!$G$4:$G$100003,MATCH(E44,'NC Management'!$B$4:$B$100003,0)),""))</f>
        <v>0</v>
      </c>
      <c r="G44" s="2">
        <f>IFERROR(INDEX('Incident'!$N$4:$N$100003,MATCH(D44,'Incident'!$B$4:$B$100003,0)),IFERROR(INDEX('NC Management'!$F$4:$F$100003,MATCH(E44,'NC Management'!$B$4:$B$100003,0)),""))</f>
        <v>0</v>
      </c>
      <c r="H44" s="6"/>
      <c r="I44" s="6"/>
      <c r="J44" s="6"/>
      <c r="K44" s="6"/>
      <c r="L44" s="6"/>
      <c r="M44" s="6"/>
      <c r="N44" s="6"/>
      <c r="O44" s="6"/>
      <c r="P44" s="1"/>
    </row>
    <row r="45" spans="1:16">
      <c r="A45" s="1">
        <v>42</v>
      </c>
      <c r="B45" s="6"/>
      <c r="C45" s="5"/>
      <c r="D45" s="1"/>
      <c r="E45" s="1"/>
      <c r="F45" s="2">
        <f>IFERROR(INDEX('Incident'!$H$4:$H$100003,MATCH(D45,'Incident'!$B$4:$B$100003,0)),IFERROR(INDEX('NC Management'!$G$4:$G$100003,MATCH(E45,'NC Management'!$B$4:$B$100003,0)),""))</f>
        <v>0</v>
      </c>
      <c r="G45" s="2">
        <f>IFERROR(INDEX('Incident'!$N$4:$N$100003,MATCH(D45,'Incident'!$B$4:$B$100003,0)),IFERROR(INDEX('NC Management'!$F$4:$F$100003,MATCH(E45,'NC Management'!$B$4:$B$100003,0)),""))</f>
        <v>0</v>
      </c>
      <c r="H45" s="6"/>
      <c r="I45" s="6"/>
      <c r="J45" s="6"/>
      <c r="K45" s="6"/>
      <c r="L45" s="6"/>
      <c r="M45" s="6"/>
      <c r="N45" s="6"/>
      <c r="O45" s="6"/>
      <c r="P45" s="1"/>
    </row>
    <row r="46" spans="1:16">
      <c r="A46" s="1">
        <v>43</v>
      </c>
      <c r="B46" s="6"/>
      <c r="C46" s="5"/>
      <c r="D46" s="1"/>
      <c r="E46" s="1"/>
      <c r="F46" s="2">
        <f>IFERROR(INDEX('Incident'!$H$4:$H$100003,MATCH(D46,'Incident'!$B$4:$B$100003,0)),IFERROR(INDEX('NC Management'!$G$4:$G$100003,MATCH(E46,'NC Management'!$B$4:$B$100003,0)),""))</f>
        <v>0</v>
      </c>
      <c r="G46" s="2">
        <f>IFERROR(INDEX('Incident'!$N$4:$N$100003,MATCH(D46,'Incident'!$B$4:$B$100003,0)),IFERROR(INDEX('NC Management'!$F$4:$F$100003,MATCH(E46,'NC Management'!$B$4:$B$100003,0)),""))</f>
        <v>0</v>
      </c>
      <c r="H46" s="6"/>
      <c r="I46" s="6"/>
      <c r="J46" s="6"/>
      <c r="K46" s="6"/>
      <c r="L46" s="6"/>
      <c r="M46" s="6"/>
      <c r="N46" s="6"/>
      <c r="O46" s="6"/>
      <c r="P46" s="1"/>
    </row>
    <row r="47" spans="1:16">
      <c r="A47" s="1">
        <v>44</v>
      </c>
      <c r="B47" s="6"/>
      <c r="C47" s="5"/>
      <c r="D47" s="1"/>
      <c r="E47" s="1"/>
      <c r="F47" s="2">
        <f>IFERROR(INDEX('Incident'!$H$4:$H$100003,MATCH(D47,'Incident'!$B$4:$B$100003,0)),IFERROR(INDEX('NC Management'!$G$4:$G$100003,MATCH(E47,'NC Management'!$B$4:$B$100003,0)),""))</f>
        <v>0</v>
      </c>
      <c r="G47" s="2">
        <f>IFERROR(INDEX('Incident'!$N$4:$N$100003,MATCH(D47,'Incident'!$B$4:$B$100003,0)),IFERROR(INDEX('NC Management'!$F$4:$F$100003,MATCH(E47,'NC Management'!$B$4:$B$100003,0)),""))</f>
        <v>0</v>
      </c>
      <c r="H47" s="6"/>
      <c r="I47" s="6"/>
      <c r="J47" s="6"/>
      <c r="K47" s="6"/>
      <c r="L47" s="6"/>
      <c r="M47" s="6"/>
      <c r="N47" s="6"/>
      <c r="O47" s="6"/>
      <c r="P47" s="1"/>
    </row>
    <row r="48" spans="1:16">
      <c r="A48" s="1">
        <v>45</v>
      </c>
      <c r="B48" s="6"/>
      <c r="C48" s="5"/>
      <c r="D48" s="1"/>
      <c r="E48" s="1"/>
      <c r="F48" s="2">
        <f>IFERROR(INDEX('Incident'!$H$4:$H$100003,MATCH(D48,'Incident'!$B$4:$B$100003,0)),IFERROR(INDEX('NC Management'!$G$4:$G$100003,MATCH(E48,'NC Management'!$B$4:$B$100003,0)),""))</f>
        <v>0</v>
      </c>
      <c r="G48" s="2">
        <f>IFERROR(INDEX('Incident'!$N$4:$N$100003,MATCH(D48,'Incident'!$B$4:$B$100003,0)),IFERROR(INDEX('NC Management'!$F$4:$F$100003,MATCH(E48,'NC Management'!$B$4:$B$100003,0)),""))</f>
        <v>0</v>
      </c>
      <c r="H48" s="6"/>
      <c r="I48" s="6"/>
      <c r="J48" s="6"/>
      <c r="K48" s="6"/>
      <c r="L48" s="6"/>
      <c r="M48" s="6"/>
      <c r="N48" s="6"/>
      <c r="O48" s="6"/>
      <c r="P48" s="1"/>
    </row>
    <row r="49" spans="1:16">
      <c r="A49" s="1">
        <v>46</v>
      </c>
      <c r="B49" s="6"/>
      <c r="C49" s="5"/>
      <c r="D49" s="1"/>
      <c r="E49" s="1"/>
      <c r="F49" s="2">
        <f>IFERROR(INDEX('Incident'!$H$4:$H$100003,MATCH(D49,'Incident'!$B$4:$B$100003,0)),IFERROR(INDEX('NC Management'!$G$4:$G$100003,MATCH(E49,'NC Management'!$B$4:$B$100003,0)),""))</f>
        <v>0</v>
      </c>
      <c r="G49" s="2">
        <f>IFERROR(INDEX('Incident'!$N$4:$N$100003,MATCH(D49,'Incident'!$B$4:$B$100003,0)),IFERROR(INDEX('NC Management'!$F$4:$F$100003,MATCH(E49,'NC Management'!$B$4:$B$100003,0)),""))</f>
        <v>0</v>
      </c>
      <c r="H49" s="6"/>
      <c r="I49" s="6"/>
      <c r="J49" s="6"/>
      <c r="K49" s="6"/>
      <c r="L49" s="6"/>
      <c r="M49" s="6"/>
      <c r="N49" s="6"/>
      <c r="O49" s="6"/>
      <c r="P49" s="1"/>
    </row>
    <row r="50" spans="1:16">
      <c r="A50" s="1">
        <v>47</v>
      </c>
      <c r="B50" s="6"/>
      <c r="C50" s="5"/>
      <c r="D50" s="1"/>
      <c r="E50" s="1"/>
      <c r="F50" s="2">
        <f>IFERROR(INDEX('Incident'!$H$4:$H$100003,MATCH(D50,'Incident'!$B$4:$B$100003,0)),IFERROR(INDEX('NC Management'!$G$4:$G$100003,MATCH(E50,'NC Management'!$B$4:$B$100003,0)),""))</f>
        <v>0</v>
      </c>
      <c r="G50" s="2">
        <f>IFERROR(INDEX('Incident'!$N$4:$N$100003,MATCH(D50,'Incident'!$B$4:$B$100003,0)),IFERROR(INDEX('NC Management'!$F$4:$F$100003,MATCH(E50,'NC Management'!$B$4:$B$100003,0)),""))</f>
        <v>0</v>
      </c>
      <c r="H50" s="6"/>
      <c r="I50" s="6"/>
      <c r="J50" s="6"/>
      <c r="K50" s="6"/>
      <c r="L50" s="6"/>
      <c r="M50" s="6"/>
      <c r="N50" s="6"/>
      <c r="O50" s="6"/>
      <c r="P50" s="1"/>
    </row>
    <row r="51" spans="1:16">
      <c r="A51" s="1">
        <v>48</v>
      </c>
      <c r="B51" s="6"/>
      <c r="C51" s="5"/>
      <c r="D51" s="1"/>
      <c r="E51" s="1"/>
      <c r="F51" s="2">
        <f>IFERROR(INDEX('Incident'!$H$4:$H$100003,MATCH(D51,'Incident'!$B$4:$B$100003,0)),IFERROR(INDEX('NC Management'!$G$4:$G$100003,MATCH(E51,'NC Management'!$B$4:$B$100003,0)),""))</f>
        <v>0</v>
      </c>
      <c r="G51" s="2">
        <f>IFERROR(INDEX('Incident'!$N$4:$N$100003,MATCH(D51,'Incident'!$B$4:$B$100003,0)),IFERROR(INDEX('NC Management'!$F$4:$F$100003,MATCH(E51,'NC Management'!$B$4:$B$100003,0)),""))</f>
        <v>0</v>
      </c>
      <c r="H51" s="6"/>
      <c r="I51" s="6"/>
      <c r="J51" s="6"/>
      <c r="K51" s="6"/>
      <c r="L51" s="6"/>
      <c r="M51" s="6"/>
      <c r="N51" s="6"/>
      <c r="O51" s="6"/>
      <c r="P51" s="1"/>
    </row>
    <row r="52" spans="1:16">
      <c r="A52" s="1">
        <v>49</v>
      </c>
      <c r="B52" s="6"/>
      <c r="C52" s="5"/>
      <c r="D52" s="1"/>
      <c r="E52" s="1"/>
      <c r="F52" s="2">
        <f>IFERROR(INDEX('Incident'!$H$4:$H$100003,MATCH(D52,'Incident'!$B$4:$B$100003,0)),IFERROR(INDEX('NC Management'!$G$4:$G$100003,MATCH(E52,'NC Management'!$B$4:$B$100003,0)),""))</f>
        <v>0</v>
      </c>
      <c r="G52" s="2">
        <f>IFERROR(INDEX('Incident'!$N$4:$N$100003,MATCH(D52,'Incident'!$B$4:$B$100003,0)),IFERROR(INDEX('NC Management'!$F$4:$F$100003,MATCH(E52,'NC Management'!$B$4:$B$100003,0)),""))</f>
        <v>0</v>
      </c>
      <c r="H52" s="6"/>
      <c r="I52" s="6"/>
      <c r="J52" s="6"/>
      <c r="K52" s="6"/>
      <c r="L52" s="6"/>
      <c r="M52" s="6"/>
      <c r="N52" s="6"/>
      <c r="O52" s="6"/>
      <c r="P52" s="1"/>
    </row>
    <row r="53" spans="1:16">
      <c r="A53" s="1">
        <v>50</v>
      </c>
      <c r="B53" s="6"/>
      <c r="C53" s="5"/>
      <c r="D53" s="1"/>
      <c r="E53" s="1"/>
      <c r="F53" s="2">
        <f>IFERROR(INDEX('Incident'!$H$4:$H$100003,MATCH(D53,'Incident'!$B$4:$B$100003,0)),IFERROR(INDEX('NC Management'!$G$4:$G$100003,MATCH(E53,'NC Management'!$B$4:$B$100003,0)),""))</f>
        <v>0</v>
      </c>
      <c r="G53" s="2">
        <f>IFERROR(INDEX('Incident'!$N$4:$N$100003,MATCH(D53,'Incident'!$B$4:$B$100003,0)),IFERROR(INDEX('NC Management'!$F$4:$F$100003,MATCH(E53,'NC Management'!$B$4:$B$100003,0)),""))</f>
        <v>0</v>
      </c>
      <c r="H53" s="6"/>
      <c r="I53" s="6"/>
      <c r="J53" s="6"/>
      <c r="K53" s="6"/>
      <c r="L53" s="6"/>
      <c r="M53" s="6"/>
      <c r="N53" s="6"/>
      <c r="O53" s="6"/>
      <c r="P53" s="1"/>
    </row>
    <row r="54" spans="1:16">
      <c r="A54" s="1">
        <v>51</v>
      </c>
      <c r="B54" s="6"/>
      <c r="C54" s="5"/>
      <c r="D54" s="1"/>
      <c r="E54" s="1"/>
      <c r="F54" s="2">
        <f>IFERROR(INDEX('Incident'!$H$4:$H$100003,MATCH(D54,'Incident'!$B$4:$B$100003,0)),IFERROR(INDEX('NC Management'!$G$4:$G$100003,MATCH(E54,'NC Management'!$B$4:$B$100003,0)),""))</f>
        <v>0</v>
      </c>
      <c r="G54" s="2">
        <f>IFERROR(INDEX('Incident'!$N$4:$N$100003,MATCH(D54,'Incident'!$B$4:$B$100003,0)),IFERROR(INDEX('NC Management'!$F$4:$F$100003,MATCH(E54,'NC Management'!$B$4:$B$100003,0)),""))</f>
        <v>0</v>
      </c>
      <c r="H54" s="6"/>
      <c r="I54" s="6"/>
      <c r="J54" s="6"/>
      <c r="K54" s="6"/>
      <c r="L54" s="6"/>
      <c r="M54" s="6"/>
      <c r="N54" s="6"/>
      <c r="O54" s="6"/>
      <c r="P54" s="1"/>
    </row>
    <row r="55" spans="1:16">
      <c r="A55" s="1">
        <v>52</v>
      </c>
      <c r="B55" s="6"/>
      <c r="C55" s="5"/>
      <c r="D55" s="1"/>
      <c r="E55" s="1"/>
      <c r="F55" s="2">
        <f>IFERROR(INDEX('Incident'!$H$4:$H$100003,MATCH(D55,'Incident'!$B$4:$B$100003,0)),IFERROR(INDEX('NC Management'!$G$4:$G$100003,MATCH(E55,'NC Management'!$B$4:$B$100003,0)),""))</f>
        <v>0</v>
      </c>
      <c r="G55" s="2">
        <f>IFERROR(INDEX('Incident'!$N$4:$N$100003,MATCH(D55,'Incident'!$B$4:$B$100003,0)),IFERROR(INDEX('NC Management'!$F$4:$F$100003,MATCH(E55,'NC Management'!$B$4:$B$100003,0)),""))</f>
        <v>0</v>
      </c>
      <c r="H55" s="6"/>
      <c r="I55" s="6"/>
      <c r="J55" s="6"/>
      <c r="K55" s="6"/>
      <c r="L55" s="6"/>
      <c r="M55" s="6"/>
      <c r="N55" s="6"/>
      <c r="O55" s="6"/>
      <c r="P55" s="1"/>
    </row>
    <row r="56" spans="1:16">
      <c r="A56" s="1">
        <v>53</v>
      </c>
      <c r="B56" s="6"/>
      <c r="C56" s="5"/>
      <c r="D56" s="1"/>
      <c r="E56" s="1"/>
      <c r="F56" s="2">
        <f>IFERROR(INDEX('Incident'!$H$4:$H$100003,MATCH(D56,'Incident'!$B$4:$B$100003,0)),IFERROR(INDEX('NC Management'!$G$4:$G$100003,MATCH(E56,'NC Management'!$B$4:$B$100003,0)),""))</f>
        <v>0</v>
      </c>
      <c r="G56" s="2">
        <f>IFERROR(INDEX('Incident'!$N$4:$N$100003,MATCH(D56,'Incident'!$B$4:$B$100003,0)),IFERROR(INDEX('NC Management'!$F$4:$F$100003,MATCH(E56,'NC Management'!$B$4:$B$100003,0)),""))</f>
        <v>0</v>
      </c>
      <c r="H56" s="6"/>
      <c r="I56" s="6"/>
      <c r="J56" s="6"/>
      <c r="K56" s="6"/>
      <c r="L56" s="6"/>
      <c r="M56" s="6"/>
      <c r="N56" s="6"/>
      <c r="O56" s="6"/>
      <c r="P56" s="1"/>
    </row>
    <row r="57" spans="1:16">
      <c r="A57" s="1">
        <v>54</v>
      </c>
      <c r="B57" s="6"/>
      <c r="C57" s="5"/>
      <c r="D57" s="1"/>
      <c r="E57" s="1"/>
      <c r="F57" s="2">
        <f>IFERROR(INDEX('Incident'!$H$4:$H$100003,MATCH(D57,'Incident'!$B$4:$B$100003,0)),IFERROR(INDEX('NC Management'!$G$4:$G$100003,MATCH(E57,'NC Management'!$B$4:$B$100003,0)),""))</f>
        <v>0</v>
      </c>
      <c r="G57" s="2">
        <f>IFERROR(INDEX('Incident'!$N$4:$N$100003,MATCH(D57,'Incident'!$B$4:$B$100003,0)),IFERROR(INDEX('NC Management'!$F$4:$F$100003,MATCH(E57,'NC Management'!$B$4:$B$100003,0)),""))</f>
        <v>0</v>
      </c>
      <c r="H57" s="6"/>
      <c r="I57" s="6"/>
      <c r="J57" s="6"/>
      <c r="K57" s="6"/>
      <c r="L57" s="6"/>
      <c r="M57" s="6"/>
      <c r="N57" s="6"/>
      <c r="O57" s="6"/>
      <c r="P57" s="1"/>
    </row>
    <row r="58" spans="1:16">
      <c r="A58" s="1">
        <v>55</v>
      </c>
      <c r="B58" s="6"/>
      <c r="C58" s="5"/>
      <c r="D58" s="1"/>
      <c r="E58" s="1"/>
      <c r="F58" s="2">
        <f>IFERROR(INDEX('Incident'!$H$4:$H$100003,MATCH(D58,'Incident'!$B$4:$B$100003,0)),IFERROR(INDEX('NC Management'!$G$4:$G$100003,MATCH(E58,'NC Management'!$B$4:$B$100003,0)),""))</f>
        <v>0</v>
      </c>
      <c r="G58" s="2">
        <f>IFERROR(INDEX('Incident'!$N$4:$N$100003,MATCH(D58,'Incident'!$B$4:$B$100003,0)),IFERROR(INDEX('NC Management'!$F$4:$F$100003,MATCH(E58,'NC Management'!$B$4:$B$100003,0)),""))</f>
        <v>0</v>
      </c>
      <c r="H58" s="6"/>
      <c r="I58" s="6"/>
      <c r="J58" s="6"/>
      <c r="K58" s="6"/>
      <c r="L58" s="6"/>
      <c r="M58" s="6"/>
      <c r="N58" s="6"/>
      <c r="O58" s="6"/>
      <c r="P58" s="1"/>
    </row>
    <row r="59" spans="1:16">
      <c r="A59" s="1">
        <v>56</v>
      </c>
      <c r="B59" s="6"/>
      <c r="C59" s="5"/>
      <c r="D59" s="1"/>
      <c r="E59" s="1"/>
      <c r="F59" s="2">
        <f>IFERROR(INDEX('Incident'!$H$4:$H$100003,MATCH(D59,'Incident'!$B$4:$B$100003,0)),IFERROR(INDEX('NC Management'!$G$4:$G$100003,MATCH(E59,'NC Management'!$B$4:$B$100003,0)),""))</f>
        <v>0</v>
      </c>
      <c r="G59" s="2">
        <f>IFERROR(INDEX('Incident'!$N$4:$N$100003,MATCH(D59,'Incident'!$B$4:$B$100003,0)),IFERROR(INDEX('NC Management'!$F$4:$F$100003,MATCH(E59,'NC Management'!$B$4:$B$100003,0)),""))</f>
        <v>0</v>
      </c>
      <c r="H59" s="6"/>
      <c r="I59" s="6"/>
      <c r="J59" s="6"/>
      <c r="K59" s="6"/>
      <c r="L59" s="6"/>
      <c r="M59" s="6"/>
      <c r="N59" s="6"/>
      <c r="O59" s="6"/>
      <c r="P59" s="1"/>
    </row>
    <row r="60" spans="1:16">
      <c r="A60" s="1">
        <v>57</v>
      </c>
      <c r="B60" s="6"/>
      <c r="C60" s="5"/>
      <c r="D60" s="1"/>
      <c r="E60" s="1"/>
      <c r="F60" s="2">
        <f>IFERROR(INDEX('Incident'!$H$4:$H$100003,MATCH(D60,'Incident'!$B$4:$B$100003,0)),IFERROR(INDEX('NC Management'!$G$4:$G$100003,MATCH(E60,'NC Management'!$B$4:$B$100003,0)),""))</f>
        <v>0</v>
      </c>
      <c r="G60" s="2">
        <f>IFERROR(INDEX('Incident'!$N$4:$N$100003,MATCH(D60,'Incident'!$B$4:$B$100003,0)),IFERROR(INDEX('NC Management'!$F$4:$F$100003,MATCH(E60,'NC Management'!$B$4:$B$100003,0)),""))</f>
        <v>0</v>
      </c>
      <c r="H60" s="6"/>
      <c r="I60" s="6"/>
      <c r="J60" s="6"/>
      <c r="K60" s="6"/>
      <c r="L60" s="6"/>
      <c r="M60" s="6"/>
      <c r="N60" s="6"/>
      <c r="O60" s="6"/>
      <c r="P60" s="1"/>
    </row>
    <row r="61" spans="1:16">
      <c r="A61" s="1">
        <v>58</v>
      </c>
      <c r="B61" s="6"/>
      <c r="C61" s="5"/>
      <c r="D61" s="1"/>
      <c r="E61" s="1"/>
      <c r="F61" s="2">
        <f>IFERROR(INDEX('Incident'!$H$4:$H$100003,MATCH(D61,'Incident'!$B$4:$B$100003,0)),IFERROR(INDEX('NC Management'!$G$4:$G$100003,MATCH(E61,'NC Management'!$B$4:$B$100003,0)),""))</f>
        <v>0</v>
      </c>
      <c r="G61" s="2">
        <f>IFERROR(INDEX('Incident'!$N$4:$N$100003,MATCH(D61,'Incident'!$B$4:$B$100003,0)),IFERROR(INDEX('NC Management'!$F$4:$F$100003,MATCH(E61,'NC Management'!$B$4:$B$100003,0)),""))</f>
        <v>0</v>
      </c>
      <c r="H61" s="6"/>
      <c r="I61" s="6"/>
      <c r="J61" s="6"/>
      <c r="K61" s="6"/>
      <c r="L61" s="6"/>
      <c r="M61" s="6"/>
      <c r="N61" s="6"/>
      <c r="O61" s="6"/>
      <c r="P61" s="1"/>
    </row>
    <row r="62" spans="1:16">
      <c r="A62" s="1">
        <v>59</v>
      </c>
      <c r="B62" s="6"/>
      <c r="C62" s="5"/>
      <c r="D62" s="1"/>
      <c r="E62" s="1"/>
      <c r="F62" s="2">
        <f>IFERROR(INDEX('Incident'!$H$4:$H$100003,MATCH(D62,'Incident'!$B$4:$B$100003,0)),IFERROR(INDEX('NC Management'!$G$4:$G$100003,MATCH(E62,'NC Management'!$B$4:$B$100003,0)),""))</f>
        <v>0</v>
      </c>
      <c r="G62" s="2">
        <f>IFERROR(INDEX('Incident'!$N$4:$N$100003,MATCH(D62,'Incident'!$B$4:$B$100003,0)),IFERROR(INDEX('NC Management'!$F$4:$F$100003,MATCH(E62,'NC Management'!$B$4:$B$100003,0)),""))</f>
        <v>0</v>
      </c>
      <c r="H62" s="6"/>
      <c r="I62" s="6"/>
      <c r="J62" s="6"/>
      <c r="K62" s="6"/>
      <c r="L62" s="6"/>
      <c r="M62" s="6"/>
      <c r="N62" s="6"/>
      <c r="O62" s="6"/>
      <c r="P62" s="1"/>
    </row>
    <row r="63" spans="1:16">
      <c r="A63" s="1">
        <v>60</v>
      </c>
      <c r="B63" s="6"/>
      <c r="C63" s="5"/>
      <c r="D63" s="1"/>
      <c r="E63" s="1"/>
      <c r="F63" s="2">
        <f>IFERROR(INDEX('Incident'!$H$4:$H$100003,MATCH(D63,'Incident'!$B$4:$B$100003,0)),IFERROR(INDEX('NC Management'!$G$4:$G$100003,MATCH(E63,'NC Management'!$B$4:$B$100003,0)),""))</f>
        <v>0</v>
      </c>
      <c r="G63" s="2">
        <f>IFERROR(INDEX('Incident'!$N$4:$N$100003,MATCH(D63,'Incident'!$B$4:$B$100003,0)),IFERROR(INDEX('NC Management'!$F$4:$F$100003,MATCH(E63,'NC Management'!$B$4:$B$100003,0)),""))</f>
        <v>0</v>
      </c>
      <c r="H63" s="6"/>
      <c r="I63" s="6"/>
      <c r="J63" s="6"/>
      <c r="K63" s="6"/>
      <c r="L63" s="6"/>
      <c r="M63" s="6"/>
      <c r="N63" s="6"/>
      <c r="O63" s="6"/>
      <c r="P63" s="1"/>
    </row>
    <row r="64" spans="1:16">
      <c r="A64" s="1">
        <v>61</v>
      </c>
      <c r="B64" s="6"/>
      <c r="C64" s="5"/>
      <c r="D64" s="1"/>
      <c r="E64" s="1"/>
      <c r="F64" s="2">
        <f>IFERROR(INDEX('Incident'!$H$4:$H$100003,MATCH(D64,'Incident'!$B$4:$B$100003,0)),IFERROR(INDEX('NC Management'!$G$4:$G$100003,MATCH(E64,'NC Management'!$B$4:$B$100003,0)),""))</f>
        <v>0</v>
      </c>
      <c r="G64" s="2">
        <f>IFERROR(INDEX('Incident'!$N$4:$N$100003,MATCH(D64,'Incident'!$B$4:$B$100003,0)),IFERROR(INDEX('NC Management'!$F$4:$F$100003,MATCH(E64,'NC Management'!$B$4:$B$100003,0)),""))</f>
        <v>0</v>
      </c>
      <c r="H64" s="6"/>
      <c r="I64" s="6"/>
      <c r="J64" s="6"/>
      <c r="K64" s="6"/>
      <c r="L64" s="6"/>
      <c r="M64" s="6"/>
      <c r="N64" s="6"/>
      <c r="O64" s="6"/>
      <c r="P64" s="1"/>
    </row>
    <row r="65" spans="1:16">
      <c r="A65" s="1">
        <v>62</v>
      </c>
      <c r="B65" s="6"/>
      <c r="C65" s="5"/>
      <c r="D65" s="1"/>
      <c r="E65" s="1"/>
      <c r="F65" s="2">
        <f>IFERROR(INDEX('Incident'!$H$4:$H$100003,MATCH(D65,'Incident'!$B$4:$B$100003,0)),IFERROR(INDEX('NC Management'!$G$4:$G$100003,MATCH(E65,'NC Management'!$B$4:$B$100003,0)),""))</f>
        <v>0</v>
      </c>
      <c r="G65" s="2">
        <f>IFERROR(INDEX('Incident'!$N$4:$N$100003,MATCH(D65,'Incident'!$B$4:$B$100003,0)),IFERROR(INDEX('NC Management'!$F$4:$F$100003,MATCH(E65,'NC Management'!$B$4:$B$100003,0)),""))</f>
        <v>0</v>
      </c>
      <c r="H65" s="6"/>
      <c r="I65" s="6"/>
      <c r="J65" s="6"/>
      <c r="K65" s="6"/>
      <c r="L65" s="6"/>
      <c r="M65" s="6"/>
      <c r="N65" s="6"/>
      <c r="O65" s="6"/>
      <c r="P65" s="1"/>
    </row>
    <row r="66" spans="1:16">
      <c r="A66" s="1">
        <v>63</v>
      </c>
      <c r="B66" s="6"/>
      <c r="C66" s="5"/>
      <c r="D66" s="1"/>
      <c r="E66" s="1"/>
      <c r="F66" s="2">
        <f>IFERROR(INDEX('Incident'!$H$4:$H$100003,MATCH(D66,'Incident'!$B$4:$B$100003,0)),IFERROR(INDEX('NC Management'!$G$4:$G$100003,MATCH(E66,'NC Management'!$B$4:$B$100003,0)),""))</f>
        <v>0</v>
      </c>
      <c r="G66" s="2">
        <f>IFERROR(INDEX('Incident'!$N$4:$N$100003,MATCH(D66,'Incident'!$B$4:$B$100003,0)),IFERROR(INDEX('NC Management'!$F$4:$F$100003,MATCH(E66,'NC Management'!$B$4:$B$100003,0)),""))</f>
        <v>0</v>
      </c>
      <c r="H66" s="6"/>
      <c r="I66" s="6"/>
      <c r="J66" s="6"/>
      <c r="K66" s="6"/>
      <c r="L66" s="6"/>
      <c r="M66" s="6"/>
      <c r="N66" s="6"/>
      <c r="O66" s="6"/>
      <c r="P66" s="1"/>
    </row>
    <row r="67" spans="1:16">
      <c r="A67" s="1">
        <v>64</v>
      </c>
      <c r="B67" s="6"/>
      <c r="C67" s="5"/>
      <c r="D67" s="1"/>
      <c r="E67" s="1"/>
      <c r="F67" s="2">
        <f>IFERROR(INDEX('Incident'!$H$4:$H$100003,MATCH(D67,'Incident'!$B$4:$B$100003,0)),IFERROR(INDEX('NC Management'!$G$4:$G$100003,MATCH(E67,'NC Management'!$B$4:$B$100003,0)),""))</f>
        <v>0</v>
      </c>
      <c r="G67" s="2">
        <f>IFERROR(INDEX('Incident'!$N$4:$N$100003,MATCH(D67,'Incident'!$B$4:$B$100003,0)),IFERROR(INDEX('NC Management'!$F$4:$F$100003,MATCH(E67,'NC Management'!$B$4:$B$100003,0)),""))</f>
        <v>0</v>
      </c>
      <c r="H67" s="6"/>
      <c r="I67" s="6"/>
      <c r="J67" s="6"/>
      <c r="K67" s="6"/>
      <c r="L67" s="6"/>
      <c r="M67" s="6"/>
      <c r="N67" s="6"/>
      <c r="O67" s="6"/>
      <c r="P67" s="1"/>
    </row>
    <row r="68" spans="1:16">
      <c r="A68" s="1">
        <v>65</v>
      </c>
      <c r="B68" s="6"/>
      <c r="C68" s="5"/>
      <c r="D68" s="1"/>
      <c r="E68" s="1"/>
      <c r="F68" s="2">
        <f>IFERROR(INDEX('Incident'!$H$4:$H$100003,MATCH(D68,'Incident'!$B$4:$B$100003,0)),IFERROR(INDEX('NC Management'!$G$4:$G$100003,MATCH(E68,'NC Management'!$B$4:$B$100003,0)),""))</f>
        <v>0</v>
      </c>
      <c r="G68" s="2">
        <f>IFERROR(INDEX('Incident'!$N$4:$N$100003,MATCH(D68,'Incident'!$B$4:$B$100003,0)),IFERROR(INDEX('NC Management'!$F$4:$F$100003,MATCH(E68,'NC Management'!$B$4:$B$100003,0)),""))</f>
        <v>0</v>
      </c>
      <c r="H68" s="6"/>
      <c r="I68" s="6"/>
      <c r="J68" s="6"/>
      <c r="K68" s="6"/>
      <c r="L68" s="6"/>
      <c r="M68" s="6"/>
      <c r="N68" s="6"/>
      <c r="O68" s="6"/>
      <c r="P68" s="1"/>
    </row>
    <row r="69" spans="1:16">
      <c r="A69" s="1">
        <v>66</v>
      </c>
      <c r="B69" s="6"/>
      <c r="C69" s="5"/>
      <c r="D69" s="1"/>
      <c r="E69" s="1"/>
      <c r="F69" s="2">
        <f>IFERROR(INDEX('Incident'!$H$4:$H$100003,MATCH(D69,'Incident'!$B$4:$B$100003,0)),IFERROR(INDEX('NC Management'!$G$4:$G$100003,MATCH(E69,'NC Management'!$B$4:$B$100003,0)),""))</f>
        <v>0</v>
      </c>
      <c r="G69" s="2">
        <f>IFERROR(INDEX('Incident'!$N$4:$N$100003,MATCH(D69,'Incident'!$B$4:$B$100003,0)),IFERROR(INDEX('NC Management'!$F$4:$F$100003,MATCH(E69,'NC Management'!$B$4:$B$100003,0)),""))</f>
        <v>0</v>
      </c>
      <c r="H69" s="6"/>
      <c r="I69" s="6"/>
      <c r="J69" s="6"/>
      <c r="K69" s="6"/>
      <c r="L69" s="6"/>
      <c r="M69" s="6"/>
      <c r="N69" s="6"/>
      <c r="O69" s="6"/>
      <c r="P69" s="1"/>
    </row>
    <row r="70" spans="1:16">
      <c r="A70" s="1">
        <v>67</v>
      </c>
      <c r="B70" s="6"/>
      <c r="C70" s="5"/>
      <c r="D70" s="1"/>
      <c r="E70" s="1"/>
      <c r="F70" s="2">
        <f>IFERROR(INDEX('Incident'!$H$4:$H$100003,MATCH(D70,'Incident'!$B$4:$B$100003,0)),IFERROR(INDEX('NC Management'!$G$4:$G$100003,MATCH(E70,'NC Management'!$B$4:$B$100003,0)),""))</f>
        <v>0</v>
      </c>
      <c r="G70" s="2">
        <f>IFERROR(INDEX('Incident'!$N$4:$N$100003,MATCH(D70,'Incident'!$B$4:$B$100003,0)),IFERROR(INDEX('NC Management'!$F$4:$F$100003,MATCH(E70,'NC Management'!$B$4:$B$100003,0)),""))</f>
        <v>0</v>
      </c>
      <c r="H70" s="6"/>
      <c r="I70" s="6"/>
      <c r="J70" s="6"/>
      <c r="K70" s="6"/>
      <c r="L70" s="6"/>
      <c r="M70" s="6"/>
      <c r="N70" s="6"/>
      <c r="O70" s="6"/>
      <c r="P70" s="1"/>
    </row>
    <row r="71" spans="1:16">
      <c r="A71" s="1">
        <v>68</v>
      </c>
      <c r="B71" s="6"/>
      <c r="C71" s="5"/>
      <c r="D71" s="1"/>
      <c r="E71" s="1"/>
      <c r="F71" s="2">
        <f>IFERROR(INDEX('Incident'!$H$4:$H$100003,MATCH(D71,'Incident'!$B$4:$B$100003,0)),IFERROR(INDEX('NC Management'!$G$4:$G$100003,MATCH(E71,'NC Management'!$B$4:$B$100003,0)),""))</f>
        <v>0</v>
      </c>
      <c r="G71" s="2">
        <f>IFERROR(INDEX('Incident'!$N$4:$N$100003,MATCH(D71,'Incident'!$B$4:$B$100003,0)),IFERROR(INDEX('NC Management'!$F$4:$F$100003,MATCH(E71,'NC Management'!$B$4:$B$100003,0)),""))</f>
        <v>0</v>
      </c>
      <c r="H71" s="6"/>
      <c r="I71" s="6"/>
      <c r="J71" s="6"/>
      <c r="K71" s="6"/>
      <c r="L71" s="6"/>
      <c r="M71" s="6"/>
      <c r="N71" s="6"/>
      <c r="O71" s="6"/>
      <c r="P71" s="1"/>
    </row>
    <row r="72" spans="1:16">
      <c r="A72" s="1">
        <v>69</v>
      </c>
      <c r="B72" s="6"/>
      <c r="C72" s="5"/>
      <c r="D72" s="1"/>
      <c r="E72" s="1"/>
      <c r="F72" s="2">
        <f>IFERROR(INDEX('Incident'!$H$4:$H$100003,MATCH(D72,'Incident'!$B$4:$B$100003,0)),IFERROR(INDEX('NC Management'!$G$4:$G$100003,MATCH(E72,'NC Management'!$B$4:$B$100003,0)),""))</f>
        <v>0</v>
      </c>
      <c r="G72" s="2">
        <f>IFERROR(INDEX('Incident'!$N$4:$N$100003,MATCH(D72,'Incident'!$B$4:$B$100003,0)),IFERROR(INDEX('NC Management'!$F$4:$F$100003,MATCH(E72,'NC Management'!$B$4:$B$100003,0)),""))</f>
        <v>0</v>
      </c>
      <c r="H72" s="6"/>
      <c r="I72" s="6"/>
      <c r="J72" s="6"/>
      <c r="K72" s="6"/>
      <c r="L72" s="6"/>
      <c r="M72" s="6"/>
      <c r="N72" s="6"/>
      <c r="O72" s="6"/>
      <c r="P72" s="1"/>
    </row>
    <row r="73" spans="1:16">
      <c r="A73" s="1">
        <v>70</v>
      </c>
      <c r="B73" s="6"/>
      <c r="C73" s="5"/>
      <c r="D73" s="1"/>
      <c r="E73" s="1"/>
      <c r="F73" s="2">
        <f>IFERROR(INDEX('Incident'!$H$4:$H$100003,MATCH(D73,'Incident'!$B$4:$B$100003,0)),IFERROR(INDEX('NC Management'!$G$4:$G$100003,MATCH(E73,'NC Management'!$B$4:$B$100003,0)),""))</f>
        <v>0</v>
      </c>
      <c r="G73" s="2">
        <f>IFERROR(INDEX('Incident'!$N$4:$N$100003,MATCH(D73,'Incident'!$B$4:$B$100003,0)),IFERROR(INDEX('NC Management'!$F$4:$F$100003,MATCH(E73,'NC Management'!$B$4:$B$100003,0)),""))</f>
        <v>0</v>
      </c>
      <c r="H73" s="6"/>
      <c r="I73" s="6"/>
      <c r="J73" s="6"/>
      <c r="K73" s="6"/>
      <c r="L73" s="6"/>
      <c r="M73" s="6"/>
      <c r="N73" s="6"/>
      <c r="O73" s="6"/>
      <c r="P73" s="1"/>
    </row>
    <row r="74" spans="1:16">
      <c r="A74" s="1">
        <v>71</v>
      </c>
      <c r="B74" s="6"/>
      <c r="C74" s="5"/>
      <c r="D74" s="1"/>
      <c r="E74" s="1"/>
      <c r="F74" s="2">
        <f>IFERROR(INDEX('Incident'!$H$4:$H$100003,MATCH(D74,'Incident'!$B$4:$B$100003,0)),IFERROR(INDEX('NC Management'!$G$4:$G$100003,MATCH(E74,'NC Management'!$B$4:$B$100003,0)),""))</f>
        <v>0</v>
      </c>
      <c r="G74" s="2">
        <f>IFERROR(INDEX('Incident'!$N$4:$N$100003,MATCH(D74,'Incident'!$B$4:$B$100003,0)),IFERROR(INDEX('NC Management'!$F$4:$F$100003,MATCH(E74,'NC Management'!$B$4:$B$100003,0)),""))</f>
        <v>0</v>
      </c>
      <c r="H74" s="6"/>
      <c r="I74" s="6"/>
      <c r="J74" s="6"/>
      <c r="K74" s="6"/>
      <c r="L74" s="6"/>
      <c r="M74" s="6"/>
      <c r="N74" s="6"/>
      <c r="O74" s="6"/>
      <c r="P74" s="1"/>
    </row>
    <row r="75" spans="1:16">
      <c r="A75" s="1">
        <v>72</v>
      </c>
      <c r="B75" s="6"/>
      <c r="C75" s="5"/>
      <c r="D75" s="1"/>
      <c r="E75" s="1"/>
      <c r="F75" s="2">
        <f>IFERROR(INDEX('Incident'!$H$4:$H$100003,MATCH(D75,'Incident'!$B$4:$B$100003,0)),IFERROR(INDEX('NC Management'!$G$4:$G$100003,MATCH(E75,'NC Management'!$B$4:$B$100003,0)),""))</f>
        <v>0</v>
      </c>
      <c r="G75" s="2">
        <f>IFERROR(INDEX('Incident'!$N$4:$N$100003,MATCH(D75,'Incident'!$B$4:$B$100003,0)),IFERROR(INDEX('NC Management'!$F$4:$F$100003,MATCH(E75,'NC Management'!$B$4:$B$100003,0)),""))</f>
        <v>0</v>
      </c>
      <c r="H75" s="6"/>
      <c r="I75" s="6"/>
      <c r="J75" s="6"/>
      <c r="K75" s="6"/>
      <c r="L75" s="6"/>
      <c r="M75" s="6"/>
      <c r="N75" s="6"/>
      <c r="O75" s="6"/>
      <c r="P75" s="1"/>
    </row>
    <row r="76" spans="1:16">
      <c r="A76" s="1">
        <v>73</v>
      </c>
      <c r="B76" s="6"/>
      <c r="C76" s="5"/>
      <c r="D76" s="1"/>
      <c r="E76" s="1"/>
      <c r="F76" s="2">
        <f>IFERROR(INDEX('Incident'!$H$4:$H$100003,MATCH(D76,'Incident'!$B$4:$B$100003,0)),IFERROR(INDEX('NC Management'!$G$4:$G$100003,MATCH(E76,'NC Management'!$B$4:$B$100003,0)),""))</f>
        <v>0</v>
      </c>
      <c r="G76" s="2">
        <f>IFERROR(INDEX('Incident'!$N$4:$N$100003,MATCH(D76,'Incident'!$B$4:$B$100003,0)),IFERROR(INDEX('NC Management'!$F$4:$F$100003,MATCH(E76,'NC Management'!$B$4:$B$100003,0)),""))</f>
        <v>0</v>
      </c>
      <c r="H76" s="6"/>
      <c r="I76" s="6"/>
      <c r="J76" s="6"/>
      <c r="K76" s="6"/>
      <c r="L76" s="6"/>
      <c r="M76" s="6"/>
      <c r="N76" s="6"/>
      <c r="O76" s="6"/>
      <c r="P76" s="1"/>
    </row>
    <row r="77" spans="1:16">
      <c r="A77" s="1">
        <v>74</v>
      </c>
      <c r="B77" s="6"/>
      <c r="C77" s="5"/>
      <c r="D77" s="1"/>
      <c r="E77" s="1"/>
      <c r="F77" s="2">
        <f>IFERROR(INDEX('Incident'!$H$4:$H$100003,MATCH(D77,'Incident'!$B$4:$B$100003,0)),IFERROR(INDEX('NC Management'!$G$4:$G$100003,MATCH(E77,'NC Management'!$B$4:$B$100003,0)),""))</f>
        <v>0</v>
      </c>
      <c r="G77" s="2">
        <f>IFERROR(INDEX('Incident'!$N$4:$N$100003,MATCH(D77,'Incident'!$B$4:$B$100003,0)),IFERROR(INDEX('NC Management'!$F$4:$F$100003,MATCH(E77,'NC Management'!$B$4:$B$100003,0)),""))</f>
        <v>0</v>
      </c>
      <c r="H77" s="6"/>
      <c r="I77" s="6"/>
      <c r="J77" s="6"/>
      <c r="K77" s="6"/>
      <c r="L77" s="6"/>
      <c r="M77" s="6"/>
      <c r="N77" s="6"/>
      <c r="O77" s="6"/>
      <c r="P77" s="1"/>
    </row>
    <row r="78" spans="1:16">
      <c r="A78" s="1">
        <v>75</v>
      </c>
      <c r="B78" s="6"/>
      <c r="C78" s="5"/>
      <c r="D78" s="1"/>
      <c r="E78" s="1"/>
      <c r="F78" s="2">
        <f>IFERROR(INDEX('Incident'!$H$4:$H$100003,MATCH(D78,'Incident'!$B$4:$B$100003,0)),IFERROR(INDEX('NC Management'!$G$4:$G$100003,MATCH(E78,'NC Management'!$B$4:$B$100003,0)),""))</f>
        <v>0</v>
      </c>
      <c r="G78" s="2">
        <f>IFERROR(INDEX('Incident'!$N$4:$N$100003,MATCH(D78,'Incident'!$B$4:$B$100003,0)),IFERROR(INDEX('NC Management'!$F$4:$F$100003,MATCH(E78,'NC Management'!$B$4:$B$100003,0)),""))</f>
        <v>0</v>
      </c>
      <c r="H78" s="6"/>
      <c r="I78" s="6"/>
      <c r="J78" s="6"/>
      <c r="K78" s="6"/>
      <c r="L78" s="6"/>
      <c r="M78" s="6"/>
      <c r="N78" s="6"/>
      <c r="O78" s="6"/>
      <c r="P78" s="1"/>
    </row>
    <row r="79" spans="1:16">
      <c r="A79" s="1">
        <v>76</v>
      </c>
      <c r="B79" s="6"/>
      <c r="C79" s="5"/>
      <c r="D79" s="1"/>
      <c r="E79" s="1"/>
      <c r="F79" s="2">
        <f>IFERROR(INDEX('Incident'!$H$4:$H$100003,MATCH(D79,'Incident'!$B$4:$B$100003,0)),IFERROR(INDEX('NC Management'!$G$4:$G$100003,MATCH(E79,'NC Management'!$B$4:$B$100003,0)),""))</f>
        <v>0</v>
      </c>
      <c r="G79" s="2">
        <f>IFERROR(INDEX('Incident'!$N$4:$N$100003,MATCH(D79,'Incident'!$B$4:$B$100003,0)),IFERROR(INDEX('NC Management'!$F$4:$F$100003,MATCH(E79,'NC Management'!$B$4:$B$100003,0)),""))</f>
        <v>0</v>
      </c>
      <c r="H79" s="6"/>
      <c r="I79" s="6"/>
      <c r="J79" s="6"/>
      <c r="K79" s="6"/>
      <c r="L79" s="6"/>
      <c r="M79" s="6"/>
      <c r="N79" s="6"/>
      <c r="O79" s="6"/>
      <c r="P79" s="1"/>
    </row>
    <row r="80" spans="1:16">
      <c r="A80" s="1">
        <v>77</v>
      </c>
      <c r="B80" s="6"/>
      <c r="C80" s="5"/>
      <c r="D80" s="1"/>
      <c r="E80" s="1"/>
      <c r="F80" s="2">
        <f>IFERROR(INDEX('Incident'!$H$4:$H$100003,MATCH(D80,'Incident'!$B$4:$B$100003,0)),IFERROR(INDEX('NC Management'!$G$4:$G$100003,MATCH(E80,'NC Management'!$B$4:$B$100003,0)),""))</f>
        <v>0</v>
      </c>
      <c r="G80" s="2">
        <f>IFERROR(INDEX('Incident'!$N$4:$N$100003,MATCH(D80,'Incident'!$B$4:$B$100003,0)),IFERROR(INDEX('NC Management'!$F$4:$F$100003,MATCH(E80,'NC Management'!$B$4:$B$100003,0)),""))</f>
        <v>0</v>
      </c>
      <c r="H80" s="6"/>
      <c r="I80" s="6"/>
      <c r="J80" s="6"/>
      <c r="K80" s="6"/>
      <c r="L80" s="6"/>
      <c r="M80" s="6"/>
      <c r="N80" s="6"/>
      <c r="O80" s="6"/>
      <c r="P80" s="1"/>
    </row>
    <row r="81" spans="1:16">
      <c r="A81" s="1">
        <v>78</v>
      </c>
      <c r="B81" s="6"/>
      <c r="C81" s="5"/>
      <c r="D81" s="1"/>
      <c r="E81" s="1"/>
      <c r="F81" s="2">
        <f>IFERROR(INDEX('Incident'!$H$4:$H$100003,MATCH(D81,'Incident'!$B$4:$B$100003,0)),IFERROR(INDEX('NC Management'!$G$4:$G$100003,MATCH(E81,'NC Management'!$B$4:$B$100003,0)),""))</f>
        <v>0</v>
      </c>
      <c r="G81" s="2">
        <f>IFERROR(INDEX('Incident'!$N$4:$N$100003,MATCH(D81,'Incident'!$B$4:$B$100003,0)),IFERROR(INDEX('NC Management'!$F$4:$F$100003,MATCH(E81,'NC Management'!$B$4:$B$100003,0)),""))</f>
        <v>0</v>
      </c>
      <c r="H81" s="6"/>
      <c r="I81" s="6"/>
      <c r="J81" s="6"/>
      <c r="K81" s="6"/>
      <c r="L81" s="6"/>
      <c r="M81" s="6"/>
      <c r="N81" s="6"/>
      <c r="O81" s="6"/>
      <c r="P81" s="1"/>
    </row>
    <row r="82" spans="1:16">
      <c r="A82" s="1">
        <v>79</v>
      </c>
      <c r="B82" s="6"/>
      <c r="C82" s="5"/>
      <c r="D82" s="1"/>
      <c r="E82" s="1"/>
      <c r="F82" s="2">
        <f>IFERROR(INDEX('Incident'!$H$4:$H$100003,MATCH(D82,'Incident'!$B$4:$B$100003,0)),IFERROR(INDEX('NC Management'!$G$4:$G$100003,MATCH(E82,'NC Management'!$B$4:$B$100003,0)),""))</f>
        <v>0</v>
      </c>
      <c r="G82" s="2">
        <f>IFERROR(INDEX('Incident'!$N$4:$N$100003,MATCH(D82,'Incident'!$B$4:$B$100003,0)),IFERROR(INDEX('NC Management'!$F$4:$F$100003,MATCH(E82,'NC Management'!$B$4:$B$100003,0)),""))</f>
        <v>0</v>
      </c>
      <c r="H82" s="6"/>
      <c r="I82" s="6"/>
      <c r="J82" s="6"/>
      <c r="K82" s="6"/>
      <c r="L82" s="6"/>
      <c r="M82" s="6"/>
      <c r="N82" s="6"/>
      <c r="O82" s="6"/>
      <c r="P82" s="1"/>
    </row>
    <row r="83" spans="1:16">
      <c r="A83" s="1">
        <v>80</v>
      </c>
      <c r="B83" s="6"/>
      <c r="C83" s="5"/>
      <c r="D83" s="1"/>
      <c r="E83" s="1"/>
      <c r="F83" s="2">
        <f>IFERROR(INDEX('Incident'!$H$4:$H$100003,MATCH(D83,'Incident'!$B$4:$B$100003,0)),IFERROR(INDEX('NC Management'!$G$4:$G$100003,MATCH(E83,'NC Management'!$B$4:$B$100003,0)),""))</f>
        <v>0</v>
      </c>
      <c r="G83" s="2">
        <f>IFERROR(INDEX('Incident'!$N$4:$N$100003,MATCH(D83,'Incident'!$B$4:$B$100003,0)),IFERROR(INDEX('NC Management'!$F$4:$F$100003,MATCH(E83,'NC Management'!$B$4:$B$100003,0)),""))</f>
        <v>0</v>
      </c>
      <c r="H83" s="6"/>
      <c r="I83" s="6"/>
      <c r="J83" s="6"/>
      <c r="K83" s="6"/>
      <c r="L83" s="6"/>
      <c r="M83" s="6"/>
      <c r="N83" s="6"/>
      <c r="O83" s="6"/>
      <c r="P83" s="1"/>
    </row>
    <row r="84" spans="1:16">
      <c r="A84" s="1">
        <v>81</v>
      </c>
      <c r="B84" s="6"/>
      <c r="C84" s="5"/>
      <c r="D84" s="1"/>
      <c r="E84" s="1"/>
      <c r="F84" s="2">
        <f>IFERROR(INDEX('Incident'!$H$4:$H$100003,MATCH(D84,'Incident'!$B$4:$B$100003,0)),IFERROR(INDEX('NC Management'!$G$4:$G$100003,MATCH(E84,'NC Management'!$B$4:$B$100003,0)),""))</f>
        <v>0</v>
      </c>
      <c r="G84" s="2">
        <f>IFERROR(INDEX('Incident'!$N$4:$N$100003,MATCH(D84,'Incident'!$B$4:$B$100003,0)),IFERROR(INDEX('NC Management'!$F$4:$F$100003,MATCH(E84,'NC Management'!$B$4:$B$100003,0)),""))</f>
        <v>0</v>
      </c>
      <c r="H84" s="6"/>
      <c r="I84" s="6"/>
      <c r="J84" s="6"/>
      <c r="K84" s="6"/>
      <c r="L84" s="6"/>
      <c r="M84" s="6"/>
      <c r="N84" s="6"/>
      <c r="O84" s="6"/>
      <c r="P84" s="1"/>
    </row>
    <row r="85" spans="1:16">
      <c r="A85" s="1">
        <v>82</v>
      </c>
      <c r="B85" s="6"/>
      <c r="C85" s="5"/>
      <c r="D85" s="1"/>
      <c r="E85" s="1"/>
      <c r="F85" s="2">
        <f>IFERROR(INDEX('Incident'!$H$4:$H$100003,MATCH(D85,'Incident'!$B$4:$B$100003,0)),IFERROR(INDEX('NC Management'!$G$4:$G$100003,MATCH(E85,'NC Management'!$B$4:$B$100003,0)),""))</f>
        <v>0</v>
      </c>
      <c r="G85" s="2">
        <f>IFERROR(INDEX('Incident'!$N$4:$N$100003,MATCH(D85,'Incident'!$B$4:$B$100003,0)),IFERROR(INDEX('NC Management'!$F$4:$F$100003,MATCH(E85,'NC Management'!$B$4:$B$100003,0)),""))</f>
        <v>0</v>
      </c>
      <c r="H85" s="6"/>
      <c r="I85" s="6"/>
      <c r="J85" s="6"/>
      <c r="K85" s="6"/>
      <c r="L85" s="6"/>
      <c r="M85" s="6"/>
      <c r="N85" s="6"/>
      <c r="O85" s="6"/>
      <c r="P85" s="1"/>
    </row>
    <row r="86" spans="1:16">
      <c r="A86" s="1">
        <v>83</v>
      </c>
      <c r="B86" s="6"/>
      <c r="C86" s="5"/>
      <c r="D86" s="1"/>
      <c r="E86" s="1"/>
      <c r="F86" s="2">
        <f>IFERROR(INDEX('Incident'!$H$4:$H$100003,MATCH(D86,'Incident'!$B$4:$B$100003,0)),IFERROR(INDEX('NC Management'!$G$4:$G$100003,MATCH(E86,'NC Management'!$B$4:$B$100003,0)),""))</f>
        <v>0</v>
      </c>
      <c r="G86" s="2">
        <f>IFERROR(INDEX('Incident'!$N$4:$N$100003,MATCH(D86,'Incident'!$B$4:$B$100003,0)),IFERROR(INDEX('NC Management'!$F$4:$F$100003,MATCH(E86,'NC Management'!$B$4:$B$100003,0)),""))</f>
        <v>0</v>
      </c>
      <c r="H86" s="6"/>
      <c r="I86" s="6"/>
      <c r="J86" s="6"/>
      <c r="K86" s="6"/>
      <c r="L86" s="6"/>
      <c r="M86" s="6"/>
      <c r="N86" s="6"/>
      <c r="O86" s="6"/>
      <c r="P86" s="1"/>
    </row>
    <row r="87" spans="1:16">
      <c r="A87" s="1">
        <v>84</v>
      </c>
      <c r="B87" s="6"/>
      <c r="C87" s="5"/>
      <c r="D87" s="1"/>
      <c r="E87" s="1"/>
      <c r="F87" s="2">
        <f>IFERROR(INDEX('Incident'!$H$4:$H$100003,MATCH(D87,'Incident'!$B$4:$B$100003,0)),IFERROR(INDEX('NC Management'!$G$4:$G$100003,MATCH(E87,'NC Management'!$B$4:$B$100003,0)),""))</f>
        <v>0</v>
      </c>
      <c r="G87" s="2">
        <f>IFERROR(INDEX('Incident'!$N$4:$N$100003,MATCH(D87,'Incident'!$B$4:$B$100003,0)),IFERROR(INDEX('NC Management'!$F$4:$F$100003,MATCH(E87,'NC Management'!$B$4:$B$100003,0)),""))</f>
        <v>0</v>
      </c>
      <c r="H87" s="6"/>
      <c r="I87" s="6"/>
      <c r="J87" s="6"/>
      <c r="K87" s="6"/>
      <c r="L87" s="6"/>
      <c r="M87" s="6"/>
      <c r="N87" s="6"/>
      <c r="O87" s="6"/>
      <c r="P87" s="1"/>
    </row>
    <row r="88" spans="1:16">
      <c r="A88" s="1">
        <v>85</v>
      </c>
      <c r="B88" s="6"/>
      <c r="C88" s="5"/>
      <c r="D88" s="1"/>
      <c r="E88" s="1"/>
      <c r="F88" s="2">
        <f>IFERROR(INDEX('Incident'!$H$4:$H$100003,MATCH(D88,'Incident'!$B$4:$B$100003,0)),IFERROR(INDEX('NC Management'!$G$4:$G$100003,MATCH(E88,'NC Management'!$B$4:$B$100003,0)),""))</f>
        <v>0</v>
      </c>
      <c r="G88" s="2">
        <f>IFERROR(INDEX('Incident'!$N$4:$N$100003,MATCH(D88,'Incident'!$B$4:$B$100003,0)),IFERROR(INDEX('NC Management'!$F$4:$F$100003,MATCH(E88,'NC Management'!$B$4:$B$100003,0)),""))</f>
        <v>0</v>
      </c>
      <c r="H88" s="6"/>
      <c r="I88" s="6"/>
      <c r="J88" s="6"/>
      <c r="K88" s="6"/>
      <c r="L88" s="6"/>
      <c r="M88" s="6"/>
      <c r="N88" s="6"/>
      <c r="O88" s="6"/>
      <c r="P88" s="1"/>
    </row>
    <row r="89" spans="1:16">
      <c r="A89" s="1">
        <v>86</v>
      </c>
      <c r="B89" s="6"/>
      <c r="C89" s="5"/>
      <c r="D89" s="1"/>
      <c r="E89" s="1"/>
      <c r="F89" s="2">
        <f>IFERROR(INDEX('Incident'!$H$4:$H$100003,MATCH(D89,'Incident'!$B$4:$B$100003,0)),IFERROR(INDEX('NC Management'!$G$4:$G$100003,MATCH(E89,'NC Management'!$B$4:$B$100003,0)),""))</f>
        <v>0</v>
      </c>
      <c r="G89" s="2">
        <f>IFERROR(INDEX('Incident'!$N$4:$N$100003,MATCH(D89,'Incident'!$B$4:$B$100003,0)),IFERROR(INDEX('NC Management'!$F$4:$F$100003,MATCH(E89,'NC Management'!$B$4:$B$100003,0)),""))</f>
        <v>0</v>
      </c>
      <c r="H89" s="6"/>
      <c r="I89" s="6"/>
      <c r="J89" s="6"/>
      <c r="K89" s="6"/>
      <c r="L89" s="6"/>
      <c r="M89" s="6"/>
      <c r="N89" s="6"/>
      <c r="O89" s="6"/>
      <c r="P89" s="1"/>
    </row>
    <row r="90" spans="1:16">
      <c r="A90" s="1">
        <v>87</v>
      </c>
      <c r="B90" s="6"/>
      <c r="C90" s="5"/>
      <c r="D90" s="1"/>
      <c r="E90" s="1"/>
      <c r="F90" s="2">
        <f>IFERROR(INDEX('Incident'!$H$4:$H$100003,MATCH(D90,'Incident'!$B$4:$B$100003,0)),IFERROR(INDEX('NC Management'!$G$4:$G$100003,MATCH(E90,'NC Management'!$B$4:$B$100003,0)),""))</f>
        <v>0</v>
      </c>
      <c r="G90" s="2">
        <f>IFERROR(INDEX('Incident'!$N$4:$N$100003,MATCH(D90,'Incident'!$B$4:$B$100003,0)),IFERROR(INDEX('NC Management'!$F$4:$F$100003,MATCH(E90,'NC Management'!$B$4:$B$100003,0)),""))</f>
        <v>0</v>
      </c>
      <c r="H90" s="6"/>
      <c r="I90" s="6"/>
      <c r="J90" s="6"/>
      <c r="K90" s="6"/>
      <c r="L90" s="6"/>
      <c r="M90" s="6"/>
      <c r="N90" s="6"/>
      <c r="O90" s="6"/>
      <c r="P90" s="1"/>
    </row>
    <row r="91" spans="1:16">
      <c r="A91" s="1">
        <v>88</v>
      </c>
      <c r="B91" s="6"/>
      <c r="C91" s="5"/>
      <c r="D91" s="1"/>
      <c r="E91" s="1"/>
      <c r="F91" s="2">
        <f>IFERROR(INDEX('Incident'!$H$4:$H$100003,MATCH(D91,'Incident'!$B$4:$B$100003,0)),IFERROR(INDEX('NC Management'!$G$4:$G$100003,MATCH(E91,'NC Management'!$B$4:$B$100003,0)),""))</f>
        <v>0</v>
      </c>
      <c r="G91" s="2">
        <f>IFERROR(INDEX('Incident'!$N$4:$N$100003,MATCH(D91,'Incident'!$B$4:$B$100003,0)),IFERROR(INDEX('NC Management'!$F$4:$F$100003,MATCH(E91,'NC Management'!$B$4:$B$100003,0)),""))</f>
        <v>0</v>
      </c>
      <c r="H91" s="6"/>
      <c r="I91" s="6"/>
      <c r="J91" s="6"/>
      <c r="K91" s="6"/>
      <c r="L91" s="6"/>
      <c r="M91" s="6"/>
      <c r="N91" s="6"/>
      <c r="O91" s="6"/>
      <c r="P91" s="1"/>
    </row>
    <row r="92" spans="1:16">
      <c r="A92" s="1">
        <v>89</v>
      </c>
      <c r="B92" s="6"/>
      <c r="C92" s="5"/>
      <c r="D92" s="1"/>
      <c r="E92" s="1"/>
      <c r="F92" s="2">
        <f>IFERROR(INDEX('Incident'!$H$4:$H$100003,MATCH(D92,'Incident'!$B$4:$B$100003,0)),IFERROR(INDEX('NC Management'!$G$4:$G$100003,MATCH(E92,'NC Management'!$B$4:$B$100003,0)),""))</f>
        <v>0</v>
      </c>
      <c r="G92" s="2">
        <f>IFERROR(INDEX('Incident'!$N$4:$N$100003,MATCH(D92,'Incident'!$B$4:$B$100003,0)),IFERROR(INDEX('NC Management'!$F$4:$F$100003,MATCH(E92,'NC Management'!$B$4:$B$100003,0)),""))</f>
        <v>0</v>
      </c>
      <c r="H92" s="6"/>
      <c r="I92" s="6"/>
      <c r="J92" s="6"/>
      <c r="K92" s="6"/>
      <c r="L92" s="6"/>
      <c r="M92" s="6"/>
      <c r="N92" s="6"/>
      <c r="O92" s="6"/>
      <c r="P92" s="1"/>
    </row>
    <row r="93" spans="1:16">
      <c r="A93" s="1">
        <v>90</v>
      </c>
      <c r="B93" s="6"/>
      <c r="C93" s="5"/>
      <c r="D93" s="1"/>
      <c r="E93" s="1"/>
      <c r="F93" s="2">
        <f>IFERROR(INDEX('Incident'!$H$4:$H$100003,MATCH(D93,'Incident'!$B$4:$B$100003,0)),IFERROR(INDEX('NC Management'!$G$4:$G$100003,MATCH(E93,'NC Management'!$B$4:$B$100003,0)),""))</f>
        <v>0</v>
      </c>
      <c r="G93" s="2">
        <f>IFERROR(INDEX('Incident'!$N$4:$N$100003,MATCH(D93,'Incident'!$B$4:$B$100003,0)),IFERROR(INDEX('NC Management'!$F$4:$F$100003,MATCH(E93,'NC Management'!$B$4:$B$100003,0)),""))</f>
        <v>0</v>
      </c>
      <c r="H93" s="6"/>
      <c r="I93" s="6"/>
      <c r="J93" s="6"/>
      <c r="K93" s="6"/>
      <c r="L93" s="6"/>
      <c r="M93" s="6"/>
      <c r="N93" s="6"/>
      <c r="O93" s="6"/>
      <c r="P93" s="1"/>
    </row>
    <row r="94" spans="1:16">
      <c r="A94" s="1">
        <v>91</v>
      </c>
      <c r="B94" s="6"/>
      <c r="C94" s="5"/>
      <c r="D94" s="1"/>
      <c r="E94" s="1"/>
      <c r="F94" s="2">
        <f>IFERROR(INDEX('Incident'!$H$4:$H$100003,MATCH(D94,'Incident'!$B$4:$B$100003,0)),IFERROR(INDEX('NC Management'!$G$4:$G$100003,MATCH(E94,'NC Management'!$B$4:$B$100003,0)),""))</f>
        <v>0</v>
      </c>
      <c r="G94" s="2">
        <f>IFERROR(INDEX('Incident'!$N$4:$N$100003,MATCH(D94,'Incident'!$B$4:$B$100003,0)),IFERROR(INDEX('NC Management'!$F$4:$F$100003,MATCH(E94,'NC Management'!$B$4:$B$100003,0)),""))</f>
        <v>0</v>
      </c>
      <c r="H94" s="6"/>
      <c r="I94" s="6"/>
      <c r="J94" s="6"/>
      <c r="K94" s="6"/>
      <c r="L94" s="6"/>
      <c r="M94" s="6"/>
      <c r="N94" s="6"/>
      <c r="O94" s="6"/>
      <c r="P94" s="1"/>
    </row>
    <row r="95" spans="1:16">
      <c r="A95" s="1">
        <v>92</v>
      </c>
      <c r="B95" s="6"/>
      <c r="C95" s="5"/>
      <c r="D95" s="1"/>
      <c r="E95" s="1"/>
      <c r="F95" s="2">
        <f>IFERROR(INDEX('Incident'!$H$4:$H$100003,MATCH(D95,'Incident'!$B$4:$B$100003,0)),IFERROR(INDEX('NC Management'!$G$4:$G$100003,MATCH(E95,'NC Management'!$B$4:$B$100003,0)),""))</f>
        <v>0</v>
      </c>
      <c r="G95" s="2">
        <f>IFERROR(INDEX('Incident'!$N$4:$N$100003,MATCH(D95,'Incident'!$B$4:$B$100003,0)),IFERROR(INDEX('NC Management'!$F$4:$F$100003,MATCH(E95,'NC Management'!$B$4:$B$100003,0)),""))</f>
        <v>0</v>
      </c>
      <c r="H95" s="6"/>
      <c r="I95" s="6"/>
      <c r="J95" s="6"/>
      <c r="K95" s="6"/>
      <c r="L95" s="6"/>
      <c r="M95" s="6"/>
      <c r="N95" s="6"/>
      <c r="O95" s="6"/>
      <c r="P95" s="1"/>
    </row>
    <row r="96" spans="1:16">
      <c r="A96" s="1">
        <v>93</v>
      </c>
      <c r="B96" s="6"/>
      <c r="C96" s="5"/>
      <c r="D96" s="1"/>
      <c r="E96" s="1"/>
      <c r="F96" s="2">
        <f>IFERROR(INDEX('Incident'!$H$4:$H$100003,MATCH(D96,'Incident'!$B$4:$B$100003,0)),IFERROR(INDEX('NC Management'!$G$4:$G$100003,MATCH(E96,'NC Management'!$B$4:$B$100003,0)),""))</f>
        <v>0</v>
      </c>
      <c r="G96" s="2">
        <f>IFERROR(INDEX('Incident'!$N$4:$N$100003,MATCH(D96,'Incident'!$B$4:$B$100003,0)),IFERROR(INDEX('NC Management'!$F$4:$F$100003,MATCH(E96,'NC Management'!$B$4:$B$100003,0)),""))</f>
        <v>0</v>
      </c>
      <c r="H96" s="6"/>
      <c r="I96" s="6"/>
      <c r="J96" s="6"/>
      <c r="K96" s="6"/>
      <c r="L96" s="6"/>
      <c r="M96" s="6"/>
      <c r="N96" s="6"/>
      <c r="O96" s="6"/>
      <c r="P96" s="1"/>
    </row>
    <row r="97" spans="1:16">
      <c r="A97" s="1">
        <v>94</v>
      </c>
      <c r="B97" s="6"/>
      <c r="C97" s="5"/>
      <c r="D97" s="1"/>
      <c r="E97" s="1"/>
      <c r="F97" s="2">
        <f>IFERROR(INDEX('Incident'!$H$4:$H$100003,MATCH(D97,'Incident'!$B$4:$B$100003,0)),IFERROR(INDEX('NC Management'!$G$4:$G$100003,MATCH(E97,'NC Management'!$B$4:$B$100003,0)),""))</f>
        <v>0</v>
      </c>
      <c r="G97" s="2">
        <f>IFERROR(INDEX('Incident'!$N$4:$N$100003,MATCH(D97,'Incident'!$B$4:$B$100003,0)),IFERROR(INDEX('NC Management'!$F$4:$F$100003,MATCH(E97,'NC Management'!$B$4:$B$100003,0)),""))</f>
        <v>0</v>
      </c>
      <c r="H97" s="6"/>
      <c r="I97" s="6"/>
      <c r="J97" s="6"/>
      <c r="K97" s="6"/>
      <c r="L97" s="6"/>
      <c r="M97" s="6"/>
      <c r="N97" s="6"/>
      <c r="O97" s="6"/>
      <c r="P97" s="1"/>
    </row>
    <row r="98" spans="1:16">
      <c r="A98" s="1">
        <v>95</v>
      </c>
      <c r="B98" s="6"/>
      <c r="C98" s="5"/>
      <c r="D98" s="1"/>
      <c r="E98" s="1"/>
      <c r="F98" s="2">
        <f>IFERROR(INDEX('Incident'!$H$4:$H$100003,MATCH(D98,'Incident'!$B$4:$B$100003,0)),IFERROR(INDEX('NC Management'!$G$4:$G$100003,MATCH(E98,'NC Management'!$B$4:$B$100003,0)),""))</f>
        <v>0</v>
      </c>
      <c r="G98" s="2">
        <f>IFERROR(INDEX('Incident'!$N$4:$N$100003,MATCH(D98,'Incident'!$B$4:$B$100003,0)),IFERROR(INDEX('NC Management'!$F$4:$F$100003,MATCH(E98,'NC Management'!$B$4:$B$100003,0)),""))</f>
        <v>0</v>
      </c>
      <c r="H98" s="6"/>
      <c r="I98" s="6"/>
      <c r="J98" s="6"/>
      <c r="K98" s="6"/>
      <c r="L98" s="6"/>
      <c r="M98" s="6"/>
      <c r="N98" s="6"/>
      <c r="O98" s="6"/>
      <c r="P98" s="1"/>
    </row>
    <row r="99" spans="1:16">
      <c r="A99" s="1">
        <v>96</v>
      </c>
      <c r="B99" s="6"/>
      <c r="C99" s="5"/>
      <c r="D99" s="1"/>
      <c r="E99" s="1"/>
      <c r="F99" s="2">
        <f>IFERROR(INDEX('Incident'!$H$4:$H$100003,MATCH(D99,'Incident'!$B$4:$B$100003,0)),IFERROR(INDEX('NC Management'!$G$4:$G$100003,MATCH(E99,'NC Management'!$B$4:$B$100003,0)),""))</f>
        <v>0</v>
      </c>
      <c r="G99" s="2">
        <f>IFERROR(INDEX('Incident'!$N$4:$N$100003,MATCH(D99,'Incident'!$B$4:$B$100003,0)),IFERROR(INDEX('NC Management'!$F$4:$F$100003,MATCH(E99,'NC Management'!$B$4:$B$100003,0)),""))</f>
        <v>0</v>
      </c>
      <c r="H99" s="6"/>
      <c r="I99" s="6"/>
      <c r="J99" s="6"/>
      <c r="K99" s="6"/>
      <c r="L99" s="6"/>
      <c r="M99" s="6"/>
      <c r="N99" s="6"/>
      <c r="O99" s="6"/>
      <c r="P99" s="1"/>
    </row>
    <row r="100" spans="1:16">
      <c r="A100" s="1">
        <v>97</v>
      </c>
      <c r="B100" s="6"/>
      <c r="C100" s="5"/>
      <c r="D100" s="1"/>
      <c r="E100" s="1"/>
      <c r="F100" s="2">
        <f>IFERROR(INDEX('Incident'!$H$4:$H$100003,MATCH(D100,'Incident'!$B$4:$B$100003,0)),IFERROR(INDEX('NC Management'!$G$4:$G$100003,MATCH(E100,'NC Management'!$B$4:$B$100003,0)),""))</f>
        <v>0</v>
      </c>
      <c r="G100" s="2">
        <f>IFERROR(INDEX('Incident'!$N$4:$N$100003,MATCH(D100,'Incident'!$B$4:$B$100003,0)),IFERROR(INDEX('NC Management'!$F$4:$F$100003,MATCH(E100,'NC Management'!$B$4:$B$100003,0)),""))</f>
        <v>0</v>
      </c>
      <c r="H100" s="6"/>
      <c r="I100" s="6"/>
      <c r="J100" s="6"/>
      <c r="K100" s="6"/>
      <c r="L100" s="6"/>
      <c r="M100" s="6"/>
      <c r="N100" s="6"/>
      <c r="O100" s="6"/>
      <c r="P100" s="1"/>
    </row>
    <row r="101" spans="1:16">
      <c r="A101" s="1">
        <v>98</v>
      </c>
      <c r="B101" s="6"/>
      <c r="C101" s="5"/>
      <c r="D101" s="1"/>
      <c r="E101" s="1"/>
      <c r="F101" s="2">
        <f>IFERROR(INDEX('Incident'!$H$4:$H$100003,MATCH(D101,'Incident'!$B$4:$B$100003,0)),IFERROR(INDEX('NC Management'!$G$4:$G$100003,MATCH(E101,'NC Management'!$B$4:$B$100003,0)),""))</f>
        <v>0</v>
      </c>
      <c r="G101" s="2">
        <f>IFERROR(INDEX('Incident'!$N$4:$N$100003,MATCH(D101,'Incident'!$B$4:$B$100003,0)),IFERROR(INDEX('NC Management'!$F$4:$F$100003,MATCH(E101,'NC Management'!$B$4:$B$100003,0)),""))</f>
        <v>0</v>
      </c>
      <c r="H101" s="6"/>
      <c r="I101" s="6"/>
      <c r="J101" s="6"/>
      <c r="K101" s="6"/>
      <c r="L101" s="6"/>
      <c r="M101" s="6"/>
      <c r="N101" s="6"/>
      <c r="O101" s="6"/>
      <c r="P101" s="1"/>
    </row>
    <row r="102" spans="1:16">
      <c r="A102" s="1">
        <v>99</v>
      </c>
      <c r="B102" s="6"/>
      <c r="C102" s="5"/>
      <c r="D102" s="1"/>
      <c r="E102" s="1"/>
      <c r="F102" s="2">
        <f>IFERROR(INDEX('Incident'!$H$4:$H$100003,MATCH(D102,'Incident'!$B$4:$B$100003,0)),IFERROR(INDEX('NC Management'!$G$4:$G$100003,MATCH(E102,'NC Management'!$B$4:$B$100003,0)),""))</f>
        <v>0</v>
      </c>
      <c r="G102" s="2">
        <f>IFERROR(INDEX('Incident'!$N$4:$N$100003,MATCH(D102,'Incident'!$B$4:$B$100003,0)),IFERROR(INDEX('NC Management'!$F$4:$F$100003,MATCH(E102,'NC Management'!$B$4:$B$100003,0)),""))</f>
        <v>0</v>
      </c>
      <c r="H102" s="6"/>
      <c r="I102" s="6"/>
      <c r="J102" s="6"/>
      <c r="K102" s="6"/>
      <c r="L102" s="6"/>
      <c r="M102" s="6"/>
      <c r="N102" s="6"/>
      <c r="O102" s="6"/>
      <c r="P102" s="1"/>
    </row>
    <row r="103" spans="1:16">
      <c r="A103" s="1">
        <v>100</v>
      </c>
      <c r="B103" s="6"/>
      <c r="C103" s="5"/>
      <c r="D103" s="1"/>
      <c r="E103" s="1"/>
      <c r="F103" s="2">
        <f>IFERROR(INDEX('Incident'!$H$4:$H$100003,MATCH(D103,'Incident'!$B$4:$B$100003,0)),IFERROR(INDEX('NC Management'!$G$4:$G$100003,MATCH(E103,'NC Management'!$B$4:$B$100003,0)),""))</f>
        <v>0</v>
      </c>
      <c r="G103" s="2">
        <f>IFERROR(INDEX('Incident'!$N$4:$N$100003,MATCH(D103,'Incident'!$B$4:$B$100003,0)),IFERROR(INDEX('NC Management'!$F$4:$F$100003,MATCH(E103,'NC Management'!$B$4:$B$100003,0)),""))</f>
        <v>0</v>
      </c>
      <c r="H103" s="6"/>
      <c r="I103" s="6"/>
      <c r="J103" s="6"/>
      <c r="K103" s="6"/>
      <c r="L103" s="6"/>
      <c r="M103" s="6"/>
      <c r="N103" s="6"/>
      <c r="O103" s="6"/>
      <c r="P103" s="1"/>
    </row>
    <row r="104" spans="1:16">
      <c r="A104" s="1">
        <v>101</v>
      </c>
      <c r="B104" s="6"/>
      <c r="C104" s="5"/>
      <c r="D104" s="1"/>
      <c r="E104" s="1"/>
      <c r="F104" s="2">
        <f>IFERROR(INDEX('Incident'!$H$4:$H$100003,MATCH(D104,'Incident'!$B$4:$B$100003,0)),IFERROR(INDEX('NC Management'!$G$4:$G$100003,MATCH(E104,'NC Management'!$B$4:$B$100003,0)),""))</f>
        <v>0</v>
      </c>
      <c r="G104" s="2">
        <f>IFERROR(INDEX('Incident'!$N$4:$N$100003,MATCH(D104,'Incident'!$B$4:$B$100003,0)),IFERROR(INDEX('NC Management'!$F$4:$F$100003,MATCH(E104,'NC Management'!$B$4:$B$100003,0)),""))</f>
        <v>0</v>
      </c>
      <c r="H104" s="6"/>
      <c r="I104" s="6"/>
      <c r="J104" s="6"/>
      <c r="K104" s="6"/>
      <c r="L104" s="6"/>
      <c r="M104" s="6"/>
      <c r="N104" s="6"/>
      <c r="O104" s="6"/>
      <c r="P104" s="1"/>
    </row>
    <row r="105" spans="1:16">
      <c r="A105" s="1">
        <v>102</v>
      </c>
      <c r="B105" s="6"/>
      <c r="C105" s="5"/>
      <c r="D105" s="1"/>
      <c r="E105" s="1"/>
      <c r="F105" s="2">
        <f>IFERROR(INDEX('Incident'!$H$4:$H$100003,MATCH(D105,'Incident'!$B$4:$B$100003,0)),IFERROR(INDEX('NC Management'!$G$4:$G$100003,MATCH(E105,'NC Management'!$B$4:$B$100003,0)),""))</f>
        <v>0</v>
      </c>
      <c r="G105" s="2">
        <f>IFERROR(INDEX('Incident'!$N$4:$N$100003,MATCH(D105,'Incident'!$B$4:$B$100003,0)),IFERROR(INDEX('NC Management'!$F$4:$F$100003,MATCH(E105,'NC Management'!$B$4:$B$100003,0)),""))</f>
        <v>0</v>
      </c>
      <c r="H105" s="6"/>
      <c r="I105" s="6"/>
      <c r="J105" s="6"/>
      <c r="K105" s="6"/>
      <c r="L105" s="6"/>
      <c r="M105" s="6"/>
      <c r="N105" s="6"/>
      <c r="O105" s="6"/>
      <c r="P105" s="1"/>
    </row>
    <row r="106" spans="1:16">
      <c r="A106" s="1">
        <v>103</v>
      </c>
      <c r="B106" s="6"/>
      <c r="C106" s="5"/>
      <c r="D106" s="1"/>
      <c r="E106" s="1"/>
      <c r="F106" s="2">
        <f>IFERROR(INDEX('Incident'!$H$4:$H$100003,MATCH(D106,'Incident'!$B$4:$B$100003,0)),IFERROR(INDEX('NC Management'!$G$4:$G$100003,MATCH(E106,'NC Management'!$B$4:$B$100003,0)),""))</f>
        <v>0</v>
      </c>
      <c r="G106" s="2">
        <f>IFERROR(INDEX('Incident'!$N$4:$N$100003,MATCH(D106,'Incident'!$B$4:$B$100003,0)),IFERROR(INDEX('NC Management'!$F$4:$F$100003,MATCH(E106,'NC Management'!$B$4:$B$100003,0)),""))</f>
        <v>0</v>
      </c>
      <c r="H106" s="6"/>
      <c r="I106" s="6"/>
      <c r="J106" s="6"/>
      <c r="K106" s="6"/>
      <c r="L106" s="6"/>
      <c r="M106" s="6"/>
      <c r="N106" s="6"/>
      <c r="O106" s="6"/>
      <c r="P106" s="1"/>
    </row>
    <row r="107" spans="1:16">
      <c r="A107" s="1">
        <v>104</v>
      </c>
      <c r="B107" s="6"/>
      <c r="C107" s="5"/>
      <c r="D107" s="1"/>
      <c r="E107" s="1"/>
      <c r="F107" s="2">
        <f>IFERROR(INDEX('Incident'!$H$4:$H$100003,MATCH(D107,'Incident'!$B$4:$B$100003,0)),IFERROR(INDEX('NC Management'!$G$4:$G$100003,MATCH(E107,'NC Management'!$B$4:$B$100003,0)),""))</f>
        <v>0</v>
      </c>
      <c r="G107" s="2">
        <f>IFERROR(INDEX('Incident'!$N$4:$N$100003,MATCH(D107,'Incident'!$B$4:$B$100003,0)),IFERROR(INDEX('NC Management'!$F$4:$F$100003,MATCH(E107,'NC Management'!$B$4:$B$100003,0)),""))</f>
        <v>0</v>
      </c>
      <c r="H107" s="6"/>
      <c r="I107" s="6"/>
      <c r="J107" s="6"/>
      <c r="K107" s="6"/>
      <c r="L107" s="6"/>
      <c r="M107" s="6"/>
      <c r="N107" s="6"/>
      <c r="O107" s="6"/>
      <c r="P107" s="1"/>
    </row>
    <row r="108" spans="1:16">
      <c r="A108" s="1">
        <v>105</v>
      </c>
      <c r="B108" s="6"/>
      <c r="C108" s="5"/>
      <c r="D108" s="1"/>
      <c r="E108" s="1"/>
      <c r="F108" s="2">
        <f>IFERROR(INDEX('Incident'!$H$4:$H$100003,MATCH(D108,'Incident'!$B$4:$B$100003,0)),IFERROR(INDEX('NC Management'!$G$4:$G$100003,MATCH(E108,'NC Management'!$B$4:$B$100003,0)),""))</f>
        <v>0</v>
      </c>
      <c r="G108" s="2">
        <f>IFERROR(INDEX('Incident'!$N$4:$N$100003,MATCH(D108,'Incident'!$B$4:$B$100003,0)),IFERROR(INDEX('NC Management'!$F$4:$F$100003,MATCH(E108,'NC Management'!$B$4:$B$100003,0)),""))</f>
        <v>0</v>
      </c>
      <c r="H108" s="6"/>
      <c r="I108" s="6"/>
      <c r="J108" s="6"/>
      <c r="K108" s="6"/>
      <c r="L108" s="6"/>
      <c r="M108" s="6"/>
      <c r="N108" s="6"/>
      <c r="O108" s="6"/>
      <c r="P108" s="1"/>
    </row>
    <row r="109" spans="1:16">
      <c r="A109" s="1">
        <v>106</v>
      </c>
      <c r="B109" s="6"/>
      <c r="C109" s="5"/>
      <c r="D109" s="1"/>
      <c r="E109" s="1"/>
      <c r="F109" s="2">
        <f>IFERROR(INDEX('Incident'!$H$4:$H$100003,MATCH(D109,'Incident'!$B$4:$B$100003,0)),IFERROR(INDEX('NC Management'!$G$4:$G$100003,MATCH(E109,'NC Management'!$B$4:$B$100003,0)),""))</f>
        <v>0</v>
      </c>
      <c r="G109" s="2">
        <f>IFERROR(INDEX('Incident'!$N$4:$N$100003,MATCH(D109,'Incident'!$B$4:$B$100003,0)),IFERROR(INDEX('NC Management'!$F$4:$F$100003,MATCH(E109,'NC Management'!$B$4:$B$100003,0)),""))</f>
        <v>0</v>
      </c>
      <c r="H109" s="6"/>
      <c r="I109" s="6"/>
      <c r="J109" s="6"/>
      <c r="K109" s="6"/>
      <c r="L109" s="6"/>
      <c r="M109" s="6"/>
      <c r="N109" s="6"/>
      <c r="O109" s="6"/>
      <c r="P109" s="1"/>
    </row>
    <row r="110" spans="1:16">
      <c r="A110" s="1">
        <v>107</v>
      </c>
      <c r="B110" s="6"/>
      <c r="C110" s="5"/>
      <c r="D110" s="1"/>
      <c r="E110" s="1"/>
      <c r="F110" s="2">
        <f>IFERROR(INDEX('Incident'!$H$4:$H$100003,MATCH(D110,'Incident'!$B$4:$B$100003,0)),IFERROR(INDEX('NC Management'!$G$4:$G$100003,MATCH(E110,'NC Management'!$B$4:$B$100003,0)),""))</f>
        <v>0</v>
      </c>
      <c r="G110" s="2">
        <f>IFERROR(INDEX('Incident'!$N$4:$N$100003,MATCH(D110,'Incident'!$B$4:$B$100003,0)),IFERROR(INDEX('NC Management'!$F$4:$F$100003,MATCH(E110,'NC Management'!$B$4:$B$100003,0)),""))</f>
        <v>0</v>
      </c>
      <c r="H110" s="6"/>
      <c r="I110" s="6"/>
      <c r="J110" s="6"/>
      <c r="K110" s="6"/>
      <c r="L110" s="6"/>
      <c r="M110" s="6"/>
      <c r="N110" s="6"/>
      <c r="O110" s="6"/>
      <c r="P110" s="1"/>
    </row>
    <row r="111" spans="1:16">
      <c r="A111" s="1">
        <v>108</v>
      </c>
      <c r="B111" s="6"/>
      <c r="C111" s="5"/>
      <c r="D111" s="1"/>
      <c r="E111" s="1"/>
      <c r="F111" s="2">
        <f>IFERROR(INDEX('Incident'!$H$4:$H$100003,MATCH(D111,'Incident'!$B$4:$B$100003,0)),IFERROR(INDEX('NC Management'!$G$4:$G$100003,MATCH(E111,'NC Management'!$B$4:$B$100003,0)),""))</f>
        <v>0</v>
      </c>
      <c r="G111" s="2">
        <f>IFERROR(INDEX('Incident'!$N$4:$N$100003,MATCH(D111,'Incident'!$B$4:$B$100003,0)),IFERROR(INDEX('NC Management'!$F$4:$F$100003,MATCH(E111,'NC Management'!$B$4:$B$100003,0)),""))</f>
        <v>0</v>
      </c>
      <c r="H111" s="6"/>
      <c r="I111" s="6"/>
      <c r="J111" s="6"/>
      <c r="K111" s="6"/>
      <c r="L111" s="6"/>
      <c r="M111" s="6"/>
      <c r="N111" s="6"/>
      <c r="O111" s="6"/>
      <c r="P111" s="1"/>
    </row>
    <row r="112" spans="1:16">
      <c r="A112" s="1">
        <v>109</v>
      </c>
      <c r="B112" s="6"/>
      <c r="C112" s="5"/>
      <c r="D112" s="1"/>
      <c r="E112" s="1"/>
      <c r="F112" s="2">
        <f>IFERROR(INDEX('Incident'!$H$4:$H$100003,MATCH(D112,'Incident'!$B$4:$B$100003,0)),IFERROR(INDEX('NC Management'!$G$4:$G$100003,MATCH(E112,'NC Management'!$B$4:$B$100003,0)),""))</f>
        <v>0</v>
      </c>
      <c r="G112" s="2">
        <f>IFERROR(INDEX('Incident'!$N$4:$N$100003,MATCH(D112,'Incident'!$B$4:$B$100003,0)),IFERROR(INDEX('NC Management'!$F$4:$F$100003,MATCH(E112,'NC Management'!$B$4:$B$100003,0)),""))</f>
        <v>0</v>
      </c>
      <c r="H112" s="6"/>
      <c r="I112" s="6"/>
      <c r="J112" s="6"/>
      <c r="K112" s="6"/>
      <c r="L112" s="6"/>
      <c r="M112" s="6"/>
      <c r="N112" s="6"/>
      <c r="O112" s="6"/>
      <c r="P112" s="1"/>
    </row>
    <row r="113" spans="1:16">
      <c r="A113" s="1">
        <v>110</v>
      </c>
      <c r="B113" s="6"/>
      <c r="C113" s="5"/>
      <c r="D113" s="1"/>
      <c r="E113" s="1"/>
      <c r="F113" s="2">
        <f>IFERROR(INDEX('Incident'!$H$4:$H$100003,MATCH(D113,'Incident'!$B$4:$B$100003,0)),IFERROR(INDEX('NC Management'!$G$4:$G$100003,MATCH(E113,'NC Management'!$B$4:$B$100003,0)),""))</f>
        <v>0</v>
      </c>
      <c r="G113" s="2">
        <f>IFERROR(INDEX('Incident'!$N$4:$N$100003,MATCH(D113,'Incident'!$B$4:$B$100003,0)),IFERROR(INDEX('NC Management'!$F$4:$F$100003,MATCH(E113,'NC Management'!$B$4:$B$100003,0)),""))</f>
        <v>0</v>
      </c>
      <c r="H113" s="6"/>
      <c r="I113" s="6"/>
      <c r="J113" s="6"/>
      <c r="K113" s="6"/>
      <c r="L113" s="6"/>
      <c r="M113" s="6"/>
      <c r="N113" s="6"/>
      <c r="O113" s="6"/>
      <c r="P113" s="1"/>
    </row>
    <row r="114" spans="1:16">
      <c r="A114" s="1">
        <v>111</v>
      </c>
      <c r="B114" s="6"/>
      <c r="C114" s="5"/>
      <c r="D114" s="1"/>
      <c r="E114" s="1"/>
      <c r="F114" s="2">
        <f>IFERROR(INDEX('Incident'!$H$4:$H$100003,MATCH(D114,'Incident'!$B$4:$B$100003,0)),IFERROR(INDEX('NC Management'!$G$4:$G$100003,MATCH(E114,'NC Management'!$B$4:$B$100003,0)),""))</f>
        <v>0</v>
      </c>
      <c r="G114" s="2">
        <f>IFERROR(INDEX('Incident'!$N$4:$N$100003,MATCH(D114,'Incident'!$B$4:$B$100003,0)),IFERROR(INDEX('NC Management'!$F$4:$F$100003,MATCH(E114,'NC Management'!$B$4:$B$100003,0)),""))</f>
        <v>0</v>
      </c>
      <c r="H114" s="6"/>
      <c r="I114" s="6"/>
      <c r="J114" s="6"/>
      <c r="K114" s="6"/>
      <c r="L114" s="6"/>
      <c r="M114" s="6"/>
      <c r="N114" s="6"/>
      <c r="O114" s="6"/>
      <c r="P114" s="1"/>
    </row>
    <row r="115" spans="1:16">
      <c r="A115" s="1">
        <v>112</v>
      </c>
      <c r="B115" s="6"/>
      <c r="C115" s="5"/>
      <c r="D115" s="1"/>
      <c r="E115" s="1"/>
      <c r="F115" s="2">
        <f>IFERROR(INDEX('Incident'!$H$4:$H$100003,MATCH(D115,'Incident'!$B$4:$B$100003,0)),IFERROR(INDEX('NC Management'!$G$4:$G$100003,MATCH(E115,'NC Management'!$B$4:$B$100003,0)),""))</f>
        <v>0</v>
      </c>
      <c r="G115" s="2">
        <f>IFERROR(INDEX('Incident'!$N$4:$N$100003,MATCH(D115,'Incident'!$B$4:$B$100003,0)),IFERROR(INDEX('NC Management'!$F$4:$F$100003,MATCH(E115,'NC Management'!$B$4:$B$100003,0)),""))</f>
        <v>0</v>
      </c>
      <c r="H115" s="6"/>
      <c r="I115" s="6"/>
      <c r="J115" s="6"/>
      <c r="K115" s="6"/>
      <c r="L115" s="6"/>
      <c r="M115" s="6"/>
      <c r="N115" s="6"/>
      <c r="O115" s="6"/>
      <c r="P115" s="1"/>
    </row>
    <row r="116" spans="1:16">
      <c r="A116" s="1">
        <v>113</v>
      </c>
      <c r="B116" s="6"/>
      <c r="C116" s="5"/>
      <c r="D116" s="1"/>
      <c r="E116" s="1"/>
      <c r="F116" s="2">
        <f>IFERROR(INDEX('Incident'!$H$4:$H$100003,MATCH(D116,'Incident'!$B$4:$B$100003,0)),IFERROR(INDEX('NC Management'!$G$4:$G$100003,MATCH(E116,'NC Management'!$B$4:$B$100003,0)),""))</f>
        <v>0</v>
      </c>
      <c r="G116" s="2">
        <f>IFERROR(INDEX('Incident'!$N$4:$N$100003,MATCH(D116,'Incident'!$B$4:$B$100003,0)),IFERROR(INDEX('NC Management'!$F$4:$F$100003,MATCH(E116,'NC Management'!$B$4:$B$100003,0)),""))</f>
        <v>0</v>
      </c>
      <c r="H116" s="6"/>
      <c r="I116" s="6"/>
      <c r="J116" s="6"/>
      <c r="K116" s="6"/>
      <c r="L116" s="6"/>
      <c r="M116" s="6"/>
      <c r="N116" s="6"/>
      <c r="O116" s="6"/>
      <c r="P116" s="1"/>
    </row>
    <row r="117" spans="1:16">
      <c r="A117" s="1">
        <v>114</v>
      </c>
      <c r="B117" s="6"/>
      <c r="C117" s="5"/>
      <c r="D117" s="1"/>
      <c r="E117" s="1"/>
      <c r="F117" s="2">
        <f>IFERROR(INDEX('Incident'!$H$4:$H$100003,MATCH(D117,'Incident'!$B$4:$B$100003,0)),IFERROR(INDEX('NC Management'!$G$4:$G$100003,MATCH(E117,'NC Management'!$B$4:$B$100003,0)),""))</f>
        <v>0</v>
      </c>
      <c r="G117" s="2">
        <f>IFERROR(INDEX('Incident'!$N$4:$N$100003,MATCH(D117,'Incident'!$B$4:$B$100003,0)),IFERROR(INDEX('NC Management'!$F$4:$F$100003,MATCH(E117,'NC Management'!$B$4:$B$100003,0)),""))</f>
        <v>0</v>
      </c>
      <c r="H117" s="6"/>
      <c r="I117" s="6"/>
      <c r="J117" s="6"/>
      <c r="K117" s="6"/>
      <c r="L117" s="6"/>
      <c r="M117" s="6"/>
      <c r="N117" s="6"/>
      <c r="O117" s="6"/>
      <c r="P117" s="1"/>
    </row>
    <row r="118" spans="1:16">
      <c r="A118" s="1">
        <v>115</v>
      </c>
      <c r="B118" s="6"/>
      <c r="C118" s="5"/>
      <c r="D118" s="1"/>
      <c r="E118" s="1"/>
      <c r="F118" s="2">
        <f>IFERROR(INDEX('Incident'!$H$4:$H$100003,MATCH(D118,'Incident'!$B$4:$B$100003,0)),IFERROR(INDEX('NC Management'!$G$4:$G$100003,MATCH(E118,'NC Management'!$B$4:$B$100003,0)),""))</f>
        <v>0</v>
      </c>
      <c r="G118" s="2">
        <f>IFERROR(INDEX('Incident'!$N$4:$N$100003,MATCH(D118,'Incident'!$B$4:$B$100003,0)),IFERROR(INDEX('NC Management'!$F$4:$F$100003,MATCH(E118,'NC Management'!$B$4:$B$100003,0)),""))</f>
        <v>0</v>
      </c>
      <c r="H118" s="6"/>
      <c r="I118" s="6"/>
      <c r="J118" s="6"/>
      <c r="K118" s="6"/>
      <c r="L118" s="6"/>
      <c r="M118" s="6"/>
      <c r="N118" s="6"/>
      <c r="O118" s="6"/>
      <c r="P118" s="1"/>
    </row>
    <row r="119" spans="1:16">
      <c r="A119" s="1">
        <v>116</v>
      </c>
      <c r="B119" s="6"/>
      <c r="C119" s="5"/>
      <c r="D119" s="1"/>
      <c r="E119" s="1"/>
      <c r="F119" s="2">
        <f>IFERROR(INDEX('Incident'!$H$4:$H$100003,MATCH(D119,'Incident'!$B$4:$B$100003,0)),IFERROR(INDEX('NC Management'!$G$4:$G$100003,MATCH(E119,'NC Management'!$B$4:$B$100003,0)),""))</f>
        <v>0</v>
      </c>
      <c r="G119" s="2">
        <f>IFERROR(INDEX('Incident'!$N$4:$N$100003,MATCH(D119,'Incident'!$B$4:$B$100003,0)),IFERROR(INDEX('NC Management'!$F$4:$F$100003,MATCH(E119,'NC Management'!$B$4:$B$100003,0)),""))</f>
        <v>0</v>
      </c>
      <c r="H119" s="6"/>
      <c r="I119" s="6"/>
      <c r="J119" s="6"/>
      <c r="K119" s="6"/>
      <c r="L119" s="6"/>
      <c r="M119" s="6"/>
      <c r="N119" s="6"/>
      <c r="O119" s="6"/>
      <c r="P119" s="1"/>
    </row>
    <row r="120" spans="1:16">
      <c r="A120" s="1">
        <v>117</v>
      </c>
      <c r="B120" s="6"/>
      <c r="C120" s="5"/>
      <c r="D120" s="1"/>
      <c r="E120" s="1"/>
      <c r="F120" s="2">
        <f>IFERROR(INDEX('Incident'!$H$4:$H$100003,MATCH(D120,'Incident'!$B$4:$B$100003,0)),IFERROR(INDEX('NC Management'!$G$4:$G$100003,MATCH(E120,'NC Management'!$B$4:$B$100003,0)),""))</f>
        <v>0</v>
      </c>
      <c r="G120" s="2">
        <f>IFERROR(INDEX('Incident'!$N$4:$N$100003,MATCH(D120,'Incident'!$B$4:$B$100003,0)),IFERROR(INDEX('NC Management'!$F$4:$F$100003,MATCH(E120,'NC Management'!$B$4:$B$100003,0)),""))</f>
        <v>0</v>
      </c>
      <c r="H120" s="6"/>
      <c r="I120" s="6"/>
      <c r="J120" s="6"/>
      <c r="K120" s="6"/>
      <c r="L120" s="6"/>
      <c r="M120" s="6"/>
      <c r="N120" s="6"/>
      <c r="O120" s="6"/>
      <c r="P120" s="1"/>
    </row>
    <row r="121" spans="1:16">
      <c r="A121" s="1">
        <v>118</v>
      </c>
      <c r="B121" s="6"/>
      <c r="C121" s="5"/>
      <c r="D121" s="1"/>
      <c r="E121" s="1"/>
      <c r="F121" s="2">
        <f>IFERROR(INDEX('Incident'!$H$4:$H$100003,MATCH(D121,'Incident'!$B$4:$B$100003,0)),IFERROR(INDEX('NC Management'!$G$4:$G$100003,MATCH(E121,'NC Management'!$B$4:$B$100003,0)),""))</f>
        <v>0</v>
      </c>
      <c r="G121" s="2">
        <f>IFERROR(INDEX('Incident'!$N$4:$N$100003,MATCH(D121,'Incident'!$B$4:$B$100003,0)),IFERROR(INDEX('NC Management'!$F$4:$F$100003,MATCH(E121,'NC Management'!$B$4:$B$100003,0)),""))</f>
        <v>0</v>
      </c>
      <c r="H121" s="6"/>
      <c r="I121" s="6"/>
      <c r="J121" s="6"/>
      <c r="K121" s="6"/>
      <c r="L121" s="6"/>
      <c r="M121" s="6"/>
      <c r="N121" s="6"/>
      <c r="O121" s="6"/>
      <c r="P121" s="1"/>
    </row>
    <row r="122" spans="1:16">
      <c r="A122" s="1">
        <v>119</v>
      </c>
      <c r="B122" s="6"/>
      <c r="C122" s="5"/>
      <c r="D122" s="1"/>
      <c r="E122" s="1"/>
      <c r="F122" s="2">
        <f>IFERROR(INDEX('Incident'!$H$4:$H$100003,MATCH(D122,'Incident'!$B$4:$B$100003,0)),IFERROR(INDEX('NC Management'!$G$4:$G$100003,MATCH(E122,'NC Management'!$B$4:$B$100003,0)),""))</f>
        <v>0</v>
      </c>
      <c r="G122" s="2">
        <f>IFERROR(INDEX('Incident'!$N$4:$N$100003,MATCH(D122,'Incident'!$B$4:$B$100003,0)),IFERROR(INDEX('NC Management'!$F$4:$F$100003,MATCH(E122,'NC Management'!$B$4:$B$100003,0)),""))</f>
        <v>0</v>
      </c>
      <c r="H122" s="6"/>
      <c r="I122" s="6"/>
      <c r="J122" s="6"/>
      <c r="K122" s="6"/>
      <c r="L122" s="6"/>
      <c r="M122" s="6"/>
      <c r="N122" s="6"/>
      <c r="O122" s="6"/>
      <c r="P122" s="1"/>
    </row>
    <row r="123" spans="1:16">
      <c r="A123" s="1">
        <v>120</v>
      </c>
      <c r="B123" s="6"/>
      <c r="C123" s="5"/>
      <c r="D123" s="1"/>
      <c r="E123" s="1"/>
      <c r="F123" s="2">
        <f>IFERROR(INDEX('Incident'!$H$4:$H$100003,MATCH(D123,'Incident'!$B$4:$B$100003,0)),IFERROR(INDEX('NC Management'!$G$4:$G$100003,MATCH(E123,'NC Management'!$B$4:$B$100003,0)),""))</f>
        <v>0</v>
      </c>
      <c r="G123" s="2">
        <f>IFERROR(INDEX('Incident'!$N$4:$N$100003,MATCH(D123,'Incident'!$B$4:$B$100003,0)),IFERROR(INDEX('NC Management'!$F$4:$F$100003,MATCH(E123,'NC Management'!$B$4:$B$100003,0)),""))</f>
        <v>0</v>
      </c>
      <c r="H123" s="6"/>
      <c r="I123" s="6"/>
      <c r="J123" s="6"/>
      <c r="K123" s="6"/>
      <c r="L123" s="6"/>
      <c r="M123" s="6"/>
      <c r="N123" s="6"/>
      <c r="O123" s="6"/>
      <c r="P123" s="1"/>
    </row>
    <row r="124" spans="1:16">
      <c r="A124" s="1">
        <v>121</v>
      </c>
      <c r="B124" s="6"/>
      <c r="C124" s="5"/>
      <c r="D124" s="1"/>
      <c r="E124" s="1"/>
      <c r="F124" s="2">
        <f>IFERROR(INDEX('Incident'!$H$4:$H$100003,MATCH(D124,'Incident'!$B$4:$B$100003,0)),IFERROR(INDEX('NC Management'!$G$4:$G$100003,MATCH(E124,'NC Management'!$B$4:$B$100003,0)),""))</f>
        <v>0</v>
      </c>
      <c r="G124" s="2">
        <f>IFERROR(INDEX('Incident'!$N$4:$N$100003,MATCH(D124,'Incident'!$B$4:$B$100003,0)),IFERROR(INDEX('NC Management'!$F$4:$F$100003,MATCH(E124,'NC Management'!$B$4:$B$100003,0)),""))</f>
        <v>0</v>
      </c>
      <c r="H124" s="6"/>
      <c r="I124" s="6"/>
      <c r="J124" s="6"/>
      <c r="K124" s="6"/>
      <c r="L124" s="6"/>
      <c r="M124" s="6"/>
      <c r="N124" s="6"/>
      <c r="O124" s="6"/>
      <c r="P124" s="1"/>
    </row>
    <row r="125" spans="1:16">
      <c r="A125" s="1">
        <v>122</v>
      </c>
      <c r="B125" s="6"/>
      <c r="C125" s="5"/>
      <c r="D125" s="1"/>
      <c r="E125" s="1"/>
      <c r="F125" s="2">
        <f>IFERROR(INDEX('Incident'!$H$4:$H$100003,MATCH(D125,'Incident'!$B$4:$B$100003,0)),IFERROR(INDEX('NC Management'!$G$4:$G$100003,MATCH(E125,'NC Management'!$B$4:$B$100003,0)),""))</f>
        <v>0</v>
      </c>
      <c r="G125" s="2">
        <f>IFERROR(INDEX('Incident'!$N$4:$N$100003,MATCH(D125,'Incident'!$B$4:$B$100003,0)),IFERROR(INDEX('NC Management'!$F$4:$F$100003,MATCH(E125,'NC Management'!$B$4:$B$100003,0)),""))</f>
        <v>0</v>
      </c>
      <c r="H125" s="6"/>
      <c r="I125" s="6"/>
      <c r="J125" s="6"/>
      <c r="K125" s="6"/>
      <c r="L125" s="6"/>
      <c r="M125" s="6"/>
      <c r="N125" s="6"/>
      <c r="O125" s="6"/>
      <c r="P125" s="1"/>
    </row>
    <row r="126" spans="1:16">
      <c r="A126" s="1">
        <v>123</v>
      </c>
      <c r="B126" s="6"/>
      <c r="C126" s="5"/>
      <c r="D126" s="1"/>
      <c r="E126" s="1"/>
      <c r="F126" s="2">
        <f>IFERROR(INDEX('Incident'!$H$4:$H$100003,MATCH(D126,'Incident'!$B$4:$B$100003,0)),IFERROR(INDEX('NC Management'!$G$4:$G$100003,MATCH(E126,'NC Management'!$B$4:$B$100003,0)),""))</f>
        <v>0</v>
      </c>
      <c r="G126" s="2">
        <f>IFERROR(INDEX('Incident'!$N$4:$N$100003,MATCH(D126,'Incident'!$B$4:$B$100003,0)),IFERROR(INDEX('NC Management'!$F$4:$F$100003,MATCH(E126,'NC Management'!$B$4:$B$100003,0)),""))</f>
        <v>0</v>
      </c>
      <c r="H126" s="6"/>
      <c r="I126" s="6"/>
      <c r="J126" s="6"/>
      <c r="K126" s="6"/>
      <c r="L126" s="6"/>
      <c r="M126" s="6"/>
      <c r="N126" s="6"/>
      <c r="O126" s="6"/>
      <c r="P126" s="1"/>
    </row>
    <row r="127" spans="1:16">
      <c r="A127" s="1">
        <v>124</v>
      </c>
      <c r="B127" s="6"/>
      <c r="C127" s="5"/>
      <c r="D127" s="1"/>
      <c r="E127" s="1"/>
      <c r="F127" s="2">
        <f>IFERROR(INDEX('Incident'!$H$4:$H$100003,MATCH(D127,'Incident'!$B$4:$B$100003,0)),IFERROR(INDEX('NC Management'!$G$4:$G$100003,MATCH(E127,'NC Management'!$B$4:$B$100003,0)),""))</f>
        <v>0</v>
      </c>
      <c r="G127" s="2">
        <f>IFERROR(INDEX('Incident'!$N$4:$N$100003,MATCH(D127,'Incident'!$B$4:$B$100003,0)),IFERROR(INDEX('NC Management'!$F$4:$F$100003,MATCH(E127,'NC Management'!$B$4:$B$100003,0)),""))</f>
        <v>0</v>
      </c>
      <c r="H127" s="6"/>
      <c r="I127" s="6"/>
      <c r="J127" s="6"/>
      <c r="K127" s="6"/>
      <c r="L127" s="6"/>
      <c r="M127" s="6"/>
      <c r="N127" s="6"/>
      <c r="O127" s="6"/>
      <c r="P127" s="1"/>
    </row>
    <row r="128" spans="1:16">
      <c r="A128" s="1">
        <v>125</v>
      </c>
      <c r="B128" s="6"/>
      <c r="C128" s="5"/>
      <c r="D128" s="1"/>
      <c r="E128" s="1"/>
      <c r="F128" s="2">
        <f>IFERROR(INDEX('Incident'!$H$4:$H$100003,MATCH(D128,'Incident'!$B$4:$B$100003,0)),IFERROR(INDEX('NC Management'!$G$4:$G$100003,MATCH(E128,'NC Management'!$B$4:$B$100003,0)),""))</f>
        <v>0</v>
      </c>
      <c r="G128" s="2">
        <f>IFERROR(INDEX('Incident'!$N$4:$N$100003,MATCH(D128,'Incident'!$B$4:$B$100003,0)),IFERROR(INDEX('NC Management'!$F$4:$F$100003,MATCH(E128,'NC Management'!$B$4:$B$100003,0)),""))</f>
        <v>0</v>
      </c>
      <c r="H128" s="6"/>
      <c r="I128" s="6"/>
      <c r="J128" s="6"/>
      <c r="K128" s="6"/>
      <c r="L128" s="6"/>
      <c r="M128" s="6"/>
      <c r="N128" s="6"/>
      <c r="O128" s="6"/>
      <c r="P128" s="1"/>
    </row>
    <row r="129" spans="1:16">
      <c r="A129" s="1">
        <v>126</v>
      </c>
      <c r="B129" s="6"/>
      <c r="C129" s="5"/>
      <c r="D129" s="1"/>
      <c r="E129" s="1"/>
      <c r="F129" s="2">
        <f>IFERROR(INDEX('Incident'!$H$4:$H$100003,MATCH(D129,'Incident'!$B$4:$B$100003,0)),IFERROR(INDEX('NC Management'!$G$4:$G$100003,MATCH(E129,'NC Management'!$B$4:$B$100003,0)),""))</f>
        <v>0</v>
      </c>
      <c r="G129" s="2">
        <f>IFERROR(INDEX('Incident'!$N$4:$N$100003,MATCH(D129,'Incident'!$B$4:$B$100003,0)),IFERROR(INDEX('NC Management'!$F$4:$F$100003,MATCH(E129,'NC Management'!$B$4:$B$100003,0)),""))</f>
        <v>0</v>
      </c>
      <c r="H129" s="6"/>
      <c r="I129" s="6"/>
      <c r="J129" s="6"/>
      <c r="K129" s="6"/>
      <c r="L129" s="6"/>
      <c r="M129" s="6"/>
      <c r="N129" s="6"/>
      <c r="O129" s="6"/>
      <c r="P129" s="1"/>
    </row>
    <row r="130" spans="1:16">
      <c r="A130" s="1">
        <v>127</v>
      </c>
      <c r="B130" s="6"/>
      <c r="C130" s="5"/>
      <c r="D130" s="1"/>
      <c r="E130" s="1"/>
      <c r="F130" s="2">
        <f>IFERROR(INDEX('Incident'!$H$4:$H$100003,MATCH(D130,'Incident'!$B$4:$B$100003,0)),IFERROR(INDEX('NC Management'!$G$4:$G$100003,MATCH(E130,'NC Management'!$B$4:$B$100003,0)),""))</f>
        <v>0</v>
      </c>
      <c r="G130" s="2">
        <f>IFERROR(INDEX('Incident'!$N$4:$N$100003,MATCH(D130,'Incident'!$B$4:$B$100003,0)),IFERROR(INDEX('NC Management'!$F$4:$F$100003,MATCH(E130,'NC Management'!$B$4:$B$100003,0)),""))</f>
        <v>0</v>
      </c>
      <c r="H130" s="6"/>
      <c r="I130" s="6"/>
      <c r="J130" s="6"/>
      <c r="K130" s="6"/>
      <c r="L130" s="6"/>
      <c r="M130" s="6"/>
      <c r="N130" s="6"/>
      <c r="O130" s="6"/>
      <c r="P130" s="1"/>
    </row>
    <row r="131" spans="1:16">
      <c r="A131" s="1">
        <v>128</v>
      </c>
      <c r="B131" s="6"/>
      <c r="C131" s="5"/>
      <c r="D131" s="1"/>
      <c r="E131" s="1"/>
      <c r="F131" s="2">
        <f>IFERROR(INDEX('Incident'!$H$4:$H$100003,MATCH(D131,'Incident'!$B$4:$B$100003,0)),IFERROR(INDEX('NC Management'!$G$4:$G$100003,MATCH(E131,'NC Management'!$B$4:$B$100003,0)),""))</f>
        <v>0</v>
      </c>
      <c r="G131" s="2">
        <f>IFERROR(INDEX('Incident'!$N$4:$N$100003,MATCH(D131,'Incident'!$B$4:$B$100003,0)),IFERROR(INDEX('NC Management'!$F$4:$F$100003,MATCH(E131,'NC Management'!$B$4:$B$100003,0)),""))</f>
        <v>0</v>
      </c>
      <c r="H131" s="6"/>
      <c r="I131" s="6"/>
      <c r="J131" s="6"/>
      <c r="K131" s="6"/>
      <c r="L131" s="6"/>
      <c r="M131" s="6"/>
      <c r="N131" s="6"/>
      <c r="O131" s="6"/>
      <c r="P131" s="1"/>
    </row>
    <row r="132" spans="1:16">
      <c r="A132" s="1">
        <v>129</v>
      </c>
      <c r="B132" s="6"/>
      <c r="C132" s="5"/>
      <c r="D132" s="1"/>
      <c r="E132" s="1"/>
      <c r="F132" s="2">
        <f>IFERROR(INDEX('Incident'!$H$4:$H$100003,MATCH(D132,'Incident'!$B$4:$B$100003,0)),IFERROR(INDEX('NC Management'!$G$4:$G$100003,MATCH(E132,'NC Management'!$B$4:$B$100003,0)),""))</f>
        <v>0</v>
      </c>
      <c r="G132" s="2">
        <f>IFERROR(INDEX('Incident'!$N$4:$N$100003,MATCH(D132,'Incident'!$B$4:$B$100003,0)),IFERROR(INDEX('NC Management'!$F$4:$F$100003,MATCH(E132,'NC Management'!$B$4:$B$100003,0)),""))</f>
        <v>0</v>
      </c>
      <c r="H132" s="6"/>
      <c r="I132" s="6"/>
      <c r="J132" s="6"/>
      <c r="K132" s="6"/>
      <c r="L132" s="6"/>
      <c r="M132" s="6"/>
      <c r="N132" s="6"/>
      <c r="O132" s="6"/>
      <c r="P132" s="1"/>
    </row>
    <row r="133" spans="1:16">
      <c r="A133" s="1">
        <v>130</v>
      </c>
      <c r="B133" s="6"/>
      <c r="C133" s="5"/>
      <c r="D133" s="1"/>
      <c r="E133" s="1"/>
      <c r="F133" s="2">
        <f>IFERROR(INDEX('Incident'!$H$4:$H$100003,MATCH(D133,'Incident'!$B$4:$B$100003,0)),IFERROR(INDEX('NC Management'!$G$4:$G$100003,MATCH(E133,'NC Management'!$B$4:$B$100003,0)),""))</f>
        <v>0</v>
      </c>
      <c r="G133" s="2">
        <f>IFERROR(INDEX('Incident'!$N$4:$N$100003,MATCH(D133,'Incident'!$B$4:$B$100003,0)),IFERROR(INDEX('NC Management'!$F$4:$F$100003,MATCH(E133,'NC Management'!$B$4:$B$100003,0)),""))</f>
        <v>0</v>
      </c>
      <c r="H133" s="6"/>
      <c r="I133" s="6"/>
      <c r="J133" s="6"/>
      <c r="K133" s="6"/>
      <c r="L133" s="6"/>
      <c r="M133" s="6"/>
      <c r="N133" s="6"/>
      <c r="O133" s="6"/>
      <c r="P133" s="1"/>
    </row>
    <row r="134" spans="1:16">
      <c r="A134" s="1">
        <v>131</v>
      </c>
      <c r="B134" s="6"/>
      <c r="C134" s="5"/>
      <c r="D134" s="1"/>
      <c r="E134" s="1"/>
      <c r="F134" s="2">
        <f>IFERROR(INDEX('Incident'!$H$4:$H$100003,MATCH(D134,'Incident'!$B$4:$B$100003,0)),IFERROR(INDEX('NC Management'!$G$4:$G$100003,MATCH(E134,'NC Management'!$B$4:$B$100003,0)),""))</f>
        <v>0</v>
      </c>
      <c r="G134" s="2">
        <f>IFERROR(INDEX('Incident'!$N$4:$N$100003,MATCH(D134,'Incident'!$B$4:$B$100003,0)),IFERROR(INDEX('NC Management'!$F$4:$F$100003,MATCH(E134,'NC Management'!$B$4:$B$100003,0)),""))</f>
        <v>0</v>
      </c>
      <c r="H134" s="6"/>
      <c r="I134" s="6"/>
      <c r="J134" s="6"/>
      <c r="K134" s="6"/>
      <c r="L134" s="6"/>
      <c r="M134" s="6"/>
      <c r="N134" s="6"/>
      <c r="O134" s="6"/>
      <c r="P134" s="1"/>
    </row>
    <row r="135" spans="1:16">
      <c r="A135" s="1">
        <v>132</v>
      </c>
      <c r="B135" s="6"/>
      <c r="C135" s="5"/>
      <c r="D135" s="1"/>
      <c r="E135" s="1"/>
      <c r="F135" s="2">
        <f>IFERROR(INDEX('Incident'!$H$4:$H$100003,MATCH(D135,'Incident'!$B$4:$B$100003,0)),IFERROR(INDEX('NC Management'!$G$4:$G$100003,MATCH(E135,'NC Management'!$B$4:$B$100003,0)),""))</f>
        <v>0</v>
      </c>
      <c r="G135" s="2">
        <f>IFERROR(INDEX('Incident'!$N$4:$N$100003,MATCH(D135,'Incident'!$B$4:$B$100003,0)),IFERROR(INDEX('NC Management'!$F$4:$F$100003,MATCH(E135,'NC Management'!$B$4:$B$100003,0)),""))</f>
        <v>0</v>
      </c>
      <c r="H135" s="6"/>
      <c r="I135" s="6"/>
      <c r="J135" s="6"/>
      <c r="K135" s="6"/>
      <c r="L135" s="6"/>
      <c r="M135" s="6"/>
      <c r="N135" s="6"/>
      <c r="O135" s="6"/>
      <c r="P135" s="1"/>
    </row>
    <row r="136" spans="1:16">
      <c r="A136" s="1">
        <v>133</v>
      </c>
      <c r="B136" s="6"/>
      <c r="C136" s="5"/>
      <c r="D136" s="1"/>
      <c r="E136" s="1"/>
      <c r="F136" s="2">
        <f>IFERROR(INDEX('Incident'!$H$4:$H$100003,MATCH(D136,'Incident'!$B$4:$B$100003,0)),IFERROR(INDEX('NC Management'!$G$4:$G$100003,MATCH(E136,'NC Management'!$B$4:$B$100003,0)),""))</f>
        <v>0</v>
      </c>
      <c r="G136" s="2">
        <f>IFERROR(INDEX('Incident'!$N$4:$N$100003,MATCH(D136,'Incident'!$B$4:$B$100003,0)),IFERROR(INDEX('NC Management'!$F$4:$F$100003,MATCH(E136,'NC Management'!$B$4:$B$100003,0)),""))</f>
        <v>0</v>
      </c>
      <c r="H136" s="6"/>
      <c r="I136" s="6"/>
      <c r="J136" s="6"/>
      <c r="K136" s="6"/>
      <c r="L136" s="6"/>
      <c r="M136" s="6"/>
      <c r="N136" s="6"/>
      <c r="O136" s="6"/>
      <c r="P136" s="1"/>
    </row>
    <row r="137" spans="1:16">
      <c r="A137" s="1">
        <v>134</v>
      </c>
      <c r="B137" s="6"/>
      <c r="C137" s="5"/>
      <c r="D137" s="1"/>
      <c r="E137" s="1"/>
      <c r="F137" s="2">
        <f>IFERROR(INDEX('Incident'!$H$4:$H$100003,MATCH(D137,'Incident'!$B$4:$B$100003,0)),IFERROR(INDEX('NC Management'!$G$4:$G$100003,MATCH(E137,'NC Management'!$B$4:$B$100003,0)),""))</f>
        <v>0</v>
      </c>
      <c r="G137" s="2">
        <f>IFERROR(INDEX('Incident'!$N$4:$N$100003,MATCH(D137,'Incident'!$B$4:$B$100003,0)),IFERROR(INDEX('NC Management'!$F$4:$F$100003,MATCH(E137,'NC Management'!$B$4:$B$100003,0)),""))</f>
        <v>0</v>
      </c>
      <c r="H137" s="6"/>
      <c r="I137" s="6"/>
      <c r="J137" s="6"/>
      <c r="K137" s="6"/>
      <c r="L137" s="6"/>
      <c r="M137" s="6"/>
      <c r="N137" s="6"/>
      <c r="O137" s="6"/>
      <c r="P137" s="1"/>
    </row>
    <row r="138" spans="1:16">
      <c r="A138" s="1">
        <v>135</v>
      </c>
      <c r="B138" s="6"/>
      <c r="C138" s="5"/>
      <c r="D138" s="1"/>
      <c r="E138" s="1"/>
      <c r="F138" s="2">
        <f>IFERROR(INDEX('Incident'!$H$4:$H$100003,MATCH(D138,'Incident'!$B$4:$B$100003,0)),IFERROR(INDEX('NC Management'!$G$4:$G$100003,MATCH(E138,'NC Management'!$B$4:$B$100003,0)),""))</f>
        <v>0</v>
      </c>
      <c r="G138" s="2">
        <f>IFERROR(INDEX('Incident'!$N$4:$N$100003,MATCH(D138,'Incident'!$B$4:$B$100003,0)),IFERROR(INDEX('NC Management'!$F$4:$F$100003,MATCH(E138,'NC Management'!$B$4:$B$100003,0)),""))</f>
        <v>0</v>
      </c>
      <c r="H138" s="6"/>
      <c r="I138" s="6"/>
      <c r="J138" s="6"/>
      <c r="K138" s="6"/>
      <c r="L138" s="6"/>
      <c r="M138" s="6"/>
      <c r="N138" s="6"/>
      <c r="O138" s="6"/>
      <c r="P138" s="1"/>
    </row>
    <row r="139" spans="1:16">
      <c r="A139" s="1">
        <v>136</v>
      </c>
      <c r="B139" s="6"/>
      <c r="C139" s="5"/>
      <c r="D139" s="1"/>
      <c r="E139" s="1"/>
      <c r="F139" s="2">
        <f>IFERROR(INDEX('Incident'!$H$4:$H$100003,MATCH(D139,'Incident'!$B$4:$B$100003,0)),IFERROR(INDEX('NC Management'!$G$4:$G$100003,MATCH(E139,'NC Management'!$B$4:$B$100003,0)),""))</f>
        <v>0</v>
      </c>
      <c r="G139" s="2">
        <f>IFERROR(INDEX('Incident'!$N$4:$N$100003,MATCH(D139,'Incident'!$B$4:$B$100003,0)),IFERROR(INDEX('NC Management'!$F$4:$F$100003,MATCH(E139,'NC Management'!$B$4:$B$100003,0)),""))</f>
        <v>0</v>
      </c>
      <c r="H139" s="6"/>
      <c r="I139" s="6"/>
      <c r="J139" s="6"/>
      <c r="K139" s="6"/>
      <c r="L139" s="6"/>
      <c r="M139" s="6"/>
      <c r="N139" s="6"/>
      <c r="O139" s="6"/>
      <c r="P139" s="1"/>
    </row>
    <row r="140" spans="1:16">
      <c r="A140" s="1">
        <v>137</v>
      </c>
      <c r="B140" s="6"/>
      <c r="C140" s="5"/>
      <c r="D140" s="1"/>
      <c r="E140" s="1"/>
      <c r="F140" s="2">
        <f>IFERROR(INDEX('Incident'!$H$4:$H$100003,MATCH(D140,'Incident'!$B$4:$B$100003,0)),IFERROR(INDEX('NC Management'!$G$4:$G$100003,MATCH(E140,'NC Management'!$B$4:$B$100003,0)),""))</f>
        <v>0</v>
      </c>
      <c r="G140" s="2">
        <f>IFERROR(INDEX('Incident'!$N$4:$N$100003,MATCH(D140,'Incident'!$B$4:$B$100003,0)),IFERROR(INDEX('NC Management'!$F$4:$F$100003,MATCH(E140,'NC Management'!$B$4:$B$100003,0)),""))</f>
        <v>0</v>
      </c>
      <c r="H140" s="6"/>
      <c r="I140" s="6"/>
      <c r="J140" s="6"/>
      <c r="K140" s="6"/>
      <c r="L140" s="6"/>
      <c r="M140" s="6"/>
      <c r="N140" s="6"/>
      <c r="O140" s="6"/>
      <c r="P140" s="1"/>
    </row>
    <row r="141" spans="1:16">
      <c r="A141" s="1">
        <v>138</v>
      </c>
      <c r="B141" s="6"/>
      <c r="C141" s="5"/>
      <c r="D141" s="1"/>
      <c r="E141" s="1"/>
      <c r="F141" s="2">
        <f>IFERROR(INDEX('Incident'!$H$4:$H$100003,MATCH(D141,'Incident'!$B$4:$B$100003,0)),IFERROR(INDEX('NC Management'!$G$4:$G$100003,MATCH(E141,'NC Management'!$B$4:$B$100003,0)),""))</f>
        <v>0</v>
      </c>
      <c r="G141" s="2">
        <f>IFERROR(INDEX('Incident'!$N$4:$N$100003,MATCH(D141,'Incident'!$B$4:$B$100003,0)),IFERROR(INDEX('NC Management'!$F$4:$F$100003,MATCH(E141,'NC Management'!$B$4:$B$100003,0)),""))</f>
        <v>0</v>
      </c>
      <c r="H141" s="6"/>
      <c r="I141" s="6"/>
      <c r="J141" s="6"/>
      <c r="K141" s="6"/>
      <c r="L141" s="6"/>
      <c r="M141" s="6"/>
      <c r="N141" s="6"/>
      <c r="O141" s="6"/>
      <c r="P141" s="1"/>
    </row>
    <row r="142" spans="1:16">
      <c r="A142" s="1">
        <v>139</v>
      </c>
      <c r="B142" s="6"/>
      <c r="C142" s="5"/>
      <c r="D142" s="1"/>
      <c r="E142" s="1"/>
      <c r="F142" s="2">
        <f>IFERROR(INDEX('Incident'!$H$4:$H$100003,MATCH(D142,'Incident'!$B$4:$B$100003,0)),IFERROR(INDEX('NC Management'!$G$4:$G$100003,MATCH(E142,'NC Management'!$B$4:$B$100003,0)),""))</f>
        <v>0</v>
      </c>
      <c r="G142" s="2">
        <f>IFERROR(INDEX('Incident'!$N$4:$N$100003,MATCH(D142,'Incident'!$B$4:$B$100003,0)),IFERROR(INDEX('NC Management'!$F$4:$F$100003,MATCH(E142,'NC Management'!$B$4:$B$100003,0)),""))</f>
        <v>0</v>
      </c>
      <c r="H142" s="6"/>
      <c r="I142" s="6"/>
      <c r="J142" s="6"/>
      <c r="K142" s="6"/>
      <c r="L142" s="6"/>
      <c r="M142" s="6"/>
      <c r="N142" s="6"/>
      <c r="O142" s="6"/>
      <c r="P142" s="1"/>
    </row>
    <row r="143" spans="1:16">
      <c r="A143" s="1">
        <v>140</v>
      </c>
      <c r="B143" s="6"/>
      <c r="C143" s="5"/>
      <c r="D143" s="1"/>
      <c r="E143" s="1"/>
      <c r="F143" s="2">
        <f>IFERROR(INDEX('Incident'!$H$4:$H$100003,MATCH(D143,'Incident'!$B$4:$B$100003,0)),IFERROR(INDEX('NC Management'!$G$4:$G$100003,MATCH(E143,'NC Management'!$B$4:$B$100003,0)),""))</f>
        <v>0</v>
      </c>
      <c r="G143" s="2">
        <f>IFERROR(INDEX('Incident'!$N$4:$N$100003,MATCH(D143,'Incident'!$B$4:$B$100003,0)),IFERROR(INDEX('NC Management'!$F$4:$F$100003,MATCH(E143,'NC Management'!$B$4:$B$100003,0)),""))</f>
        <v>0</v>
      </c>
      <c r="H143" s="6"/>
      <c r="I143" s="6"/>
      <c r="J143" s="6"/>
      <c r="K143" s="6"/>
      <c r="L143" s="6"/>
      <c r="M143" s="6"/>
      <c r="N143" s="6"/>
      <c r="O143" s="6"/>
      <c r="P143" s="1"/>
    </row>
    <row r="144" spans="1:16">
      <c r="A144" s="1">
        <v>141</v>
      </c>
      <c r="B144" s="6"/>
      <c r="C144" s="5"/>
      <c r="D144" s="1"/>
      <c r="E144" s="1"/>
      <c r="F144" s="2">
        <f>IFERROR(INDEX('Incident'!$H$4:$H$100003,MATCH(D144,'Incident'!$B$4:$B$100003,0)),IFERROR(INDEX('NC Management'!$G$4:$G$100003,MATCH(E144,'NC Management'!$B$4:$B$100003,0)),""))</f>
        <v>0</v>
      </c>
      <c r="G144" s="2">
        <f>IFERROR(INDEX('Incident'!$N$4:$N$100003,MATCH(D144,'Incident'!$B$4:$B$100003,0)),IFERROR(INDEX('NC Management'!$F$4:$F$100003,MATCH(E144,'NC Management'!$B$4:$B$100003,0)),""))</f>
        <v>0</v>
      </c>
      <c r="H144" s="6"/>
      <c r="I144" s="6"/>
      <c r="J144" s="6"/>
      <c r="K144" s="6"/>
      <c r="L144" s="6"/>
      <c r="M144" s="6"/>
      <c r="N144" s="6"/>
      <c r="O144" s="6"/>
      <c r="P144" s="1"/>
    </row>
    <row r="145" spans="1:16">
      <c r="A145" s="1">
        <v>142</v>
      </c>
      <c r="B145" s="6"/>
      <c r="C145" s="5"/>
      <c r="D145" s="1"/>
      <c r="E145" s="1"/>
      <c r="F145" s="2">
        <f>IFERROR(INDEX('Incident'!$H$4:$H$100003,MATCH(D145,'Incident'!$B$4:$B$100003,0)),IFERROR(INDEX('NC Management'!$G$4:$G$100003,MATCH(E145,'NC Management'!$B$4:$B$100003,0)),""))</f>
        <v>0</v>
      </c>
      <c r="G145" s="2">
        <f>IFERROR(INDEX('Incident'!$N$4:$N$100003,MATCH(D145,'Incident'!$B$4:$B$100003,0)),IFERROR(INDEX('NC Management'!$F$4:$F$100003,MATCH(E145,'NC Management'!$B$4:$B$100003,0)),""))</f>
        <v>0</v>
      </c>
      <c r="H145" s="6"/>
      <c r="I145" s="6"/>
      <c r="J145" s="6"/>
      <c r="K145" s="6"/>
      <c r="L145" s="6"/>
      <c r="M145" s="6"/>
      <c r="N145" s="6"/>
      <c r="O145" s="6"/>
      <c r="P145" s="1"/>
    </row>
    <row r="146" spans="1:16">
      <c r="A146" s="1">
        <v>143</v>
      </c>
      <c r="B146" s="6"/>
      <c r="C146" s="5"/>
      <c r="D146" s="1"/>
      <c r="E146" s="1"/>
      <c r="F146" s="2">
        <f>IFERROR(INDEX('Incident'!$H$4:$H$100003,MATCH(D146,'Incident'!$B$4:$B$100003,0)),IFERROR(INDEX('NC Management'!$G$4:$G$100003,MATCH(E146,'NC Management'!$B$4:$B$100003,0)),""))</f>
        <v>0</v>
      </c>
      <c r="G146" s="2">
        <f>IFERROR(INDEX('Incident'!$N$4:$N$100003,MATCH(D146,'Incident'!$B$4:$B$100003,0)),IFERROR(INDEX('NC Management'!$F$4:$F$100003,MATCH(E146,'NC Management'!$B$4:$B$100003,0)),""))</f>
        <v>0</v>
      </c>
      <c r="H146" s="6"/>
      <c r="I146" s="6"/>
      <c r="J146" s="6"/>
      <c r="K146" s="6"/>
      <c r="L146" s="6"/>
      <c r="M146" s="6"/>
      <c r="N146" s="6"/>
      <c r="O146" s="6"/>
      <c r="P146" s="1"/>
    </row>
    <row r="147" spans="1:16">
      <c r="A147" s="1">
        <v>144</v>
      </c>
      <c r="B147" s="6"/>
      <c r="C147" s="5"/>
      <c r="D147" s="1"/>
      <c r="E147" s="1"/>
      <c r="F147" s="2">
        <f>IFERROR(INDEX('Incident'!$H$4:$H$100003,MATCH(D147,'Incident'!$B$4:$B$100003,0)),IFERROR(INDEX('NC Management'!$G$4:$G$100003,MATCH(E147,'NC Management'!$B$4:$B$100003,0)),""))</f>
        <v>0</v>
      </c>
      <c r="G147" s="2">
        <f>IFERROR(INDEX('Incident'!$N$4:$N$100003,MATCH(D147,'Incident'!$B$4:$B$100003,0)),IFERROR(INDEX('NC Management'!$F$4:$F$100003,MATCH(E147,'NC Management'!$B$4:$B$100003,0)),""))</f>
        <v>0</v>
      </c>
      <c r="H147" s="6"/>
      <c r="I147" s="6"/>
      <c r="J147" s="6"/>
      <c r="K147" s="6"/>
      <c r="L147" s="6"/>
      <c r="M147" s="6"/>
      <c r="N147" s="6"/>
      <c r="O147" s="6"/>
      <c r="P147" s="1"/>
    </row>
    <row r="148" spans="1:16">
      <c r="A148" s="1">
        <v>145</v>
      </c>
      <c r="B148" s="6"/>
      <c r="C148" s="5"/>
      <c r="D148" s="1"/>
      <c r="E148" s="1"/>
      <c r="F148" s="2">
        <f>IFERROR(INDEX('Incident'!$H$4:$H$100003,MATCH(D148,'Incident'!$B$4:$B$100003,0)),IFERROR(INDEX('NC Management'!$G$4:$G$100003,MATCH(E148,'NC Management'!$B$4:$B$100003,0)),""))</f>
        <v>0</v>
      </c>
      <c r="G148" s="2">
        <f>IFERROR(INDEX('Incident'!$N$4:$N$100003,MATCH(D148,'Incident'!$B$4:$B$100003,0)),IFERROR(INDEX('NC Management'!$F$4:$F$100003,MATCH(E148,'NC Management'!$B$4:$B$100003,0)),""))</f>
        <v>0</v>
      </c>
      <c r="H148" s="6"/>
      <c r="I148" s="6"/>
      <c r="J148" s="6"/>
      <c r="K148" s="6"/>
      <c r="L148" s="6"/>
      <c r="M148" s="6"/>
      <c r="N148" s="6"/>
      <c r="O148" s="6"/>
      <c r="P148" s="1"/>
    </row>
    <row r="149" spans="1:16">
      <c r="A149" s="1">
        <v>146</v>
      </c>
      <c r="B149" s="6"/>
      <c r="C149" s="5"/>
      <c r="D149" s="1"/>
      <c r="E149" s="1"/>
      <c r="F149" s="2">
        <f>IFERROR(INDEX('Incident'!$H$4:$H$100003,MATCH(D149,'Incident'!$B$4:$B$100003,0)),IFERROR(INDEX('NC Management'!$G$4:$G$100003,MATCH(E149,'NC Management'!$B$4:$B$100003,0)),""))</f>
        <v>0</v>
      </c>
      <c r="G149" s="2">
        <f>IFERROR(INDEX('Incident'!$N$4:$N$100003,MATCH(D149,'Incident'!$B$4:$B$100003,0)),IFERROR(INDEX('NC Management'!$F$4:$F$100003,MATCH(E149,'NC Management'!$B$4:$B$100003,0)),""))</f>
        <v>0</v>
      </c>
      <c r="H149" s="6"/>
      <c r="I149" s="6"/>
      <c r="J149" s="6"/>
      <c r="K149" s="6"/>
      <c r="L149" s="6"/>
      <c r="M149" s="6"/>
      <c r="N149" s="6"/>
      <c r="O149" s="6"/>
      <c r="P149" s="1"/>
    </row>
    <row r="150" spans="1:16">
      <c r="A150" s="1">
        <v>147</v>
      </c>
      <c r="B150" s="6"/>
      <c r="C150" s="5"/>
      <c r="D150" s="1"/>
      <c r="E150" s="1"/>
      <c r="F150" s="2">
        <f>IFERROR(INDEX('Incident'!$H$4:$H$100003,MATCH(D150,'Incident'!$B$4:$B$100003,0)),IFERROR(INDEX('NC Management'!$G$4:$G$100003,MATCH(E150,'NC Management'!$B$4:$B$100003,0)),""))</f>
        <v>0</v>
      </c>
      <c r="G150" s="2">
        <f>IFERROR(INDEX('Incident'!$N$4:$N$100003,MATCH(D150,'Incident'!$B$4:$B$100003,0)),IFERROR(INDEX('NC Management'!$F$4:$F$100003,MATCH(E150,'NC Management'!$B$4:$B$100003,0)),""))</f>
        <v>0</v>
      </c>
      <c r="H150" s="6"/>
      <c r="I150" s="6"/>
      <c r="J150" s="6"/>
      <c r="K150" s="6"/>
      <c r="L150" s="6"/>
      <c r="M150" s="6"/>
      <c r="N150" s="6"/>
      <c r="O150" s="6"/>
      <c r="P150" s="1"/>
    </row>
    <row r="151" spans="1:16">
      <c r="A151" s="1">
        <v>148</v>
      </c>
      <c r="B151" s="6"/>
      <c r="C151" s="5"/>
      <c r="D151" s="1"/>
      <c r="E151" s="1"/>
      <c r="F151" s="2">
        <f>IFERROR(INDEX('Incident'!$H$4:$H$100003,MATCH(D151,'Incident'!$B$4:$B$100003,0)),IFERROR(INDEX('NC Management'!$G$4:$G$100003,MATCH(E151,'NC Management'!$B$4:$B$100003,0)),""))</f>
        <v>0</v>
      </c>
      <c r="G151" s="2">
        <f>IFERROR(INDEX('Incident'!$N$4:$N$100003,MATCH(D151,'Incident'!$B$4:$B$100003,0)),IFERROR(INDEX('NC Management'!$F$4:$F$100003,MATCH(E151,'NC Management'!$B$4:$B$100003,0)),""))</f>
        <v>0</v>
      </c>
      <c r="H151" s="6"/>
      <c r="I151" s="6"/>
      <c r="J151" s="6"/>
      <c r="K151" s="6"/>
      <c r="L151" s="6"/>
      <c r="M151" s="6"/>
      <c r="N151" s="6"/>
      <c r="O151" s="6"/>
      <c r="P151" s="1"/>
    </row>
    <row r="152" spans="1:16">
      <c r="A152" s="1">
        <v>149</v>
      </c>
      <c r="B152" s="6"/>
      <c r="C152" s="5"/>
      <c r="D152" s="1"/>
      <c r="E152" s="1"/>
      <c r="F152" s="2">
        <f>IFERROR(INDEX('Incident'!$H$4:$H$100003,MATCH(D152,'Incident'!$B$4:$B$100003,0)),IFERROR(INDEX('NC Management'!$G$4:$G$100003,MATCH(E152,'NC Management'!$B$4:$B$100003,0)),""))</f>
        <v>0</v>
      </c>
      <c r="G152" s="2">
        <f>IFERROR(INDEX('Incident'!$N$4:$N$100003,MATCH(D152,'Incident'!$B$4:$B$100003,0)),IFERROR(INDEX('NC Management'!$F$4:$F$100003,MATCH(E152,'NC Management'!$B$4:$B$100003,0)),""))</f>
        <v>0</v>
      </c>
      <c r="H152" s="6"/>
      <c r="I152" s="6"/>
      <c r="J152" s="6"/>
      <c r="K152" s="6"/>
      <c r="L152" s="6"/>
      <c r="M152" s="6"/>
      <c r="N152" s="6"/>
      <c r="O152" s="6"/>
      <c r="P152" s="1"/>
    </row>
    <row r="153" spans="1:16">
      <c r="A153" s="1">
        <v>150</v>
      </c>
      <c r="B153" s="6"/>
      <c r="C153" s="5"/>
      <c r="D153" s="1"/>
      <c r="E153" s="1"/>
      <c r="F153" s="2">
        <f>IFERROR(INDEX('Incident'!$H$4:$H$100003,MATCH(D153,'Incident'!$B$4:$B$100003,0)),IFERROR(INDEX('NC Management'!$G$4:$G$100003,MATCH(E153,'NC Management'!$B$4:$B$100003,0)),""))</f>
        <v>0</v>
      </c>
      <c r="G153" s="2">
        <f>IFERROR(INDEX('Incident'!$N$4:$N$100003,MATCH(D153,'Incident'!$B$4:$B$100003,0)),IFERROR(INDEX('NC Management'!$F$4:$F$100003,MATCH(E153,'NC Management'!$B$4:$B$100003,0)),""))</f>
        <v>0</v>
      </c>
      <c r="H153" s="6"/>
      <c r="I153" s="6"/>
      <c r="J153" s="6"/>
      <c r="K153" s="6"/>
      <c r="L153" s="6"/>
      <c r="M153" s="6"/>
      <c r="N153" s="6"/>
      <c r="O153" s="6"/>
      <c r="P153" s="1"/>
    </row>
    <row r="154" spans="1:16">
      <c r="A154" s="1">
        <v>151</v>
      </c>
      <c r="B154" s="6"/>
      <c r="C154" s="5"/>
      <c r="D154" s="1"/>
      <c r="E154" s="1"/>
      <c r="F154" s="2">
        <f>IFERROR(INDEX('Incident'!$H$4:$H$100003,MATCH(D154,'Incident'!$B$4:$B$100003,0)),IFERROR(INDEX('NC Management'!$G$4:$G$100003,MATCH(E154,'NC Management'!$B$4:$B$100003,0)),""))</f>
        <v>0</v>
      </c>
      <c r="G154" s="2">
        <f>IFERROR(INDEX('Incident'!$N$4:$N$100003,MATCH(D154,'Incident'!$B$4:$B$100003,0)),IFERROR(INDEX('NC Management'!$F$4:$F$100003,MATCH(E154,'NC Management'!$B$4:$B$100003,0)),""))</f>
        <v>0</v>
      </c>
      <c r="H154" s="6"/>
      <c r="I154" s="6"/>
      <c r="J154" s="6"/>
      <c r="K154" s="6"/>
      <c r="L154" s="6"/>
      <c r="M154" s="6"/>
      <c r="N154" s="6"/>
      <c r="O154" s="6"/>
      <c r="P154" s="1"/>
    </row>
    <row r="155" spans="1:16">
      <c r="A155" s="1">
        <v>152</v>
      </c>
      <c r="B155" s="6"/>
      <c r="C155" s="5"/>
      <c r="D155" s="1"/>
      <c r="E155" s="1"/>
      <c r="F155" s="2">
        <f>IFERROR(INDEX('Incident'!$H$4:$H$100003,MATCH(D155,'Incident'!$B$4:$B$100003,0)),IFERROR(INDEX('NC Management'!$G$4:$G$100003,MATCH(E155,'NC Management'!$B$4:$B$100003,0)),""))</f>
        <v>0</v>
      </c>
      <c r="G155" s="2">
        <f>IFERROR(INDEX('Incident'!$N$4:$N$100003,MATCH(D155,'Incident'!$B$4:$B$100003,0)),IFERROR(INDEX('NC Management'!$F$4:$F$100003,MATCH(E155,'NC Management'!$B$4:$B$100003,0)),""))</f>
        <v>0</v>
      </c>
      <c r="H155" s="6"/>
      <c r="I155" s="6"/>
      <c r="J155" s="6"/>
      <c r="K155" s="6"/>
      <c r="L155" s="6"/>
      <c r="M155" s="6"/>
      <c r="N155" s="6"/>
      <c r="O155" s="6"/>
      <c r="P155" s="1"/>
    </row>
    <row r="156" spans="1:16">
      <c r="A156" s="1">
        <v>153</v>
      </c>
      <c r="B156" s="6"/>
      <c r="C156" s="5"/>
      <c r="D156" s="1"/>
      <c r="E156" s="1"/>
      <c r="F156" s="2">
        <f>IFERROR(INDEX('Incident'!$H$4:$H$100003,MATCH(D156,'Incident'!$B$4:$B$100003,0)),IFERROR(INDEX('NC Management'!$G$4:$G$100003,MATCH(E156,'NC Management'!$B$4:$B$100003,0)),""))</f>
        <v>0</v>
      </c>
      <c r="G156" s="2">
        <f>IFERROR(INDEX('Incident'!$N$4:$N$100003,MATCH(D156,'Incident'!$B$4:$B$100003,0)),IFERROR(INDEX('NC Management'!$F$4:$F$100003,MATCH(E156,'NC Management'!$B$4:$B$100003,0)),""))</f>
        <v>0</v>
      </c>
      <c r="H156" s="6"/>
      <c r="I156" s="6"/>
      <c r="J156" s="6"/>
      <c r="K156" s="6"/>
      <c r="L156" s="6"/>
      <c r="M156" s="6"/>
      <c r="N156" s="6"/>
      <c r="O156" s="6"/>
      <c r="P156" s="1"/>
    </row>
    <row r="157" spans="1:16">
      <c r="A157" s="1">
        <v>154</v>
      </c>
      <c r="B157" s="6"/>
      <c r="C157" s="5"/>
      <c r="D157" s="1"/>
      <c r="E157" s="1"/>
      <c r="F157" s="2">
        <f>IFERROR(INDEX('Incident'!$H$4:$H$100003,MATCH(D157,'Incident'!$B$4:$B$100003,0)),IFERROR(INDEX('NC Management'!$G$4:$G$100003,MATCH(E157,'NC Management'!$B$4:$B$100003,0)),""))</f>
        <v>0</v>
      </c>
      <c r="G157" s="2">
        <f>IFERROR(INDEX('Incident'!$N$4:$N$100003,MATCH(D157,'Incident'!$B$4:$B$100003,0)),IFERROR(INDEX('NC Management'!$F$4:$F$100003,MATCH(E157,'NC Management'!$B$4:$B$100003,0)),""))</f>
        <v>0</v>
      </c>
      <c r="H157" s="6"/>
      <c r="I157" s="6"/>
      <c r="J157" s="6"/>
      <c r="K157" s="6"/>
      <c r="L157" s="6"/>
      <c r="M157" s="6"/>
      <c r="N157" s="6"/>
      <c r="O157" s="6"/>
      <c r="P157" s="1"/>
    </row>
    <row r="158" spans="1:16">
      <c r="A158" s="1">
        <v>155</v>
      </c>
      <c r="B158" s="6"/>
      <c r="C158" s="5"/>
      <c r="D158" s="1"/>
      <c r="E158" s="1"/>
      <c r="F158" s="2">
        <f>IFERROR(INDEX('Incident'!$H$4:$H$100003,MATCH(D158,'Incident'!$B$4:$B$100003,0)),IFERROR(INDEX('NC Management'!$G$4:$G$100003,MATCH(E158,'NC Management'!$B$4:$B$100003,0)),""))</f>
        <v>0</v>
      </c>
      <c r="G158" s="2">
        <f>IFERROR(INDEX('Incident'!$N$4:$N$100003,MATCH(D158,'Incident'!$B$4:$B$100003,0)),IFERROR(INDEX('NC Management'!$F$4:$F$100003,MATCH(E158,'NC Management'!$B$4:$B$100003,0)),""))</f>
        <v>0</v>
      </c>
      <c r="H158" s="6"/>
      <c r="I158" s="6"/>
      <c r="J158" s="6"/>
      <c r="K158" s="6"/>
      <c r="L158" s="6"/>
      <c r="M158" s="6"/>
      <c r="N158" s="6"/>
      <c r="O158" s="6"/>
      <c r="P158" s="1"/>
    </row>
    <row r="159" spans="1:16">
      <c r="A159" s="1">
        <v>156</v>
      </c>
      <c r="B159" s="6"/>
      <c r="C159" s="5"/>
      <c r="D159" s="1"/>
      <c r="E159" s="1"/>
      <c r="F159" s="2">
        <f>IFERROR(INDEX('Incident'!$H$4:$H$100003,MATCH(D159,'Incident'!$B$4:$B$100003,0)),IFERROR(INDEX('NC Management'!$G$4:$G$100003,MATCH(E159,'NC Management'!$B$4:$B$100003,0)),""))</f>
        <v>0</v>
      </c>
      <c r="G159" s="2">
        <f>IFERROR(INDEX('Incident'!$N$4:$N$100003,MATCH(D159,'Incident'!$B$4:$B$100003,0)),IFERROR(INDEX('NC Management'!$F$4:$F$100003,MATCH(E159,'NC Management'!$B$4:$B$100003,0)),""))</f>
        <v>0</v>
      </c>
      <c r="H159" s="6"/>
      <c r="I159" s="6"/>
      <c r="J159" s="6"/>
      <c r="K159" s="6"/>
      <c r="L159" s="6"/>
      <c r="M159" s="6"/>
      <c r="N159" s="6"/>
      <c r="O159" s="6"/>
      <c r="P159" s="1"/>
    </row>
    <row r="160" spans="1:16">
      <c r="A160" s="1">
        <v>157</v>
      </c>
      <c r="B160" s="6"/>
      <c r="C160" s="5"/>
      <c r="D160" s="1"/>
      <c r="E160" s="1"/>
      <c r="F160" s="2">
        <f>IFERROR(INDEX('Incident'!$H$4:$H$100003,MATCH(D160,'Incident'!$B$4:$B$100003,0)),IFERROR(INDEX('NC Management'!$G$4:$G$100003,MATCH(E160,'NC Management'!$B$4:$B$100003,0)),""))</f>
        <v>0</v>
      </c>
      <c r="G160" s="2">
        <f>IFERROR(INDEX('Incident'!$N$4:$N$100003,MATCH(D160,'Incident'!$B$4:$B$100003,0)),IFERROR(INDEX('NC Management'!$F$4:$F$100003,MATCH(E160,'NC Management'!$B$4:$B$100003,0)),""))</f>
        <v>0</v>
      </c>
      <c r="H160" s="6"/>
      <c r="I160" s="6"/>
      <c r="J160" s="6"/>
      <c r="K160" s="6"/>
      <c r="L160" s="6"/>
      <c r="M160" s="6"/>
      <c r="N160" s="6"/>
      <c r="O160" s="6"/>
      <c r="P160" s="1"/>
    </row>
    <row r="161" spans="1:16">
      <c r="A161" s="1">
        <v>158</v>
      </c>
      <c r="B161" s="6"/>
      <c r="C161" s="5"/>
      <c r="D161" s="1"/>
      <c r="E161" s="1"/>
      <c r="F161" s="2">
        <f>IFERROR(INDEX('Incident'!$H$4:$H$100003,MATCH(D161,'Incident'!$B$4:$B$100003,0)),IFERROR(INDEX('NC Management'!$G$4:$G$100003,MATCH(E161,'NC Management'!$B$4:$B$100003,0)),""))</f>
        <v>0</v>
      </c>
      <c r="G161" s="2">
        <f>IFERROR(INDEX('Incident'!$N$4:$N$100003,MATCH(D161,'Incident'!$B$4:$B$100003,0)),IFERROR(INDEX('NC Management'!$F$4:$F$100003,MATCH(E161,'NC Management'!$B$4:$B$100003,0)),""))</f>
        <v>0</v>
      </c>
      <c r="H161" s="6"/>
      <c r="I161" s="6"/>
      <c r="J161" s="6"/>
      <c r="K161" s="6"/>
      <c r="L161" s="6"/>
      <c r="M161" s="6"/>
      <c r="N161" s="6"/>
      <c r="O161" s="6"/>
      <c r="P161" s="1"/>
    </row>
    <row r="162" spans="1:16">
      <c r="A162" s="1">
        <v>159</v>
      </c>
      <c r="B162" s="6"/>
      <c r="C162" s="5"/>
      <c r="D162" s="1"/>
      <c r="E162" s="1"/>
      <c r="F162" s="2">
        <f>IFERROR(INDEX('Incident'!$H$4:$H$100003,MATCH(D162,'Incident'!$B$4:$B$100003,0)),IFERROR(INDEX('NC Management'!$G$4:$G$100003,MATCH(E162,'NC Management'!$B$4:$B$100003,0)),""))</f>
        <v>0</v>
      </c>
      <c r="G162" s="2">
        <f>IFERROR(INDEX('Incident'!$N$4:$N$100003,MATCH(D162,'Incident'!$B$4:$B$100003,0)),IFERROR(INDEX('NC Management'!$F$4:$F$100003,MATCH(E162,'NC Management'!$B$4:$B$100003,0)),""))</f>
        <v>0</v>
      </c>
      <c r="H162" s="6"/>
      <c r="I162" s="6"/>
      <c r="J162" s="6"/>
      <c r="K162" s="6"/>
      <c r="L162" s="6"/>
      <c r="M162" s="6"/>
      <c r="N162" s="6"/>
      <c r="O162" s="6"/>
      <c r="P162" s="1"/>
    </row>
    <row r="163" spans="1:16">
      <c r="A163" s="1">
        <v>160</v>
      </c>
      <c r="B163" s="6"/>
      <c r="C163" s="5"/>
      <c r="D163" s="1"/>
      <c r="E163" s="1"/>
      <c r="F163" s="2">
        <f>IFERROR(INDEX('Incident'!$H$4:$H$100003,MATCH(D163,'Incident'!$B$4:$B$100003,0)),IFERROR(INDEX('NC Management'!$G$4:$G$100003,MATCH(E163,'NC Management'!$B$4:$B$100003,0)),""))</f>
        <v>0</v>
      </c>
      <c r="G163" s="2">
        <f>IFERROR(INDEX('Incident'!$N$4:$N$100003,MATCH(D163,'Incident'!$B$4:$B$100003,0)),IFERROR(INDEX('NC Management'!$F$4:$F$100003,MATCH(E163,'NC Management'!$B$4:$B$100003,0)),""))</f>
        <v>0</v>
      </c>
      <c r="H163" s="6"/>
      <c r="I163" s="6"/>
      <c r="J163" s="6"/>
      <c r="K163" s="6"/>
      <c r="L163" s="6"/>
      <c r="M163" s="6"/>
      <c r="N163" s="6"/>
      <c r="O163" s="6"/>
      <c r="P163" s="1"/>
    </row>
    <row r="164" spans="1:16">
      <c r="A164" s="1">
        <v>161</v>
      </c>
      <c r="B164" s="6"/>
      <c r="C164" s="5"/>
      <c r="D164" s="1"/>
      <c r="E164" s="1"/>
      <c r="F164" s="2">
        <f>IFERROR(INDEX('Incident'!$H$4:$H$100003,MATCH(D164,'Incident'!$B$4:$B$100003,0)),IFERROR(INDEX('NC Management'!$G$4:$G$100003,MATCH(E164,'NC Management'!$B$4:$B$100003,0)),""))</f>
        <v>0</v>
      </c>
      <c r="G164" s="2">
        <f>IFERROR(INDEX('Incident'!$N$4:$N$100003,MATCH(D164,'Incident'!$B$4:$B$100003,0)),IFERROR(INDEX('NC Management'!$F$4:$F$100003,MATCH(E164,'NC Management'!$B$4:$B$100003,0)),""))</f>
        <v>0</v>
      </c>
      <c r="H164" s="6"/>
      <c r="I164" s="6"/>
      <c r="J164" s="6"/>
      <c r="K164" s="6"/>
      <c r="L164" s="6"/>
      <c r="M164" s="6"/>
      <c r="N164" s="6"/>
      <c r="O164" s="6"/>
      <c r="P164" s="1"/>
    </row>
    <row r="165" spans="1:16">
      <c r="A165" s="1">
        <v>162</v>
      </c>
      <c r="B165" s="6"/>
      <c r="C165" s="5"/>
      <c r="D165" s="1"/>
      <c r="E165" s="1"/>
      <c r="F165" s="2">
        <f>IFERROR(INDEX('Incident'!$H$4:$H$100003,MATCH(D165,'Incident'!$B$4:$B$100003,0)),IFERROR(INDEX('NC Management'!$G$4:$G$100003,MATCH(E165,'NC Management'!$B$4:$B$100003,0)),""))</f>
        <v>0</v>
      </c>
      <c r="G165" s="2">
        <f>IFERROR(INDEX('Incident'!$N$4:$N$100003,MATCH(D165,'Incident'!$B$4:$B$100003,0)),IFERROR(INDEX('NC Management'!$F$4:$F$100003,MATCH(E165,'NC Management'!$B$4:$B$100003,0)),""))</f>
        <v>0</v>
      </c>
      <c r="H165" s="6"/>
      <c r="I165" s="6"/>
      <c r="J165" s="6"/>
      <c r="K165" s="6"/>
      <c r="L165" s="6"/>
      <c r="M165" s="6"/>
      <c r="N165" s="6"/>
      <c r="O165" s="6"/>
      <c r="P165" s="1"/>
    </row>
    <row r="166" spans="1:16">
      <c r="A166" s="1">
        <v>163</v>
      </c>
      <c r="B166" s="6"/>
      <c r="C166" s="5"/>
      <c r="D166" s="1"/>
      <c r="E166" s="1"/>
      <c r="F166" s="2">
        <f>IFERROR(INDEX('Incident'!$H$4:$H$100003,MATCH(D166,'Incident'!$B$4:$B$100003,0)),IFERROR(INDEX('NC Management'!$G$4:$G$100003,MATCH(E166,'NC Management'!$B$4:$B$100003,0)),""))</f>
        <v>0</v>
      </c>
      <c r="G166" s="2">
        <f>IFERROR(INDEX('Incident'!$N$4:$N$100003,MATCH(D166,'Incident'!$B$4:$B$100003,0)),IFERROR(INDEX('NC Management'!$F$4:$F$100003,MATCH(E166,'NC Management'!$B$4:$B$100003,0)),""))</f>
        <v>0</v>
      </c>
      <c r="H166" s="6"/>
      <c r="I166" s="6"/>
      <c r="J166" s="6"/>
      <c r="K166" s="6"/>
      <c r="L166" s="6"/>
      <c r="M166" s="6"/>
      <c r="N166" s="6"/>
      <c r="O166" s="6"/>
      <c r="P166" s="1"/>
    </row>
    <row r="167" spans="1:16">
      <c r="A167" s="1">
        <v>164</v>
      </c>
      <c r="B167" s="6"/>
      <c r="C167" s="5"/>
      <c r="D167" s="1"/>
      <c r="E167" s="1"/>
      <c r="F167" s="2">
        <f>IFERROR(INDEX('Incident'!$H$4:$H$100003,MATCH(D167,'Incident'!$B$4:$B$100003,0)),IFERROR(INDEX('NC Management'!$G$4:$G$100003,MATCH(E167,'NC Management'!$B$4:$B$100003,0)),""))</f>
        <v>0</v>
      </c>
      <c r="G167" s="2">
        <f>IFERROR(INDEX('Incident'!$N$4:$N$100003,MATCH(D167,'Incident'!$B$4:$B$100003,0)),IFERROR(INDEX('NC Management'!$F$4:$F$100003,MATCH(E167,'NC Management'!$B$4:$B$100003,0)),""))</f>
        <v>0</v>
      </c>
      <c r="H167" s="6"/>
      <c r="I167" s="6"/>
      <c r="J167" s="6"/>
      <c r="K167" s="6"/>
      <c r="L167" s="6"/>
      <c r="M167" s="6"/>
      <c r="N167" s="6"/>
      <c r="O167" s="6"/>
      <c r="P167" s="1"/>
    </row>
    <row r="168" spans="1:16">
      <c r="A168" s="1">
        <v>165</v>
      </c>
      <c r="B168" s="6"/>
      <c r="C168" s="5"/>
      <c r="D168" s="1"/>
      <c r="E168" s="1"/>
      <c r="F168" s="2">
        <f>IFERROR(INDEX('Incident'!$H$4:$H$100003,MATCH(D168,'Incident'!$B$4:$B$100003,0)),IFERROR(INDEX('NC Management'!$G$4:$G$100003,MATCH(E168,'NC Management'!$B$4:$B$100003,0)),""))</f>
        <v>0</v>
      </c>
      <c r="G168" s="2">
        <f>IFERROR(INDEX('Incident'!$N$4:$N$100003,MATCH(D168,'Incident'!$B$4:$B$100003,0)),IFERROR(INDEX('NC Management'!$F$4:$F$100003,MATCH(E168,'NC Management'!$B$4:$B$100003,0)),""))</f>
        <v>0</v>
      </c>
      <c r="H168" s="6"/>
      <c r="I168" s="6"/>
      <c r="J168" s="6"/>
      <c r="K168" s="6"/>
      <c r="L168" s="6"/>
      <c r="M168" s="6"/>
      <c r="N168" s="6"/>
      <c r="O168" s="6"/>
      <c r="P168" s="1"/>
    </row>
    <row r="169" spans="1:16">
      <c r="A169" s="1">
        <v>166</v>
      </c>
      <c r="B169" s="6"/>
      <c r="C169" s="5"/>
      <c r="D169" s="1"/>
      <c r="E169" s="1"/>
      <c r="F169" s="2">
        <f>IFERROR(INDEX('Incident'!$H$4:$H$100003,MATCH(D169,'Incident'!$B$4:$B$100003,0)),IFERROR(INDEX('NC Management'!$G$4:$G$100003,MATCH(E169,'NC Management'!$B$4:$B$100003,0)),""))</f>
        <v>0</v>
      </c>
      <c r="G169" s="2">
        <f>IFERROR(INDEX('Incident'!$N$4:$N$100003,MATCH(D169,'Incident'!$B$4:$B$100003,0)),IFERROR(INDEX('NC Management'!$F$4:$F$100003,MATCH(E169,'NC Management'!$B$4:$B$100003,0)),""))</f>
        <v>0</v>
      </c>
      <c r="H169" s="6"/>
      <c r="I169" s="6"/>
      <c r="J169" s="6"/>
      <c r="K169" s="6"/>
      <c r="L169" s="6"/>
      <c r="M169" s="6"/>
      <c r="N169" s="6"/>
      <c r="O169" s="6"/>
      <c r="P169" s="1"/>
    </row>
    <row r="170" spans="1:16">
      <c r="A170" s="1">
        <v>167</v>
      </c>
      <c r="B170" s="6"/>
      <c r="C170" s="5"/>
      <c r="D170" s="1"/>
      <c r="E170" s="1"/>
      <c r="F170" s="2">
        <f>IFERROR(INDEX('Incident'!$H$4:$H$100003,MATCH(D170,'Incident'!$B$4:$B$100003,0)),IFERROR(INDEX('NC Management'!$G$4:$G$100003,MATCH(E170,'NC Management'!$B$4:$B$100003,0)),""))</f>
        <v>0</v>
      </c>
      <c r="G170" s="2">
        <f>IFERROR(INDEX('Incident'!$N$4:$N$100003,MATCH(D170,'Incident'!$B$4:$B$100003,0)),IFERROR(INDEX('NC Management'!$F$4:$F$100003,MATCH(E170,'NC Management'!$B$4:$B$100003,0)),""))</f>
        <v>0</v>
      </c>
      <c r="H170" s="6"/>
      <c r="I170" s="6"/>
      <c r="J170" s="6"/>
      <c r="K170" s="6"/>
      <c r="L170" s="6"/>
      <c r="M170" s="6"/>
      <c r="N170" s="6"/>
      <c r="O170" s="6"/>
      <c r="P170" s="1"/>
    </row>
    <row r="171" spans="1:16">
      <c r="A171" s="1">
        <v>168</v>
      </c>
      <c r="B171" s="6"/>
      <c r="C171" s="5"/>
      <c r="D171" s="1"/>
      <c r="E171" s="1"/>
      <c r="F171" s="2">
        <f>IFERROR(INDEX('Incident'!$H$4:$H$100003,MATCH(D171,'Incident'!$B$4:$B$100003,0)),IFERROR(INDEX('NC Management'!$G$4:$G$100003,MATCH(E171,'NC Management'!$B$4:$B$100003,0)),""))</f>
        <v>0</v>
      </c>
      <c r="G171" s="2">
        <f>IFERROR(INDEX('Incident'!$N$4:$N$100003,MATCH(D171,'Incident'!$B$4:$B$100003,0)),IFERROR(INDEX('NC Management'!$F$4:$F$100003,MATCH(E171,'NC Management'!$B$4:$B$100003,0)),""))</f>
        <v>0</v>
      </c>
      <c r="H171" s="6"/>
      <c r="I171" s="6"/>
      <c r="J171" s="6"/>
      <c r="K171" s="6"/>
      <c r="L171" s="6"/>
      <c r="M171" s="6"/>
      <c r="N171" s="6"/>
      <c r="O171" s="6"/>
      <c r="P171" s="1"/>
    </row>
    <row r="172" spans="1:16">
      <c r="A172" s="1">
        <v>169</v>
      </c>
      <c r="B172" s="6"/>
      <c r="C172" s="5"/>
      <c r="D172" s="1"/>
      <c r="E172" s="1"/>
      <c r="F172" s="2">
        <f>IFERROR(INDEX('Incident'!$H$4:$H$100003,MATCH(D172,'Incident'!$B$4:$B$100003,0)),IFERROR(INDEX('NC Management'!$G$4:$G$100003,MATCH(E172,'NC Management'!$B$4:$B$100003,0)),""))</f>
        <v>0</v>
      </c>
      <c r="G172" s="2">
        <f>IFERROR(INDEX('Incident'!$N$4:$N$100003,MATCH(D172,'Incident'!$B$4:$B$100003,0)),IFERROR(INDEX('NC Management'!$F$4:$F$100003,MATCH(E172,'NC Management'!$B$4:$B$100003,0)),""))</f>
        <v>0</v>
      </c>
      <c r="H172" s="6"/>
      <c r="I172" s="6"/>
      <c r="J172" s="6"/>
      <c r="K172" s="6"/>
      <c r="L172" s="6"/>
      <c r="M172" s="6"/>
      <c r="N172" s="6"/>
      <c r="O172" s="6"/>
      <c r="P172" s="1"/>
    </row>
    <row r="173" spans="1:16">
      <c r="A173" s="1">
        <v>170</v>
      </c>
      <c r="B173" s="6"/>
      <c r="C173" s="5"/>
      <c r="D173" s="1"/>
      <c r="E173" s="1"/>
      <c r="F173" s="2">
        <f>IFERROR(INDEX('Incident'!$H$4:$H$100003,MATCH(D173,'Incident'!$B$4:$B$100003,0)),IFERROR(INDEX('NC Management'!$G$4:$G$100003,MATCH(E173,'NC Management'!$B$4:$B$100003,0)),""))</f>
        <v>0</v>
      </c>
      <c r="G173" s="2">
        <f>IFERROR(INDEX('Incident'!$N$4:$N$100003,MATCH(D173,'Incident'!$B$4:$B$100003,0)),IFERROR(INDEX('NC Management'!$F$4:$F$100003,MATCH(E173,'NC Management'!$B$4:$B$100003,0)),""))</f>
        <v>0</v>
      </c>
      <c r="H173" s="6"/>
      <c r="I173" s="6"/>
      <c r="J173" s="6"/>
      <c r="K173" s="6"/>
      <c r="L173" s="6"/>
      <c r="M173" s="6"/>
      <c r="N173" s="6"/>
      <c r="O173" s="6"/>
      <c r="P173" s="1"/>
    </row>
    <row r="174" spans="1:16">
      <c r="A174" s="1">
        <v>171</v>
      </c>
      <c r="B174" s="6"/>
      <c r="C174" s="5"/>
      <c r="D174" s="1"/>
      <c r="E174" s="1"/>
      <c r="F174" s="2">
        <f>IFERROR(INDEX('Incident'!$H$4:$H$100003,MATCH(D174,'Incident'!$B$4:$B$100003,0)),IFERROR(INDEX('NC Management'!$G$4:$G$100003,MATCH(E174,'NC Management'!$B$4:$B$100003,0)),""))</f>
        <v>0</v>
      </c>
      <c r="G174" s="2">
        <f>IFERROR(INDEX('Incident'!$N$4:$N$100003,MATCH(D174,'Incident'!$B$4:$B$100003,0)),IFERROR(INDEX('NC Management'!$F$4:$F$100003,MATCH(E174,'NC Management'!$B$4:$B$100003,0)),""))</f>
        <v>0</v>
      </c>
      <c r="H174" s="6"/>
      <c r="I174" s="6"/>
      <c r="J174" s="6"/>
      <c r="K174" s="6"/>
      <c r="L174" s="6"/>
      <c r="M174" s="6"/>
      <c r="N174" s="6"/>
      <c r="O174" s="6"/>
      <c r="P174" s="1"/>
    </row>
    <row r="175" spans="1:16">
      <c r="A175" s="1">
        <v>172</v>
      </c>
      <c r="B175" s="6"/>
      <c r="C175" s="5"/>
      <c r="D175" s="1"/>
      <c r="E175" s="1"/>
      <c r="F175" s="2">
        <f>IFERROR(INDEX('Incident'!$H$4:$H$100003,MATCH(D175,'Incident'!$B$4:$B$100003,0)),IFERROR(INDEX('NC Management'!$G$4:$G$100003,MATCH(E175,'NC Management'!$B$4:$B$100003,0)),""))</f>
        <v>0</v>
      </c>
      <c r="G175" s="2">
        <f>IFERROR(INDEX('Incident'!$N$4:$N$100003,MATCH(D175,'Incident'!$B$4:$B$100003,0)),IFERROR(INDEX('NC Management'!$F$4:$F$100003,MATCH(E175,'NC Management'!$B$4:$B$100003,0)),""))</f>
        <v>0</v>
      </c>
      <c r="H175" s="6"/>
      <c r="I175" s="6"/>
      <c r="J175" s="6"/>
      <c r="K175" s="6"/>
      <c r="L175" s="6"/>
      <c r="M175" s="6"/>
      <c r="N175" s="6"/>
      <c r="O175" s="6"/>
      <c r="P175" s="1"/>
    </row>
    <row r="176" spans="1:16">
      <c r="A176" s="1">
        <v>173</v>
      </c>
      <c r="B176" s="6"/>
      <c r="C176" s="5"/>
      <c r="D176" s="1"/>
      <c r="E176" s="1"/>
      <c r="F176" s="2">
        <f>IFERROR(INDEX('Incident'!$H$4:$H$100003,MATCH(D176,'Incident'!$B$4:$B$100003,0)),IFERROR(INDEX('NC Management'!$G$4:$G$100003,MATCH(E176,'NC Management'!$B$4:$B$100003,0)),""))</f>
        <v>0</v>
      </c>
      <c r="G176" s="2">
        <f>IFERROR(INDEX('Incident'!$N$4:$N$100003,MATCH(D176,'Incident'!$B$4:$B$100003,0)),IFERROR(INDEX('NC Management'!$F$4:$F$100003,MATCH(E176,'NC Management'!$B$4:$B$100003,0)),""))</f>
        <v>0</v>
      </c>
      <c r="H176" s="6"/>
      <c r="I176" s="6"/>
      <c r="J176" s="6"/>
      <c r="K176" s="6"/>
      <c r="L176" s="6"/>
      <c r="M176" s="6"/>
      <c r="N176" s="6"/>
      <c r="O176" s="6"/>
      <c r="P176" s="1"/>
    </row>
    <row r="177" spans="1:16">
      <c r="A177" s="1">
        <v>174</v>
      </c>
      <c r="B177" s="6"/>
      <c r="C177" s="5"/>
      <c r="D177" s="1"/>
      <c r="E177" s="1"/>
      <c r="F177" s="2">
        <f>IFERROR(INDEX('Incident'!$H$4:$H$100003,MATCH(D177,'Incident'!$B$4:$B$100003,0)),IFERROR(INDEX('NC Management'!$G$4:$G$100003,MATCH(E177,'NC Management'!$B$4:$B$100003,0)),""))</f>
        <v>0</v>
      </c>
      <c r="G177" s="2">
        <f>IFERROR(INDEX('Incident'!$N$4:$N$100003,MATCH(D177,'Incident'!$B$4:$B$100003,0)),IFERROR(INDEX('NC Management'!$F$4:$F$100003,MATCH(E177,'NC Management'!$B$4:$B$100003,0)),""))</f>
        <v>0</v>
      </c>
      <c r="H177" s="6"/>
      <c r="I177" s="6"/>
      <c r="J177" s="6"/>
      <c r="K177" s="6"/>
      <c r="L177" s="6"/>
      <c r="M177" s="6"/>
      <c r="N177" s="6"/>
      <c r="O177" s="6"/>
      <c r="P177" s="1"/>
    </row>
    <row r="178" spans="1:16">
      <c r="A178" s="1">
        <v>175</v>
      </c>
      <c r="B178" s="6"/>
      <c r="C178" s="5"/>
      <c r="D178" s="1"/>
      <c r="E178" s="1"/>
      <c r="F178" s="2">
        <f>IFERROR(INDEX('Incident'!$H$4:$H$100003,MATCH(D178,'Incident'!$B$4:$B$100003,0)),IFERROR(INDEX('NC Management'!$G$4:$G$100003,MATCH(E178,'NC Management'!$B$4:$B$100003,0)),""))</f>
        <v>0</v>
      </c>
      <c r="G178" s="2">
        <f>IFERROR(INDEX('Incident'!$N$4:$N$100003,MATCH(D178,'Incident'!$B$4:$B$100003,0)),IFERROR(INDEX('NC Management'!$F$4:$F$100003,MATCH(E178,'NC Management'!$B$4:$B$100003,0)),""))</f>
        <v>0</v>
      </c>
      <c r="H178" s="6"/>
      <c r="I178" s="6"/>
      <c r="J178" s="6"/>
      <c r="K178" s="6"/>
      <c r="L178" s="6"/>
      <c r="M178" s="6"/>
      <c r="N178" s="6"/>
      <c r="O178" s="6"/>
      <c r="P178" s="1"/>
    </row>
    <row r="179" spans="1:16">
      <c r="A179" s="1">
        <v>176</v>
      </c>
      <c r="B179" s="6"/>
      <c r="C179" s="5"/>
      <c r="D179" s="1"/>
      <c r="E179" s="1"/>
      <c r="F179" s="2">
        <f>IFERROR(INDEX('Incident'!$H$4:$H$100003,MATCH(D179,'Incident'!$B$4:$B$100003,0)),IFERROR(INDEX('NC Management'!$G$4:$G$100003,MATCH(E179,'NC Management'!$B$4:$B$100003,0)),""))</f>
        <v>0</v>
      </c>
      <c r="G179" s="2">
        <f>IFERROR(INDEX('Incident'!$N$4:$N$100003,MATCH(D179,'Incident'!$B$4:$B$100003,0)),IFERROR(INDEX('NC Management'!$F$4:$F$100003,MATCH(E179,'NC Management'!$B$4:$B$100003,0)),""))</f>
        <v>0</v>
      </c>
      <c r="H179" s="6"/>
      <c r="I179" s="6"/>
      <c r="J179" s="6"/>
      <c r="K179" s="6"/>
      <c r="L179" s="6"/>
      <c r="M179" s="6"/>
      <c r="N179" s="6"/>
      <c r="O179" s="6"/>
      <c r="P179" s="1"/>
    </row>
    <row r="180" spans="1:16">
      <c r="A180" s="1">
        <v>177</v>
      </c>
      <c r="B180" s="6"/>
      <c r="C180" s="5"/>
      <c r="D180" s="1"/>
      <c r="E180" s="1"/>
      <c r="F180" s="2">
        <f>IFERROR(INDEX('Incident'!$H$4:$H$100003,MATCH(D180,'Incident'!$B$4:$B$100003,0)),IFERROR(INDEX('NC Management'!$G$4:$G$100003,MATCH(E180,'NC Management'!$B$4:$B$100003,0)),""))</f>
        <v>0</v>
      </c>
      <c r="G180" s="2">
        <f>IFERROR(INDEX('Incident'!$N$4:$N$100003,MATCH(D180,'Incident'!$B$4:$B$100003,0)),IFERROR(INDEX('NC Management'!$F$4:$F$100003,MATCH(E180,'NC Management'!$B$4:$B$100003,0)),""))</f>
        <v>0</v>
      </c>
      <c r="H180" s="6"/>
      <c r="I180" s="6"/>
      <c r="J180" s="6"/>
      <c r="K180" s="6"/>
      <c r="L180" s="6"/>
      <c r="M180" s="6"/>
      <c r="N180" s="6"/>
      <c r="O180" s="6"/>
      <c r="P180" s="1"/>
    </row>
    <row r="181" spans="1:16">
      <c r="A181" s="1">
        <v>178</v>
      </c>
      <c r="B181" s="6"/>
      <c r="C181" s="5"/>
      <c r="D181" s="1"/>
      <c r="E181" s="1"/>
      <c r="F181" s="2">
        <f>IFERROR(INDEX('Incident'!$H$4:$H$100003,MATCH(D181,'Incident'!$B$4:$B$100003,0)),IFERROR(INDEX('NC Management'!$G$4:$G$100003,MATCH(E181,'NC Management'!$B$4:$B$100003,0)),""))</f>
        <v>0</v>
      </c>
      <c r="G181" s="2">
        <f>IFERROR(INDEX('Incident'!$N$4:$N$100003,MATCH(D181,'Incident'!$B$4:$B$100003,0)),IFERROR(INDEX('NC Management'!$F$4:$F$100003,MATCH(E181,'NC Management'!$B$4:$B$100003,0)),""))</f>
        <v>0</v>
      </c>
      <c r="H181" s="6"/>
      <c r="I181" s="6"/>
      <c r="J181" s="6"/>
      <c r="K181" s="6"/>
      <c r="L181" s="6"/>
      <c r="M181" s="6"/>
      <c r="N181" s="6"/>
      <c r="O181" s="6"/>
      <c r="P181" s="1"/>
    </row>
    <row r="182" spans="1:16">
      <c r="A182" s="1">
        <v>179</v>
      </c>
      <c r="B182" s="6"/>
      <c r="C182" s="5"/>
      <c r="D182" s="1"/>
      <c r="E182" s="1"/>
      <c r="F182" s="2">
        <f>IFERROR(INDEX('Incident'!$H$4:$H$100003,MATCH(D182,'Incident'!$B$4:$B$100003,0)),IFERROR(INDEX('NC Management'!$G$4:$G$100003,MATCH(E182,'NC Management'!$B$4:$B$100003,0)),""))</f>
        <v>0</v>
      </c>
      <c r="G182" s="2">
        <f>IFERROR(INDEX('Incident'!$N$4:$N$100003,MATCH(D182,'Incident'!$B$4:$B$100003,0)),IFERROR(INDEX('NC Management'!$F$4:$F$100003,MATCH(E182,'NC Management'!$B$4:$B$100003,0)),""))</f>
        <v>0</v>
      </c>
      <c r="H182" s="6"/>
      <c r="I182" s="6"/>
      <c r="J182" s="6"/>
      <c r="K182" s="6"/>
      <c r="L182" s="6"/>
      <c r="M182" s="6"/>
      <c r="N182" s="6"/>
      <c r="O182" s="6"/>
      <c r="P182" s="1"/>
    </row>
    <row r="183" spans="1:16">
      <c r="A183" s="1">
        <v>180</v>
      </c>
      <c r="B183" s="6"/>
      <c r="C183" s="5"/>
      <c r="D183" s="1"/>
      <c r="E183" s="1"/>
      <c r="F183" s="2">
        <f>IFERROR(INDEX('Incident'!$H$4:$H$100003,MATCH(D183,'Incident'!$B$4:$B$100003,0)),IFERROR(INDEX('NC Management'!$G$4:$G$100003,MATCH(E183,'NC Management'!$B$4:$B$100003,0)),""))</f>
        <v>0</v>
      </c>
      <c r="G183" s="2">
        <f>IFERROR(INDEX('Incident'!$N$4:$N$100003,MATCH(D183,'Incident'!$B$4:$B$100003,0)),IFERROR(INDEX('NC Management'!$F$4:$F$100003,MATCH(E183,'NC Management'!$B$4:$B$100003,0)),""))</f>
        <v>0</v>
      </c>
      <c r="H183" s="6"/>
      <c r="I183" s="6"/>
      <c r="J183" s="6"/>
      <c r="K183" s="6"/>
      <c r="L183" s="6"/>
      <c r="M183" s="6"/>
      <c r="N183" s="6"/>
      <c r="O183" s="6"/>
      <c r="P183" s="1"/>
    </row>
    <row r="184" spans="1:16">
      <c r="A184" s="1">
        <v>181</v>
      </c>
      <c r="B184" s="6"/>
      <c r="C184" s="5"/>
      <c r="D184" s="1"/>
      <c r="E184" s="1"/>
      <c r="F184" s="2">
        <f>IFERROR(INDEX('Incident'!$H$4:$H$100003,MATCH(D184,'Incident'!$B$4:$B$100003,0)),IFERROR(INDEX('NC Management'!$G$4:$G$100003,MATCH(E184,'NC Management'!$B$4:$B$100003,0)),""))</f>
        <v>0</v>
      </c>
      <c r="G184" s="2">
        <f>IFERROR(INDEX('Incident'!$N$4:$N$100003,MATCH(D184,'Incident'!$B$4:$B$100003,0)),IFERROR(INDEX('NC Management'!$F$4:$F$100003,MATCH(E184,'NC Management'!$B$4:$B$100003,0)),""))</f>
        <v>0</v>
      </c>
      <c r="H184" s="6"/>
      <c r="I184" s="6"/>
      <c r="J184" s="6"/>
      <c r="K184" s="6"/>
      <c r="L184" s="6"/>
      <c r="M184" s="6"/>
      <c r="N184" s="6"/>
      <c r="O184" s="6"/>
      <c r="P184" s="1"/>
    </row>
    <row r="185" spans="1:16">
      <c r="A185" s="1">
        <v>182</v>
      </c>
      <c r="B185" s="6"/>
      <c r="C185" s="5"/>
      <c r="D185" s="1"/>
      <c r="E185" s="1"/>
      <c r="F185" s="2">
        <f>IFERROR(INDEX('Incident'!$H$4:$H$100003,MATCH(D185,'Incident'!$B$4:$B$100003,0)),IFERROR(INDEX('NC Management'!$G$4:$G$100003,MATCH(E185,'NC Management'!$B$4:$B$100003,0)),""))</f>
        <v>0</v>
      </c>
      <c r="G185" s="2">
        <f>IFERROR(INDEX('Incident'!$N$4:$N$100003,MATCH(D185,'Incident'!$B$4:$B$100003,0)),IFERROR(INDEX('NC Management'!$F$4:$F$100003,MATCH(E185,'NC Management'!$B$4:$B$100003,0)),""))</f>
        <v>0</v>
      </c>
      <c r="H185" s="6"/>
      <c r="I185" s="6"/>
      <c r="J185" s="6"/>
      <c r="K185" s="6"/>
      <c r="L185" s="6"/>
      <c r="M185" s="6"/>
      <c r="N185" s="6"/>
      <c r="O185" s="6"/>
      <c r="P185" s="1"/>
    </row>
    <row r="186" spans="1:16">
      <c r="A186" s="1">
        <v>183</v>
      </c>
      <c r="B186" s="6"/>
      <c r="C186" s="5"/>
      <c r="D186" s="1"/>
      <c r="E186" s="1"/>
      <c r="F186" s="2">
        <f>IFERROR(INDEX('Incident'!$H$4:$H$100003,MATCH(D186,'Incident'!$B$4:$B$100003,0)),IFERROR(INDEX('NC Management'!$G$4:$G$100003,MATCH(E186,'NC Management'!$B$4:$B$100003,0)),""))</f>
        <v>0</v>
      </c>
      <c r="G186" s="2">
        <f>IFERROR(INDEX('Incident'!$N$4:$N$100003,MATCH(D186,'Incident'!$B$4:$B$100003,0)),IFERROR(INDEX('NC Management'!$F$4:$F$100003,MATCH(E186,'NC Management'!$B$4:$B$100003,0)),""))</f>
        <v>0</v>
      </c>
      <c r="H186" s="6"/>
      <c r="I186" s="6"/>
      <c r="J186" s="6"/>
      <c r="K186" s="6"/>
      <c r="L186" s="6"/>
      <c r="M186" s="6"/>
      <c r="N186" s="6"/>
      <c r="O186" s="6"/>
      <c r="P186" s="1"/>
    </row>
    <row r="187" spans="1:16">
      <c r="A187" s="1">
        <v>184</v>
      </c>
      <c r="B187" s="6"/>
      <c r="C187" s="5"/>
      <c r="D187" s="1"/>
      <c r="E187" s="1"/>
      <c r="F187" s="2">
        <f>IFERROR(INDEX('Incident'!$H$4:$H$100003,MATCH(D187,'Incident'!$B$4:$B$100003,0)),IFERROR(INDEX('NC Management'!$G$4:$G$100003,MATCH(E187,'NC Management'!$B$4:$B$100003,0)),""))</f>
        <v>0</v>
      </c>
      <c r="G187" s="2">
        <f>IFERROR(INDEX('Incident'!$N$4:$N$100003,MATCH(D187,'Incident'!$B$4:$B$100003,0)),IFERROR(INDEX('NC Management'!$F$4:$F$100003,MATCH(E187,'NC Management'!$B$4:$B$100003,0)),""))</f>
        <v>0</v>
      </c>
      <c r="H187" s="6"/>
      <c r="I187" s="6"/>
      <c r="J187" s="6"/>
      <c r="K187" s="6"/>
      <c r="L187" s="6"/>
      <c r="M187" s="6"/>
      <c r="N187" s="6"/>
      <c r="O187" s="6"/>
      <c r="P187" s="1"/>
    </row>
    <row r="188" spans="1:16">
      <c r="A188" s="1">
        <v>185</v>
      </c>
      <c r="B188" s="6"/>
      <c r="C188" s="5"/>
      <c r="D188" s="1"/>
      <c r="E188" s="1"/>
      <c r="F188" s="2">
        <f>IFERROR(INDEX('Incident'!$H$4:$H$100003,MATCH(D188,'Incident'!$B$4:$B$100003,0)),IFERROR(INDEX('NC Management'!$G$4:$G$100003,MATCH(E188,'NC Management'!$B$4:$B$100003,0)),""))</f>
        <v>0</v>
      </c>
      <c r="G188" s="2">
        <f>IFERROR(INDEX('Incident'!$N$4:$N$100003,MATCH(D188,'Incident'!$B$4:$B$100003,0)),IFERROR(INDEX('NC Management'!$F$4:$F$100003,MATCH(E188,'NC Management'!$B$4:$B$100003,0)),""))</f>
        <v>0</v>
      </c>
      <c r="H188" s="6"/>
      <c r="I188" s="6"/>
      <c r="J188" s="6"/>
      <c r="K188" s="6"/>
      <c r="L188" s="6"/>
      <c r="M188" s="6"/>
      <c r="N188" s="6"/>
      <c r="O188" s="6"/>
      <c r="P188" s="1"/>
    </row>
    <row r="189" spans="1:16">
      <c r="A189" s="1">
        <v>186</v>
      </c>
      <c r="B189" s="6"/>
      <c r="C189" s="5"/>
      <c r="D189" s="1"/>
      <c r="E189" s="1"/>
      <c r="F189" s="2">
        <f>IFERROR(INDEX('Incident'!$H$4:$H$100003,MATCH(D189,'Incident'!$B$4:$B$100003,0)),IFERROR(INDEX('NC Management'!$G$4:$G$100003,MATCH(E189,'NC Management'!$B$4:$B$100003,0)),""))</f>
        <v>0</v>
      </c>
      <c r="G189" s="2">
        <f>IFERROR(INDEX('Incident'!$N$4:$N$100003,MATCH(D189,'Incident'!$B$4:$B$100003,0)),IFERROR(INDEX('NC Management'!$F$4:$F$100003,MATCH(E189,'NC Management'!$B$4:$B$100003,0)),""))</f>
        <v>0</v>
      </c>
      <c r="H189" s="6"/>
      <c r="I189" s="6"/>
      <c r="J189" s="6"/>
      <c r="K189" s="6"/>
      <c r="L189" s="6"/>
      <c r="M189" s="6"/>
      <c r="N189" s="6"/>
      <c r="O189" s="6"/>
      <c r="P189" s="1"/>
    </row>
    <row r="190" spans="1:16">
      <c r="A190" s="1">
        <v>187</v>
      </c>
      <c r="B190" s="6"/>
      <c r="C190" s="5"/>
      <c r="D190" s="1"/>
      <c r="E190" s="1"/>
      <c r="F190" s="2">
        <f>IFERROR(INDEX('Incident'!$H$4:$H$100003,MATCH(D190,'Incident'!$B$4:$B$100003,0)),IFERROR(INDEX('NC Management'!$G$4:$G$100003,MATCH(E190,'NC Management'!$B$4:$B$100003,0)),""))</f>
        <v>0</v>
      </c>
      <c r="G190" s="2">
        <f>IFERROR(INDEX('Incident'!$N$4:$N$100003,MATCH(D190,'Incident'!$B$4:$B$100003,0)),IFERROR(INDEX('NC Management'!$F$4:$F$100003,MATCH(E190,'NC Management'!$B$4:$B$100003,0)),""))</f>
        <v>0</v>
      </c>
      <c r="H190" s="6"/>
      <c r="I190" s="6"/>
      <c r="J190" s="6"/>
      <c r="K190" s="6"/>
      <c r="L190" s="6"/>
      <c r="M190" s="6"/>
      <c r="N190" s="6"/>
      <c r="O190" s="6"/>
      <c r="P190" s="1"/>
    </row>
    <row r="191" spans="1:16">
      <c r="A191" s="1">
        <v>188</v>
      </c>
      <c r="B191" s="6"/>
      <c r="C191" s="5"/>
      <c r="D191" s="1"/>
      <c r="E191" s="1"/>
      <c r="F191" s="2">
        <f>IFERROR(INDEX('Incident'!$H$4:$H$100003,MATCH(D191,'Incident'!$B$4:$B$100003,0)),IFERROR(INDEX('NC Management'!$G$4:$G$100003,MATCH(E191,'NC Management'!$B$4:$B$100003,0)),""))</f>
        <v>0</v>
      </c>
      <c r="G191" s="2">
        <f>IFERROR(INDEX('Incident'!$N$4:$N$100003,MATCH(D191,'Incident'!$B$4:$B$100003,0)),IFERROR(INDEX('NC Management'!$F$4:$F$100003,MATCH(E191,'NC Management'!$B$4:$B$100003,0)),""))</f>
        <v>0</v>
      </c>
      <c r="H191" s="6"/>
      <c r="I191" s="6"/>
      <c r="J191" s="6"/>
      <c r="K191" s="6"/>
      <c r="L191" s="6"/>
      <c r="M191" s="6"/>
      <c r="N191" s="6"/>
      <c r="O191" s="6"/>
      <c r="P191" s="1"/>
    </row>
    <row r="192" spans="1:16">
      <c r="A192" s="1">
        <v>189</v>
      </c>
      <c r="B192" s="6"/>
      <c r="C192" s="5"/>
      <c r="D192" s="1"/>
      <c r="E192" s="1"/>
      <c r="F192" s="2">
        <f>IFERROR(INDEX('Incident'!$H$4:$H$100003,MATCH(D192,'Incident'!$B$4:$B$100003,0)),IFERROR(INDEX('NC Management'!$G$4:$G$100003,MATCH(E192,'NC Management'!$B$4:$B$100003,0)),""))</f>
        <v>0</v>
      </c>
      <c r="G192" s="2">
        <f>IFERROR(INDEX('Incident'!$N$4:$N$100003,MATCH(D192,'Incident'!$B$4:$B$100003,0)),IFERROR(INDEX('NC Management'!$F$4:$F$100003,MATCH(E192,'NC Management'!$B$4:$B$100003,0)),""))</f>
        <v>0</v>
      </c>
      <c r="H192" s="6"/>
      <c r="I192" s="6"/>
      <c r="J192" s="6"/>
      <c r="K192" s="6"/>
      <c r="L192" s="6"/>
      <c r="M192" s="6"/>
      <c r="N192" s="6"/>
      <c r="O192" s="6"/>
      <c r="P192" s="1"/>
    </row>
    <row r="193" spans="1:16">
      <c r="A193" s="1">
        <v>190</v>
      </c>
      <c r="B193" s="6"/>
      <c r="C193" s="5"/>
      <c r="D193" s="1"/>
      <c r="E193" s="1"/>
      <c r="F193" s="2">
        <f>IFERROR(INDEX('Incident'!$H$4:$H$100003,MATCH(D193,'Incident'!$B$4:$B$100003,0)),IFERROR(INDEX('NC Management'!$G$4:$G$100003,MATCH(E193,'NC Management'!$B$4:$B$100003,0)),""))</f>
        <v>0</v>
      </c>
      <c r="G193" s="2">
        <f>IFERROR(INDEX('Incident'!$N$4:$N$100003,MATCH(D193,'Incident'!$B$4:$B$100003,0)),IFERROR(INDEX('NC Management'!$F$4:$F$100003,MATCH(E193,'NC Management'!$B$4:$B$100003,0)),""))</f>
        <v>0</v>
      </c>
      <c r="H193" s="6"/>
      <c r="I193" s="6"/>
      <c r="J193" s="6"/>
      <c r="K193" s="6"/>
      <c r="L193" s="6"/>
      <c r="M193" s="6"/>
      <c r="N193" s="6"/>
      <c r="O193" s="6"/>
      <c r="P193" s="1"/>
    </row>
    <row r="194" spans="1:16">
      <c r="A194" s="1">
        <v>191</v>
      </c>
      <c r="B194" s="6"/>
      <c r="C194" s="5"/>
      <c r="D194" s="1"/>
      <c r="E194" s="1"/>
      <c r="F194" s="2">
        <f>IFERROR(INDEX('Incident'!$H$4:$H$100003,MATCH(D194,'Incident'!$B$4:$B$100003,0)),IFERROR(INDEX('NC Management'!$G$4:$G$100003,MATCH(E194,'NC Management'!$B$4:$B$100003,0)),""))</f>
        <v>0</v>
      </c>
      <c r="G194" s="2">
        <f>IFERROR(INDEX('Incident'!$N$4:$N$100003,MATCH(D194,'Incident'!$B$4:$B$100003,0)),IFERROR(INDEX('NC Management'!$F$4:$F$100003,MATCH(E194,'NC Management'!$B$4:$B$100003,0)),""))</f>
        <v>0</v>
      </c>
      <c r="H194" s="6"/>
      <c r="I194" s="6"/>
      <c r="J194" s="6"/>
      <c r="K194" s="6"/>
      <c r="L194" s="6"/>
      <c r="M194" s="6"/>
      <c r="N194" s="6"/>
      <c r="O194" s="6"/>
      <c r="P194" s="1"/>
    </row>
    <row r="195" spans="1:16">
      <c r="A195" s="1">
        <v>192</v>
      </c>
      <c r="B195" s="6"/>
      <c r="C195" s="5"/>
      <c r="D195" s="1"/>
      <c r="E195" s="1"/>
      <c r="F195" s="2">
        <f>IFERROR(INDEX('Incident'!$H$4:$H$100003,MATCH(D195,'Incident'!$B$4:$B$100003,0)),IFERROR(INDEX('NC Management'!$G$4:$G$100003,MATCH(E195,'NC Management'!$B$4:$B$100003,0)),""))</f>
        <v>0</v>
      </c>
      <c r="G195" s="2">
        <f>IFERROR(INDEX('Incident'!$N$4:$N$100003,MATCH(D195,'Incident'!$B$4:$B$100003,0)),IFERROR(INDEX('NC Management'!$F$4:$F$100003,MATCH(E195,'NC Management'!$B$4:$B$100003,0)),""))</f>
        <v>0</v>
      </c>
      <c r="H195" s="6"/>
      <c r="I195" s="6"/>
      <c r="J195" s="6"/>
      <c r="K195" s="6"/>
      <c r="L195" s="6"/>
      <c r="M195" s="6"/>
      <c r="N195" s="6"/>
      <c r="O195" s="6"/>
      <c r="P195" s="1"/>
    </row>
    <row r="196" spans="1:16">
      <c r="A196" s="1">
        <v>193</v>
      </c>
      <c r="B196" s="6"/>
      <c r="C196" s="5"/>
      <c r="D196" s="1"/>
      <c r="E196" s="1"/>
      <c r="F196" s="2">
        <f>IFERROR(INDEX('Incident'!$H$4:$H$100003,MATCH(D196,'Incident'!$B$4:$B$100003,0)),IFERROR(INDEX('NC Management'!$G$4:$G$100003,MATCH(E196,'NC Management'!$B$4:$B$100003,0)),""))</f>
        <v>0</v>
      </c>
      <c r="G196" s="2">
        <f>IFERROR(INDEX('Incident'!$N$4:$N$100003,MATCH(D196,'Incident'!$B$4:$B$100003,0)),IFERROR(INDEX('NC Management'!$F$4:$F$100003,MATCH(E196,'NC Management'!$B$4:$B$100003,0)),""))</f>
        <v>0</v>
      </c>
      <c r="H196" s="6"/>
      <c r="I196" s="6"/>
      <c r="J196" s="6"/>
      <c r="K196" s="6"/>
      <c r="L196" s="6"/>
      <c r="M196" s="6"/>
      <c r="N196" s="6"/>
      <c r="O196" s="6"/>
      <c r="P196" s="1"/>
    </row>
    <row r="197" spans="1:16">
      <c r="A197" s="1">
        <v>194</v>
      </c>
      <c r="B197" s="6"/>
      <c r="C197" s="5"/>
      <c r="D197" s="1"/>
      <c r="E197" s="1"/>
      <c r="F197" s="2">
        <f>IFERROR(INDEX('Incident'!$H$4:$H$100003,MATCH(D197,'Incident'!$B$4:$B$100003,0)),IFERROR(INDEX('NC Management'!$G$4:$G$100003,MATCH(E197,'NC Management'!$B$4:$B$100003,0)),""))</f>
        <v>0</v>
      </c>
      <c r="G197" s="2">
        <f>IFERROR(INDEX('Incident'!$N$4:$N$100003,MATCH(D197,'Incident'!$B$4:$B$100003,0)),IFERROR(INDEX('NC Management'!$F$4:$F$100003,MATCH(E197,'NC Management'!$B$4:$B$100003,0)),""))</f>
        <v>0</v>
      </c>
      <c r="H197" s="6"/>
      <c r="I197" s="6"/>
      <c r="J197" s="6"/>
      <c r="K197" s="6"/>
      <c r="L197" s="6"/>
      <c r="M197" s="6"/>
      <c r="N197" s="6"/>
      <c r="O197" s="6"/>
      <c r="P197" s="1"/>
    </row>
    <row r="198" spans="1:16">
      <c r="A198" s="1">
        <v>195</v>
      </c>
      <c r="B198" s="6"/>
      <c r="C198" s="5"/>
      <c r="D198" s="1"/>
      <c r="E198" s="1"/>
      <c r="F198" s="2">
        <f>IFERROR(INDEX('Incident'!$H$4:$H$100003,MATCH(D198,'Incident'!$B$4:$B$100003,0)),IFERROR(INDEX('NC Management'!$G$4:$G$100003,MATCH(E198,'NC Management'!$B$4:$B$100003,0)),""))</f>
        <v>0</v>
      </c>
      <c r="G198" s="2">
        <f>IFERROR(INDEX('Incident'!$N$4:$N$100003,MATCH(D198,'Incident'!$B$4:$B$100003,0)),IFERROR(INDEX('NC Management'!$F$4:$F$100003,MATCH(E198,'NC Management'!$B$4:$B$100003,0)),""))</f>
        <v>0</v>
      </c>
      <c r="H198" s="6"/>
      <c r="I198" s="6"/>
      <c r="J198" s="6"/>
      <c r="K198" s="6"/>
      <c r="L198" s="6"/>
      <c r="M198" s="6"/>
      <c r="N198" s="6"/>
      <c r="O198" s="6"/>
      <c r="P198" s="1"/>
    </row>
    <row r="199" spans="1:16">
      <c r="A199" s="1">
        <v>196</v>
      </c>
      <c r="B199" s="6"/>
      <c r="C199" s="5"/>
      <c r="D199" s="1"/>
      <c r="E199" s="1"/>
      <c r="F199" s="2">
        <f>IFERROR(INDEX('Incident'!$H$4:$H$100003,MATCH(D199,'Incident'!$B$4:$B$100003,0)),IFERROR(INDEX('NC Management'!$G$4:$G$100003,MATCH(E199,'NC Management'!$B$4:$B$100003,0)),""))</f>
        <v>0</v>
      </c>
      <c r="G199" s="2">
        <f>IFERROR(INDEX('Incident'!$N$4:$N$100003,MATCH(D199,'Incident'!$B$4:$B$100003,0)),IFERROR(INDEX('NC Management'!$F$4:$F$100003,MATCH(E199,'NC Management'!$B$4:$B$100003,0)),""))</f>
        <v>0</v>
      </c>
      <c r="H199" s="6"/>
      <c r="I199" s="6"/>
      <c r="J199" s="6"/>
      <c r="K199" s="6"/>
      <c r="L199" s="6"/>
      <c r="M199" s="6"/>
      <c r="N199" s="6"/>
      <c r="O199" s="6"/>
      <c r="P199" s="1"/>
    </row>
    <row r="200" spans="1:16">
      <c r="A200" s="1">
        <v>197</v>
      </c>
      <c r="B200" s="6"/>
      <c r="C200" s="5"/>
      <c r="D200" s="1"/>
      <c r="E200" s="1"/>
      <c r="F200" s="2">
        <f>IFERROR(INDEX('Incident'!$H$4:$H$100003,MATCH(D200,'Incident'!$B$4:$B$100003,0)),IFERROR(INDEX('NC Management'!$G$4:$G$100003,MATCH(E200,'NC Management'!$B$4:$B$100003,0)),""))</f>
        <v>0</v>
      </c>
      <c r="G200" s="2">
        <f>IFERROR(INDEX('Incident'!$N$4:$N$100003,MATCH(D200,'Incident'!$B$4:$B$100003,0)),IFERROR(INDEX('NC Management'!$F$4:$F$100003,MATCH(E200,'NC Management'!$B$4:$B$100003,0)),""))</f>
        <v>0</v>
      </c>
      <c r="H200" s="6"/>
      <c r="I200" s="6"/>
      <c r="J200" s="6"/>
      <c r="K200" s="6"/>
      <c r="L200" s="6"/>
      <c r="M200" s="6"/>
      <c r="N200" s="6"/>
      <c r="O200" s="6"/>
      <c r="P200" s="1"/>
    </row>
    <row r="201" spans="1:16">
      <c r="A201" s="1">
        <v>198</v>
      </c>
      <c r="B201" s="6"/>
      <c r="C201" s="5"/>
      <c r="D201" s="1"/>
      <c r="E201" s="1"/>
      <c r="F201" s="2">
        <f>IFERROR(INDEX('Incident'!$H$4:$H$100003,MATCH(D201,'Incident'!$B$4:$B$100003,0)),IFERROR(INDEX('NC Management'!$G$4:$G$100003,MATCH(E201,'NC Management'!$B$4:$B$100003,0)),""))</f>
        <v>0</v>
      </c>
      <c r="G201" s="2">
        <f>IFERROR(INDEX('Incident'!$N$4:$N$100003,MATCH(D201,'Incident'!$B$4:$B$100003,0)),IFERROR(INDEX('NC Management'!$F$4:$F$100003,MATCH(E201,'NC Management'!$B$4:$B$100003,0)),""))</f>
        <v>0</v>
      </c>
      <c r="H201" s="6"/>
      <c r="I201" s="6"/>
      <c r="J201" s="6"/>
      <c r="K201" s="6"/>
      <c r="L201" s="6"/>
      <c r="M201" s="6"/>
      <c r="N201" s="6"/>
      <c r="O201" s="6"/>
      <c r="P201" s="1"/>
    </row>
    <row r="202" spans="1:16">
      <c r="A202" s="1">
        <v>199</v>
      </c>
      <c r="B202" s="6"/>
      <c r="C202" s="5"/>
      <c r="D202" s="1"/>
      <c r="E202" s="1"/>
      <c r="F202" s="2">
        <f>IFERROR(INDEX('Incident'!$H$4:$H$100003,MATCH(D202,'Incident'!$B$4:$B$100003,0)),IFERROR(INDEX('NC Management'!$G$4:$G$100003,MATCH(E202,'NC Management'!$B$4:$B$100003,0)),""))</f>
        <v>0</v>
      </c>
      <c r="G202" s="2">
        <f>IFERROR(INDEX('Incident'!$N$4:$N$100003,MATCH(D202,'Incident'!$B$4:$B$100003,0)),IFERROR(INDEX('NC Management'!$F$4:$F$100003,MATCH(E202,'NC Management'!$B$4:$B$100003,0)),""))</f>
        <v>0</v>
      </c>
      <c r="H202" s="6"/>
      <c r="I202" s="6"/>
      <c r="J202" s="6"/>
      <c r="K202" s="6"/>
      <c r="L202" s="6"/>
      <c r="M202" s="6"/>
      <c r="N202" s="6"/>
      <c r="O202" s="6"/>
      <c r="P202" s="1"/>
    </row>
    <row r="203" spans="1:16">
      <c r="A203" s="1">
        <v>200</v>
      </c>
      <c r="B203" s="6"/>
      <c r="C203" s="5"/>
      <c r="D203" s="1"/>
      <c r="E203" s="1"/>
      <c r="F203" s="2">
        <f>IFERROR(INDEX('Incident'!$H$4:$H$100003,MATCH(D203,'Incident'!$B$4:$B$100003,0)),IFERROR(INDEX('NC Management'!$G$4:$G$100003,MATCH(E203,'NC Management'!$B$4:$B$100003,0)),""))</f>
        <v>0</v>
      </c>
      <c r="G203" s="2">
        <f>IFERROR(INDEX('Incident'!$N$4:$N$100003,MATCH(D203,'Incident'!$B$4:$B$100003,0)),IFERROR(INDEX('NC Management'!$F$4:$F$100003,MATCH(E203,'NC Management'!$B$4:$B$100003,0)),""))</f>
        <v>0</v>
      </c>
      <c r="H203" s="6"/>
      <c r="I203" s="6"/>
      <c r="J203" s="6"/>
      <c r="K203" s="6"/>
      <c r="L203" s="6"/>
      <c r="M203" s="6"/>
      <c r="N203" s="6"/>
      <c r="O203" s="6"/>
      <c r="P203" s="1"/>
    </row>
    <row r="204" spans="1:16">
      <c r="A204" s="1">
        <v>201</v>
      </c>
      <c r="B204" s="6"/>
      <c r="C204" s="5"/>
      <c r="D204" s="1"/>
      <c r="E204" s="1"/>
      <c r="F204" s="2">
        <f>IFERROR(INDEX('Incident'!$H$4:$H$100003,MATCH(D204,'Incident'!$B$4:$B$100003,0)),IFERROR(INDEX('NC Management'!$G$4:$G$100003,MATCH(E204,'NC Management'!$B$4:$B$100003,0)),""))</f>
        <v>0</v>
      </c>
      <c r="G204" s="2">
        <f>IFERROR(INDEX('Incident'!$N$4:$N$100003,MATCH(D204,'Incident'!$B$4:$B$100003,0)),IFERROR(INDEX('NC Management'!$F$4:$F$100003,MATCH(E204,'NC Management'!$B$4:$B$100003,0)),""))</f>
        <v>0</v>
      </c>
      <c r="H204" s="6"/>
      <c r="I204" s="6"/>
      <c r="J204" s="6"/>
      <c r="K204" s="6"/>
      <c r="L204" s="6"/>
      <c r="M204" s="6"/>
      <c r="N204" s="6"/>
      <c r="O204" s="6"/>
      <c r="P204" s="1"/>
    </row>
    <row r="205" spans="1:16">
      <c r="A205" s="1">
        <v>202</v>
      </c>
      <c r="B205" s="6"/>
      <c r="C205" s="5"/>
      <c r="D205" s="1"/>
      <c r="E205" s="1"/>
      <c r="F205" s="2">
        <f>IFERROR(INDEX('Incident'!$H$4:$H$100003,MATCH(D205,'Incident'!$B$4:$B$100003,0)),IFERROR(INDEX('NC Management'!$G$4:$G$100003,MATCH(E205,'NC Management'!$B$4:$B$100003,0)),""))</f>
        <v>0</v>
      </c>
      <c r="G205" s="2">
        <f>IFERROR(INDEX('Incident'!$N$4:$N$100003,MATCH(D205,'Incident'!$B$4:$B$100003,0)),IFERROR(INDEX('NC Management'!$F$4:$F$100003,MATCH(E205,'NC Management'!$B$4:$B$100003,0)),""))</f>
        <v>0</v>
      </c>
      <c r="H205" s="6"/>
      <c r="I205" s="6"/>
      <c r="J205" s="6"/>
      <c r="K205" s="6"/>
      <c r="L205" s="6"/>
      <c r="M205" s="6"/>
      <c r="N205" s="6"/>
      <c r="O205" s="6"/>
      <c r="P205" s="1"/>
    </row>
    <row r="206" spans="1:16">
      <c r="A206" s="1">
        <v>203</v>
      </c>
      <c r="B206" s="6"/>
      <c r="C206" s="5"/>
      <c r="D206" s="1"/>
      <c r="E206" s="1"/>
      <c r="F206" s="2">
        <f>IFERROR(INDEX('Incident'!$H$4:$H$100003,MATCH(D206,'Incident'!$B$4:$B$100003,0)),IFERROR(INDEX('NC Management'!$G$4:$G$100003,MATCH(E206,'NC Management'!$B$4:$B$100003,0)),""))</f>
        <v>0</v>
      </c>
      <c r="G206" s="2">
        <f>IFERROR(INDEX('Incident'!$N$4:$N$100003,MATCH(D206,'Incident'!$B$4:$B$100003,0)),IFERROR(INDEX('NC Management'!$F$4:$F$100003,MATCH(E206,'NC Management'!$B$4:$B$100003,0)),""))</f>
        <v>0</v>
      </c>
      <c r="H206" s="6"/>
      <c r="I206" s="6"/>
      <c r="J206" s="6"/>
      <c r="K206" s="6"/>
      <c r="L206" s="6"/>
      <c r="M206" s="6"/>
      <c r="N206" s="6"/>
      <c r="O206" s="6"/>
      <c r="P206" s="1"/>
    </row>
    <row r="207" spans="1:16">
      <c r="A207" s="1">
        <v>204</v>
      </c>
      <c r="B207" s="6"/>
      <c r="C207" s="5"/>
      <c r="D207" s="1"/>
      <c r="E207" s="1"/>
      <c r="F207" s="2">
        <f>IFERROR(INDEX('Incident'!$H$4:$H$100003,MATCH(D207,'Incident'!$B$4:$B$100003,0)),IFERROR(INDEX('NC Management'!$G$4:$G$100003,MATCH(E207,'NC Management'!$B$4:$B$100003,0)),""))</f>
        <v>0</v>
      </c>
      <c r="G207" s="2">
        <f>IFERROR(INDEX('Incident'!$N$4:$N$100003,MATCH(D207,'Incident'!$B$4:$B$100003,0)),IFERROR(INDEX('NC Management'!$F$4:$F$100003,MATCH(E207,'NC Management'!$B$4:$B$100003,0)),""))</f>
        <v>0</v>
      </c>
      <c r="H207" s="6"/>
      <c r="I207" s="6"/>
      <c r="J207" s="6"/>
      <c r="K207" s="6"/>
      <c r="L207" s="6"/>
      <c r="M207" s="6"/>
      <c r="N207" s="6"/>
      <c r="O207" s="6"/>
      <c r="P207" s="1"/>
    </row>
    <row r="208" spans="1:16">
      <c r="A208" s="1">
        <v>205</v>
      </c>
      <c r="B208" s="6"/>
      <c r="C208" s="5"/>
      <c r="D208" s="1"/>
      <c r="E208" s="1"/>
      <c r="F208" s="2">
        <f>IFERROR(INDEX('Incident'!$H$4:$H$100003,MATCH(D208,'Incident'!$B$4:$B$100003,0)),IFERROR(INDEX('NC Management'!$G$4:$G$100003,MATCH(E208,'NC Management'!$B$4:$B$100003,0)),""))</f>
        <v>0</v>
      </c>
      <c r="G208" s="2">
        <f>IFERROR(INDEX('Incident'!$N$4:$N$100003,MATCH(D208,'Incident'!$B$4:$B$100003,0)),IFERROR(INDEX('NC Management'!$F$4:$F$100003,MATCH(E208,'NC Management'!$B$4:$B$100003,0)),""))</f>
        <v>0</v>
      </c>
      <c r="H208" s="6"/>
      <c r="I208" s="6"/>
      <c r="J208" s="6"/>
      <c r="K208" s="6"/>
      <c r="L208" s="6"/>
      <c r="M208" s="6"/>
      <c r="N208" s="6"/>
      <c r="O208" s="6"/>
      <c r="P208" s="1"/>
    </row>
    <row r="209" spans="1:16">
      <c r="A209" s="1">
        <v>206</v>
      </c>
      <c r="B209" s="6"/>
      <c r="C209" s="5"/>
      <c r="D209" s="1"/>
      <c r="E209" s="1"/>
      <c r="F209" s="2">
        <f>IFERROR(INDEX('Incident'!$H$4:$H$100003,MATCH(D209,'Incident'!$B$4:$B$100003,0)),IFERROR(INDEX('NC Management'!$G$4:$G$100003,MATCH(E209,'NC Management'!$B$4:$B$100003,0)),""))</f>
        <v>0</v>
      </c>
      <c r="G209" s="2">
        <f>IFERROR(INDEX('Incident'!$N$4:$N$100003,MATCH(D209,'Incident'!$B$4:$B$100003,0)),IFERROR(INDEX('NC Management'!$F$4:$F$100003,MATCH(E209,'NC Management'!$B$4:$B$100003,0)),""))</f>
        <v>0</v>
      </c>
      <c r="H209" s="6"/>
      <c r="I209" s="6"/>
      <c r="J209" s="6"/>
      <c r="K209" s="6"/>
      <c r="L209" s="6"/>
      <c r="M209" s="6"/>
      <c r="N209" s="6"/>
      <c r="O209" s="6"/>
      <c r="P209" s="1"/>
    </row>
    <row r="210" spans="1:16">
      <c r="A210" s="1">
        <v>207</v>
      </c>
      <c r="B210" s="6"/>
      <c r="C210" s="5"/>
      <c r="D210" s="1"/>
      <c r="E210" s="1"/>
      <c r="F210" s="2">
        <f>IFERROR(INDEX('Incident'!$H$4:$H$100003,MATCH(D210,'Incident'!$B$4:$B$100003,0)),IFERROR(INDEX('NC Management'!$G$4:$G$100003,MATCH(E210,'NC Management'!$B$4:$B$100003,0)),""))</f>
        <v>0</v>
      </c>
      <c r="G210" s="2">
        <f>IFERROR(INDEX('Incident'!$N$4:$N$100003,MATCH(D210,'Incident'!$B$4:$B$100003,0)),IFERROR(INDEX('NC Management'!$F$4:$F$100003,MATCH(E210,'NC Management'!$B$4:$B$100003,0)),""))</f>
        <v>0</v>
      </c>
      <c r="H210" s="6"/>
      <c r="I210" s="6"/>
      <c r="J210" s="6"/>
      <c r="K210" s="6"/>
      <c r="L210" s="6"/>
      <c r="M210" s="6"/>
      <c r="N210" s="6"/>
      <c r="O210" s="6"/>
      <c r="P210" s="1"/>
    </row>
    <row r="211" spans="1:16">
      <c r="A211" s="1">
        <v>208</v>
      </c>
      <c r="B211" s="6"/>
      <c r="C211" s="5"/>
      <c r="D211" s="1"/>
      <c r="E211" s="1"/>
      <c r="F211" s="2">
        <f>IFERROR(INDEX('Incident'!$H$4:$H$100003,MATCH(D211,'Incident'!$B$4:$B$100003,0)),IFERROR(INDEX('NC Management'!$G$4:$G$100003,MATCH(E211,'NC Management'!$B$4:$B$100003,0)),""))</f>
        <v>0</v>
      </c>
      <c r="G211" s="2">
        <f>IFERROR(INDEX('Incident'!$N$4:$N$100003,MATCH(D211,'Incident'!$B$4:$B$100003,0)),IFERROR(INDEX('NC Management'!$F$4:$F$100003,MATCH(E211,'NC Management'!$B$4:$B$100003,0)),""))</f>
        <v>0</v>
      </c>
      <c r="H211" s="6"/>
      <c r="I211" s="6"/>
      <c r="J211" s="6"/>
      <c r="K211" s="6"/>
      <c r="L211" s="6"/>
      <c r="M211" s="6"/>
      <c r="N211" s="6"/>
      <c r="O211" s="6"/>
      <c r="P211" s="1"/>
    </row>
    <row r="212" spans="1:16">
      <c r="A212" s="1">
        <v>209</v>
      </c>
      <c r="B212" s="6"/>
      <c r="C212" s="5"/>
      <c r="D212" s="1"/>
      <c r="E212" s="1"/>
      <c r="F212" s="2">
        <f>IFERROR(INDEX('Incident'!$H$4:$H$100003,MATCH(D212,'Incident'!$B$4:$B$100003,0)),IFERROR(INDEX('NC Management'!$G$4:$G$100003,MATCH(E212,'NC Management'!$B$4:$B$100003,0)),""))</f>
        <v>0</v>
      </c>
      <c r="G212" s="2">
        <f>IFERROR(INDEX('Incident'!$N$4:$N$100003,MATCH(D212,'Incident'!$B$4:$B$100003,0)),IFERROR(INDEX('NC Management'!$F$4:$F$100003,MATCH(E212,'NC Management'!$B$4:$B$100003,0)),""))</f>
        <v>0</v>
      </c>
      <c r="H212" s="6"/>
      <c r="I212" s="6"/>
      <c r="J212" s="6"/>
      <c r="K212" s="6"/>
      <c r="L212" s="6"/>
      <c r="M212" s="6"/>
      <c r="N212" s="6"/>
      <c r="O212" s="6"/>
      <c r="P212" s="1"/>
    </row>
    <row r="213" spans="1:16">
      <c r="A213" s="1">
        <v>210</v>
      </c>
      <c r="B213" s="6"/>
      <c r="C213" s="5"/>
      <c r="D213" s="1"/>
      <c r="E213" s="1"/>
      <c r="F213" s="2">
        <f>IFERROR(INDEX('Incident'!$H$4:$H$100003,MATCH(D213,'Incident'!$B$4:$B$100003,0)),IFERROR(INDEX('NC Management'!$G$4:$G$100003,MATCH(E213,'NC Management'!$B$4:$B$100003,0)),""))</f>
        <v>0</v>
      </c>
      <c r="G213" s="2">
        <f>IFERROR(INDEX('Incident'!$N$4:$N$100003,MATCH(D213,'Incident'!$B$4:$B$100003,0)),IFERROR(INDEX('NC Management'!$F$4:$F$100003,MATCH(E213,'NC Management'!$B$4:$B$100003,0)),""))</f>
        <v>0</v>
      </c>
      <c r="H213" s="6"/>
      <c r="I213" s="6"/>
      <c r="J213" s="6"/>
      <c r="K213" s="6"/>
      <c r="L213" s="6"/>
      <c r="M213" s="6"/>
      <c r="N213" s="6"/>
      <c r="O213" s="6"/>
      <c r="P213" s="1"/>
    </row>
    <row r="214" spans="1:16">
      <c r="A214" s="1">
        <v>211</v>
      </c>
      <c r="B214" s="6"/>
      <c r="C214" s="5"/>
      <c r="D214" s="1"/>
      <c r="E214" s="1"/>
      <c r="F214" s="2">
        <f>IFERROR(INDEX('Incident'!$H$4:$H$100003,MATCH(D214,'Incident'!$B$4:$B$100003,0)),IFERROR(INDEX('NC Management'!$G$4:$G$100003,MATCH(E214,'NC Management'!$B$4:$B$100003,0)),""))</f>
        <v>0</v>
      </c>
      <c r="G214" s="2">
        <f>IFERROR(INDEX('Incident'!$N$4:$N$100003,MATCH(D214,'Incident'!$B$4:$B$100003,0)),IFERROR(INDEX('NC Management'!$F$4:$F$100003,MATCH(E214,'NC Management'!$B$4:$B$100003,0)),""))</f>
        <v>0</v>
      </c>
      <c r="H214" s="6"/>
      <c r="I214" s="6"/>
      <c r="J214" s="6"/>
      <c r="K214" s="6"/>
      <c r="L214" s="6"/>
      <c r="M214" s="6"/>
      <c r="N214" s="6"/>
      <c r="O214" s="6"/>
      <c r="P214" s="1"/>
    </row>
    <row r="215" spans="1:16">
      <c r="A215" s="1">
        <v>212</v>
      </c>
      <c r="B215" s="6"/>
      <c r="C215" s="5"/>
      <c r="D215" s="1"/>
      <c r="E215" s="1"/>
      <c r="F215" s="2">
        <f>IFERROR(INDEX('Incident'!$H$4:$H$100003,MATCH(D215,'Incident'!$B$4:$B$100003,0)),IFERROR(INDEX('NC Management'!$G$4:$G$100003,MATCH(E215,'NC Management'!$B$4:$B$100003,0)),""))</f>
        <v>0</v>
      </c>
      <c r="G215" s="2">
        <f>IFERROR(INDEX('Incident'!$N$4:$N$100003,MATCH(D215,'Incident'!$B$4:$B$100003,0)),IFERROR(INDEX('NC Management'!$F$4:$F$100003,MATCH(E215,'NC Management'!$B$4:$B$100003,0)),""))</f>
        <v>0</v>
      </c>
      <c r="H215" s="6"/>
      <c r="I215" s="6"/>
      <c r="J215" s="6"/>
      <c r="K215" s="6"/>
      <c r="L215" s="6"/>
      <c r="M215" s="6"/>
      <c r="N215" s="6"/>
      <c r="O215" s="6"/>
      <c r="P215" s="1"/>
    </row>
    <row r="216" spans="1:16">
      <c r="A216" s="1">
        <v>213</v>
      </c>
      <c r="B216" s="6"/>
      <c r="C216" s="5"/>
      <c r="D216" s="1"/>
      <c r="E216" s="1"/>
      <c r="F216" s="2">
        <f>IFERROR(INDEX('Incident'!$H$4:$H$100003,MATCH(D216,'Incident'!$B$4:$B$100003,0)),IFERROR(INDEX('NC Management'!$G$4:$G$100003,MATCH(E216,'NC Management'!$B$4:$B$100003,0)),""))</f>
        <v>0</v>
      </c>
      <c r="G216" s="2">
        <f>IFERROR(INDEX('Incident'!$N$4:$N$100003,MATCH(D216,'Incident'!$B$4:$B$100003,0)),IFERROR(INDEX('NC Management'!$F$4:$F$100003,MATCH(E216,'NC Management'!$B$4:$B$100003,0)),""))</f>
        <v>0</v>
      </c>
      <c r="H216" s="6"/>
      <c r="I216" s="6"/>
      <c r="J216" s="6"/>
      <c r="K216" s="6"/>
      <c r="L216" s="6"/>
      <c r="M216" s="6"/>
      <c r="N216" s="6"/>
      <c r="O216" s="6"/>
      <c r="P216" s="1"/>
    </row>
    <row r="217" spans="1:16">
      <c r="A217" s="1">
        <v>214</v>
      </c>
      <c r="B217" s="6"/>
      <c r="C217" s="5"/>
      <c r="D217" s="1"/>
      <c r="E217" s="1"/>
      <c r="F217" s="2">
        <f>IFERROR(INDEX('Incident'!$H$4:$H$100003,MATCH(D217,'Incident'!$B$4:$B$100003,0)),IFERROR(INDEX('NC Management'!$G$4:$G$100003,MATCH(E217,'NC Management'!$B$4:$B$100003,0)),""))</f>
        <v>0</v>
      </c>
      <c r="G217" s="2">
        <f>IFERROR(INDEX('Incident'!$N$4:$N$100003,MATCH(D217,'Incident'!$B$4:$B$100003,0)),IFERROR(INDEX('NC Management'!$F$4:$F$100003,MATCH(E217,'NC Management'!$B$4:$B$100003,0)),""))</f>
        <v>0</v>
      </c>
      <c r="H217" s="6"/>
      <c r="I217" s="6"/>
      <c r="J217" s="6"/>
      <c r="K217" s="6"/>
      <c r="L217" s="6"/>
      <c r="M217" s="6"/>
      <c r="N217" s="6"/>
      <c r="O217" s="6"/>
      <c r="P217" s="1"/>
    </row>
    <row r="218" spans="1:16">
      <c r="A218" s="1">
        <v>215</v>
      </c>
      <c r="B218" s="6"/>
      <c r="C218" s="5"/>
      <c r="D218" s="1"/>
      <c r="E218" s="1"/>
      <c r="F218" s="2">
        <f>IFERROR(INDEX('Incident'!$H$4:$H$100003,MATCH(D218,'Incident'!$B$4:$B$100003,0)),IFERROR(INDEX('NC Management'!$G$4:$G$100003,MATCH(E218,'NC Management'!$B$4:$B$100003,0)),""))</f>
        <v>0</v>
      </c>
      <c r="G218" s="2">
        <f>IFERROR(INDEX('Incident'!$N$4:$N$100003,MATCH(D218,'Incident'!$B$4:$B$100003,0)),IFERROR(INDEX('NC Management'!$F$4:$F$100003,MATCH(E218,'NC Management'!$B$4:$B$100003,0)),""))</f>
        <v>0</v>
      </c>
      <c r="H218" s="6"/>
      <c r="I218" s="6"/>
      <c r="J218" s="6"/>
      <c r="K218" s="6"/>
      <c r="L218" s="6"/>
      <c r="M218" s="6"/>
      <c r="N218" s="6"/>
      <c r="O218" s="6"/>
      <c r="P218" s="1"/>
    </row>
    <row r="219" spans="1:16">
      <c r="A219" s="1">
        <v>216</v>
      </c>
      <c r="B219" s="6"/>
      <c r="C219" s="5"/>
      <c r="D219" s="1"/>
      <c r="E219" s="1"/>
      <c r="F219" s="2">
        <f>IFERROR(INDEX('Incident'!$H$4:$H$100003,MATCH(D219,'Incident'!$B$4:$B$100003,0)),IFERROR(INDEX('NC Management'!$G$4:$G$100003,MATCH(E219,'NC Management'!$B$4:$B$100003,0)),""))</f>
        <v>0</v>
      </c>
      <c r="G219" s="2">
        <f>IFERROR(INDEX('Incident'!$N$4:$N$100003,MATCH(D219,'Incident'!$B$4:$B$100003,0)),IFERROR(INDEX('NC Management'!$F$4:$F$100003,MATCH(E219,'NC Management'!$B$4:$B$100003,0)),""))</f>
        <v>0</v>
      </c>
      <c r="H219" s="6"/>
      <c r="I219" s="6"/>
      <c r="J219" s="6"/>
      <c r="K219" s="6"/>
      <c r="L219" s="6"/>
      <c r="M219" s="6"/>
      <c r="N219" s="6"/>
      <c r="O219" s="6"/>
      <c r="P219" s="1"/>
    </row>
    <row r="220" spans="1:16">
      <c r="A220" s="1">
        <v>217</v>
      </c>
      <c r="B220" s="6"/>
      <c r="C220" s="5"/>
      <c r="D220" s="1"/>
      <c r="E220" s="1"/>
      <c r="F220" s="2">
        <f>IFERROR(INDEX('Incident'!$H$4:$H$100003,MATCH(D220,'Incident'!$B$4:$B$100003,0)),IFERROR(INDEX('NC Management'!$G$4:$G$100003,MATCH(E220,'NC Management'!$B$4:$B$100003,0)),""))</f>
        <v>0</v>
      </c>
      <c r="G220" s="2">
        <f>IFERROR(INDEX('Incident'!$N$4:$N$100003,MATCH(D220,'Incident'!$B$4:$B$100003,0)),IFERROR(INDEX('NC Management'!$F$4:$F$100003,MATCH(E220,'NC Management'!$B$4:$B$100003,0)),""))</f>
        <v>0</v>
      </c>
      <c r="H220" s="6"/>
      <c r="I220" s="6"/>
      <c r="J220" s="6"/>
      <c r="K220" s="6"/>
      <c r="L220" s="6"/>
      <c r="M220" s="6"/>
      <c r="N220" s="6"/>
      <c r="O220" s="6"/>
      <c r="P220" s="1"/>
    </row>
    <row r="221" spans="1:16">
      <c r="A221" s="1">
        <v>218</v>
      </c>
      <c r="B221" s="6"/>
      <c r="C221" s="5"/>
      <c r="D221" s="1"/>
      <c r="E221" s="1"/>
      <c r="F221" s="2">
        <f>IFERROR(INDEX('Incident'!$H$4:$H$100003,MATCH(D221,'Incident'!$B$4:$B$100003,0)),IFERROR(INDEX('NC Management'!$G$4:$G$100003,MATCH(E221,'NC Management'!$B$4:$B$100003,0)),""))</f>
        <v>0</v>
      </c>
      <c r="G221" s="2">
        <f>IFERROR(INDEX('Incident'!$N$4:$N$100003,MATCH(D221,'Incident'!$B$4:$B$100003,0)),IFERROR(INDEX('NC Management'!$F$4:$F$100003,MATCH(E221,'NC Management'!$B$4:$B$100003,0)),""))</f>
        <v>0</v>
      </c>
      <c r="H221" s="6"/>
      <c r="I221" s="6"/>
      <c r="J221" s="6"/>
      <c r="K221" s="6"/>
      <c r="L221" s="6"/>
      <c r="M221" s="6"/>
      <c r="N221" s="6"/>
      <c r="O221" s="6"/>
      <c r="P221" s="1"/>
    </row>
    <row r="222" spans="1:16">
      <c r="A222" s="1">
        <v>219</v>
      </c>
      <c r="B222" s="6"/>
      <c r="C222" s="5"/>
      <c r="D222" s="1"/>
      <c r="E222" s="1"/>
      <c r="F222" s="2">
        <f>IFERROR(INDEX('Incident'!$H$4:$H$100003,MATCH(D222,'Incident'!$B$4:$B$100003,0)),IFERROR(INDEX('NC Management'!$G$4:$G$100003,MATCH(E222,'NC Management'!$B$4:$B$100003,0)),""))</f>
        <v>0</v>
      </c>
      <c r="G222" s="2">
        <f>IFERROR(INDEX('Incident'!$N$4:$N$100003,MATCH(D222,'Incident'!$B$4:$B$100003,0)),IFERROR(INDEX('NC Management'!$F$4:$F$100003,MATCH(E222,'NC Management'!$B$4:$B$100003,0)),""))</f>
        <v>0</v>
      </c>
      <c r="H222" s="6"/>
      <c r="I222" s="6"/>
      <c r="J222" s="6"/>
      <c r="K222" s="6"/>
      <c r="L222" s="6"/>
      <c r="M222" s="6"/>
      <c r="N222" s="6"/>
      <c r="O222" s="6"/>
      <c r="P222" s="1"/>
    </row>
    <row r="223" spans="1:16">
      <c r="A223" s="1">
        <v>220</v>
      </c>
      <c r="B223" s="6"/>
      <c r="C223" s="5"/>
      <c r="D223" s="1"/>
      <c r="E223" s="1"/>
      <c r="F223" s="2">
        <f>IFERROR(INDEX('Incident'!$H$4:$H$100003,MATCH(D223,'Incident'!$B$4:$B$100003,0)),IFERROR(INDEX('NC Management'!$G$4:$G$100003,MATCH(E223,'NC Management'!$B$4:$B$100003,0)),""))</f>
        <v>0</v>
      </c>
      <c r="G223" s="2">
        <f>IFERROR(INDEX('Incident'!$N$4:$N$100003,MATCH(D223,'Incident'!$B$4:$B$100003,0)),IFERROR(INDEX('NC Management'!$F$4:$F$100003,MATCH(E223,'NC Management'!$B$4:$B$100003,0)),""))</f>
        <v>0</v>
      </c>
      <c r="H223" s="6"/>
      <c r="I223" s="6"/>
      <c r="J223" s="6"/>
      <c r="K223" s="6"/>
      <c r="L223" s="6"/>
      <c r="M223" s="6"/>
      <c r="N223" s="6"/>
      <c r="O223" s="6"/>
      <c r="P223" s="1"/>
    </row>
    <row r="224" spans="1:16">
      <c r="A224" s="1">
        <v>221</v>
      </c>
      <c r="B224" s="6"/>
      <c r="C224" s="5"/>
      <c r="D224" s="1"/>
      <c r="E224" s="1"/>
      <c r="F224" s="2">
        <f>IFERROR(INDEX('Incident'!$H$4:$H$100003,MATCH(D224,'Incident'!$B$4:$B$100003,0)),IFERROR(INDEX('NC Management'!$G$4:$G$100003,MATCH(E224,'NC Management'!$B$4:$B$100003,0)),""))</f>
        <v>0</v>
      </c>
      <c r="G224" s="2">
        <f>IFERROR(INDEX('Incident'!$N$4:$N$100003,MATCH(D224,'Incident'!$B$4:$B$100003,0)),IFERROR(INDEX('NC Management'!$F$4:$F$100003,MATCH(E224,'NC Management'!$B$4:$B$100003,0)),""))</f>
        <v>0</v>
      </c>
      <c r="H224" s="6"/>
      <c r="I224" s="6"/>
      <c r="J224" s="6"/>
      <c r="K224" s="6"/>
      <c r="L224" s="6"/>
      <c r="M224" s="6"/>
      <c r="N224" s="6"/>
      <c r="O224" s="6"/>
      <c r="P224" s="1"/>
    </row>
    <row r="225" spans="1:16">
      <c r="A225" s="1">
        <v>222</v>
      </c>
      <c r="B225" s="6"/>
      <c r="C225" s="5"/>
      <c r="D225" s="1"/>
      <c r="E225" s="1"/>
      <c r="F225" s="2">
        <f>IFERROR(INDEX('Incident'!$H$4:$H$100003,MATCH(D225,'Incident'!$B$4:$B$100003,0)),IFERROR(INDEX('NC Management'!$G$4:$G$100003,MATCH(E225,'NC Management'!$B$4:$B$100003,0)),""))</f>
        <v>0</v>
      </c>
      <c r="G225" s="2">
        <f>IFERROR(INDEX('Incident'!$N$4:$N$100003,MATCH(D225,'Incident'!$B$4:$B$100003,0)),IFERROR(INDEX('NC Management'!$F$4:$F$100003,MATCH(E225,'NC Management'!$B$4:$B$100003,0)),""))</f>
        <v>0</v>
      </c>
      <c r="H225" s="6"/>
      <c r="I225" s="6"/>
      <c r="J225" s="6"/>
      <c r="K225" s="6"/>
      <c r="L225" s="6"/>
      <c r="M225" s="6"/>
      <c r="N225" s="6"/>
      <c r="O225" s="6"/>
      <c r="P225" s="1"/>
    </row>
    <row r="226" spans="1:16">
      <c r="A226" s="1">
        <v>223</v>
      </c>
      <c r="B226" s="6"/>
      <c r="C226" s="5"/>
      <c r="D226" s="1"/>
      <c r="E226" s="1"/>
      <c r="F226" s="2">
        <f>IFERROR(INDEX('Incident'!$H$4:$H$100003,MATCH(D226,'Incident'!$B$4:$B$100003,0)),IFERROR(INDEX('NC Management'!$G$4:$G$100003,MATCH(E226,'NC Management'!$B$4:$B$100003,0)),""))</f>
        <v>0</v>
      </c>
      <c r="G226" s="2">
        <f>IFERROR(INDEX('Incident'!$N$4:$N$100003,MATCH(D226,'Incident'!$B$4:$B$100003,0)),IFERROR(INDEX('NC Management'!$F$4:$F$100003,MATCH(E226,'NC Management'!$B$4:$B$100003,0)),""))</f>
        <v>0</v>
      </c>
      <c r="H226" s="6"/>
      <c r="I226" s="6"/>
      <c r="J226" s="6"/>
      <c r="K226" s="6"/>
      <c r="L226" s="6"/>
      <c r="M226" s="6"/>
      <c r="N226" s="6"/>
      <c r="O226" s="6"/>
      <c r="P226" s="1"/>
    </row>
    <row r="227" spans="1:16">
      <c r="A227" s="1">
        <v>224</v>
      </c>
      <c r="B227" s="6"/>
      <c r="C227" s="5"/>
      <c r="D227" s="1"/>
      <c r="E227" s="1"/>
      <c r="F227" s="2">
        <f>IFERROR(INDEX('Incident'!$H$4:$H$100003,MATCH(D227,'Incident'!$B$4:$B$100003,0)),IFERROR(INDEX('NC Management'!$G$4:$G$100003,MATCH(E227,'NC Management'!$B$4:$B$100003,0)),""))</f>
        <v>0</v>
      </c>
      <c r="G227" s="2">
        <f>IFERROR(INDEX('Incident'!$N$4:$N$100003,MATCH(D227,'Incident'!$B$4:$B$100003,0)),IFERROR(INDEX('NC Management'!$F$4:$F$100003,MATCH(E227,'NC Management'!$B$4:$B$100003,0)),""))</f>
        <v>0</v>
      </c>
      <c r="H227" s="6"/>
      <c r="I227" s="6"/>
      <c r="J227" s="6"/>
      <c r="K227" s="6"/>
      <c r="L227" s="6"/>
      <c r="M227" s="6"/>
      <c r="N227" s="6"/>
      <c r="O227" s="6"/>
      <c r="P227" s="1"/>
    </row>
    <row r="228" spans="1:16">
      <c r="A228" s="1">
        <v>225</v>
      </c>
      <c r="B228" s="6"/>
      <c r="C228" s="5"/>
      <c r="D228" s="1"/>
      <c r="E228" s="1"/>
      <c r="F228" s="2">
        <f>IFERROR(INDEX('Incident'!$H$4:$H$100003,MATCH(D228,'Incident'!$B$4:$B$100003,0)),IFERROR(INDEX('NC Management'!$G$4:$G$100003,MATCH(E228,'NC Management'!$B$4:$B$100003,0)),""))</f>
        <v>0</v>
      </c>
      <c r="G228" s="2">
        <f>IFERROR(INDEX('Incident'!$N$4:$N$100003,MATCH(D228,'Incident'!$B$4:$B$100003,0)),IFERROR(INDEX('NC Management'!$F$4:$F$100003,MATCH(E228,'NC Management'!$B$4:$B$100003,0)),""))</f>
        <v>0</v>
      </c>
      <c r="H228" s="6"/>
      <c r="I228" s="6"/>
      <c r="J228" s="6"/>
      <c r="K228" s="6"/>
      <c r="L228" s="6"/>
      <c r="M228" s="6"/>
      <c r="N228" s="6"/>
      <c r="O228" s="6"/>
      <c r="P228" s="1"/>
    </row>
    <row r="229" spans="1:16">
      <c r="A229" s="1">
        <v>226</v>
      </c>
      <c r="B229" s="6"/>
      <c r="C229" s="5"/>
      <c r="D229" s="1"/>
      <c r="E229" s="1"/>
      <c r="F229" s="2">
        <f>IFERROR(INDEX('Incident'!$H$4:$H$100003,MATCH(D229,'Incident'!$B$4:$B$100003,0)),IFERROR(INDEX('NC Management'!$G$4:$G$100003,MATCH(E229,'NC Management'!$B$4:$B$100003,0)),""))</f>
        <v>0</v>
      </c>
      <c r="G229" s="2">
        <f>IFERROR(INDEX('Incident'!$N$4:$N$100003,MATCH(D229,'Incident'!$B$4:$B$100003,0)),IFERROR(INDEX('NC Management'!$F$4:$F$100003,MATCH(E229,'NC Management'!$B$4:$B$100003,0)),""))</f>
        <v>0</v>
      </c>
      <c r="H229" s="6"/>
      <c r="I229" s="6"/>
      <c r="J229" s="6"/>
      <c r="K229" s="6"/>
      <c r="L229" s="6"/>
      <c r="M229" s="6"/>
      <c r="N229" s="6"/>
      <c r="O229" s="6"/>
      <c r="P229" s="1"/>
    </row>
    <row r="230" spans="1:16">
      <c r="A230" s="1">
        <v>227</v>
      </c>
      <c r="B230" s="6"/>
      <c r="C230" s="5"/>
      <c r="D230" s="1"/>
      <c r="E230" s="1"/>
      <c r="F230" s="2">
        <f>IFERROR(INDEX('Incident'!$H$4:$H$100003,MATCH(D230,'Incident'!$B$4:$B$100003,0)),IFERROR(INDEX('NC Management'!$G$4:$G$100003,MATCH(E230,'NC Management'!$B$4:$B$100003,0)),""))</f>
        <v>0</v>
      </c>
      <c r="G230" s="2">
        <f>IFERROR(INDEX('Incident'!$N$4:$N$100003,MATCH(D230,'Incident'!$B$4:$B$100003,0)),IFERROR(INDEX('NC Management'!$F$4:$F$100003,MATCH(E230,'NC Management'!$B$4:$B$100003,0)),""))</f>
        <v>0</v>
      </c>
      <c r="H230" s="6"/>
      <c r="I230" s="6"/>
      <c r="J230" s="6"/>
      <c r="K230" s="6"/>
      <c r="L230" s="6"/>
      <c r="M230" s="6"/>
      <c r="N230" s="6"/>
      <c r="O230" s="6"/>
      <c r="P230" s="1"/>
    </row>
    <row r="231" spans="1:16">
      <c r="A231" s="1">
        <v>228</v>
      </c>
      <c r="B231" s="6"/>
      <c r="C231" s="5"/>
      <c r="D231" s="1"/>
      <c r="E231" s="1"/>
      <c r="F231" s="2">
        <f>IFERROR(INDEX('Incident'!$H$4:$H$100003,MATCH(D231,'Incident'!$B$4:$B$100003,0)),IFERROR(INDEX('NC Management'!$G$4:$G$100003,MATCH(E231,'NC Management'!$B$4:$B$100003,0)),""))</f>
        <v>0</v>
      </c>
      <c r="G231" s="2">
        <f>IFERROR(INDEX('Incident'!$N$4:$N$100003,MATCH(D231,'Incident'!$B$4:$B$100003,0)),IFERROR(INDEX('NC Management'!$F$4:$F$100003,MATCH(E231,'NC Management'!$B$4:$B$100003,0)),""))</f>
        <v>0</v>
      </c>
      <c r="H231" s="6"/>
      <c r="I231" s="6"/>
      <c r="J231" s="6"/>
      <c r="K231" s="6"/>
      <c r="L231" s="6"/>
      <c r="M231" s="6"/>
      <c r="N231" s="6"/>
      <c r="O231" s="6"/>
      <c r="P231" s="1"/>
    </row>
    <row r="232" spans="1:16">
      <c r="A232" s="1">
        <v>229</v>
      </c>
      <c r="B232" s="6"/>
      <c r="C232" s="5"/>
      <c r="D232" s="1"/>
      <c r="E232" s="1"/>
      <c r="F232" s="2">
        <f>IFERROR(INDEX('Incident'!$H$4:$H$100003,MATCH(D232,'Incident'!$B$4:$B$100003,0)),IFERROR(INDEX('NC Management'!$G$4:$G$100003,MATCH(E232,'NC Management'!$B$4:$B$100003,0)),""))</f>
        <v>0</v>
      </c>
      <c r="G232" s="2">
        <f>IFERROR(INDEX('Incident'!$N$4:$N$100003,MATCH(D232,'Incident'!$B$4:$B$100003,0)),IFERROR(INDEX('NC Management'!$F$4:$F$100003,MATCH(E232,'NC Management'!$B$4:$B$100003,0)),""))</f>
        <v>0</v>
      </c>
      <c r="H232" s="6"/>
      <c r="I232" s="6"/>
      <c r="J232" s="6"/>
      <c r="K232" s="6"/>
      <c r="L232" s="6"/>
      <c r="M232" s="6"/>
      <c r="N232" s="6"/>
      <c r="O232" s="6"/>
      <c r="P232" s="1"/>
    </row>
    <row r="233" spans="1:16">
      <c r="A233" s="1">
        <v>230</v>
      </c>
      <c r="B233" s="6"/>
      <c r="C233" s="5"/>
      <c r="D233" s="1"/>
      <c r="E233" s="1"/>
      <c r="F233" s="2">
        <f>IFERROR(INDEX('Incident'!$H$4:$H$100003,MATCH(D233,'Incident'!$B$4:$B$100003,0)),IFERROR(INDEX('NC Management'!$G$4:$G$100003,MATCH(E233,'NC Management'!$B$4:$B$100003,0)),""))</f>
        <v>0</v>
      </c>
      <c r="G233" s="2">
        <f>IFERROR(INDEX('Incident'!$N$4:$N$100003,MATCH(D233,'Incident'!$B$4:$B$100003,0)),IFERROR(INDEX('NC Management'!$F$4:$F$100003,MATCH(E233,'NC Management'!$B$4:$B$100003,0)),""))</f>
        <v>0</v>
      </c>
      <c r="H233" s="6"/>
      <c r="I233" s="6"/>
      <c r="J233" s="6"/>
      <c r="K233" s="6"/>
      <c r="L233" s="6"/>
      <c r="M233" s="6"/>
      <c r="N233" s="6"/>
      <c r="O233" s="6"/>
      <c r="P233" s="1"/>
    </row>
    <row r="234" spans="1:16">
      <c r="A234" s="1">
        <v>231</v>
      </c>
      <c r="B234" s="6"/>
      <c r="C234" s="5"/>
      <c r="D234" s="1"/>
      <c r="E234" s="1"/>
      <c r="F234" s="2">
        <f>IFERROR(INDEX('Incident'!$H$4:$H$100003,MATCH(D234,'Incident'!$B$4:$B$100003,0)),IFERROR(INDEX('NC Management'!$G$4:$G$100003,MATCH(E234,'NC Management'!$B$4:$B$100003,0)),""))</f>
        <v>0</v>
      </c>
      <c r="G234" s="2">
        <f>IFERROR(INDEX('Incident'!$N$4:$N$100003,MATCH(D234,'Incident'!$B$4:$B$100003,0)),IFERROR(INDEX('NC Management'!$F$4:$F$100003,MATCH(E234,'NC Management'!$B$4:$B$100003,0)),""))</f>
        <v>0</v>
      </c>
      <c r="H234" s="6"/>
      <c r="I234" s="6"/>
      <c r="J234" s="6"/>
      <c r="K234" s="6"/>
      <c r="L234" s="6"/>
      <c r="M234" s="6"/>
      <c r="N234" s="6"/>
      <c r="O234" s="6"/>
      <c r="P234" s="1"/>
    </row>
    <row r="235" spans="1:16">
      <c r="A235" s="1">
        <v>232</v>
      </c>
      <c r="B235" s="6"/>
      <c r="C235" s="5"/>
      <c r="D235" s="1"/>
      <c r="E235" s="1"/>
      <c r="F235" s="2">
        <f>IFERROR(INDEX('Incident'!$H$4:$H$100003,MATCH(D235,'Incident'!$B$4:$B$100003,0)),IFERROR(INDEX('NC Management'!$G$4:$G$100003,MATCH(E235,'NC Management'!$B$4:$B$100003,0)),""))</f>
        <v>0</v>
      </c>
      <c r="G235" s="2">
        <f>IFERROR(INDEX('Incident'!$N$4:$N$100003,MATCH(D235,'Incident'!$B$4:$B$100003,0)),IFERROR(INDEX('NC Management'!$F$4:$F$100003,MATCH(E235,'NC Management'!$B$4:$B$100003,0)),""))</f>
        <v>0</v>
      </c>
      <c r="H235" s="6"/>
      <c r="I235" s="6"/>
      <c r="J235" s="6"/>
      <c r="K235" s="6"/>
      <c r="L235" s="6"/>
      <c r="M235" s="6"/>
      <c r="N235" s="6"/>
      <c r="O235" s="6"/>
      <c r="P235" s="1"/>
    </row>
    <row r="236" spans="1:16">
      <c r="A236" s="1">
        <v>233</v>
      </c>
      <c r="B236" s="6"/>
      <c r="C236" s="5"/>
      <c r="D236" s="1"/>
      <c r="E236" s="1"/>
      <c r="F236" s="2">
        <f>IFERROR(INDEX('Incident'!$H$4:$H$100003,MATCH(D236,'Incident'!$B$4:$B$100003,0)),IFERROR(INDEX('NC Management'!$G$4:$G$100003,MATCH(E236,'NC Management'!$B$4:$B$100003,0)),""))</f>
        <v>0</v>
      </c>
      <c r="G236" s="2">
        <f>IFERROR(INDEX('Incident'!$N$4:$N$100003,MATCH(D236,'Incident'!$B$4:$B$100003,0)),IFERROR(INDEX('NC Management'!$F$4:$F$100003,MATCH(E236,'NC Management'!$B$4:$B$100003,0)),""))</f>
        <v>0</v>
      </c>
      <c r="H236" s="6"/>
      <c r="I236" s="6"/>
      <c r="J236" s="6"/>
      <c r="K236" s="6"/>
      <c r="L236" s="6"/>
      <c r="M236" s="6"/>
      <c r="N236" s="6"/>
      <c r="O236" s="6"/>
      <c r="P236" s="1"/>
    </row>
    <row r="237" spans="1:16">
      <c r="A237" s="1">
        <v>234</v>
      </c>
      <c r="B237" s="6"/>
      <c r="C237" s="5"/>
      <c r="D237" s="1"/>
      <c r="E237" s="1"/>
      <c r="F237" s="2">
        <f>IFERROR(INDEX('Incident'!$H$4:$H$100003,MATCH(D237,'Incident'!$B$4:$B$100003,0)),IFERROR(INDEX('NC Management'!$G$4:$G$100003,MATCH(E237,'NC Management'!$B$4:$B$100003,0)),""))</f>
        <v>0</v>
      </c>
      <c r="G237" s="2">
        <f>IFERROR(INDEX('Incident'!$N$4:$N$100003,MATCH(D237,'Incident'!$B$4:$B$100003,0)),IFERROR(INDEX('NC Management'!$F$4:$F$100003,MATCH(E237,'NC Management'!$B$4:$B$100003,0)),""))</f>
        <v>0</v>
      </c>
      <c r="H237" s="6"/>
      <c r="I237" s="6"/>
      <c r="J237" s="6"/>
      <c r="K237" s="6"/>
      <c r="L237" s="6"/>
      <c r="M237" s="6"/>
      <c r="N237" s="6"/>
      <c r="O237" s="6"/>
      <c r="P237" s="1"/>
    </row>
    <row r="238" spans="1:16">
      <c r="A238" s="1">
        <v>235</v>
      </c>
      <c r="B238" s="6"/>
      <c r="C238" s="5"/>
      <c r="D238" s="1"/>
      <c r="E238" s="1"/>
      <c r="F238" s="2">
        <f>IFERROR(INDEX('Incident'!$H$4:$H$100003,MATCH(D238,'Incident'!$B$4:$B$100003,0)),IFERROR(INDEX('NC Management'!$G$4:$G$100003,MATCH(E238,'NC Management'!$B$4:$B$100003,0)),""))</f>
        <v>0</v>
      </c>
      <c r="G238" s="2">
        <f>IFERROR(INDEX('Incident'!$N$4:$N$100003,MATCH(D238,'Incident'!$B$4:$B$100003,0)),IFERROR(INDEX('NC Management'!$F$4:$F$100003,MATCH(E238,'NC Management'!$B$4:$B$100003,0)),""))</f>
        <v>0</v>
      </c>
      <c r="H238" s="6"/>
      <c r="I238" s="6"/>
      <c r="J238" s="6"/>
      <c r="K238" s="6"/>
      <c r="L238" s="6"/>
      <c r="M238" s="6"/>
      <c r="N238" s="6"/>
      <c r="O238" s="6"/>
      <c r="P238" s="1"/>
    </row>
    <row r="239" spans="1:16">
      <c r="A239" s="1">
        <v>236</v>
      </c>
      <c r="B239" s="6"/>
      <c r="C239" s="5"/>
      <c r="D239" s="1"/>
      <c r="E239" s="1"/>
      <c r="F239" s="2">
        <f>IFERROR(INDEX('Incident'!$H$4:$H$100003,MATCH(D239,'Incident'!$B$4:$B$100003,0)),IFERROR(INDEX('NC Management'!$G$4:$G$100003,MATCH(E239,'NC Management'!$B$4:$B$100003,0)),""))</f>
        <v>0</v>
      </c>
      <c r="G239" s="2">
        <f>IFERROR(INDEX('Incident'!$N$4:$N$100003,MATCH(D239,'Incident'!$B$4:$B$100003,0)),IFERROR(INDEX('NC Management'!$F$4:$F$100003,MATCH(E239,'NC Management'!$B$4:$B$100003,0)),""))</f>
        <v>0</v>
      </c>
      <c r="H239" s="6"/>
      <c r="I239" s="6"/>
      <c r="J239" s="6"/>
      <c r="K239" s="6"/>
      <c r="L239" s="6"/>
      <c r="M239" s="6"/>
      <c r="N239" s="6"/>
      <c r="O239" s="6"/>
      <c r="P239" s="1"/>
    </row>
    <row r="240" spans="1:16">
      <c r="A240" s="1">
        <v>237</v>
      </c>
      <c r="B240" s="6"/>
      <c r="C240" s="5"/>
      <c r="D240" s="1"/>
      <c r="E240" s="1"/>
      <c r="F240" s="2">
        <f>IFERROR(INDEX('Incident'!$H$4:$H$100003,MATCH(D240,'Incident'!$B$4:$B$100003,0)),IFERROR(INDEX('NC Management'!$G$4:$G$100003,MATCH(E240,'NC Management'!$B$4:$B$100003,0)),""))</f>
        <v>0</v>
      </c>
      <c r="G240" s="2">
        <f>IFERROR(INDEX('Incident'!$N$4:$N$100003,MATCH(D240,'Incident'!$B$4:$B$100003,0)),IFERROR(INDEX('NC Management'!$F$4:$F$100003,MATCH(E240,'NC Management'!$B$4:$B$100003,0)),""))</f>
        <v>0</v>
      </c>
      <c r="H240" s="6"/>
      <c r="I240" s="6"/>
      <c r="J240" s="6"/>
      <c r="K240" s="6"/>
      <c r="L240" s="6"/>
      <c r="M240" s="6"/>
      <c r="N240" s="6"/>
      <c r="O240" s="6"/>
      <c r="P240" s="1"/>
    </row>
    <row r="241" spans="1:16">
      <c r="A241" s="1">
        <v>238</v>
      </c>
      <c r="B241" s="6"/>
      <c r="C241" s="5"/>
      <c r="D241" s="1"/>
      <c r="E241" s="1"/>
      <c r="F241" s="2">
        <f>IFERROR(INDEX('Incident'!$H$4:$H$100003,MATCH(D241,'Incident'!$B$4:$B$100003,0)),IFERROR(INDEX('NC Management'!$G$4:$G$100003,MATCH(E241,'NC Management'!$B$4:$B$100003,0)),""))</f>
        <v>0</v>
      </c>
      <c r="G241" s="2">
        <f>IFERROR(INDEX('Incident'!$N$4:$N$100003,MATCH(D241,'Incident'!$B$4:$B$100003,0)),IFERROR(INDEX('NC Management'!$F$4:$F$100003,MATCH(E241,'NC Management'!$B$4:$B$100003,0)),""))</f>
        <v>0</v>
      </c>
      <c r="H241" s="6"/>
      <c r="I241" s="6"/>
      <c r="J241" s="6"/>
      <c r="K241" s="6"/>
      <c r="L241" s="6"/>
      <c r="M241" s="6"/>
      <c r="N241" s="6"/>
      <c r="O241" s="6"/>
      <c r="P241" s="1"/>
    </row>
    <row r="242" spans="1:16">
      <c r="A242" s="1">
        <v>239</v>
      </c>
      <c r="B242" s="6"/>
      <c r="C242" s="5"/>
      <c r="D242" s="1"/>
      <c r="E242" s="1"/>
      <c r="F242" s="2">
        <f>IFERROR(INDEX('Incident'!$H$4:$H$100003,MATCH(D242,'Incident'!$B$4:$B$100003,0)),IFERROR(INDEX('NC Management'!$G$4:$G$100003,MATCH(E242,'NC Management'!$B$4:$B$100003,0)),""))</f>
        <v>0</v>
      </c>
      <c r="G242" s="2">
        <f>IFERROR(INDEX('Incident'!$N$4:$N$100003,MATCH(D242,'Incident'!$B$4:$B$100003,0)),IFERROR(INDEX('NC Management'!$F$4:$F$100003,MATCH(E242,'NC Management'!$B$4:$B$100003,0)),""))</f>
        <v>0</v>
      </c>
      <c r="H242" s="6"/>
      <c r="I242" s="6"/>
      <c r="J242" s="6"/>
      <c r="K242" s="6"/>
      <c r="L242" s="6"/>
      <c r="M242" s="6"/>
      <c r="N242" s="6"/>
      <c r="O242" s="6"/>
      <c r="P242" s="1"/>
    </row>
    <row r="243" spans="1:16">
      <c r="A243" s="1">
        <v>240</v>
      </c>
      <c r="B243" s="6"/>
      <c r="C243" s="5"/>
      <c r="D243" s="1"/>
      <c r="E243" s="1"/>
      <c r="F243" s="2">
        <f>IFERROR(INDEX('Incident'!$H$4:$H$100003,MATCH(D243,'Incident'!$B$4:$B$100003,0)),IFERROR(INDEX('NC Management'!$G$4:$G$100003,MATCH(E243,'NC Management'!$B$4:$B$100003,0)),""))</f>
        <v>0</v>
      </c>
      <c r="G243" s="2">
        <f>IFERROR(INDEX('Incident'!$N$4:$N$100003,MATCH(D243,'Incident'!$B$4:$B$100003,0)),IFERROR(INDEX('NC Management'!$F$4:$F$100003,MATCH(E243,'NC Management'!$B$4:$B$100003,0)),""))</f>
        <v>0</v>
      </c>
      <c r="H243" s="6"/>
      <c r="I243" s="6"/>
      <c r="J243" s="6"/>
      <c r="K243" s="6"/>
      <c r="L243" s="6"/>
      <c r="M243" s="6"/>
      <c r="N243" s="6"/>
      <c r="O243" s="6"/>
      <c r="P243" s="1"/>
    </row>
    <row r="244" spans="1:16">
      <c r="A244" s="1">
        <v>241</v>
      </c>
      <c r="B244" s="6"/>
      <c r="C244" s="5"/>
      <c r="D244" s="1"/>
      <c r="E244" s="1"/>
      <c r="F244" s="2">
        <f>IFERROR(INDEX('Incident'!$H$4:$H$100003,MATCH(D244,'Incident'!$B$4:$B$100003,0)),IFERROR(INDEX('NC Management'!$G$4:$G$100003,MATCH(E244,'NC Management'!$B$4:$B$100003,0)),""))</f>
        <v>0</v>
      </c>
      <c r="G244" s="2">
        <f>IFERROR(INDEX('Incident'!$N$4:$N$100003,MATCH(D244,'Incident'!$B$4:$B$100003,0)),IFERROR(INDEX('NC Management'!$F$4:$F$100003,MATCH(E244,'NC Management'!$B$4:$B$100003,0)),""))</f>
        <v>0</v>
      </c>
      <c r="H244" s="6"/>
      <c r="I244" s="6"/>
      <c r="J244" s="6"/>
      <c r="K244" s="6"/>
      <c r="L244" s="6"/>
      <c r="M244" s="6"/>
      <c r="N244" s="6"/>
      <c r="O244" s="6"/>
      <c r="P244" s="1"/>
    </row>
    <row r="245" spans="1:16">
      <c r="A245" s="1">
        <v>242</v>
      </c>
      <c r="B245" s="6"/>
      <c r="C245" s="5"/>
      <c r="D245" s="1"/>
      <c r="E245" s="1"/>
      <c r="F245" s="2">
        <f>IFERROR(INDEX('Incident'!$H$4:$H$100003,MATCH(D245,'Incident'!$B$4:$B$100003,0)),IFERROR(INDEX('NC Management'!$G$4:$G$100003,MATCH(E245,'NC Management'!$B$4:$B$100003,0)),""))</f>
        <v>0</v>
      </c>
      <c r="G245" s="2">
        <f>IFERROR(INDEX('Incident'!$N$4:$N$100003,MATCH(D245,'Incident'!$B$4:$B$100003,0)),IFERROR(INDEX('NC Management'!$F$4:$F$100003,MATCH(E245,'NC Management'!$B$4:$B$100003,0)),""))</f>
        <v>0</v>
      </c>
      <c r="H245" s="6"/>
      <c r="I245" s="6"/>
      <c r="J245" s="6"/>
      <c r="K245" s="6"/>
      <c r="L245" s="6"/>
      <c r="M245" s="6"/>
      <c r="N245" s="6"/>
      <c r="O245" s="6"/>
      <c r="P245" s="1"/>
    </row>
    <row r="246" spans="1:16">
      <c r="A246" s="1">
        <v>243</v>
      </c>
      <c r="B246" s="6"/>
      <c r="C246" s="5"/>
      <c r="D246" s="1"/>
      <c r="E246" s="1"/>
      <c r="F246" s="2">
        <f>IFERROR(INDEX('Incident'!$H$4:$H$100003,MATCH(D246,'Incident'!$B$4:$B$100003,0)),IFERROR(INDEX('NC Management'!$G$4:$G$100003,MATCH(E246,'NC Management'!$B$4:$B$100003,0)),""))</f>
        <v>0</v>
      </c>
      <c r="G246" s="2">
        <f>IFERROR(INDEX('Incident'!$N$4:$N$100003,MATCH(D246,'Incident'!$B$4:$B$100003,0)),IFERROR(INDEX('NC Management'!$F$4:$F$100003,MATCH(E246,'NC Management'!$B$4:$B$100003,0)),""))</f>
        <v>0</v>
      </c>
      <c r="H246" s="6"/>
      <c r="I246" s="6"/>
      <c r="J246" s="6"/>
      <c r="K246" s="6"/>
      <c r="L246" s="6"/>
      <c r="M246" s="6"/>
      <c r="N246" s="6"/>
      <c r="O246" s="6"/>
      <c r="P246" s="1"/>
    </row>
    <row r="247" spans="1:16">
      <c r="A247" s="1">
        <v>244</v>
      </c>
      <c r="B247" s="6"/>
      <c r="C247" s="5"/>
      <c r="D247" s="1"/>
      <c r="E247" s="1"/>
      <c r="F247" s="2">
        <f>IFERROR(INDEX('Incident'!$H$4:$H$100003,MATCH(D247,'Incident'!$B$4:$B$100003,0)),IFERROR(INDEX('NC Management'!$G$4:$G$100003,MATCH(E247,'NC Management'!$B$4:$B$100003,0)),""))</f>
        <v>0</v>
      </c>
      <c r="G247" s="2">
        <f>IFERROR(INDEX('Incident'!$N$4:$N$100003,MATCH(D247,'Incident'!$B$4:$B$100003,0)),IFERROR(INDEX('NC Management'!$F$4:$F$100003,MATCH(E247,'NC Management'!$B$4:$B$100003,0)),""))</f>
        <v>0</v>
      </c>
      <c r="H247" s="6"/>
      <c r="I247" s="6"/>
      <c r="J247" s="6"/>
      <c r="K247" s="6"/>
      <c r="L247" s="6"/>
      <c r="M247" s="6"/>
      <c r="N247" s="6"/>
      <c r="O247" s="6"/>
      <c r="P247" s="1"/>
    </row>
    <row r="248" spans="1:16">
      <c r="A248" s="1">
        <v>245</v>
      </c>
      <c r="B248" s="6"/>
      <c r="C248" s="5"/>
      <c r="D248" s="1"/>
      <c r="E248" s="1"/>
      <c r="F248" s="2">
        <f>IFERROR(INDEX('Incident'!$H$4:$H$100003,MATCH(D248,'Incident'!$B$4:$B$100003,0)),IFERROR(INDEX('NC Management'!$G$4:$G$100003,MATCH(E248,'NC Management'!$B$4:$B$100003,0)),""))</f>
        <v>0</v>
      </c>
      <c r="G248" s="2">
        <f>IFERROR(INDEX('Incident'!$N$4:$N$100003,MATCH(D248,'Incident'!$B$4:$B$100003,0)),IFERROR(INDEX('NC Management'!$F$4:$F$100003,MATCH(E248,'NC Management'!$B$4:$B$100003,0)),""))</f>
        <v>0</v>
      </c>
      <c r="H248" s="6"/>
      <c r="I248" s="6"/>
      <c r="J248" s="6"/>
      <c r="K248" s="6"/>
      <c r="L248" s="6"/>
      <c r="M248" s="6"/>
      <c r="N248" s="6"/>
      <c r="O248" s="6"/>
      <c r="P248" s="1"/>
    </row>
    <row r="249" spans="1:16">
      <c r="A249" s="1">
        <v>246</v>
      </c>
      <c r="B249" s="6"/>
      <c r="C249" s="5"/>
      <c r="D249" s="1"/>
      <c r="E249" s="1"/>
      <c r="F249" s="2">
        <f>IFERROR(INDEX('Incident'!$H$4:$H$100003,MATCH(D249,'Incident'!$B$4:$B$100003,0)),IFERROR(INDEX('NC Management'!$G$4:$G$100003,MATCH(E249,'NC Management'!$B$4:$B$100003,0)),""))</f>
        <v>0</v>
      </c>
      <c r="G249" s="2">
        <f>IFERROR(INDEX('Incident'!$N$4:$N$100003,MATCH(D249,'Incident'!$B$4:$B$100003,0)),IFERROR(INDEX('NC Management'!$F$4:$F$100003,MATCH(E249,'NC Management'!$B$4:$B$100003,0)),""))</f>
        <v>0</v>
      </c>
      <c r="H249" s="6"/>
      <c r="I249" s="6"/>
      <c r="J249" s="6"/>
      <c r="K249" s="6"/>
      <c r="L249" s="6"/>
      <c r="M249" s="6"/>
      <c r="N249" s="6"/>
      <c r="O249" s="6"/>
      <c r="P249" s="1"/>
    </row>
    <row r="250" spans="1:16">
      <c r="A250" s="1">
        <v>247</v>
      </c>
      <c r="B250" s="6"/>
      <c r="C250" s="5"/>
      <c r="D250" s="1"/>
      <c r="E250" s="1"/>
      <c r="F250" s="2">
        <f>IFERROR(INDEX('Incident'!$H$4:$H$100003,MATCH(D250,'Incident'!$B$4:$B$100003,0)),IFERROR(INDEX('NC Management'!$G$4:$G$100003,MATCH(E250,'NC Management'!$B$4:$B$100003,0)),""))</f>
        <v>0</v>
      </c>
      <c r="G250" s="2">
        <f>IFERROR(INDEX('Incident'!$N$4:$N$100003,MATCH(D250,'Incident'!$B$4:$B$100003,0)),IFERROR(INDEX('NC Management'!$F$4:$F$100003,MATCH(E250,'NC Management'!$B$4:$B$100003,0)),""))</f>
        <v>0</v>
      </c>
      <c r="H250" s="6"/>
      <c r="I250" s="6"/>
      <c r="J250" s="6"/>
      <c r="K250" s="6"/>
      <c r="L250" s="6"/>
      <c r="M250" s="6"/>
      <c r="N250" s="6"/>
      <c r="O250" s="6"/>
      <c r="P250" s="1"/>
    </row>
    <row r="251" spans="1:16">
      <c r="A251" s="1">
        <v>248</v>
      </c>
      <c r="B251" s="6"/>
      <c r="C251" s="5"/>
      <c r="D251" s="1"/>
      <c r="E251" s="1"/>
      <c r="F251" s="2">
        <f>IFERROR(INDEX('Incident'!$H$4:$H$100003,MATCH(D251,'Incident'!$B$4:$B$100003,0)),IFERROR(INDEX('NC Management'!$G$4:$G$100003,MATCH(E251,'NC Management'!$B$4:$B$100003,0)),""))</f>
        <v>0</v>
      </c>
      <c r="G251" s="2">
        <f>IFERROR(INDEX('Incident'!$N$4:$N$100003,MATCH(D251,'Incident'!$B$4:$B$100003,0)),IFERROR(INDEX('NC Management'!$F$4:$F$100003,MATCH(E251,'NC Management'!$B$4:$B$100003,0)),""))</f>
        <v>0</v>
      </c>
      <c r="H251" s="6"/>
      <c r="I251" s="6"/>
      <c r="J251" s="6"/>
      <c r="K251" s="6"/>
      <c r="L251" s="6"/>
      <c r="M251" s="6"/>
      <c r="N251" s="6"/>
      <c r="O251" s="6"/>
      <c r="P251" s="1"/>
    </row>
    <row r="252" spans="1:16">
      <c r="A252" s="1">
        <v>249</v>
      </c>
      <c r="B252" s="6"/>
      <c r="C252" s="5"/>
      <c r="D252" s="1"/>
      <c r="E252" s="1"/>
      <c r="F252" s="2">
        <f>IFERROR(INDEX('Incident'!$H$4:$H$100003,MATCH(D252,'Incident'!$B$4:$B$100003,0)),IFERROR(INDEX('NC Management'!$G$4:$G$100003,MATCH(E252,'NC Management'!$B$4:$B$100003,0)),""))</f>
        <v>0</v>
      </c>
      <c r="G252" s="2">
        <f>IFERROR(INDEX('Incident'!$N$4:$N$100003,MATCH(D252,'Incident'!$B$4:$B$100003,0)),IFERROR(INDEX('NC Management'!$F$4:$F$100003,MATCH(E252,'NC Management'!$B$4:$B$100003,0)),""))</f>
        <v>0</v>
      </c>
      <c r="H252" s="6"/>
      <c r="I252" s="6"/>
      <c r="J252" s="6"/>
      <c r="K252" s="6"/>
      <c r="L252" s="6"/>
      <c r="M252" s="6"/>
      <c r="N252" s="6"/>
      <c r="O252" s="6"/>
      <c r="P252" s="1"/>
    </row>
    <row r="253" spans="1:16">
      <c r="A253" s="1">
        <v>250</v>
      </c>
      <c r="B253" s="6"/>
      <c r="C253" s="5"/>
      <c r="D253" s="1"/>
      <c r="E253" s="1"/>
      <c r="F253" s="2">
        <f>IFERROR(INDEX('Incident'!$H$4:$H$100003,MATCH(D253,'Incident'!$B$4:$B$100003,0)),IFERROR(INDEX('NC Management'!$G$4:$G$100003,MATCH(E253,'NC Management'!$B$4:$B$100003,0)),""))</f>
        <v>0</v>
      </c>
      <c r="G253" s="2">
        <f>IFERROR(INDEX('Incident'!$N$4:$N$100003,MATCH(D253,'Incident'!$B$4:$B$100003,0)),IFERROR(INDEX('NC Management'!$F$4:$F$100003,MATCH(E253,'NC Management'!$B$4:$B$100003,0)),""))</f>
        <v>0</v>
      </c>
      <c r="H253" s="6"/>
      <c r="I253" s="6"/>
      <c r="J253" s="6"/>
      <c r="K253" s="6"/>
      <c r="L253" s="6"/>
      <c r="M253" s="6"/>
      <c r="N253" s="6"/>
      <c r="O253" s="6"/>
      <c r="P253" s="1"/>
    </row>
    <row r="254" spans="1:16">
      <c r="A254" s="1">
        <v>251</v>
      </c>
      <c r="B254" s="6"/>
      <c r="C254" s="5"/>
      <c r="D254" s="1"/>
      <c r="E254" s="1"/>
      <c r="F254" s="2">
        <f>IFERROR(INDEX('Incident'!$H$4:$H$100003,MATCH(D254,'Incident'!$B$4:$B$100003,0)),IFERROR(INDEX('NC Management'!$G$4:$G$100003,MATCH(E254,'NC Management'!$B$4:$B$100003,0)),""))</f>
        <v>0</v>
      </c>
      <c r="G254" s="2">
        <f>IFERROR(INDEX('Incident'!$N$4:$N$100003,MATCH(D254,'Incident'!$B$4:$B$100003,0)),IFERROR(INDEX('NC Management'!$F$4:$F$100003,MATCH(E254,'NC Management'!$B$4:$B$100003,0)),""))</f>
        <v>0</v>
      </c>
      <c r="H254" s="6"/>
      <c r="I254" s="6"/>
      <c r="J254" s="6"/>
      <c r="K254" s="6"/>
      <c r="L254" s="6"/>
      <c r="M254" s="6"/>
      <c r="N254" s="6"/>
      <c r="O254" s="6"/>
      <c r="P254" s="1"/>
    </row>
    <row r="255" spans="1:16">
      <c r="A255" s="1">
        <v>252</v>
      </c>
      <c r="B255" s="6"/>
      <c r="C255" s="5"/>
      <c r="D255" s="1"/>
      <c r="E255" s="1"/>
      <c r="F255" s="2">
        <f>IFERROR(INDEX('Incident'!$H$4:$H$100003,MATCH(D255,'Incident'!$B$4:$B$100003,0)),IFERROR(INDEX('NC Management'!$G$4:$G$100003,MATCH(E255,'NC Management'!$B$4:$B$100003,0)),""))</f>
        <v>0</v>
      </c>
      <c r="G255" s="2">
        <f>IFERROR(INDEX('Incident'!$N$4:$N$100003,MATCH(D255,'Incident'!$B$4:$B$100003,0)),IFERROR(INDEX('NC Management'!$F$4:$F$100003,MATCH(E255,'NC Management'!$B$4:$B$100003,0)),""))</f>
        <v>0</v>
      </c>
      <c r="H255" s="6"/>
      <c r="I255" s="6"/>
      <c r="J255" s="6"/>
      <c r="K255" s="6"/>
      <c r="L255" s="6"/>
      <c r="M255" s="6"/>
      <c r="N255" s="6"/>
      <c r="O255" s="6"/>
      <c r="P255" s="1"/>
    </row>
    <row r="256" spans="1:16">
      <c r="A256" s="1">
        <v>253</v>
      </c>
      <c r="B256" s="6"/>
      <c r="C256" s="5"/>
      <c r="D256" s="1"/>
      <c r="E256" s="1"/>
      <c r="F256" s="2">
        <f>IFERROR(INDEX('Incident'!$H$4:$H$100003,MATCH(D256,'Incident'!$B$4:$B$100003,0)),IFERROR(INDEX('NC Management'!$G$4:$G$100003,MATCH(E256,'NC Management'!$B$4:$B$100003,0)),""))</f>
        <v>0</v>
      </c>
      <c r="G256" s="2">
        <f>IFERROR(INDEX('Incident'!$N$4:$N$100003,MATCH(D256,'Incident'!$B$4:$B$100003,0)),IFERROR(INDEX('NC Management'!$F$4:$F$100003,MATCH(E256,'NC Management'!$B$4:$B$100003,0)),""))</f>
        <v>0</v>
      </c>
      <c r="H256" s="6"/>
      <c r="I256" s="6"/>
      <c r="J256" s="6"/>
      <c r="K256" s="6"/>
      <c r="L256" s="6"/>
      <c r="M256" s="6"/>
      <c r="N256" s="6"/>
      <c r="O256" s="6"/>
      <c r="P256" s="1"/>
    </row>
    <row r="257" spans="1:16">
      <c r="A257" s="1">
        <v>254</v>
      </c>
      <c r="B257" s="6"/>
      <c r="C257" s="5"/>
      <c r="D257" s="1"/>
      <c r="E257" s="1"/>
      <c r="F257" s="2">
        <f>IFERROR(INDEX('Incident'!$H$4:$H$100003,MATCH(D257,'Incident'!$B$4:$B$100003,0)),IFERROR(INDEX('NC Management'!$G$4:$G$100003,MATCH(E257,'NC Management'!$B$4:$B$100003,0)),""))</f>
        <v>0</v>
      </c>
      <c r="G257" s="2">
        <f>IFERROR(INDEX('Incident'!$N$4:$N$100003,MATCH(D257,'Incident'!$B$4:$B$100003,0)),IFERROR(INDEX('NC Management'!$F$4:$F$100003,MATCH(E257,'NC Management'!$B$4:$B$100003,0)),""))</f>
        <v>0</v>
      </c>
      <c r="H257" s="6"/>
      <c r="I257" s="6"/>
      <c r="J257" s="6"/>
      <c r="K257" s="6"/>
      <c r="L257" s="6"/>
      <c r="M257" s="6"/>
      <c r="N257" s="6"/>
      <c r="O257" s="6"/>
      <c r="P257" s="1"/>
    </row>
    <row r="258" spans="1:16">
      <c r="A258" s="1">
        <v>255</v>
      </c>
      <c r="B258" s="6"/>
      <c r="C258" s="5"/>
      <c r="D258" s="1"/>
      <c r="E258" s="1"/>
      <c r="F258" s="2">
        <f>IFERROR(INDEX('Incident'!$H$4:$H$100003,MATCH(D258,'Incident'!$B$4:$B$100003,0)),IFERROR(INDEX('NC Management'!$G$4:$G$100003,MATCH(E258,'NC Management'!$B$4:$B$100003,0)),""))</f>
        <v>0</v>
      </c>
      <c r="G258" s="2">
        <f>IFERROR(INDEX('Incident'!$N$4:$N$100003,MATCH(D258,'Incident'!$B$4:$B$100003,0)),IFERROR(INDEX('NC Management'!$F$4:$F$100003,MATCH(E258,'NC Management'!$B$4:$B$100003,0)),""))</f>
        <v>0</v>
      </c>
      <c r="H258" s="6"/>
      <c r="I258" s="6"/>
      <c r="J258" s="6"/>
      <c r="K258" s="6"/>
      <c r="L258" s="6"/>
      <c r="M258" s="6"/>
      <c r="N258" s="6"/>
      <c r="O258" s="6"/>
      <c r="P258" s="1"/>
    </row>
    <row r="259" spans="1:16">
      <c r="A259" s="1">
        <v>256</v>
      </c>
      <c r="B259" s="6"/>
      <c r="C259" s="5"/>
      <c r="D259" s="1"/>
      <c r="E259" s="1"/>
      <c r="F259" s="2">
        <f>IFERROR(INDEX('Incident'!$H$4:$H$100003,MATCH(D259,'Incident'!$B$4:$B$100003,0)),IFERROR(INDEX('NC Management'!$G$4:$G$100003,MATCH(E259,'NC Management'!$B$4:$B$100003,0)),""))</f>
        <v>0</v>
      </c>
      <c r="G259" s="2">
        <f>IFERROR(INDEX('Incident'!$N$4:$N$100003,MATCH(D259,'Incident'!$B$4:$B$100003,0)),IFERROR(INDEX('NC Management'!$F$4:$F$100003,MATCH(E259,'NC Management'!$B$4:$B$100003,0)),""))</f>
        <v>0</v>
      </c>
      <c r="H259" s="6"/>
      <c r="I259" s="6"/>
      <c r="J259" s="6"/>
      <c r="K259" s="6"/>
      <c r="L259" s="6"/>
      <c r="M259" s="6"/>
      <c r="N259" s="6"/>
      <c r="O259" s="6"/>
      <c r="P259" s="1"/>
    </row>
    <row r="260" spans="1:16">
      <c r="A260" s="1">
        <v>257</v>
      </c>
      <c r="B260" s="6"/>
      <c r="C260" s="5"/>
      <c r="D260" s="1"/>
      <c r="E260" s="1"/>
      <c r="F260" s="2">
        <f>IFERROR(INDEX('Incident'!$H$4:$H$100003,MATCH(D260,'Incident'!$B$4:$B$100003,0)),IFERROR(INDEX('NC Management'!$G$4:$G$100003,MATCH(E260,'NC Management'!$B$4:$B$100003,0)),""))</f>
        <v>0</v>
      </c>
      <c r="G260" s="2">
        <f>IFERROR(INDEX('Incident'!$N$4:$N$100003,MATCH(D260,'Incident'!$B$4:$B$100003,0)),IFERROR(INDEX('NC Management'!$F$4:$F$100003,MATCH(E260,'NC Management'!$B$4:$B$100003,0)),""))</f>
        <v>0</v>
      </c>
      <c r="H260" s="6"/>
      <c r="I260" s="6"/>
      <c r="J260" s="6"/>
      <c r="K260" s="6"/>
      <c r="L260" s="6"/>
      <c r="M260" s="6"/>
      <c r="N260" s="6"/>
      <c r="O260" s="6"/>
      <c r="P260" s="1"/>
    </row>
    <row r="261" spans="1:16">
      <c r="A261" s="1">
        <v>258</v>
      </c>
      <c r="B261" s="6"/>
      <c r="C261" s="5"/>
      <c r="D261" s="1"/>
      <c r="E261" s="1"/>
      <c r="F261" s="2">
        <f>IFERROR(INDEX('Incident'!$H$4:$H$100003,MATCH(D261,'Incident'!$B$4:$B$100003,0)),IFERROR(INDEX('NC Management'!$G$4:$G$100003,MATCH(E261,'NC Management'!$B$4:$B$100003,0)),""))</f>
        <v>0</v>
      </c>
      <c r="G261" s="2">
        <f>IFERROR(INDEX('Incident'!$N$4:$N$100003,MATCH(D261,'Incident'!$B$4:$B$100003,0)),IFERROR(INDEX('NC Management'!$F$4:$F$100003,MATCH(E261,'NC Management'!$B$4:$B$100003,0)),""))</f>
        <v>0</v>
      </c>
      <c r="H261" s="6"/>
      <c r="I261" s="6"/>
      <c r="J261" s="6"/>
      <c r="K261" s="6"/>
      <c r="L261" s="6"/>
      <c r="M261" s="6"/>
      <c r="N261" s="6"/>
      <c r="O261" s="6"/>
      <c r="P261" s="1"/>
    </row>
    <row r="262" spans="1:16">
      <c r="A262" s="1">
        <v>259</v>
      </c>
      <c r="B262" s="6"/>
      <c r="C262" s="5"/>
      <c r="D262" s="1"/>
      <c r="E262" s="1"/>
      <c r="F262" s="2">
        <f>IFERROR(INDEX('Incident'!$H$4:$H$100003,MATCH(D262,'Incident'!$B$4:$B$100003,0)),IFERROR(INDEX('NC Management'!$G$4:$G$100003,MATCH(E262,'NC Management'!$B$4:$B$100003,0)),""))</f>
        <v>0</v>
      </c>
      <c r="G262" s="2">
        <f>IFERROR(INDEX('Incident'!$N$4:$N$100003,MATCH(D262,'Incident'!$B$4:$B$100003,0)),IFERROR(INDEX('NC Management'!$F$4:$F$100003,MATCH(E262,'NC Management'!$B$4:$B$100003,0)),""))</f>
        <v>0</v>
      </c>
      <c r="H262" s="6"/>
      <c r="I262" s="6"/>
      <c r="J262" s="6"/>
      <c r="K262" s="6"/>
      <c r="L262" s="6"/>
      <c r="M262" s="6"/>
      <c r="N262" s="6"/>
      <c r="O262" s="6"/>
      <c r="P262" s="1"/>
    </row>
    <row r="263" spans="1:16">
      <c r="A263" s="1">
        <v>260</v>
      </c>
      <c r="B263" s="6"/>
      <c r="C263" s="5"/>
      <c r="D263" s="1"/>
      <c r="E263" s="1"/>
      <c r="F263" s="2">
        <f>IFERROR(INDEX('Incident'!$H$4:$H$100003,MATCH(D263,'Incident'!$B$4:$B$100003,0)),IFERROR(INDEX('NC Management'!$G$4:$G$100003,MATCH(E263,'NC Management'!$B$4:$B$100003,0)),""))</f>
        <v>0</v>
      </c>
      <c r="G263" s="2">
        <f>IFERROR(INDEX('Incident'!$N$4:$N$100003,MATCH(D263,'Incident'!$B$4:$B$100003,0)),IFERROR(INDEX('NC Management'!$F$4:$F$100003,MATCH(E263,'NC Management'!$B$4:$B$100003,0)),""))</f>
        <v>0</v>
      </c>
      <c r="H263" s="6"/>
      <c r="I263" s="6"/>
      <c r="J263" s="6"/>
      <c r="K263" s="6"/>
      <c r="L263" s="6"/>
      <c r="M263" s="6"/>
      <c r="N263" s="6"/>
      <c r="O263" s="6"/>
      <c r="P263" s="1"/>
    </row>
    <row r="264" spans="1:16">
      <c r="A264" s="1">
        <v>261</v>
      </c>
      <c r="B264" s="6"/>
      <c r="C264" s="5"/>
      <c r="D264" s="1"/>
      <c r="E264" s="1"/>
      <c r="F264" s="2">
        <f>IFERROR(INDEX('Incident'!$H$4:$H$100003,MATCH(D264,'Incident'!$B$4:$B$100003,0)),IFERROR(INDEX('NC Management'!$G$4:$G$100003,MATCH(E264,'NC Management'!$B$4:$B$100003,0)),""))</f>
        <v>0</v>
      </c>
      <c r="G264" s="2">
        <f>IFERROR(INDEX('Incident'!$N$4:$N$100003,MATCH(D264,'Incident'!$B$4:$B$100003,0)),IFERROR(INDEX('NC Management'!$F$4:$F$100003,MATCH(E264,'NC Management'!$B$4:$B$100003,0)),""))</f>
        <v>0</v>
      </c>
      <c r="H264" s="6"/>
      <c r="I264" s="6"/>
      <c r="J264" s="6"/>
      <c r="K264" s="6"/>
      <c r="L264" s="6"/>
      <c r="M264" s="6"/>
      <c r="N264" s="6"/>
      <c r="O264" s="6"/>
      <c r="P264" s="1"/>
    </row>
    <row r="265" spans="1:16">
      <c r="A265" s="1">
        <v>262</v>
      </c>
      <c r="B265" s="6"/>
      <c r="C265" s="5"/>
      <c r="D265" s="1"/>
      <c r="E265" s="1"/>
      <c r="F265" s="2">
        <f>IFERROR(INDEX('Incident'!$H$4:$H$100003,MATCH(D265,'Incident'!$B$4:$B$100003,0)),IFERROR(INDEX('NC Management'!$G$4:$G$100003,MATCH(E265,'NC Management'!$B$4:$B$100003,0)),""))</f>
        <v>0</v>
      </c>
      <c r="G265" s="2">
        <f>IFERROR(INDEX('Incident'!$N$4:$N$100003,MATCH(D265,'Incident'!$B$4:$B$100003,0)),IFERROR(INDEX('NC Management'!$F$4:$F$100003,MATCH(E265,'NC Management'!$B$4:$B$100003,0)),""))</f>
        <v>0</v>
      </c>
      <c r="H265" s="6"/>
      <c r="I265" s="6"/>
      <c r="J265" s="6"/>
      <c r="K265" s="6"/>
      <c r="L265" s="6"/>
      <c r="M265" s="6"/>
      <c r="N265" s="6"/>
      <c r="O265" s="6"/>
      <c r="P265" s="1"/>
    </row>
    <row r="266" spans="1:16">
      <c r="A266" s="1">
        <v>263</v>
      </c>
      <c r="B266" s="6"/>
      <c r="C266" s="5"/>
      <c r="D266" s="1"/>
      <c r="E266" s="1"/>
      <c r="F266" s="2">
        <f>IFERROR(INDEX('Incident'!$H$4:$H$100003,MATCH(D266,'Incident'!$B$4:$B$100003,0)),IFERROR(INDEX('NC Management'!$G$4:$G$100003,MATCH(E266,'NC Management'!$B$4:$B$100003,0)),""))</f>
        <v>0</v>
      </c>
      <c r="G266" s="2">
        <f>IFERROR(INDEX('Incident'!$N$4:$N$100003,MATCH(D266,'Incident'!$B$4:$B$100003,0)),IFERROR(INDEX('NC Management'!$F$4:$F$100003,MATCH(E266,'NC Management'!$B$4:$B$100003,0)),""))</f>
        <v>0</v>
      </c>
      <c r="H266" s="6"/>
      <c r="I266" s="6"/>
      <c r="J266" s="6"/>
      <c r="K266" s="6"/>
      <c r="L266" s="6"/>
      <c r="M266" s="6"/>
      <c r="N266" s="6"/>
      <c r="O266" s="6"/>
      <c r="P266" s="1"/>
    </row>
    <row r="267" spans="1:16">
      <c r="A267" s="1">
        <v>264</v>
      </c>
      <c r="B267" s="6"/>
      <c r="C267" s="5"/>
      <c r="D267" s="1"/>
      <c r="E267" s="1"/>
      <c r="F267" s="2">
        <f>IFERROR(INDEX('Incident'!$H$4:$H$100003,MATCH(D267,'Incident'!$B$4:$B$100003,0)),IFERROR(INDEX('NC Management'!$G$4:$G$100003,MATCH(E267,'NC Management'!$B$4:$B$100003,0)),""))</f>
        <v>0</v>
      </c>
      <c r="G267" s="2">
        <f>IFERROR(INDEX('Incident'!$N$4:$N$100003,MATCH(D267,'Incident'!$B$4:$B$100003,0)),IFERROR(INDEX('NC Management'!$F$4:$F$100003,MATCH(E267,'NC Management'!$B$4:$B$100003,0)),""))</f>
        <v>0</v>
      </c>
      <c r="H267" s="6"/>
      <c r="I267" s="6"/>
      <c r="J267" s="6"/>
      <c r="K267" s="6"/>
      <c r="L267" s="6"/>
      <c r="M267" s="6"/>
      <c r="N267" s="6"/>
      <c r="O267" s="6"/>
      <c r="P267" s="1"/>
    </row>
    <row r="268" spans="1:16">
      <c r="A268" s="1">
        <v>265</v>
      </c>
      <c r="B268" s="6"/>
      <c r="C268" s="5"/>
      <c r="D268" s="1"/>
      <c r="E268" s="1"/>
      <c r="F268" s="2">
        <f>IFERROR(INDEX('Incident'!$H$4:$H$100003,MATCH(D268,'Incident'!$B$4:$B$100003,0)),IFERROR(INDEX('NC Management'!$G$4:$G$100003,MATCH(E268,'NC Management'!$B$4:$B$100003,0)),""))</f>
        <v>0</v>
      </c>
      <c r="G268" s="2">
        <f>IFERROR(INDEX('Incident'!$N$4:$N$100003,MATCH(D268,'Incident'!$B$4:$B$100003,0)),IFERROR(INDEX('NC Management'!$F$4:$F$100003,MATCH(E268,'NC Management'!$B$4:$B$100003,0)),""))</f>
        <v>0</v>
      </c>
      <c r="H268" s="6"/>
      <c r="I268" s="6"/>
      <c r="J268" s="6"/>
      <c r="K268" s="6"/>
      <c r="L268" s="6"/>
      <c r="M268" s="6"/>
      <c r="N268" s="6"/>
      <c r="O268" s="6"/>
      <c r="P268" s="1"/>
    </row>
    <row r="269" spans="1:16">
      <c r="A269" s="1">
        <v>266</v>
      </c>
      <c r="B269" s="6"/>
      <c r="C269" s="5"/>
      <c r="D269" s="1"/>
      <c r="E269" s="1"/>
      <c r="F269" s="2">
        <f>IFERROR(INDEX('Incident'!$H$4:$H$100003,MATCH(D269,'Incident'!$B$4:$B$100003,0)),IFERROR(INDEX('NC Management'!$G$4:$G$100003,MATCH(E269,'NC Management'!$B$4:$B$100003,0)),""))</f>
        <v>0</v>
      </c>
      <c r="G269" s="2">
        <f>IFERROR(INDEX('Incident'!$N$4:$N$100003,MATCH(D269,'Incident'!$B$4:$B$100003,0)),IFERROR(INDEX('NC Management'!$F$4:$F$100003,MATCH(E269,'NC Management'!$B$4:$B$100003,0)),""))</f>
        <v>0</v>
      </c>
      <c r="H269" s="6"/>
      <c r="I269" s="6"/>
      <c r="J269" s="6"/>
      <c r="K269" s="6"/>
      <c r="L269" s="6"/>
      <c r="M269" s="6"/>
      <c r="N269" s="6"/>
      <c r="O269" s="6"/>
      <c r="P269" s="1"/>
    </row>
    <row r="270" spans="1:16">
      <c r="A270" s="1">
        <v>267</v>
      </c>
      <c r="B270" s="6"/>
      <c r="C270" s="5"/>
      <c r="D270" s="1"/>
      <c r="E270" s="1"/>
      <c r="F270" s="2">
        <f>IFERROR(INDEX('Incident'!$H$4:$H$100003,MATCH(D270,'Incident'!$B$4:$B$100003,0)),IFERROR(INDEX('NC Management'!$G$4:$G$100003,MATCH(E270,'NC Management'!$B$4:$B$100003,0)),""))</f>
        <v>0</v>
      </c>
      <c r="G270" s="2">
        <f>IFERROR(INDEX('Incident'!$N$4:$N$100003,MATCH(D270,'Incident'!$B$4:$B$100003,0)),IFERROR(INDEX('NC Management'!$F$4:$F$100003,MATCH(E270,'NC Management'!$B$4:$B$100003,0)),""))</f>
        <v>0</v>
      </c>
      <c r="H270" s="6"/>
      <c r="I270" s="6"/>
      <c r="J270" s="6"/>
      <c r="K270" s="6"/>
      <c r="L270" s="6"/>
      <c r="M270" s="6"/>
      <c r="N270" s="6"/>
      <c r="O270" s="6"/>
      <c r="P270" s="1"/>
    </row>
    <row r="271" spans="1:16">
      <c r="A271" s="1">
        <v>268</v>
      </c>
      <c r="B271" s="6"/>
      <c r="C271" s="5"/>
      <c r="D271" s="1"/>
      <c r="E271" s="1"/>
      <c r="F271" s="2">
        <f>IFERROR(INDEX('Incident'!$H$4:$H$100003,MATCH(D271,'Incident'!$B$4:$B$100003,0)),IFERROR(INDEX('NC Management'!$G$4:$G$100003,MATCH(E271,'NC Management'!$B$4:$B$100003,0)),""))</f>
        <v>0</v>
      </c>
      <c r="G271" s="2">
        <f>IFERROR(INDEX('Incident'!$N$4:$N$100003,MATCH(D271,'Incident'!$B$4:$B$100003,0)),IFERROR(INDEX('NC Management'!$F$4:$F$100003,MATCH(E271,'NC Management'!$B$4:$B$100003,0)),""))</f>
        <v>0</v>
      </c>
      <c r="H271" s="6"/>
      <c r="I271" s="6"/>
      <c r="J271" s="6"/>
      <c r="K271" s="6"/>
      <c r="L271" s="6"/>
      <c r="M271" s="6"/>
      <c r="N271" s="6"/>
      <c r="O271" s="6"/>
      <c r="P271" s="1"/>
    </row>
    <row r="272" spans="1:16">
      <c r="A272" s="1">
        <v>269</v>
      </c>
      <c r="B272" s="6"/>
      <c r="C272" s="5"/>
      <c r="D272" s="1"/>
      <c r="E272" s="1"/>
      <c r="F272" s="2">
        <f>IFERROR(INDEX('Incident'!$H$4:$H$100003,MATCH(D272,'Incident'!$B$4:$B$100003,0)),IFERROR(INDEX('NC Management'!$G$4:$G$100003,MATCH(E272,'NC Management'!$B$4:$B$100003,0)),""))</f>
        <v>0</v>
      </c>
      <c r="G272" s="2">
        <f>IFERROR(INDEX('Incident'!$N$4:$N$100003,MATCH(D272,'Incident'!$B$4:$B$100003,0)),IFERROR(INDEX('NC Management'!$F$4:$F$100003,MATCH(E272,'NC Management'!$B$4:$B$100003,0)),""))</f>
        <v>0</v>
      </c>
      <c r="H272" s="6"/>
      <c r="I272" s="6"/>
      <c r="J272" s="6"/>
      <c r="K272" s="6"/>
      <c r="L272" s="6"/>
      <c r="M272" s="6"/>
      <c r="N272" s="6"/>
      <c r="O272" s="6"/>
      <c r="P272" s="1"/>
    </row>
    <row r="273" spans="1:16">
      <c r="A273" s="1">
        <v>270</v>
      </c>
      <c r="B273" s="6"/>
      <c r="C273" s="5"/>
      <c r="D273" s="1"/>
      <c r="E273" s="1"/>
      <c r="F273" s="2">
        <f>IFERROR(INDEX('Incident'!$H$4:$H$100003,MATCH(D273,'Incident'!$B$4:$B$100003,0)),IFERROR(INDEX('NC Management'!$G$4:$G$100003,MATCH(E273,'NC Management'!$B$4:$B$100003,0)),""))</f>
        <v>0</v>
      </c>
      <c r="G273" s="2">
        <f>IFERROR(INDEX('Incident'!$N$4:$N$100003,MATCH(D273,'Incident'!$B$4:$B$100003,0)),IFERROR(INDEX('NC Management'!$F$4:$F$100003,MATCH(E273,'NC Management'!$B$4:$B$100003,0)),""))</f>
        <v>0</v>
      </c>
      <c r="H273" s="6"/>
      <c r="I273" s="6"/>
      <c r="J273" s="6"/>
      <c r="K273" s="6"/>
      <c r="L273" s="6"/>
      <c r="M273" s="6"/>
      <c r="N273" s="6"/>
      <c r="O273" s="6"/>
      <c r="P273" s="1"/>
    </row>
    <row r="274" spans="1:16">
      <c r="A274" s="1">
        <v>271</v>
      </c>
      <c r="B274" s="6"/>
      <c r="C274" s="5"/>
      <c r="D274" s="1"/>
      <c r="E274" s="1"/>
      <c r="F274" s="2">
        <f>IFERROR(INDEX('Incident'!$H$4:$H$100003,MATCH(D274,'Incident'!$B$4:$B$100003,0)),IFERROR(INDEX('NC Management'!$G$4:$G$100003,MATCH(E274,'NC Management'!$B$4:$B$100003,0)),""))</f>
        <v>0</v>
      </c>
      <c r="G274" s="2">
        <f>IFERROR(INDEX('Incident'!$N$4:$N$100003,MATCH(D274,'Incident'!$B$4:$B$100003,0)),IFERROR(INDEX('NC Management'!$F$4:$F$100003,MATCH(E274,'NC Management'!$B$4:$B$100003,0)),""))</f>
        <v>0</v>
      </c>
      <c r="H274" s="6"/>
      <c r="I274" s="6"/>
      <c r="J274" s="6"/>
      <c r="K274" s="6"/>
      <c r="L274" s="6"/>
      <c r="M274" s="6"/>
      <c r="N274" s="6"/>
      <c r="O274" s="6"/>
      <c r="P274" s="1"/>
    </row>
    <row r="275" spans="1:16">
      <c r="A275" s="1">
        <v>272</v>
      </c>
      <c r="B275" s="6"/>
      <c r="C275" s="5"/>
      <c r="D275" s="1"/>
      <c r="E275" s="1"/>
      <c r="F275" s="2">
        <f>IFERROR(INDEX('Incident'!$H$4:$H$100003,MATCH(D275,'Incident'!$B$4:$B$100003,0)),IFERROR(INDEX('NC Management'!$G$4:$G$100003,MATCH(E275,'NC Management'!$B$4:$B$100003,0)),""))</f>
        <v>0</v>
      </c>
      <c r="G275" s="2">
        <f>IFERROR(INDEX('Incident'!$N$4:$N$100003,MATCH(D275,'Incident'!$B$4:$B$100003,0)),IFERROR(INDEX('NC Management'!$F$4:$F$100003,MATCH(E275,'NC Management'!$B$4:$B$100003,0)),""))</f>
        <v>0</v>
      </c>
      <c r="H275" s="6"/>
      <c r="I275" s="6"/>
      <c r="J275" s="6"/>
      <c r="K275" s="6"/>
      <c r="L275" s="6"/>
      <c r="M275" s="6"/>
      <c r="N275" s="6"/>
      <c r="O275" s="6"/>
      <c r="P275" s="1"/>
    </row>
    <row r="276" spans="1:16">
      <c r="A276" s="1">
        <v>273</v>
      </c>
      <c r="B276" s="6"/>
      <c r="C276" s="5"/>
      <c r="D276" s="1"/>
      <c r="E276" s="1"/>
      <c r="F276" s="2">
        <f>IFERROR(INDEX('Incident'!$H$4:$H$100003,MATCH(D276,'Incident'!$B$4:$B$100003,0)),IFERROR(INDEX('NC Management'!$G$4:$G$100003,MATCH(E276,'NC Management'!$B$4:$B$100003,0)),""))</f>
        <v>0</v>
      </c>
      <c r="G276" s="2">
        <f>IFERROR(INDEX('Incident'!$N$4:$N$100003,MATCH(D276,'Incident'!$B$4:$B$100003,0)),IFERROR(INDEX('NC Management'!$F$4:$F$100003,MATCH(E276,'NC Management'!$B$4:$B$100003,0)),""))</f>
        <v>0</v>
      </c>
      <c r="H276" s="6"/>
      <c r="I276" s="6"/>
      <c r="J276" s="6"/>
      <c r="K276" s="6"/>
      <c r="L276" s="6"/>
      <c r="M276" s="6"/>
      <c r="N276" s="6"/>
      <c r="O276" s="6"/>
      <c r="P276" s="1"/>
    </row>
    <row r="277" spans="1:16">
      <c r="A277" s="1">
        <v>274</v>
      </c>
      <c r="B277" s="6"/>
      <c r="C277" s="5"/>
      <c r="D277" s="1"/>
      <c r="E277" s="1"/>
      <c r="F277" s="2">
        <f>IFERROR(INDEX('Incident'!$H$4:$H$100003,MATCH(D277,'Incident'!$B$4:$B$100003,0)),IFERROR(INDEX('NC Management'!$G$4:$G$100003,MATCH(E277,'NC Management'!$B$4:$B$100003,0)),""))</f>
        <v>0</v>
      </c>
      <c r="G277" s="2">
        <f>IFERROR(INDEX('Incident'!$N$4:$N$100003,MATCH(D277,'Incident'!$B$4:$B$100003,0)),IFERROR(INDEX('NC Management'!$F$4:$F$100003,MATCH(E277,'NC Management'!$B$4:$B$100003,0)),""))</f>
        <v>0</v>
      </c>
      <c r="H277" s="6"/>
      <c r="I277" s="6"/>
      <c r="J277" s="6"/>
      <c r="K277" s="6"/>
      <c r="L277" s="6"/>
      <c r="M277" s="6"/>
      <c r="N277" s="6"/>
      <c r="O277" s="6"/>
      <c r="P277" s="1"/>
    </row>
    <row r="278" spans="1:16">
      <c r="A278" s="1">
        <v>275</v>
      </c>
      <c r="B278" s="6"/>
      <c r="C278" s="5"/>
      <c r="D278" s="1"/>
      <c r="E278" s="1"/>
      <c r="F278" s="2">
        <f>IFERROR(INDEX('Incident'!$H$4:$H$100003,MATCH(D278,'Incident'!$B$4:$B$100003,0)),IFERROR(INDEX('NC Management'!$G$4:$G$100003,MATCH(E278,'NC Management'!$B$4:$B$100003,0)),""))</f>
        <v>0</v>
      </c>
      <c r="G278" s="2">
        <f>IFERROR(INDEX('Incident'!$N$4:$N$100003,MATCH(D278,'Incident'!$B$4:$B$100003,0)),IFERROR(INDEX('NC Management'!$F$4:$F$100003,MATCH(E278,'NC Management'!$B$4:$B$100003,0)),""))</f>
        <v>0</v>
      </c>
      <c r="H278" s="6"/>
      <c r="I278" s="6"/>
      <c r="J278" s="6"/>
      <c r="K278" s="6"/>
      <c r="L278" s="6"/>
      <c r="M278" s="6"/>
      <c r="N278" s="6"/>
      <c r="O278" s="6"/>
      <c r="P278" s="1"/>
    </row>
    <row r="279" spans="1:16">
      <c r="A279" s="1">
        <v>276</v>
      </c>
      <c r="B279" s="6"/>
      <c r="C279" s="5"/>
      <c r="D279" s="1"/>
      <c r="E279" s="1"/>
      <c r="F279" s="2">
        <f>IFERROR(INDEX('Incident'!$H$4:$H$100003,MATCH(D279,'Incident'!$B$4:$B$100003,0)),IFERROR(INDEX('NC Management'!$G$4:$G$100003,MATCH(E279,'NC Management'!$B$4:$B$100003,0)),""))</f>
        <v>0</v>
      </c>
      <c r="G279" s="2">
        <f>IFERROR(INDEX('Incident'!$N$4:$N$100003,MATCH(D279,'Incident'!$B$4:$B$100003,0)),IFERROR(INDEX('NC Management'!$F$4:$F$100003,MATCH(E279,'NC Management'!$B$4:$B$100003,0)),""))</f>
        <v>0</v>
      </c>
      <c r="H279" s="6"/>
      <c r="I279" s="6"/>
      <c r="J279" s="6"/>
      <c r="K279" s="6"/>
      <c r="L279" s="6"/>
      <c r="M279" s="6"/>
      <c r="N279" s="6"/>
      <c r="O279" s="6"/>
      <c r="P279" s="1"/>
    </row>
    <row r="280" spans="1:16">
      <c r="A280" s="1">
        <v>277</v>
      </c>
      <c r="B280" s="6"/>
      <c r="C280" s="5"/>
      <c r="D280" s="1"/>
      <c r="E280" s="1"/>
      <c r="F280" s="2">
        <f>IFERROR(INDEX('Incident'!$H$4:$H$100003,MATCH(D280,'Incident'!$B$4:$B$100003,0)),IFERROR(INDEX('NC Management'!$G$4:$G$100003,MATCH(E280,'NC Management'!$B$4:$B$100003,0)),""))</f>
        <v>0</v>
      </c>
      <c r="G280" s="2">
        <f>IFERROR(INDEX('Incident'!$N$4:$N$100003,MATCH(D280,'Incident'!$B$4:$B$100003,0)),IFERROR(INDEX('NC Management'!$F$4:$F$100003,MATCH(E280,'NC Management'!$B$4:$B$100003,0)),""))</f>
        <v>0</v>
      </c>
      <c r="H280" s="6"/>
      <c r="I280" s="6"/>
      <c r="J280" s="6"/>
      <c r="K280" s="6"/>
      <c r="L280" s="6"/>
      <c r="M280" s="6"/>
      <c r="N280" s="6"/>
      <c r="O280" s="6"/>
      <c r="P280" s="1"/>
    </row>
    <row r="281" spans="1:16">
      <c r="A281" s="1">
        <v>278</v>
      </c>
      <c r="B281" s="6"/>
      <c r="C281" s="5"/>
      <c r="D281" s="1"/>
      <c r="E281" s="1"/>
      <c r="F281" s="2">
        <f>IFERROR(INDEX('Incident'!$H$4:$H$100003,MATCH(D281,'Incident'!$B$4:$B$100003,0)),IFERROR(INDEX('NC Management'!$G$4:$G$100003,MATCH(E281,'NC Management'!$B$4:$B$100003,0)),""))</f>
        <v>0</v>
      </c>
      <c r="G281" s="2">
        <f>IFERROR(INDEX('Incident'!$N$4:$N$100003,MATCH(D281,'Incident'!$B$4:$B$100003,0)),IFERROR(INDEX('NC Management'!$F$4:$F$100003,MATCH(E281,'NC Management'!$B$4:$B$100003,0)),""))</f>
        <v>0</v>
      </c>
      <c r="H281" s="6"/>
      <c r="I281" s="6"/>
      <c r="J281" s="6"/>
      <c r="K281" s="6"/>
      <c r="L281" s="6"/>
      <c r="M281" s="6"/>
      <c r="N281" s="6"/>
      <c r="O281" s="6"/>
      <c r="P281" s="1"/>
    </row>
    <row r="282" spans="1:16">
      <c r="A282" s="1">
        <v>279</v>
      </c>
      <c r="B282" s="6"/>
      <c r="C282" s="5"/>
      <c r="D282" s="1"/>
      <c r="E282" s="1"/>
      <c r="F282" s="2">
        <f>IFERROR(INDEX('Incident'!$H$4:$H$100003,MATCH(D282,'Incident'!$B$4:$B$100003,0)),IFERROR(INDEX('NC Management'!$G$4:$G$100003,MATCH(E282,'NC Management'!$B$4:$B$100003,0)),""))</f>
        <v>0</v>
      </c>
      <c r="G282" s="2">
        <f>IFERROR(INDEX('Incident'!$N$4:$N$100003,MATCH(D282,'Incident'!$B$4:$B$100003,0)),IFERROR(INDEX('NC Management'!$F$4:$F$100003,MATCH(E282,'NC Management'!$B$4:$B$100003,0)),""))</f>
        <v>0</v>
      </c>
      <c r="H282" s="6"/>
      <c r="I282" s="6"/>
      <c r="J282" s="6"/>
      <c r="K282" s="6"/>
      <c r="L282" s="6"/>
      <c r="M282" s="6"/>
      <c r="N282" s="6"/>
      <c r="O282" s="6"/>
      <c r="P282" s="1"/>
    </row>
    <row r="283" spans="1:16">
      <c r="A283" s="1">
        <v>280</v>
      </c>
      <c r="B283" s="6"/>
      <c r="C283" s="5"/>
      <c r="D283" s="1"/>
      <c r="E283" s="1"/>
      <c r="F283" s="2">
        <f>IFERROR(INDEX('Incident'!$H$4:$H$100003,MATCH(D283,'Incident'!$B$4:$B$100003,0)),IFERROR(INDEX('NC Management'!$G$4:$G$100003,MATCH(E283,'NC Management'!$B$4:$B$100003,0)),""))</f>
        <v>0</v>
      </c>
      <c r="G283" s="2">
        <f>IFERROR(INDEX('Incident'!$N$4:$N$100003,MATCH(D283,'Incident'!$B$4:$B$100003,0)),IFERROR(INDEX('NC Management'!$F$4:$F$100003,MATCH(E283,'NC Management'!$B$4:$B$100003,0)),""))</f>
        <v>0</v>
      </c>
      <c r="H283" s="6"/>
      <c r="I283" s="6"/>
      <c r="J283" s="6"/>
      <c r="K283" s="6"/>
      <c r="L283" s="6"/>
      <c r="M283" s="6"/>
      <c r="N283" s="6"/>
      <c r="O283" s="6"/>
      <c r="P283" s="1"/>
    </row>
    <row r="284" spans="1:16">
      <c r="A284" s="1">
        <v>281</v>
      </c>
      <c r="B284" s="6"/>
      <c r="C284" s="5"/>
      <c r="D284" s="1"/>
      <c r="E284" s="1"/>
      <c r="F284" s="2">
        <f>IFERROR(INDEX('Incident'!$H$4:$H$100003,MATCH(D284,'Incident'!$B$4:$B$100003,0)),IFERROR(INDEX('NC Management'!$G$4:$G$100003,MATCH(E284,'NC Management'!$B$4:$B$100003,0)),""))</f>
        <v>0</v>
      </c>
      <c r="G284" s="2">
        <f>IFERROR(INDEX('Incident'!$N$4:$N$100003,MATCH(D284,'Incident'!$B$4:$B$100003,0)),IFERROR(INDEX('NC Management'!$F$4:$F$100003,MATCH(E284,'NC Management'!$B$4:$B$100003,0)),""))</f>
        <v>0</v>
      </c>
      <c r="H284" s="6"/>
      <c r="I284" s="6"/>
      <c r="J284" s="6"/>
      <c r="K284" s="6"/>
      <c r="L284" s="6"/>
      <c r="M284" s="6"/>
      <c r="N284" s="6"/>
      <c r="O284" s="6"/>
      <c r="P284" s="1"/>
    </row>
    <row r="285" spans="1:16">
      <c r="A285" s="1">
        <v>282</v>
      </c>
      <c r="B285" s="6"/>
      <c r="C285" s="5"/>
      <c r="D285" s="1"/>
      <c r="E285" s="1"/>
      <c r="F285" s="2">
        <f>IFERROR(INDEX('Incident'!$H$4:$H$100003,MATCH(D285,'Incident'!$B$4:$B$100003,0)),IFERROR(INDEX('NC Management'!$G$4:$G$100003,MATCH(E285,'NC Management'!$B$4:$B$100003,0)),""))</f>
        <v>0</v>
      </c>
      <c r="G285" s="2">
        <f>IFERROR(INDEX('Incident'!$N$4:$N$100003,MATCH(D285,'Incident'!$B$4:$B$100003,0)),IFERROR(INDEX('NC Management'!$F$4:$F$100003,MATCH(E285,'NC Management'!$B$4:$B$100003,0)),""))</f>
        <v>0</v>
      </c>
      <c r="H285" s="6"/>
      <c r="I285" s="6"/>
      <c r="J285" s="6"/>
      <c r="K285" s="6"/>
      <c r="L285" s="6"/>
      <c r="M285" s="6"/>
      <c r="N285" s="6"/>
      <c r="O285" s="6"/>
      <c r="P285" s="1"/>
    </row>
    <row r="286" spans="1:16">
      <c r="A286" s="1">
        <v>283</v>
      </c>
      <c r="B286" s="6"/>
      <c r="C286" s="5"/>
      <c r="D286" s="1"/>
      <c r="E286" s="1"/>
      <c r="F286" s="2">
        <f>IFERROR(INDEX('Incident'!$H$4:$H$100003,MATCH(D286,'Incident'!$B$4:$B$100003,0)),IFERROR(INDEX('NC Management'!$G$4:$G$100003,MATCH(E286,'NC Management'!$B$4:$B$100003,0)),""))</f>
        <v>0</v>
      </c>
      <c r="G286" s="2">
        <f>IFERROR(INDEX('Incident'!$N$4:$N$100003,MATCH(D286,'Incident'!$B$4:$B$100003,0)),IFERROR(INDEX('NC Management'!$F$4:$F$100003,MATCH(E286,'NC Management'!$B$4:$B$100003,0)),""))</f>
        <v>0</v>
      </c>
      <c r="H286" s="6"/>
      <c r="I286" s="6"/>
      <c r="J286" s="6"/>
      <c r="K286" s="6"/>
      <c r="L286" s="6"/>
      <c r="M286" s="6"/>
      <c r="N286" s="6"/>
      <c r="O286" s="6"/>
      <c r="P286" s="1"/>
    </row>
    <row r="287" spans="1:16">
      <c r="A287" s="1">
        <v>284</v>
      </c>
      <c r="B287" s="6"/>
      <c r="C287" s="5"/>
      <c r="D287" s="1"/>
      <c r="E287" s="1"/>
      <c r="F287" s="2">
        <f>IFERROR(INDEX('Incident'!$H$4:$H$100003,MATCH(D287,'Incident'!$B$4:$B$100003,0)),IFERROR(INDEX('NC Management'!$G$4:$G$100003,MATCH(E287,'NC Management'!$B$4:$B$100003,0)),""))</f>
        <v>0</v>
      </c>
      <c r="G287" s="2">
        <f>IFERROR(INDEX('Incident'!$N$4:$N$100003,MATCH(D287,'Incident'!$B$4:$B$100003,0)),IFERROR(INDEX('NC Management'!$F$4:$F$100003,MATCH(E287,'NC Management'!$B$4:$B$100003,0)),""))</f>
        <v>0</v>
      </c>
      <c r="H287" s="6"/>
      <c r="I287" s="6"/>
      <c r="J287" s="6"/>
      <c r="K287" s="6"/>
      <c r="L287" s="6"/>
      <c r="M287" s="6"/>
      <c r="N287" s="6"/>
      <c r="O287" s="6"/>
      <c r="P287" s="1"/>
    </row>
    <row r="288" spans="1:16">
      <c r="A288" s="1">
        <v>285</v>
      </c>
      <c r="B288" s="6"/>
      <c r="C288" s="5"/>
      <c r="D288" s="1"/>
      <c r="E288" s="1"/>
      <c r="F288" s="2">
        <f>IFERROR(INDEX('Incident'!$H$4:$H$100003,MATCH(D288,'Incident'!$B$4:$B$100003,0)),IFERROR(INDEX('NC Management'!$G$4:$G$100003,MATCH(E288,'NC Management'!$B$4:$B$100003,0)),""))</f>
        <v>0</v>
      </c>
      <c r="G288" s="2">
        <f>IFERROR(INDEX('Incident'!$N$4:$N$100003,MATCH(D288,'Incident'!$B$4:$B$100003,0)),IFERROR(INDEX('NC Management'!$F$4:$F$100003,MATCH(E288,'NC Management'!$B$4:$B$100003,0)),""))</f>
        <v>0</v>
      </c>
      <c r="H288" s="6"/>
      <c r="I288" s="6"/>
      <c r="J288" s="6"/>
      <c r="K288" s="6"/>
      <c r="L288" s="6"/>
      <c r="M288" s="6"/>
      <c r="N288" s="6"/>
      <c r="O288" s="6"/>
      <c r="P288" s="1"/>
    </row>
    <row r="289" spans="1:16">
      <c r="A289" s="1">
        <v>286</v>
      </c>
      <c r="B289" s="6"/>
      <c r="C289" s="5"/>
      <c r="D289" s="1"/>
      <c r="E289" s="1"/>
      <c r="F289" s="2">
        <f>IFERROR(INDEX('Incident'!$H$4:$H$100003,MATCH(D289,'Incident'!$B$4:$B$100003,0)),IFERROR(INDEX('NC Management'!$G$4:$G$100003,MATCH(E289,'NC Management'!$B$4:$B$100003,0)),""))</f>
        <v>0</v>
      </c>
      <c r="G289" s="2">
        <f>IFERROR(INDEX('Incident'!$N$4:$N$100003,MATCH(D289,'Incident'!$B$4:$B$100003,0)),IFERROR(INDEX('NC Management'!$F$4:$F$100003,MATCH(E289,'NC Management'!$B$4:$B$100003,0)),""))</f>
        <v>0</v>
      </c>
      <c r="H289" s="6"/>
      <c r="I289" s="6"/>
      <c r="J289" s="6"/>
      <c r="K289" s="6"/>
      <c r="L289" s="6"/>
      <c r="M289" s="6"/>
      <c r="N289" s="6"/>
      <c r="O289" s="6"/>
      <c r="P289" s="1"/>
    </row>
    <row r="290" spans="1:16">
      <c r="A290" s="1">
        <v>287</v>
      </c>
      <c r="B290" s="6"/>
      <c r="C290" s="5"/>
      <c r="D290" s="1"/>
      <c r="E290" s="1"/>
      <c r="F290" s="2">
        <f>IFERROR(INDEX('Incident'!$H$4:$H$100003,MATCH(D290,'Incident'!$B$4:$B$100003,0)),IFERROR(INDEX('NC Management'!$G$4:$G$100003,MATCH(E290,'NC Management'!$B$4:$B$100003,0)),""))</f>
        <v>0</v>
      </c>
      <c r="G290" s="2">
        <f>IFERROR(INDEX('Incident'!$N$4:$N$100003,MATCH(D290,'Incident'!$B$4:$B$100003,0)),IFERROR(INDEX('NC Management'!$F$4:$F$100003,MATCH(E290,'NC Management'!$B$4:$B$100003,0)),""))</f>
        <v>0</v>
      </c>
      <c r="H290" s="6"/>
      <c r="I290" s="6"/>
      <c r="J290" s="6"/>
      <c r="K290" s="6"/>
      <c r="L290" s="6"/>
      <c r="M290" s="6"/>
      <c r="N290" s="6"/>
      <c r="O290" s="6"/>
      <c r="P290" s="1"/>
    </row>
    <row r="291" spans="1:16">
      <c r="A291" s="1">
        <v>288</v>
      </c>
      <c r="B291" s="6"/>
      <c r="C291" s="5"/>
      <c r="D291" s="1"/>
      <c r="E291" s="1"/>
      <c r="F291" s="2">
        <f>IFERROR(INDEX('Incident'!$H$4:$H$100003,MATCH(D291,'Incident'!$B$4:$B$100003,0)),IFERROR(INDEX('NC Management'!$G$4:$G$100003,MATCH(E291,'NC Management'!$B$4:$B$100003,0)),""))</f>
        <v>0</v>
      </c>
      <c r="G291" s="2">
        <f>IFERROR(INDEX('Incident'!$N$4:$N$100003,MATCH(D291,'Incident'!$B$4:$B$100003,0)),IFERROR(INDEX('NC Management'!$F$4:$F$100003,MATCH(E291,'NC Management'!$B$4:$B$100003,0)),""))</f>
        <v>0</v>
      </c>
      <c r="H291" s="6"/>
      <c r="I291" s="6"/>
      <c r="J291" s="6"/>
      <c r="K291" s="6"/>
      <c r="L291" s="6"/>
      <c r="M291" s="6"/>
      <c r="N291" s="6"/>
      <c r="O291" s="6"/>
      <c r="P291" s="1"/>
    </row>
    <row r="292" spans="1:16">
      <c r="A292" s="1">
        <v>289</v>
      </c>
      <c r="B292" s="6"/>
      <c r="C292" s="5"/>
      <c r="D292" s="1"/>
      <c r="E292" s="1"/>
      <c r="F292" s="2">
        <f>IFERROR(INDEX('Incident'!$H$4:$H$100003,MATCH(D292,'Incident'!$B$4:$B$100003,0)),IFERROR(INDEX('NC Management'!$G$4:$G$100003,MATCH(E292,'NC Management'!$B$4:$B$100003,0)),""))</f>
        <v>0</v>
      </c>
      <c r="G292" s="2">
        <f>IFERROR(INDEX('Incident'!$N$4:$N$100003,MATCH(D292,'Incident'!$B$4:$B$100003,0)),IFERROR(INDEX('NC Management'!$F$4:$F$100003,MATCH(E292,'NC Management'!$B$4:$B$100003,0)),""))</f>
        <v>0</v>
      </c>
      <c r="H292" s="6"/>
      <c r="I292" s="6"/>
      <c r="J292" s="6"/>
      <c r="K292" s="6"/>
      <c r="L292" s="6"/>
      <c r="M292" s="6"/>
      <c r="N292" s="6"/>
      <c r="O292" s="6"/>
      <c r="P292" s="1"/>
    </row>
    <row r="293" spans="1:16">
      <c r="A293" s="1">
        <v>290</v>
      </c>
      <c r="B293" s="6"/>
      <c r="C293" s="5"/>
      <c r="D293" s="1"/>
      <c r="E293" s="1"/>
      <c r="F293" s="2">
        <f>IFERROR(INDEX('Incident'!$H$4:$H$100003,MATCH(D293,'Incident'!$B$4:$B$100003,0)),IFERROR(INDEX('NC Management'!$G$4:$G$100003,MATCH(E293,'NC Management'!$B$4:$B$100003,0)),""))</f>
        <v>0</v>
      </c>
      <c r="G293" s="2">
        <f>IFERROR(INDEX('Incident'!$N$4:$N$100003,MATCH(D293,'Incident'!$B$4:$B$100003,0)),IFERROR(INDEX('NC Management'!$F$4:$F$100003,MATCH(E293,'NC Management'!$B$4:$B$100003,0)),""))</f>
        <v>0</v>
      </c>
      <c r="H293" s="6"/>
      <c r="I293" s="6"/>
      <c r="J293" s="6"/>
      <c r="K293" s="6"/>
      <c r="L293" s="6"/>
      <c r="M293" s="6"/>
      <c r="N293" s="6"/>
      <c r="O293" s="6"/>
      <c r="P293" s="1"/>
    </row>
    <row r="294" spans="1:16">
      <c r="A294" s="1">
        <v>291</v>
      </c>
      <c r="B294" s="6"/>
      <c r="C294" s="5"/>
      <c r="D294" s="1"/>
      <c r="E294" s="1"/>
      <c r="F294" s="2">
        <f>IFERROR(INDEX('Incident'!$H$4:$H$100003,MATCH(D294,'Incident'!$B$4:$B$100003,0)),IFERROR(INDEX('NC Management'!$G$4:$G$100003,MATCH(E294,'NC Management'!$B$4:$B$100003,0)),""))</f>
        <v>0</v>
      </c>
      <c r="G294" s="2">
        <f>IFERROR(INDEX('Incident'!$N$4:$N$100003,MATCH(D294,'Incident'!$B$4:$B$100003,0)),IFERROR(INDEX('NC Management'!$F$4:$F$100003,MATCH(E294,'NC Management'!$B$4:$B$100003,0)),""))</f>
        <v>0</v>
      </c>
      <c r="H294" s="6"/>
      <c r="I294" s="6"/>
      <c r="J294" s="6"/>
      <c r="K294" s="6"/>
      <c r="L294" s="6"/>
      <c r="M294" s="6"/>
      <c r="N294" s="6"/>
      <c r="O294" s="6"/>
      <c r="P294" s="1"/>
    </row>
    <row r="295" spans="1:16">
      <c r="A295" s="1">
        <v>292</v>
      </c>
      <c r="B295" s="6"/>
      <c r="C295" s="5"/>
      <c r="D295" s="1"/>
      <c r="E295" s="1"/>
      <c r="F295" s="2">
        <f>IFERROR(INDEX('Incident'!$H$4:$H$100003,MATCH(D295,'Incident'!$B$4:$B$100003,0)),IFERROR(INDEX('NC Management'!$G$4:$G$100003,MATCH(E295,'NC Management'!$B$4:$B$100003,0)),""))</f>
        <v>0</v>
      </c>
      <c r="G295" s="2">
        <f>IFERROR(INDEX('Incident'!$N$4:$N$100003,MATCH(D295,'Incident'!$B$4:$B$100003,0)),IFERROR(INDEX('NC Management'!$F$4:$F$100003,MATCH(E295,'NC Management'!$B$4:$B$100003,0)),""))</f>
        <v>0</v>
      </c>
      <c r="H295" s="6"/>
      <c r="I295" s="6"/>
      <c r="J295" s="6"/>
      <c r="K295" s="6"/>
      <c r="L295" s="6"/>
      <c r="M295" s="6"/>
      <c r="N295" s="6"/>
      <c r="O295" s="6"/>
      <c r="P295" s="1"/>
    </row>
    <row r="296" spans="1:16">
      <c r="A296" s="1">
        <v>293</v>
      </c>
      <c r="B296" s="6"/>
      <c r="C296" s="5"/>
      <c r="D296" s="1"/>
      <c r="E296" s="1"/>
      <c r="F296" s="2">
        <f>IFERROR(INDEX('Incident'!$H$4:$H$100003,MATCH(D296,'Incident'!$B$4:$B$100003,0)),IFERROR(INDEX('NC Management'!$G$4:$G$100003,MATCH(E296,'NC Management'!$B$4:$B$100003,0)),""))</f>
        <v>0</v>
      </c>
      <c r="G296" s="2">
        <f>IFERROR(INDEX('Incident'!$N$4:$N$100003,MATCH(D296,'Incident'!$B$4:$B$100003,0)),IFERROR(INDEX('NC Management'!$F$4:$F$100003,MATCH(E296,'NC Management'!$B$4:$B$100003,0)),""))</f>
        <v>0</v>
      </c>
      <c r="H296" s="6"/>
      <c r="I296" s="6"/>
      <c r="J296" s="6"/>
      <c r="K296" s="6"/>
      <c r="L296" s="6"/>
      <c r="M296" s="6"/>
      <c r="N296" s="6"/>
      <c r="O296" s="6"/>
      <c r="P296" s="1"/>
    </row>
    <row r="297" spans="1:16">
      <c r="A297" s="1">
        <v>294</v>
      </c>
      <c r="B297" s="6"/>
      <c r="C297" s="5"/>
      <c r="D297" s="1"/>
      <c r="E297" s="1"/>
      <c r="F297" s="2">
        <f>IFERROR(INDEX('Incident'!$H$4:$H$100003,MATCH(D297,'Incident'!$B$4:$B$100003,0)),IFERROR(INDEX('NC Management'!$G$4:$G$100003,MATCH(E297,'NC Management'!$B$4:$B$100003,0)),""))</f>
        <v>0</v>
      </c>
      <c r="G297" s="2">
        <f>IFERROR(INDEX('Incident'!$N$4:$N$100003,MATCH(D297,'Incident'!$B$4:$B$100003,0)),IFERROR(INDEX('NC Management'!$F$4:$F$100003,MATCH(E297,'NC Management'!$B$4:$B$100003,0)),""))</f>
        <v>0</v>
      </c>
      <c r="H297" s="6"/>
      <c r="I297" s="6"/>
      <c r="J297" s="6"/>
      <c r="K297" s="6"/>
      <c r="L297" s="6"/>
      <c r="M297" s="6"/>
      <c r="N297" s="6"/>
      <c r="O297" s="6"/>
      <c r="P297" s="1"/>
    </row>
    <row r="298" spans="1:16">
      <c r="A298" s="1">
        <v>295</v>
      </c>
      <c r="B298" s="6"/>
      <c r="C298" s="5"/>
      <c r="D298" s="1"/>
      <c r="E298" s="1"/>
      <c r="F298" s="2">
        <f>IFERROR(INDEX('Incident'!$H$4:$H$100003,MATCH(D298,'Incident'!$B$4:$B$100003,0)),IFERROR(INDEX('NC Management'!$G$4:$G$100003,MATCH(E298,'NC Management'!$B$4:$B$100003,0)),""))</f>
        <v>0</v>
      </c>
      <c r="G298" s="2">
        <f>IFERROR(INDEX('Incident'!$N$4:$N$100003,MATCH(D298,'Incident'!$B$4:$B$100003,0)),IFERROR(INDEX('NC Management'!$F$4:$F$100003,MATCH(E298,'NC Management'!$B$4:$B$100003,0)),""))</f>
        <v>0</v>
      </c>
      <c r="H298" s="6"/>
      <c r="I298" s="6"/>
      <c r="J298" s="6"/>
      <c r="K298" s="6"/>
      <c r="L298" s="6"/>
      <c r="M298" s="6"/>
      <c r="N298" s="6"/>
      <c r="O298" s="6"/>
      <c r="P298" s="1"/>
    </row>
    <row r="299" spans="1:16">
      <c r="A299" s="1">
        <v>296</v>
      </c>
      <c r="B299" s="6"/>
      <c r="C299" s="5"/>
      <c r="D299" s="1"/>
      <c r="E299" s="1"/>
      <c r="F299" s="2">
        <f>IFERROR(INDEX('Incident'!$H$4:$H$100003,MATCH(D299,'Incident'!$B$4:$B$100003,0)),IFERROR(INDEX('NC Management'!$G$4:$G$100003,MATCH(E299,'NC Management'!$B$4:$B$100003,0)),""))</f>
        <v>0</v>
      </c>
      <c r="G299" s="2">
        <f>IFERROR(INDEX('Incident'!$N$4:$N$100003,MATCH(D299,'Incident'!$B$4:$B$100003,0)),IFERROR(INDEX('NC Management'!$F$4:$F$100003,MATCH(E299,'NC Management'!$B$4:$B$100003,0)),""))</f>
        <v>0</v>
      </c>
      <c r="H299" s="6"/>
      <c r="I299" s="6"/>
      <c r="J299" s="6"/>
      <c r="K299" s="6"/>
      <c r="L299" s="6"/>
      <c r="M299" s="6"/>
      <c r="N299" s="6"/>
      <c r="O299" s="6"/>
      <c r="P299" s="1"/>
    </row>
    <row r="300" spans="1:16">
      <c r="A300" s="1">
        <v>297</v>
      </c>
      <c r="B300" s="6"/>
      <c r="C300" s="5"/>
      <c r="D300" s="1"/>
      <c r="E300" s="1"/>
      <c r="F300" s="2">
        <f>IFERROR(INDEX('Incident'!$H$4:$H$100003,MATCH(D300,'Incident'!$B$4:$B$100003,0)),IFERROR(INDEX('NC Management'!$G$4:$G$100003,MATCH(E300,'NC Management'!$B$4:$B$100003,0)),""))</f>
        <v>0</v>
      </c>
      <c r="G300" s="2">
        <f>IFERROR(INDEX('Incident'!$N$4:$N$100003,MATCH(D300,'Incident'!$B$4:$B$100003,0)),IFERROR(INDEX('NC Management'!$F$4:$F$100003,MATCH(E300,'NC Management'!$B$4:$B$100003,0)),""))</f>
        <v>0</v>
      </c>
      <c r="H300" s="6"/>
      <c r="I300" s="6"/>
      <c r="J300" s="6"/>
      <c r="K300" s="6"/>
      <c r="L300" s="6"/>
      <c r="M300" s="6"/>
      <c r="N300" s="6"/>
      <c r="O300" s="6"/>
      <c r="P300" s="1"/>
    </row>
    <row r="301" spans="1:16">
      <c r="A301" s="1">
        <v>298</v>
      </c>
      <c r="B301" s="6"/>
      <c r="C301" s="5"/>
      <c r="D301" s="1"/>
      <c r="E301" s="1"/>
      <c r="F301" s="2">
        <f>IFERROR(INDEX('Incident'!$H$4:$H$100003,MATCH(D301,'Incident'!$B$4:$B$100003,0)),IFERROR(INDEX('NC Management'!$G$4:$G$100003,MATCH(E301,'NC Management'!$B$4:$B$100003,0)),""))</f>
        <v>0</v>
      </c>
      <c r="G301" s="2">
        <f>IFERROR(INDEX('Incident'!$N$4:$N$100003,MATCH(D301,'Incident'!$B$4:$B$100003,0)),IFERROR(INDEX('NC Management'!$F$4:$F$100003,MATCH(E301,'NC Management'!$B$4:$B$100003,0)),""))</f>
        <v>0</v>
      </c>
      <c r="H301" s="6"/>
      <c r="I301" s="6"/>
      <c r="J301" s="6"/>
      <c r="K301" s="6"/>
      <c r="L301" s="6"/>
      <c r="M301" s="6"/>
      <c r="N301" s="6"/>
      <c r="O301" s="6"/>
      <c r="P301" s="1"/>
    </row>
    <row r="302" spans="1:16">
      <c r="A302" s="1">
        <v>299</v>
      </c>
      <c r="B302" s="6"/>
      <c r="C302" s="5"/>
      <c r="D302" s="1"/>
      <c r="E302" s="1"/>
      <c r="F302" s="2">
        <f>IFERROR(INDEX('Incident'!$H$4:$H$100003,MATCH(D302,'Incident'!$B$4:$B$100003,0)),IFERROR(INDEX('NC Management'!$G$4:$G$100003,MATCH(E302,'NC Management'!$B$4:$B$100003,0)),""))</f>
        <v>0</v>
      </c>
      <c r="G302" s="2">
        <f>IFERROR(INDEX('Incident'!$N$4:$N$100003,MATCH(D302,'Incident'!$B$4:$B$100003,0)),IFERROR(INDEX('NC Management'!$F$4:$F$100003,MATCH(E302,'NC Management'!$B$4:$B$100003,0)),""))</f>
        <v>0</v>
      </c>
      <c r="H302" s="6"/>
      <c r="I302" s="6"/>
      <c r="J302" s="6"/>
      <c r="K302" s="6"/>
      <c r="L302" s="6"/>
      <c r="M302" s="6"/>
      <c r="N302" s="6"/>
      <c r="O302" s="6"/>
      <c r="P302" s="1"/>
    </row>
    <row r="303" spans="1:16">
      <c r="A303" s="1">
        <v>300</v>
      </c>
      <c r="B303" s="6"/>
      <c r="C303" s="5"/>
      <c r="D303" s="1"/>
      <c r="E303" s="1"/>
      <c r="F303" s="2">
        <f>IFERROR(INDEX('Incident'!$H$4:$H$100003,MATCH(D303,'Incident'!$B$4:$B$100003,0)),IFERROR(INDEX('NC Management'!$G$4:$G$100003,MATCH(E303,'NC Management'!$B$4:$B$100003,0)),""))</f>
        <v>0</v>
      </c>
      <c r="G303" s="2">
        <f>IFERROR(INDEX('Incident'!$N$4:$N$100003,MATCH(D303,'Incident'!$B$4:$B$100003,0)),IFERROR(INDEX('NC Management'!$F$4:$F$100003,MATCH(E303,'NC Management'!$B$4:$B$100003,0)),""))</f>
        <v>0</v>
      </c>
      <c r="H303" s="6"/>
      <c r="I303" s="6"/>
      <c r="J303" s="6"/>
      <c r="K303" s="6"/>
      <c r="L303" s="6"/>
      <c r="M303" s="6"/>
      <c r="N303" s="6"/>
      <c r="O303" s="6"/>
      <c r="P303" s="1"/>
    </row>
  </sheetData>
  <mergeCells count="2">
    <mergeCell ref="A1:P1"/>
    <mergeCell ref="A2:P2"/>
  </mergeCells>
  <dataValidations count="3">
    <dataValidation type="list" allowBlank="1" showInputMessage="1" showErrorMessage="1" sqref="D4:D303">
      <formula1>Incident!$B$4:$B$51</formula1>
    </dataValidation>
    <dataValidation type="list" allowBlank="1" showInputMessage="1" showErrorMessage="1" sqref="E4:E303">
      <formula1>NC Management!$B$4:$B$51</formula1>
    </dataValidation>
    <dataValidation type="list" allowBlank="1" showInputMessage="1" showErrorMessage="1" sqref="P4:P303">
      <formula1>L_Status</formula1>
    </dataValidation>
  </dataValidations>
  <hyperlinks>
    <hyperlink ref="R1" location="'Home'!A1" display="Home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1">
    <tabColor rgb="FF334155"/>
  </sheetPr>
  <dimension ref="B1:G5"/>
  <sheetViews>
    <sheetView showGridLines="0" workbookViewId="0"/>
  </sheetViews>
  <sheetFormatPr defaultRowHeight="15"/>
  <cols>
    <col min="1" max="1" width="2.7109375" customWidth="1"/>
    <col min="2" max="2" width="20.7109375" customWidth="1"/>
    <col min="3" max="3" width="24.7109375" customWidth="1"/>
    <col min="4" max="4" width="12.7109375" customWidth="1"/>
    <col min="5" max="6" width="20.7109375" customWidth="1"/>
    <col min="7" max="7" width="18.7109375" customWidth="1"/>
  </cols>
  <sheetData>
    <row r="1" spans="2:7">
      <c r="B1" s="10" t="s">
        <v>139</v>
      </c>
    </row>
    <row r="2" spans="2:7">
      <c r="B2" s="11" t="s">
        <v>1814</v>
      </c>
      <c r="C2" s="11"/>
      <c r="D2" s="11"/>
      <c r="E2" s="11"/>
      <c r="F2" s="11"/>
      <c r="G2" s="11"/>
    </row>
    <row r="3" spans="2:7">
      <c r="B3" s="10" t="s">
        <v>1815</v>
      </c>
    </row>
    <row r="5" spans="2:7">
      <c r="B5" s="12" t="s">
        <v>1816</v>
      </c>
      <c r="C5" s="12" t="s">
        <v>1817</v>
      </c>
      <c r="D5" s="12" t="s">
        <v>1818</v>
      </c>
      <c r="E5" s="12" t="s">
        <v>1819</v>
      </c>
      <c r="F5" s="12" t="s">
        <v>1820</v>
      </c>
      <c r="G5" s="12" t="s">
        <v>1821</v>
      </c>
    </row>
  </sheetData>
  <mergeCells count="1">
    <mergeCell ref="B2:G2"/>
  </mergeCells>
  <hyperlinks>
    <hyperlink ref="B1" location="'Home'!A1" display="Home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2">
    <tabColor rgb="FF15A34A"/>
  </sheetPr>
  <dimension ref="B1:EN1151"/>
  <sheetViews>
    <sheetView showGridLines="0" workbookViewId="0"/>
  </sheetViews>
  <sheetFormatPr defaultRowHeight="15"/>
  <cols>
    <col min="1" max="1" width="2.7109375" customWidth="1"/>
    <col min="2" max="2" width="22.7109375" customWidth="1"/>
    <col min="3" max="14" width="11.7109375" customWidth="1"/>
  </cols>
  <sheetData>
    <row r="1" spans="2:144">
      <c r="B1" s="10" t="s">
        <v>139</v>
      </c>
    </row>
    <row r="2" spans="2:144">
      <c r="B2" s="11" t="s">
        <v>1822</v>
      </c>
      <c r="C2" s="11"/>
      <c r="D2" s="11"/>
      <c r="E2" s="11"/>
      <c r="F2" s="11"/>
      <c r="G2" s="11"/>
      <c r="H2" s="11"/>
    </row>
    <row r="5" spans="2:144">
      <c r="B5" s="17" t="s">
        <v>1823</v>
      </c>
    </row>
    <row r="6" spans="2:144">
      <c r="B6" s="15" t="s">
        <v>1824</v>
      </c>
      <c r="C6" s="23">
        <f>IF(SelMonth="All","&lt;&gt;",SelMonth)</f>
        <v>0</v>
      </c>
    </row>
    <row r="7" spans="2:144">
      <c r="B7" s="15" t="s">
        <v>1825</v>
      </c>
      <c r="C7" s="23">
        <f>IF(SelDept="All","&lt;&gt;",SelDept)</f>
        <v>0</v>
      </c>
    </row>
    <row r="9" spans="2:144">
      <c r="B9" s="17" t="s">
        <v>1826</v>
      </c>
    </row>
    <row r="10" spans="2:144">
      <c r="B10" s="15" t="s">
        <v>1827</v>
      </c>
      <c r="C10" s="23">
        <f>IF(LEFT(SelPeriod,1)="Q",1,0)</f>
        <v>0</v>
      </c>
      <c r="E10" s="15" t="s">
        <v>1828</v>
      </c>
      <c r="F10" s="23">
        <f>IF(Calculations!$C$10=1,VALUE(MID(SelPeriod,2,1)),ROUNDUP(MATCH(SelPeriod,L_Month,0)/3,0))</f>
        <v>0</v>
      </c>
      <c r="H10" s="15" t="s">
        <v>1829</v>
      </c>
      <c r="I10" s="23">
        <f>IF(Calculations!$C$10=1,0,MATCH(SelPeriod,L_Month,0))</f>
        <v>0</v>
      </c>
      <c r="DJ10" s="17" t="s">
        <v>1926</v>
      </c>
      <c r="DS10" s="12" t="s">
        <v>1964</v>
      </c>
      <c r="DT10" s="12" t="s">
        <v>1965</v>
      </c>
      <c r="DV10" s="12" t="s">
        <v>1978</v>
      </c>
      <c r="DW10" s="12" t="s">
        <v>1979</v>
      </c>
    </row>
    <row r="11" spans="2:144">
      <c r="B11" s="12" t="s">
        <v>127</v>
      </c>
      <c r="C11" s="12" t="s">
        <v>23</v>
      </c>
      <c r="D11" s="12" t="s">
        <v>1830</v>
      </c>
      <c r="E11" s="12" t="s">
        <v>1831</v>
      </c>
      <c r="F11" s="12" t="s">
        <v>1832</v>
      </c>
      <c r="G11" s="12" t="s">
        <v>1833</v>
      </c>
      <c r="H11" s="12" t="s">
        <v>1834</v>
      </c>
      <c r="I11" s="12" t="s">
        <v>1835</v>
      </c>
      <c r="J11" s="12" t="s">
        <v>1836</v>
      </c>
      <c r="K11" s="12" t="s">
        <v>1837</v>
      </c>
      <c r="L11" s="12" t="s">
        <v>1838</v>
      </c>
      <c r="M11" s="12" t="s">
        <v>1839</v>
      </c>
      <c r="N11" s="12" t="s">
        <v>1840</v>
      </c>
      <c r="O11" s="12" t="s">
        <v>1841</v>
      </c>
      <c r="P11" s="12" t="s">
        <v>1842</v>
      </c>
      <c r="Q11" s="12" t="s">
        <v>1843</v>
      </c>
      <c r="R11" s="12" t="s">
        <v>1844</v>
      </c>
      <c r="S11" s="12" t="s">
        <v>1845</v>
      </c>
      <c r="T11" s="12" t="s">
        <v>1846</v>
      </c>
      <c r="U11" s="12" t="s">
        <v>1847</v>
      </c>
      <c r="V11" s="12" t="s">
        <v>1848</v>
      </c>
      <c r="W11" s="12" t="s">
        <v>1849</v>
      </c>
      <c r="X11" s="12" t="s">
        <v>1850</v>
      </c>
      <c r="Y11" s="12" t="s">
        <v>1851</v>
      </c>
      <c r="Z11" s="12" t="s">
        <v>1852</v>
      </c>
      <c r="AA11" s="12" t="s">
        <v>1853</v>
      </c>
      <c r="AB11" s="12" t="s">
        <v>1854</v>
      </c>
      <c r="AC11" s="12" t="s">
        <v>1855</v>
      </c>
      <c r="AD11" s="12" t="s">
        <v>1856</v>
      </c>
      <c r="AE11" s="12" t="s">
        <v>1857</v>
      </c>
      <c r="AF11" s="12" t="s">
        <v>1858</v>
      </c>
      <c r="AG11" s="12" t="s">
        <v>1859</v>
      </c>
      <c r="AH11" s="12" t="s">
        <v>1860</v>
      </c>
      <c r="AI11" s="12" t="s">
        <v>1861</v>
      </c>
      <c r="AJ11" s="12" t="s">
        <v>1862</v>
      </c>
      <c r="AK11" s="12" t="s">
        <v>1863</v>
      </c>
      <c r="AL11" s="12" t="s">
        <v>1864</v>
      </c>
      <c r="AM11" s="12" t="s">
        <v>1865</v>
      </c>
      <c r="AN11" s="12" t="s">
        <v>1866</v>
      </c>
      <c r="AO11" s="12" t="s">
        <v>1867</v>
      </c>
      <c r="AP11" s="12" t="s">
        <v>1868</v>
      </c>
      <c r="AQ11" s="12" t="s">
        <v>1869</v>
      </c>
      <c r="AR11" s="12" t="s">
        <v>1870</v>
      </c>
      <c r="AS11" s="12" t="s">
        <v>1871</v>
      </c>
      <c r="AT11" s="12" t="s">
        <v>1872</v>
      </c>
      <c r="AU11" s="12" t="s">
        <v>1873</v>
      </c>
      <c r="AV11" s="12" t="s">
        <v>1874</v>
      </c>
      <c r="AW11" s="12" t="s">
        <v>1875</v>
      </c>
      <c r="AX11" s="12" t="s">
        <v>1876</v>
      </c>
      <c r="AY11" s="12" t="s">
        <v>1877</v>
      </c>
      <c r="AZ11" s="12" t="s">
        <v>1878</v>
      </c>
      <c r="BA11" s="12" t="s">
        <v>1879</v>
      </c>
      <c r="BB11" s="12" t="s">
        <v>1880</v>
      </c>
      <c r="BC11" s="12" t="s">
        <v>1881</v>
      </c>
      <c r="BD11" s="12" t="s">
        <v>1882</v>
      </c>
      <c r="BE11" s="12" t="s">
        <v>1883</v>
      </c>
      <c r="BF11" s="12" t="s">
        <v>1884</v>
      </c>
      <c r="BG11" s="12" t="s">
        <v>1885</v>
      </c>
      <c r="BH11" s="12" t="s">
        <v>1886</v>
      </c>
      <c r="BI11" s="12" t="s">
        <v>1887</v>
      </c>
      <c r="BJ11" s="12" t="s">
        <v>1888</v>
      </c>
      <c r="BK11" s="12" t="s">
        <v>1889</v>
      </c>
      <c r="BL11" s="12" t="s">
        <v>1890</v>
      </c>
      <c r="BM11" s="12" t="s">
        <v>1891</v>
      </c>
      <c r="BN11" s="12" t="s">
        <v>1892</v>
      </c>
      <c r="BO11" s="12" t="s">
        <v>1893</v>
      </c>
      <c r="BP11" s="12" t="s">
        <v>1894</v>
      </c>
      <c r="BQ11" s="12" t="s">
        <v>1895</v>
      </c>
      <c r="BR11" s="12" t="s">
        <v>1896</v>
      </c>
      <c r="BS11" s="12" t="s">
        <v>1897</v>
      </c>
      <c r="BT11" s="12" t="s">
        <v>1898</v>
      </c>
      <c r="BU11" s="12" t="s">
        <v>1899</v>
      </c>
      <c r="BV11" s="12" t="s">
        <v>1900</v>
      </c>
      <c r="BW11" s="12" t="s">
        <v>1901</v>
      </c>
      <c r="BX11" s="12" t="s">
        <v>1902</v>
      </c>
      <c r="BY11" s="12" t="s">
        <v>1903</v>
      </c>
      <c r="BZ11" s="12" t="s">
        <v>1904</v>
      </c>
      <c r="CA11" s="12" t="s">
        <v>1905</v>
      </c>
      <c r="CB11" s="12" t="s">
        <v>1906</v>
      </c>
      <c r="CC11" s="12" t="s">
        <v>1907</v>
      </c>
      <c r="CD11" s="12" t="s">
        <v>1908</v>
      </c>
      <c r="CE11" s="12" t="s">
        <v>1909</v>
      </c>
      <c r="CF11" s="12" t="s">
        <v>1910</v>
      </c>
      <c r="CG11" s="12" t="s">
        <v>1911</v>
      </c>
      <c r="CH11" s="12" t="s">
        <v>1912</v>
      </c>
      <c r="CI11" s="12" t="s">
        <v>1913</v>
      </c>
      <c r="CJ11" s="12" t="s">
        <v>1914</v>
      </c>
      <c r="CK11" s="12" t="s">
        <v>1915</v>
      </c>
      <c r="CL11" s="12" t="s">
        <v>1916</v>
      </c>
      <c r="CM11" s="12" t="s">
        <v>1917</v>
      </c>
      <c r="CN11" s="12" t="s">
        <v>1918</v>
      </c>
      <c r="CO11" s="12" t="s">
        <v>1919</v>
      </c>
      <c r="CP11" s="12" t="s">
        <v>1920</v>
      </c>
      <c r="CQ11" s="12" t="s">
        <v>1921</v>
      </c>
      <c r="DJ11" s="12" t="s">
        <v>1927</v>
      </c>
      <c r="DK11" s="12" t="s">
        <v>1928</v>
      </c>
      <c r="DL11" s="12" t="s">
        <v>1830</v>
      </c>
      <c r="DM11" s="12" t="s">
        <v>1831</v>
      </c>
      <c r="DN11" s="12" t="s">
        <v>1929</v>
      </c>
      <c r="DO11" s="12" t="s">
        <v>42</v>
      </c>
      <c r="DS11" s="13" t="s">
        <v>1966</v>
      </c>
      <c r="DT11" s="22">
        <f>SUMPRODUCT(Calculations!$M$12:$M$23,Calculations!$D$12:$D$23)</f>
        <v>0</v>
      </c>
      <c r="DV11" s="23" t="s">
        <v>3</v>
      </c>
      <c r="DW11" s="22">
        <f>COUNTIFS('Incident'!$D$4:$D$100003,"Jan",'Incident'!$H$4:$H$100003,dCrit)</f>
        <v>0</v>
      </c>
      <c r="DY11" s="12" t="s">
        <v>1936</v>
      </c>
      <c r="DZ11" s="12" t="s">
        <v>1937</v>
      </c>
      <c r="EA11" s="12" t="s">
        <v>1939</v>
      </c>
      <c r="EB11" s="12" t="s">
        <v>1941</v>
      </c>
      <c r="EC11" s="12" t="s">
        <v>1943</v>
      </c>
      <c r="ED11" s="12" t="s">
        <v>1944</v>
      </c>
      <c r="EE11" s="12" t="s">
        <v>1945</v>
      </c>
      <c r="EF11" s="12" t="s">
        <v>1947</v>
      </c>
      <c r="EG11" s="12" t="s">
        <v>1948</v>
      </c>
      <c r="EH11" s="12" t="s">
        <v>1949</v>
      </c>
      <c r="EI11" s="12" t="s">
        <v>1952</v>
      </c>
      <c r="EJ11" s="12" t="s">
        <v>1953</v>
      </c>
      <c r="EK11" s="12" t="s">
        <v>1954</v>
      </c>
      <c r="EL11" s="12" t="s">
        <v>1955</v>
      </c>
      <c r="EM11" s="12" t="s">
        <v>1957</v>
      </c>
      <c r="EN11" s="12" t="s">
        <v>1959</v>
      </c>
    </row>
    <row r="12" spans="2:144">
      <c r="B12" s="23" t="s">
        <v>3</v>
      </c>
      <c r="C12" s="23">
        <v>1</v>
      </c>
      <c r="D12" s="23">
        <f>IF(Calculations!$C$10=1,IF(ROUNDUP($C$12/3,0)=Calculations!$F$10,1,0),IF($C$12=Calculations!$I$10,1,0))</f>
        <v>0</v>
      </c>
      <c r="E12" s="23">
        <f>IF(Calculations!$C$10=1,IF(ROUNDUP($C$12/3,0)=Calculations!$F$10-1,1,0),IF($C$12=Calculations!$I$10-1,1,0))</f>
        <v>0</v>
      </c>
      <c r="F12" s="22">
        <f>COUNTIFS('Incident'!$N$4:$N$100003,"Medical Treatment",'Incident'!$D$4:$D$100003,"Jan",'Incident'!$H$4:$H$100003,dCrit)+COUNTIFS('Incident'!$N$4:$N$100003,"Restricted Work",'Incident'!$D$4:$D$100003,"Jan",'Incident'!$H$4:$H$100003,dCrit)+COUNTIFS('Incident'!$N$4:$N$100003,"Lost Time Injury",'Incident'!$D$4:$D$100003,"Jan",'Incident'!$H$4:$H$100003,dCrit)+COUNTIFS('Incident'!$N$4:$N$100003,"Fatality",'Incident'!$D$4:$D$100003,"Jan",'Incident'!$H$4:$H$100003,dCrit)</f>
        <v>0</v>
      </c>
      <c r="G12" s="22">
        <f>COUNTIFS('Incident'!$N$4:$N$100003,"Lost Time Injury",'Incident'!$D$4:$D$100003,"Jan",'Incident'!$H$4:$H$100003,dCrit)+COUNTIFS('Incident'!$N$4:$N$100003,"Fatality",'Incident'!$D$4:$D$100003,"Jan",'Incident'!$H$4:$H$100003,dCrit)</f>
        <v>0</v>
      </c>
      <c r="H12" s="22">
        <f>COUNTIFS('Incident'!$N$4:$N$100003,"Near Miss",'Incident'!$D$4:$D$100003,"Jan",'Incident'!$H$4:$H$100003,dCrit)</f>
        <v>0</v>
      </c>
      <c r="I12" s="22">
        <f>COUNTIFS('Incident'!$N$4:$N$100003,"First Aid",'Incident'!$D$4:$D$100003,"Jan",'Incident'!$H$4:$H$100003,dCrit)</f>
        <v>0</v>
      </c>
      <c r="J12" s="22">
        <f>COUNTIFS('Incident'!$N$4:$N$100003,"Medical Treatment",'Incident'!$D$4:$D$100003,"Jan",'Incident'!$H$4:$H$100003,dCrit)</f>
        <v>0</v>
      </c>
      <c r="K12" s="22">
        <f>COUNTIFS('Incident'!$N$4:$N$100003,"Restricted Work",'Incident'!$D$4:$D$100003,"Jan",'Incident'!$H$4:$H$100003,dCrit)</f>
        <v>0</v>
      </c>
      <c r="L12" s="22">
        <f>COUNTIFS('Incident'!$N$4:$N$100003,"Lost Time Injury",'Incident'!$D$4:$D$100003,"Jan",'Incident'!$H$4:$H$100003,dCrit)</f>
        <v>0</v>
      </c>
      <c r="M12" s="22">
        <f>COUNTIFS('Incident'!$N$4:$N$100003,"Fatality",'Incident'!$D$4:$D$100003,"Jan",'Incident'!$H$4:$H$100003,dCrit)</f>
        <v>0</v>
      </c>
      <c r="N12" s="22">
        <f>SUMIFS('Incident'!$V$4:$V$100003,'Incident'!$D$4:$D$100003,"Jan",'Incident'!$H$4:$H$100003,dCrit)</f>
        <v>0</v>
      </c>
      <c r="O12" s="22">
        <f>COUNTIFS('Incident'!$D$4:$D$100003,"Jan",'Incident'!$H$4:$H$100003,dCrit)</f>
        <v>0</v>
      </c>
      <c r="P12" s="22">
        <f>COUNTIFS('Disciplinary Actions'!$D$4:$D$100003,"Jan",'Disciplinary Actions'!$F$4:$F$100003,dCrit)</f>
        <v>0</v>
      </c>
      <c r="Q12" s="22">
        <f>COUNTIFS('NC Management'!$M$4:$M$100003,"Open",'NC Management'!$D$4:$D$100003,"Jan",'NC Management'!$G$4:$G$100003,dCrit)+COUNTIFS('NC Management'!$M$4:$M$100003,"Overdue",'NC Management'!$D$4:$D$100003,"Jan",'NC Management'!$G$4:$G$100003,dCrit)</f>
        <v>0</v>
      </c>
      <c r="R12" s="22">
        <f>COUNTIFS('Training'!$D$4:$D$100003,"Jan",'Training'!$G$4:$G$100003,dCrit)</f>
        <v>0</v>
      </c>
      <c r="S12" s="22">
        <f>COUNTIFS('Training'!$N$4:$N$100003,"Completed",'Training'!$D$4:$D$100003,"Jan",'Training'!$G$4:$G$100003,dCrit)</f>
        <v>0</v>
      </c>
      <c r="T12" s="22">
        <f>COUNTIFS('HSE Observations'!$D$4:$D$100003,"Jan",'HSE Observations'!$G$4:$G$100003,dCrit)</f>
        <v>0</v>
      </c>
      <c r="U12" s="22">
        <f>COUNTIFS('HSE Observations'!$M$4:$M$100003,"Completed",'HSE Observations'!$D$4:$D$100003,"Jan",'HSE Observations'!$G$4:$G$100003,dCrit)</f>
        <v>0</v>
      </c>
      <c r="V12" s="22">
        <f>COUNTIFS('Toolbox Talks'!$D$4:$D$100003,"Jan",'Toolbox Talks'!$F$4:$F$100003,dCrit)</f>
        <v>0</v>
      </c>
      <c r="W12" s="22">
        <f>COUNTIFS('Workplace Inspections'!$D$4:$D$100003,"Jan",'Workplace Inspections'!$F$4:$F$100003,dCrit)+COUNTIFS('Equipment Inspections'!$D$4:$D$100003,"Jan",'Equipment Inspections'!$F$4:$F$100003,dCrit)+COUNTIFS('Safety Walkthroughs'!$D$4:$D$100003,"Jan",'Safety Walkthroughs'!$F$4:$F$100003,dCrit)</f>
        <v>0</v>
      </c>
      <c r="X12" s="22">
        <f>COUNTIFS('Internal Audits'!$D$4:$D$100003,"Jan",'Internal Audits'!$G$4:$G$100003,dCrit)+COUNTIFS('External Audits'!$D$4:$D$100003,"Jan",'External Audits'!$G$4:$G$100003,dCrit)</f>
        <v>0</v>
      </c>
      <c r="Y12" s="22">
        <f>COUNTIFS('PTW Audits'!$D$4:$D$100003,"Jan",'PTW Audits'!$F$4:$F$100003,dCrit)</f>
        <v>0</v>
      </c>
      <c r="Z12" s="22">
        <f>COUNTIFS('PTW Audits'!$M$4:$M$100003,"Compliant",'PTW Audits'!$D$4:$D$100003,"Jan",'PTW Audits'!$F$4:$F$100003,dCrit)</f>
        <v>0</v>
      </c>
      <c r="AA12" s="22">
        <f>COUNTIFS('Emergency Drills'!$D$4:$D$100003,"Jan")</f>
        <v>0</v>
      </c>
      <c r="AB12" s="22">
        <f>COUNTIFS('Corrective Actions'!$D$4:$D$100003,"Jan",'Corrective Actions'!$F$4:$F$100003,dCrit)</f>
        <v>0</v>
      </c>
      <c r="AC12" s="22">
        <f>COUNTIFS('Corrective Actions'!$N$4:$N$100003,"Completed",'Corrective Actions'!$D$4:$D$100003,"Jan",'Corrective Actions'!$F$4:$F$100003,dCrit)</f>
        <v>0</v>
      </c>
      <c r="AD12" s="22">
        <f>COUNTIFS('JSA Risk Assessment'!$D$4:$D$100003,"Jan",'JSA Risk Assessment'!$F$4:$F$100003,dCrit)</f>
        <v>0</v>
      </c>
      <c r="AE12" s="22">
        <f>COUNTIFS('Safety Meetings'!$D$4:$D$100003,"Jan",'Safety Meetings'!$G$4:$G$100003,dCrit)</f>
        <v>0</v>
      </c>
      <c r="AF12" s="22">
        <f>COUNTIFS('Unsafe Acts'!$D$4:$D$100003,"Jan",'Unsafe Acts'!$F$4:$F$100003,dCrit)+COUNTIFS('Unsafe Conditions'!$D$4:$D$100003,"Jan",'Unsafe Conditions'!$F$4:$F$100003,dCrit)</f>
        <v>0</v>
      </c>
      <c r="AG12" s="22">
        <f>COUNTIFS('Unsafe Acts'!$D$4:$D$100003,"Jan",'Unsafe Acts'!$F$4:$F$100003,dCrit)</f>
        <v>0</v>
      </c>
      <c r="AH12" s="22">
        <f>COUNTIFS('Unsafe Conditions'!$D$4:$D$100003,"Jan",'Unsafe Conditions'!$F$4:$F$100003,dCrit)</f>
        <v>0</v>
      </c>
      <c r="AI12" s="22">
        <f>SUMIFS('Toolbox Talks'!$J$4:$J$100003,'Toolbox Talks'!$D$4:$D$100003,"Jan",'Toolbox Talks'!$F$4:$F$100003,dCrit)</f>
        <v>0</v>
      </c>
      <c r="AJ12" s="22">
        <f>SUMIFS('Toolbox Talks'!$I$4:$I$100003,'Toolbox Talks'!$D$4:$D$100003,"Jan",'Toolbox Talks'!$F$4:$F$100003,dCrit)</f>
        <v>0</v>
      </c>
      <c r="AK12" s="22">
        <f>COUNTIFS('JSA Risk Assessment'!$M$4:$M$100003,"Approved",'JSA Risk Assessment'!$D$4:$D$100003,"Jan",'JSA Risk Assessment'!$F$4:$F$100003,dCrit)</f>
        <v>0</v>
      </c>
      <c r="AL12" s="22">
        <f>COUNTIFS('Workplace Inspections'!$D$4:$D$100003,"Jan",'Workplace Inspections'!$F$4:$F$100003,dCrit)</f>
        <v>0</v>
      </c>
      <c r="AM12" s="22">
        <f>COUNTIFS('Workplace Inspections'!$M$4:$M$100003,"Completed",'Workplace Inspections'!$D$4:$D$100003,"Jan",'Workplace Inspections'!$F$4:$F$100003,dCrit)</f>
        <v>0</v>
      </c>
      <c r="AN12" s="22">
        <f>COUNTIFS('Equipment Inspections'!$D$4:$D$100003,"Jan",'Equipment Inspections'!$F$4:$F$100003,dCrit)</f>
        <v>0</v>
      </c>
      <c r="AO12" s="22">
        <f>SUMIFS('Equipment Inspections'!$K$4:$K$100003,'Equipment Inspections'!$D$4:$D$100003,"Jan",'Equipment Inspections'!$F$4:$F$100003,dCrit)</f>
        <v>0</v>
      </c>
      <c r="AP12" s="22">
        <f>COUNTIFS('Safety Walkthroughs'!$D$4:$D$100003,"Jan",'Safety Walkthroughs'!$F$4:$F$100003,dCrit)</f>
        <v>0</v>
      </c>
      <c r="AQ12" s="22">
        <f>SUMIFS('Safety Meetings'!$M$4:$M$100003,'Safety Meetings'!$D$4:$D$100003,"Jan",'Safety Meetings'!$G$4:$G$100003,dCrit)</f>
        <v>0</v>
      </c>
      <c r="AR12" s="22">
        <f>SUMIFS('Safety Meetings'!$N$4:$N$100003,'Safety Meetings'!$D$4:$D$100003,"Jan",'Safety Meetings'!$G$4:$G$100003,dCrit)</f>
        <v>0</v>
      </c>
      <c r="AS12" s="22">
        <f>COUNTIFS('Safety Bulletins'!$D$4:$D$100003,"Jan")</f>
        <v>0</v>
      </c>
      <c r="AT12" s="22">
        <f>SUMIFS('Safety Bulletins'!$L$4:$L$100003,'Safety Bulletins'!$D$4:$D$100003,"Jan")</f>
        <v>0</v>
      </c>
      <c r="AU12" s="22">
        <f>SUMIFS('Safety Bulletins'!$M$4:$M$100003,'Safety Bulletins'!$D$4:$D$100003,"Jan")</f>
        <v>0</v>
      </c>
      <c r="AV12" s="22">
        <f>SUMIFS('Emergency Drills'!$H$4:$H$100003,'Emergency Drills'!$D$4:$D$100003,"Jan")</f>
        <v>0</v>
      </c>
      <c r="AW12" s="22">
        <f>SUMIFS('Emergency Drills'!$I$4:$I$100003,'Emergency Drills'!$D$4:$D$100003,"Jan")</f>
        <v>0</v>
      </c>
      <c r="AX12" s="22">
        <f>COUNTIFS('Internal Audits'!$D$4:$D$100003,"Jan",'Internal Audits'!$G$4:$G$100003,dCrit)</f>
        <v>0</v>
      </c>
      <c r="AY12" s="22">
        <f>SUMIFS('Internal Audits'!$L$4:$L$100003,'Internal Audits'!$D$4:$D$100003,"Jan",'Internal Audits'!$G$4:$G$100003,dCrit)+SUMIFS('Internal Audits'!$M$4:$M$100003,'Internal Audits'!$D$4:$D$100003,"Jan",'Internal Audits'!$G$4:$G$100003,dCrit)</f>
        <v>0</v>
      </c>
      <c r="AZ12" s="22">
        <f>COUNTIFS('External Audits'!$D$4:$D$100003,"Jan",'External Audits'!$G$4:$G$100003,dCrit)</f>
        <v>0</v>
      </c>
      <c r="BA12" s="22">
        <f>SUMIFS('External Audits'!$L$4:$L$100003,'External Audits'!$D$4:$D$100003,"Jan",'External Audits'!$G$4:$G$100003,dCrit)+SUMIFS('External Audits'!$M$4:$M$100003,'External Audits'!$D$4:$D$100003,"Jan",'External Audits'!$G$4:$G$100003,dCrit)</f>
        <v>0</v>
      </c>
      <c r="BB12" s="22">
        <f>COUNTIFS('Management Visits'!$D$4:$D$100003,"Jan",'Management Visits'!$F$4:$F$100003,dCrit)</f>
        <v>0</v>
      </c>
      <c r="BC12" s="22">
        <f>SUMIFS('Management Visits'!$K$4:$K$100003,'Management Visits'!$D$4:$D$100003,"Jan",'Management Visits'!$F$4:$F$100003,dCrit)</f>
        <v>0</v>
      </c>
      <c r="BD12" s="22">
        <f>SUMIFS('Management Visits'!$L$4:$L$100003,'Management Visits'!$D$4:$D$100003,"Jan",'Management Visits'!$F$4:$F$100003,dCrit)</f>
        <v>0</v>
      </c>
      <c r="BE12" s="22">
        <f>COUNTIFS('Management Reviews'!$D$4:$D$100003,"Jan")</f>
        <v>0</v>
      </c>
      <c r="BF12" s="22">
        <f>SUMIFS('Management Reviews'!$H$4:$H$100003,'Management Reviews'!$D$4:$D$100003,"Jan")</f>
        <v>0</v>
      </c>
      <c r="BG12" s="22">
        <f>SUMIFS('Management Reviews'!$G$4:$G$100003,'Management Reviews'!$D$4:$D$100003,"Jan")</f>
        <v>0</v>
      </c>
      <c r="BH12" s="22">
        <f>COUNTIFS('Safety Awards'!$D$4:$D$100003,"Jan",'Safety Awards'!$F$4:$F$100003,dCrit)</f>
        <v>0</v>
      </c>
      <c r="BI12" s="22">
        <f>COUNTIFS('Stop Work Authority'!$D$4:$D$100003,"Jan",'Stop Work Authority'!$F$4:$F$100003,dCrit)</f>
        <v>0</v>
      </c>
      <c r="BJ12" s="22">
        <f>COUNTIFS('Alcohol Tests'!$D$4:$D$100003,"Jan",'Alcohol Tests'!$E$4:$E$100003,dCrit)</f>
        <v>0</v>
      </c>
      <c r="BK12" s="22">
        <f>COUNTIFS('Alcohol Tests'!$H$4:$H$100003,"Positive",'Alcohol Tests'!$D$4:$D$100003,"Jan",'Alcohol Tests'!$E$4:$E$100003,dCrit)</f>
        <v>0</v>
      </c>
      <c r="BL12" s="22">
        <f>COUNTIFS('Unsafe Acts'!$D$4:$D$100003,"Jan",'Unsafe Acts'!$F$4:$F$100003,dCrit)</f>
        <v>0</v>
      </c>
      <c r="BM12" s="22">
        <f>COUNTIFS('Unsafe Acts'!$M$4:$M$100003,"Completed",'Unsafe Acts'!$D$4:$D$100003,"Jan",'Unsafe Acts'!$F$4:$F$100003,dCrit)</f>
        <v>0</v>
      </c>
      <c r="BN12" s="22">
        <f>COUNTIFS('Unsafe Conditions'!$D$4:$D$100003,"Jan",'Unsafe Conditions'!$F$4:$F$100003,dCrit)</f>
        <v>0</v>
      </c>
      <c r="BO12" s="22">
        <f>COUNTIFS('Unsafe Conditions'!$M$4:$M$100003,"Completed",'Unsafe Conditions'!$D$4:$D$100003,"Jan",'Unsafe Conditions'!$F$4:$F$100003,dCrit)</f>
        <v>0</v>
      </c>
      <c r="BP12" s="22">
        <f>COUNTIFS('NC Management'!$D$4:$D$100003,"Jan",'NC Management'!$G$4:$G$100003,dCrit)</f>
        <v>0</v>
      </c>
      <c r="BQ12" s="22">
        <f>COUNTIFS('NC Management'!$M$4:$M$100003,"Closed",'NC Management'!$D$4:$D$100003,"Jan",'NC Management'!$G$4:$G$100003,dCrit)</f>
        <v>0</v>
      </c>
      <c r="BR12" s="22">
        <f>COUNTIFS('Training'!$F$4:$F$100003,"Induction",'Training'!$D$4:$D$100003,"Jan",'Training'!$G$4:$G$100003,dCrit)</f>
        <v>0</v>
      </c>
      <c r="BS12" s="22">
        <f>COUNTIFS('HSE Observations'!$E$4:$E$100003,"Safe Act",'HSE Observations'!$D$4:$D$100003,"Jan",'HSE Observations'!$G$4:$G$100003,dCrit)+COUNTIFS('HSE Observations'!$E$4:$E$100003,"Safe Condition",'HSE Observations'!$D$4:$D$100003,"Jan",'HSE Observations'!$G$4:$G$100003,dCrit)</f>
        <v>0</v>
      </c>
      <c r="BT12" s="22">
        <f>COUNTIFS('HSE Observations'!$E$4:$E$100003,"Unsafe Act",'HSE Observations'!$D$4:$D$100003,"Jan",'HSE Observations'!$G$4:$G$100003,dCrit)+COUNTIFS('HSE Observations'!$E$4:$E$100003,"Unsafe Condition",'HSE Observations'!$D$4:$D$100003,"Jan",'HSE Observations'!$G$4:$G$100003,dCrit)</f>
        <v>0</v>
      </c>
      <c r="BU12" s="22">
        <f>IFERROR(AVERAGEIFS('Emergency Drills'!$L$4:$L$100003,'Emergency Drills'!$D$4:$D$100003,"Jan"),0)</f>
        <v>0</v>
      </c>
      <c r="BV12" s="22">
        <f>IFERROR(AVERAGEIFS('Emergency Drills'!$K$4:$K$100003,'Emergency Drills'!$D$4:$D$100003,"Jan"),0)</f>
        <v>0</v>
      </c>
      <c r="BW12" s="22">
        <f>SUMIFS('Internal Audits'!$M$4:$M$100003,'Internal Audits'!$D$4:$D$100003,"Jan",'Internal Audits'!$G$4:$G$100003,dCrit)</f>
        <v>0</v>
      </c>
      <c r="BX12" s="22">
        <f>SUMIFS('External Audits'!$M$4:$M$100003,'External Audits'!$D$4:$D$100003,"Jan",'External Audits'!$G$4:$G$100003,dCrit)</f>
        <v>0</v>
      </c>
      <c r="BY12" s="22">
        <f>SUMIFS('Management Reviews'!$K$4:$K$100003,'Management Reviews'!$D$4:$D$100003,"Jan")</f>
        <v>0</v>
      </c>
      <c r="BZ12" s="22">
        <f>SUMIFS('Management Reviews'!$L$4:$L$100003,'Management Reviews'!$D$4:$D$100003,"Jan")</f>
        <v>0</v>
      </c>
      <c r="CA12" s="22">
        <f>SUMIFS('Stop Work Authority'!$J$4:$J$100003,'Stop Work Authority'!$D$4:$D$100003,"Jan",'Stop Work Authority'!$F$4:$F$100003,dCrit)</f>
        <v>0</v>
      </c>
      <c r="CB12" s="22">
        <f>SUMIFS('Training'!$M$4:$M$100003,'Training'!$D$4:$D$100003,"Jan",'Training'!$G$4:$G$100003,dCrit)</f>
        <v>0</v>
      </c>
      <c r="CC12" s="22">
        <f>SUMIFS('Workplace Inspections'!$J$4:$J$100003,'Workplace Inspections'!$D$4:$D$100003,"Jan",'Workplace Inspections'!$F$4:$F$100003,dCrit)</f>
        <v>0</v>
      </c>
      <c r="CD12" s="22">
        <f>COUNTIFS('Corrective Actions'!$O$4:$O$100003,"On-Time",'Corrective Actions'!$D$4:$D$100003,"Jan",'Corrective Actions'!$F$4:$F$100003,dCrit)</f>
        <v>0</v>
      </c>
      <c r="CE12" s="22">
        <f>COUNTIFS('Corrective Actions'!$O$4:$O$100003,"Delayed",'Corrective Actions'!$D$4:$D$100003,"Jan",'Corrective Actions'!$F$4:$F$100003,dCrit)</f>
        <v>0</v>
      </c>
      <c r="CF12" s="22">
        <f>COUNTIFS('JSA Risk Assessment'!$J$4:$J$100003,"Critical",'JSA Risk Assessment'!$D$4:$D$100003,"Jan",'JSA Risk Assessment'!$F$4:$F$100003,dCrit)</f>
        <v>0</v>
      </c>
      <c r="CG12" s="22">
        <f>COUNTIFS('JSA Risk Assessment'!$J$4:$J$100003,"High",'JSA Risk Assessment'!$D$4:$D$100003,"Jan",'JSA Risk Assessment'!$F$4:$F$100003,dCrit)</f>
        <v>0</v>
      </c>
      <c r="CH12" s="22">
        <f>COUNTIFS('JSA Risk Assessment'!$J$4:$J$100003,"Medium",'JSA Risk Assessment'!$D$4:$D$100003,"Jan",'JSA Risk Assessment'!$F$4:$F$100003,dCrit)</f>
        <v>0</v>
      </c>
      <c r="CI12" s="22">
        <f>COUNTIFS('JSA Risk Assessment'!$J$4:$J$100003,"Low",'JSA Risk Assessment'!$D$4:$D$100003,"Jan",'JSA Risk Assessment'!$F$4:$F$100003,dCrit)</f>
        <v>0</v>
      </c>
      <c r="CJ12" s="23">
        <f>IFERROR($F$12*TRIRmult/Settings!$C$13,0)</f>
        <v>0</v>
      </c>
      <c r="CK12" s="23">
        <f>IFERROR($G$12*LTIFRmult/Settings!$C$13,0)</f>
        <v>0</v>
      </c>
      <c r="CL12" s="23">
        <f>BenchTRIR</f>
        <v>0</v>
      </c>
      <c r="CM12" s="23">
        <f>BenchLTIFR</f>
        <v>0</v>
      </c>
      <c r="CN12" s="25">
        <f>IFERROR($BK$12/$BJ$12*100,0)</f>
        <v>0</v>
      </c>
      <c r="CO12" s="22">
        <f>$V$12+$R$12+$T$12+$W$12+$X$12+$AA$12+$Y$12+$AE$12+$AD$12</f>
        <v>0</v>
      </c>
      <c r="CP12" s="22">
        <f>$O$12+$BP$12+$P$12</f>
        <v>0</v>
      </c>
      <c r="CQ12" s="23">
        <f>IFERROR($CO$12/$CP$12,0)</f>
        <v>0</v>
      </c>
      <c r="DJ12" s="13" t="s">
        <v>1757</v>
      </c>
      <c r="DK12" s="23" t="s">
        <v>1930</v>
      </c>
      <c r="DL12" s="23">
        <f>IFERROR(SUMPRODUCT(Calculations!$F$12:$F$23,Calculations!$D$12:$D$23)*TRIRmult/SUMPRODUCT(ManhoursM,Calculations!$D$12:$D$23),0)</f>
        <v>0</v>
      </c>
      <c r="DM12" s="23">
        <f>IFERROR(SUMPRODUCT(Calculations!$F$12:$F$23,Calculations!$E$12:$E$23)*TRIRmult/SUMPRODUCT(ManhoursM,Calculations!$E$12:$E$23),0)</f>
        <v>0</v>
      </c>
      <c r="DN12" s="25">
        <f>IFERROR(($DL$12-$DM$12)/$DM$12,IF($DL$12&gt;0,1,0))</f>
        <v>0</v>
      </c>
      <c r="DO12" s="23">
        <f>($DL$12-$DM$12)*-1</f>
        <v>0</v>
      </c>
      <c r="DP12" s="23">
        <f>TgtTRIR</f>
        <v>0</v>
      </c>
      <c r="DQ12" s="23">
        <f>IFERROR(IF($DL$12&lt;=$DP$12,2,IF($DL$12&lt;=$DP$12/AmberBand,1,0)),1)</f>
        <v>0</v>
      </c>
      <c r="DS12" s="13" t="s">
        <v>1562</v>
      </c>
      <c r="DT12" s="22">
        <f>SUMPRODUCT(Calculations!$L$12:$L$23,Calculations!$D$12:$D$23)</f>
        <v>0</v>
      </c>
      <c r="DV12" s="23" t="s">
        <v>19</v>
      </c>
      <c r="DW12" s="22">
        <f>COUNTIFS('Incident'!$D$4:$D$100003,"Feb",'Incident'!$H$4:$H$100003,dCrit)</f>
        <v>0</v>
      </c>
      <c r="DY12" s="23">
        <f>IFERROR($BQ$12/$BP$12*100,0)</f>
        <v>0</v>
      </c>
      <c r="DZ12" s="23">
        <f>IFERROR($BK$12/$BJ$12*100,0)</f>
        <v>0</v>
      </c>
      <c r="EA12" s="23">
        <f>IFERROR($AI$12/$AJ$12*100,0)</f>
        <v>0</v>
      </c>
      <c r="EB12" s="23">
        <f>IFERROR($AK$12/$AD$12*100,0)</f>
        <v>0</v>
      </c>
      <c r="EC12" s="23">
        <f>IFERROR($S$12/$R$12*100,0)</f>
        <v>0</v>
      </c>
      <c r="ED12" s="23">
        <f>IFERROR($U$12/$T$12*100,0)</f>
        <v>0</v>
      </c>
      <c r="EE12" s="23">
        <f>IFERROR($AM$12/$AL$12*100,0)</f>
        <v>0</v>
      </c>
      <c r="EF12" s="23">
        <f>IFERROR($AR$12/$AQ$12*100,0)</f>
        <v>0</v>
      </c>
      <c r="EG12" s="23">
        <f>IFERROR($AU$12/$AT$12*100,0)</f>
        <v>0</v>
      </c>
      <c r="EH12" s="23">
        <f>IFERROR($AW$12/$AV$12*100,0)</f>
        <v>0</v>
      </c>
      <c r="EI12" s="23">
        <f>IFERROR($BD$12/$BC$12*100,0)</f>
        <v>0</v>
      </c>
      <c r="EJ12" s="23">
        <f>IFERROR($BF$12/$BG$12*100,0)</f>
        <v>0</v>
      </c>
      <c r="EK12" s="23">
        <f>IFERROR($Z$12/$Y$12*100,0)</f>
        <v>0</v>
      </c>
      <c r="EL12" s="23">
        <f>IFERROR($AC$12/$AB$12*100,0)</f>
        <v>0</v>
      </c>
      <c r="EM12" s="23">
        <f>IFERROR($BM$12/$BL$12*100,0)</f>
        <v>0</v>
      </c>
      <c r="EN12" s="23">
        <f>IFERROR($BO$12/$BN$12*100,0)</f>
        <v>0</v>
      </c>
    </row>
    <row r="13" spans="2:144">
      <c r="B13" s="23" t="s">
        <v>19</v>
      </c>
      <c r="C13" s="23">
        <v>2</v>
      </c>
      <c r="D13" s="23">
        <f>IF(Calculations!$C$10=1,IF(ROUNDUP($C$13/3,0)=Calculations!$F$10,1,0),IF($C$13=Calculations!$I$10,1,0))</f>
        <v>0</v>
      </c>
      <c r="E13" s="23">
        <f>IF(Calculations!$C$10=1,IF(ROUNDUP($C$13/3,0)=Calculations!$F$10-1,1,0),IF($C$13=Calculations!$I$10-1,1,0))</f>
        <v>0</v>
      </c>
      <c r="F13" s="22">
        <f>COUNTIFS('Incident'!$N$4:$N$100003,"Medical Treatment",'Incident'!$D$4:$D$100003,"Feb",'Incident'!$H$4:$H$100003,dCrit)+COUNTIFS('Incident'!$N$4:$N$100003,"Restricted Work",'Incident'!$D$4:$D$100003,"Feb",'Incident'!$H$4:$H$100003,dCrit)+COUNTIFS('Incident'!$N$4:$N$100003,"Lost Time Injury",'Incident'!$D$4:$D$100003,"Feb",'Incident'!$H$4:$H$100003,dCrit)+COUNTIFS('Incident'!$N$4:$N$100003,"Fatality",'Incident'!$D$4:$D$100003,"Feb",'Incident'!$H$4:$H$100003,dCrit)</f>
        <v>0</v>
      </c>
      <c r="G13" s="22">
        <f>COUNTIFS('Incident'!$N$4:$N$100003,"Lost Time Injury",'Incident'!$D$4:$D$100003,"Feb",'Incident'!$H$4:$H$100003,dCrit)+COUNTIFS('Incident'!$N$4:$N$100003,"Fatality",'Incident'!$D$4:$D$100003,"Feb",'Incident'!$H$4:$H$100003,dCrit)</f>
        <v>0</v>
      </c>
      <c r="H13" s="22">
        <f>COUNTIFS('Incident'!$N$4:$N$100003,"Near Miss",'Incident'!$D$4:$D$100003,"Feb",'Incident'!$H$4:$H$100003,dCrit)</f>
        <v>0</v>
      </c>
      <c r="I13" s="22">
        <f>COUNTIFS('Incident'!$N$4:$N$100003,"First Aid",'Incident'!$D$4:$D$100003,"Feb",'Incident'!$H$4:$H$100003,dCrit)</f>
        <v>0</v>
      </c>
      <c r="J13" s="22">
        <f>COUNTIFS('Incident'!$N$4:$N$100003,"Medical Treatment",'Incident'!$D$4:$D$100003,"Feb",'Incident'!$H$4:$H$100003,dCrit)</f>
        <v>0</v>
      </c>
      <c r="K13" s="22">
        <f>COUNTIFS('Incident'!$N$4:$N$100003,"Restricted Work",'Incident'!$D$4:$D$100003,"Feb",'Incident'!$H$4:$H$100003,dCrit)</f>
        <v>0</v>
      </c>
      <c r="L13" s="22">
        <f>COUNTIFS('Incident'!$N$4:$N$100003,"Lost Time Injury",'Incident'!$D$4:$D$100003,"Feb",'Incident'!$H$4:$H$100003,dCrit)</f>
        <v>0</v>
      </c>
      <c r="M13" s="22">
        <f>COUNTIFS('Incident'!$N$4:$N$100003,"Fatality",'Incident'!$D$4:$D$100003,"Feb",'Incident'!$H$4:$H$100003,dCrit)</f>
        <v>0</v>
      </c>
      <c r="N13" s="22">
        <f>SUMIFS('Incident'!$V$4:$V$100003,'Incident'!$D$4:$D$100003,"Feb",'Incident'!$H$4:$H$100003,dCrit)</f>
        <v>0</v>
      </c>
      <c r="O13" s="22">
        <f>COUNTIFS('Incident'!$D$4:$D$100003,"Feb",'Incident'!$H$4:$H$100003,dCrit)</f>
        <v>0</v>
      </c>
      <c r="P13" s="22">
        <f>COUNTIFS('Disciplinary Actions'!$D$4:$D$100003,"Feb",'Disciplinary Actions'!$F$4:$F$100003,dCrit)</f>
        <v>0</v>
      </c>
      <c r="Q13" s="22">
        <f>COUNTIFS('NC Management'!$M$4:$M$100003,"Open",'NC Management'!$D$4:$D$100003,"Feb",'NC Management'!$G$4:$G$100003,dCrit)+COUNTIFS('NC Management'!$M$4:$M$100003,"Overdue",'NC Management'!$D$4:$D$100003,"Feb",'NC Management'!$G$4:$G$100003,dCrit)</f>
        <v>0</v>
      </c>
      <c r="R13" s="22">
        <f>COUNTIFS('Training'!$D$4:$D$100003,"Feb",'Training'!$G$4:$G$100003,dCrit)</f>
        <v>0</v>
      </c>
      <c r="S13" s="22">
        <f>COUNTIFS('Training'!$N$4:$N$100003,"Completed",'Training'!$D$4:$D$100003,"Feb",'Training'!$G$4:$G$100003,dCrit)</f>
        <v>0</v>
      </c>
      <c r="T13" s="22">
        <f>COUNTIFS('HSE Observations'!$D$4:$D$100003,"Feb",'HSE Observations'!$G$4:$G$100003,dCrit)</f>
        <v>0</v>
      </c>
      <c r="U13" s="22">
        <f>COUNTIFS('HSE Observations'!$M$4:$M$100003,"Completed",'HSE Observations'!$D$4:$D$100003,"Feb",'HSE Observations'!$G$4:$G$100003,dCrit)</f>
        <v>0</v>
      </c>
      <c r="V13" s="22">
        <f>COUNTIFS('Toolbox Talks'!$D$4:$D$100003,"Feb",'Toolbox Talks'!$F$4:$F$100003,dCrit)</f>
        <v>0</v>
      </c>
      <c r="W13" s="22">
        <f>COUNTIFS('Workplace Inspections'!$D$4:$D$100003,"Feb",'Workplace Inspections'!$F$4:$F$100003,dCrit)+COUNTIFS('Equipment Inspections'!$D$4:$D$100003,"Feb",'Equipment Inspections'!$F$4:$F$100003,dCrit)+COUNTIFS('Safety Walkthroughs'!$D$4:$D$100003,"Feb",'Safety Walkthroughs'!$F$4:$F$100003,dCrit)</f>
        <v>0</v>
      </c>
      <c r="X13" s="22">
        <f>COUNTIFS('Internal Audits'!$D$4:$D$100003,"Feb",'Internal Audits'!$G$4:$G$100003,dCrit)+COUNTIFS('External Audits'!$D$4:$D$100003,"Feb",'External Audits'!$G$4:$G$100003,dCrit)</f>
        <v>0</v>
      </c>
      <c r="Y13" s="22">
        <f>COUNTIFS('PTW Audits'!$D$4:$D$100003,"Feb",'PTW Audits'!$F$4:$F$100003,dCrit)</f>
        <v>0</v>
      </c>
      <c r="Z13" s="22">
        <f>COUNTIFS('PTW Audits'!$M$4:$M$100003,"Compliant",'PTW Audits'!$D$4:$D$100003,"Feb",'PTW Audits'!$F$4:$F$100003,dCrit)</f>
        <v>0</v>
      </c>
      <c r="AA13" s="22">
        <f>COUNTIFS('Emergency Drills'!$D$4:$D$100003,"Feb")</f>
        <v>0</v>
      </c>
      <c r="AB13" s="22">
        <f>COUNTIFS('Corrective Actions'!$D$4:$D$100003,"Feb",'Corrective Actions'!$F$4:$F$100003,dCrit)</f>
        <v>0</v>
      </c>
      <c r="AC13" s="22">
        <f>COUNTIFS('Corrective Actions'!$N$4:$N$100003,"Completed",'Corrective Actions'!$D$4:$D$100003,"Feb",'Corrective Actions'!$F$4:$F$100003,dCrit)</f>
        <v>0</v>
      </c>
      <c r="AD13" s="22">
        <f>COUNTIFS('JSA Risk Assessment'!$D$4:$D$100003,"Feb",'JSA Risk Assessment'!$F$4:$F$100003,dCrit)</f>
        <v>0</v>
      </c>
      <c r="AE13" s="22">
        <f>COUNTIFS('Safety Meetings'!$D$4:$D$100003,"Feb",'Safety Meetings'!$G$4:$G$100003,dCrit)</f>
        <v>0</v>
      </c>
      <c r="AF13" s="22">
        <f>COUNTIFS('Unsafe Acts'!$D$4:$D$100003,"Feb",'Unsafe Acts'!$F$4:$F$100003,dCrit)+COUNTIFS('Unsafe Conditions'!$D$4:$D$100003,"Feb",'Unsafe Conditions'!$F$4:$F$100003,dCrit)</f>
        <v>0</v>
      </c>
      <c r="AG13" s="22">
        <f>COUNTIFS('Unsafe Acts'!$D$4:$D$100003,"Feb",'Unsafe Acts'!$F$4:$F$100003,dCrit)</f>
        <v>0</v>
      </c>
      <c r="AH13" s="22">
        <f>COUNTIFS('Unsafe Conditions'!$D$4:$D$100003,"Feb",'Unsafe Conditions'!$F$4:$F$100003,dCrit)</f>
        <v>0</v>
      </c>
      <c r="AI13" s="22">
        <f>SUMIFS('Toolbox Talks'!$J$4:$J$100003,'Toolbox Talks'!$D$4:$D$100003,"Feb",'Toolbox Talks'!$F$4:$F$100003,dCrit)</f>
        <v>0</v>
      </c>
      <c r="AJ13" s="22">
        <f>SUMIFS('Toolbox Talks'!$I$4:$I$100003,'Toolbox Talks'!$D$4:$D$100003,"Feb",'Toolbox Talks'!$F$4:$F$100003,dCrit)</f>
        <v>0</v>
      </c>
      <c r="AK13" s="22">
        <f>COUNTIFS('JSA Risk Assessment'!$M$4:$M$100003,"Approved",'JSA Risk Assessment'!$D$4:$D$100003,"Feb",'JSA Risk Assessment'!$F$4:$F$100003,dCrit)</f>
        <v>0</v>
      </c>
      <c r="AL13" s="22">
        <f>COUNTIFS('Workplace Inspections'!$D$4:$D$100003,"Feb",'Workplace Inspections'!$F$4:$F$100003,dCrit)</f>
        <v>0</v>
      </c>
      <c r="AM13" s="22">
        <f>COUNTIFS('Workplace Inspections'!$M$4:$M$100003,"Completed",'Workplace Inspections'!$D$4:$D$100003,"Feb",'Workplace Inspections'!$F$4:$F$100003,dCrit)</f>
        <v>0</v>
      </c>
      <c r="AN13" s="22">
        <f>COUNTIFS('Equipment Inspections'!$D$4:$D$100003,"Feb",'Equipment Inspections'!$F$4:$F$100003,dCrit)</f>
        <v>0</v>
      </c>
      <c r="AO13" s="22">
        <f>SUMIFS('Equipment Inspections'!$K$4:$K$100003,'Equipment Inspections'!$D$4:$D$100003,"Feb",'Equipment Inspections'!$F$4:$F$100003,dCrit)</f>
        <v>0</v>
      </c>
      <c r="AP13" s="22">
        <f>COUNTIFS('Safety Walkthroughs'!$D$4:$D$100003,"Feb",'Safety Walkthroughs'!$F$4:$F$100003,dCrit)</f>
        <v>0</v>
      </c>
      <c r="AQ13" s="22">
        <f>SUMIFS('Safety Meetings'!$M$4:$M$100003,'Safety Meetings'!$D$4:$D$100003,"Feb",'Safety Meetings'!$G$4:$G$100003,dCrit)</f>
        <v>0</v>
      </c>
      <c r="AR13" s="22">
        <f>SUMIFS('Safety Meetings'!$N$4:$N$100003,'Safety Meetings'!$D$4:$D$100003,"Feb",'Safety Meetings'!$G$4:$G$100003,dCrit)</f>
        <v>0</v>
      </c>
      <c r="AS13" s="22">
        <f>COUNTIFS('Safety Bulletins'!$D$4:$D$100003,"Feb")</f>
        <v>0</v>
      </c>
      <c r="AT13" s="22">
        <f>SUMIFS('Safety Bulletins'!$L$4:$L$100003,'Safety Bulletins'!$D$4:$D$100003,"Feb")</f>
        <v>0</v>
      </c>
      <c r="AU13" s="22">
        <f>SUMIFS('Safety Bulletins'!$M$4:$M$100003,'Safety Bulletins'!$D$4:$D$100003,"Feb")</f>
        <v>0</v>
      </c>
      <c r="AV13" s="22">
        <f>SUMIFS('Emergency Drills'!$H$4:$H$100003,'Emergency Drills'!$D$4:$D$100003,"Feb")</f>
        <v>0</v>
      </c>
      <c r="AW13" s="22">
        <f>SUMIFS('Emergency Drills'!$I$4:$I$100003,'Emergency Drills'!$D$4:$D$100003,"Feb")</f>
        <v>0</v>
      </c>
      <c r="AX13" s="22">
        <f>COUNTIFS('Internal Audits'!$D$4:$D$100003,"Feb",'Internal Audits'!$G$4:$G$100003,dCrit)</f>
        <v>0</v>
      </c>
      <c r="AY13" s="22">
        <f>SUMIFS('Internal Audits'!$L$4:$L$100003,'Internal Audits'!$D$4:$D$100003,"Feb",'Internal Audits'!$G$4:$G$100003,dCrit)+SUMIFS('Internal Audits'!$M$4:$M$100003,'Internal Audits'!$D$4:$D$100003,"Feb",'Internal Audits'!$G$4:$G$100003,dCrit)</f>
        <v>0</v>
      </c>
      <c r="AZ13" s="22">
        <f>COUNTIFS('External Audits'!$D$4:$D$100003,"Feb",'External Audits'!$G$4:$G$100003,dCrit)</f>
        <v>0</v>
      </c>
      <c r="BA13" s="22">
        <f>SUMIFS('External Audits'!$L$4:$L$100003,'External Audits'!$D$4:$D$100003,"Feb",'External Audits'!$G$4:$G$100003,dCrit)+SUMIFS('External Audits'!$M$4:$M$100003,'External Audits'!$D$4:$D$100003,"Feb",'External Audits'!$G$4:$G$100003,dCrit)</f>
        <v>0</v>
      </c>
      <c r="BB13" s="22">
        <f>COUNTIFS('Management Visits'!$D$4:$D$100003,"Feb",'Management Visits'!$F$4:$F$100003,dCrit)</f>
        <v>0</v>
      </c>
      <c r="BC13" s="22">
        <f>SUMIFS('Management Visits'!$K$4:$K$100003,'Management Visits'!$D$4:$D$100003,"Feb",'Management Visits'!$F$4:$F$100003,dCrit)</f>
        <v>0</v>
      </c>
      <c r="BD13" s="22">
        <f>SUMIFS('Management Visits'!$L$4:$L$100003,'Management Visits'!$D$4:$D$100003,"Feb",'Management Visits'!$F$4:$F$100003,dCrit)</f>
        <v>0</v>
      </c>
      <c r="BE13" s="22">
        <f>COUNTIFS('Management Reviews'!$D$4:$D$100003,"Feb")</f>
        <v>0</v>
      </c>
      <c r="BF13" s="22">
        <f>SUMIFS('Management Reviews'!$H$4:$H$100003,'Management Reviews'!$D$4:$D$100003,"Feb")</f>
        <v>0</v>
      </c>
      <c r="BG13" s="22">
        <f>SUMIFS('Management Reviews'!$G$4:$G$100003,'Management Reviews'!$D$4:$D$100003,"Feb")</f>
        <v>0</v>
      </c>
      <c r="BH13" s="22">
        <f>COUNTIFS('Safety Awards'!$D$4:$D$100003,"Feb",'Safety Awards'!$F$4:$F$100003,dCrit)</f>
        <v>0</v>
      </c>
      <c r="BI13" s="22">
        <f>COUNTIFS('Stop Work Authority'!$D$4:$D$100003,"Feb",'Stop Work Authority'!$F$4:$F$100003,dCrit)</f>
        <v>0</v>
      </c>
      <c r="BJ13" s="22">
        <f>COUNTIFS('Alcohol Tests'!$D$4:$D$100003,"Feb",'Alcohol Tests'!$E$4:$E$100003,dCrit)</f>
        <v>0</v>
      </c>
      <c r="BK13" s="22">
        <f>COUNTIFS('Alcohol Tests'!$H$4:$H$100003,"Positive",'Alcohol Tests'!$D$4:$D$100003,"Feb",'Alcohol Tests'!$E$4:$E$100003,dCrit)</f>
        <v>0</v>
      </c>
      <c r="BL13" s="22">
        <f>COUNTIFS('Unsafe Acts'!$D$4:$D$100003,"Feb",'Unsafe Acts'!$F$4:$F$100003,dCrit)</f>
        <v>0</v>
      </c>
      <c r="BM13" s="22">
        <f>COUNTIFS('Unsafe Acts'!$M$4:$M$100003,"Completed",'Unsafe Acts'!$D$4:$D$100003,"Feb",'Unsafe Acts'!$F$4:$F$100003,dCrit)</f>
        <v>0</v>
      </c>
      <c r="BN13" s="22">
        <f>COUNTIFS('Unsafe Conditions'!$D$4:$D$100003,"Feb",'Unsafe Conditions'!$F$4:$F$100003,dCrit)</f>
        <v>0</v>
      </c>
      <c r="BO13" s="22">
        <f>COUNTIFS('Unsafe Conditions'!$M$4:$M$100003,"Completed",'Unsafe Conditions'!$D$4:$D$100003,"Feb",'Unsafe Conditions'!$F$4:$F$100003,dCrit)</f>
        <v>0</v>
      </c>
      <c r="BP13" s="22">
        <f>COUNTIFS('NC Management'!$D$4:$D$100003,"Feb",'NC Management'!$G$4:$G$100003,dCrit)</f>
        <v>0</v>
      </c>
      <c r="BQ13" s="22">
        <f>COUNTIFS('NC Management'!$M$4:$M$100003,"Closed",'NC Management'!$D$4:$D$100003,"Feb",'NC Management'!$G$4:$G$100003,dCrit)</f>
        <v>0</v>
      </c>
      <c r="BR13" s="22">
        <f>COUNTIFS('Training'!$F$4:$F$100003,"Induction",'Training'!$D$4:$D$100003,"Feb",'Training'!$G$4:$G$100003,dCrit)</f>
        <v>0</v>
      </c>
      <c r="BS13" s="22">
        <f>COUNTIFS('HSE Observations'!$E$4:$E$100003,"Safe Act",'HSE Observations'!$D$4:$D$100003,"Feb",'HSE Observations'!$G$4:$G$100003,dCrit)+COUNTIFS('HSE Observations'!$E$4:$E$100003,"Safe Condition",'HSE Observations'!$D$4:$D$100003,"Feb",'HSE Observations'!$G$4:$G$100003,dCrit)</f>
        <v>0</v>
      </c>
      <c r="BT13" s="22">
        <f>COUNTIFS('HSE Observations'!$E$4:$E$100003,"Unsafe Act",'HSE Observations'!$D$4:$D$100003,"Feb",'HSE Observations'!$G$4:$G$100003,dCrit)+COUNTIFS('HSE Observations'!$E$4:$E$100003,"Unsafe Condition",'HSE Observations'!$D$4:$D$100003,"Feb",'HSE Observations'!$G$4:$G$100003,dCrit)</f>
        <v>0</v>
      </c>
      <c r="BU13" s="22">
        <f>IFERROR(AVERAGEIFS('Emergency Drills'!$L$4:$L$100003,'Emergency Drills'!$D$4:$D$100003,"Feb"),0)</f>
        <v>0</v>
      </c>
      <c r="BV13" s="22">
        <f>IFERROR(AVERAGEIFS('Emergency Drills'!$K$4:$K$100003,'Emergency Drills'!$D$4:$D$100003,"Feb"),0)</f>
        <v>0</v>
      </c>
      <c r="BW13" s="22">
        <f>SUMIFS('Internal Audits'!$M$4:$M$100003,'Internal Audits'!$D$4:$D$100003,"Feb",'Internal Audits'!$G$4:$G$100003,dCrit)</f>
        <v>0</v>
      </c>
      <c r="BX13" s="22">
        <f>SUMIFS('External Audits'!$M$4:$M$100003,'External Audits'!$D$4:$D$100003,"Feb",'External Audits'!$G$4:$G$100003,dCrit)</f>
        <v>0</v>
      </c>
      <c r="BY13" s="22">
        <f>SUMIFS('Management Reviews'!$K$4:$K$100003,'Management Reviews'!$D$4:$D$100003,"Feb")</f>
        <v>0</v>
      </c>
      <c r="BZ13" s="22">
        <f>SUMIFS('Management Reviews'!$L$4:$L$100003,'Management Reviews'!$D$4:$D$100003,"Feb")</f>
        <v>0</v>
      </c>
      <c r="CA13" s="22">
        <f>SUMIFS('Stop Work Authority'!$J$4:$J$100003,'Stop Work Authority'!$D$4:$D$100003,"Feb",'Stop Work Authority'!$F$4:$F$100003,dCrit)</f>
        <v>0</v>
      </c>
      <c r="CB13" s="22">
        <f>SUMIFS('Training'!$M$4:$M$100003,'Training'!$D$4:$D$100003,"Feb",'Training'!$G$4:$G$100003,dCrit)</f>
        <v>0</v>
      </c>
      <c r="CC13" s="22">
        <f>SUMIFS('Workplace Inspections'!$J$4:$J$100003,'Workplace Inspections'!$D$4:$D$100003,"Feb",'Workplace Inspections'!$F$4:$F$100003,dCrit)</f>
        <v>0</v>
      </c>
      <c r="CD13" s="22">
        <f>COUNTIFS('Corrective Actions'!$O$4:$O$100003,"On-Time",'Corrective Actions'!$D$4:$D$100003,"Feb",'Corrective Actions'!$F$4:$F$100003,dCrit)</f>
        <v>0</v>
      </c>
      <c r="CE13" s="22">
        <f>COUNTIFS('Corrective Actions'!$O$4:$O$100003,"Delayed",'Corrective Actions'!$D$4:$D$100003,"Feb",'Corrective Actions'!$F$4:$F$100003,dCrit)</f>
        <v>0</v>
      </c>
      <c r="CF13" s="22">
        <f>COUNTIFS('JSA Risk Assessment'!$J$4:$J$100003,"Critical",'JSA Risk Assessment'!$D$4:$D$100003,"Feb",'JSA Risk Assessment'!$F$4:$F$100003,dCrit)</f>
        <v>0</v>
      </c>
      <c r="CG13" s="22">
        <f>COUNTIFS('JSA Risk Assessment'!$J$4:$J$100003,"High",'JSA Risk Assessment'!$D$4:$D$100003,"Feb",'JSA Risk Assessment'!$F$4:$F$100003,dCrit)</f>
        <v>0</v>
      </c>
      <c r="CH13" s="22">
        <f>COUNTIFS('JSA Risk Assessment'!$J$4:$J$100003,"Medium",'JSA Risk Assessment'!$D$4:$D$100003,"Feb",'JSA Risk Assessment'!$F$4:$F$100003,dCrit)</f>
        <v>0</v>
      </c>
      <c r="CI13" s="22">
        <f>COUNTIFS('JSA Risk Assessment'!$J$4:$J$100003,"Low",'JSA Risk Assessment'!$D$4:$D$100003,"Feb",'JSA Risk Assessment'!$F$4:$F$100003,dCrit)</f>
        <v>0</v>
      </c>
      <c r="CJ13" s="23">
        <f>IFERROR($F$13*TRIRmult/Settings!$C$14,0)</f>
        <v>0</v>
      </c>
      <c r="CK13" s="23">
        <f>IFERROR($G$13*LTIFRmult/Settings!$C$14,0)</f>
        <v>0</v>
      </c>
      <c r="CL13" s="23">
        <f>BenchTRIR</f>
        <v>0</v>
      </c>
      <c r="CM13" s="23">
        <f>BenchLTIFR</f>
        <v>0</v>
      </c>
      <c r="CN13" s="25">
        <f>IFERROR($BK$13/$BJ$13*100,0)</f>
        <v>0</v>
      </c>
      <c r="CO13" s="22">
        <f>$V$13+$R$13+$T$13+$W$13+$X$13+$AA$13+$Y$13+$AE$13+$AD$13</f>
        <v>0</v>
      </c>
      <c r="CP13" s="22">
        <f>$O$13+$BP$13+$P$13</f>
        <v>0</v>
      </c>
      <c r="CQ13" s="23">
        <f>IFERROR($CO$13/$CP$13,0)</f>
        <v>0</v>
      </c>
      <c r="DJ13" s="13" t="s">
        <v>1759</v>
      </c>
      <c r="DK13" s="23" t="s">
        <v>1930</v>
      </c>
      <c r="DL13" s="23">
        <f>IFERROR(SUMPRODUCT(Calculations!$G$12:$G$23,Calculations!$D$12:$D$23)*LTIFRmult/SUMPRODUCT(ManhoursM,Calculations!$D$12:$D$23),0)</f>
        <v>0</v>
      </c>
      <c r="DM13" s="23">
        <f>IFERROR(SUMPRODUCT(Calculations!$G$12:$G$23,Calculations!$E$12:$E$23)*LTIFRmult/SUMPRODUCT(ManhoursM,Calculations!$E$12:$E$23),0)</f>
        <v>0</v>
      </c>
      <c r="DN13" s="25">
        <f>IFERROR(($DL$13-$DM$13)/$DM$13,IF($DL$13&gt;0,1,0))</f>
        <v>0</v>
      </c>
      <c r="DO13" s="23">
        <f>($DL$13-$DM$13)*-1</f>
        <v>0</v>
      </c>
      <c r="DP13" s="23">
        <f>TgtLTIFR</f>
        <v>0</v>
      </c>
      <c r="DQ13" s="23">
        <f>IFERROR(IF($DL$13&lt;=$DP$13,2,IF($DL$13&lt;=$DP$13/AmberBand,1,0)),1)</f>
        <v>0</v>
      </c>
      <c r="DS13" s="13" t="s">
        <v>1527</v>
      </c>
      <c r="DT13" s="22">
        <f>SUMPRODUCT(Calculations!$K$12:$K$23,Calculations!$D$12:$D$23)</f>
        <v>0</v>
      </c>
      <c r="DV13" s="23" t="s">
        <v>44</v>
      </c>
      <c r="DW13" s="22">
        <f>COUNTIFS('Incident'!$D$4:$D$100003,"Mar",'Incident'!$H$4:$H$100003,dCrit)</f>
        <v>0</v>
      </c>
      <c r="DY13" s="23">
        <f>IFERROR($BQ$13/$BP$13*100,0)</f>
        <v>0</v>
      </c>
      <c r="DZ13" s="23">
        <f>IFERROR($BK$13/$BJ$13*100,0)</f>
        <v>0</v>
      </c>
      <c r="EA13" s="23">
        <f>IFERROR($AI$13/$AJ$13*100,0)</f>
        <v>0</v>
      </c>
      <c r="EB13" s="23">
        <f>IFERROR($AK$13/$AD$13*100,0)</f>
        <v>0</v>
      </c>
      <c r="EC13" s="23">
        <f>IFERROR($S$13/$R$13*100,0)</f>
        <v>0</v>
      </c>
      <c r="ED13" s="23">
        <f>IFERROR($U$13/$T$13*100,0)</f>
        <v>0</v>
      </c>
      <c r="EE13" s="23">
        <f>IFERROR($AM$13/$AL$13*100,0)</f>
        <v>0</v>
      </c>
      <c r="EF13" s="23">
        <f>IFERROR($AR$13/$AQ$13*100,0)</f>
        <v>0</v>
      </c>
      <c r="EG13" s="23">
        <f>IFERROR($AU$13/$AT$13*100,0)</f>
        <v>0</v>
      </c>
      <c r="EH13" s="23">
        <f>IFERROR($AW$13/$AV$13*100,0)</f>
        <v>0</v>
      </c>
      <c r="EI13" s="23">
        <f>IFERROR($BD$13/$BC$13*100,0)</f>
        <v>0</v>
      </c>
      <c r="EJ13" s="23">
        <f>IFERROR($BF$13/$BG$13*100,0)</f>
        <v>0</v>
      </c>
      <c r="EK13" s="23">
        <f>IFERROR($Z$13/$Y$13*100,0)</f>
        <v>0</v>
      </c>
      <c r="EL13" s="23">
        <f>IFERROR($AC$13/$AB$13*100,0)</f>
        <v>0</v>
      </c>
      <c r="EM13" s="23">
        <f>IFERROR($BM$13/$BL$13*100,0)</f>
        <v>0</v>
      </c>
      <c r="EN13" s="23">
        <f>IFERROR($BO$13/$BN$13*100,0)</f>
        <v>0</v>
      </c>
    </row>
    <row r="14" spans="2:144">
      <c r="B14" s="23" t="s">
        <v>44</v>
      </c>
      <c r="C14" s="23">
        <v>3</v>
      </c>
      <c r="D14" s="23">
        <f>IF(Calculations!$C$10=1,IF(ROUNDUP($C$14/3,0)=Calculations!$F$10,1,0),IF($C$14=Calculations!$I$10,1,0))</f>
        <v>0</v>
      </c>
      <c r="E14" s="23">
        <f>IF(Calculations!$C$10=1,IF(ROUNDUP($C$14/3,0)=Calculations!$F$10-1,1,0),IF($C$14=Calculations!$I$10-1,1,0))</f>
        <v>0</v>
      </c>
      <c r="F14" s="22">
        <f>COUNTIFS('Incident'!$N$4:$N$100003,"Medical Treatment",'Incident'!$D$4:$D$100003,"Mar",'Incident'!$H$4:$H$100003,dCrit)+COUNTIFS('Incident'!$N$4:$N$100003,"Restricted Work",'Incident'!$D$4:$D$100003,"Mar",'Incident'!$H$4:$H$100003,dCrit)+COUNTIFS('Incident'!$N$4:$N$100003,"Lost Time Injury",'Incident'!$D$4:$D$100003,"Mar",'Incident'!$H$4:$H$100003,dCrit)+COUNTIFS('Incident'!$N$4:$N$100003,"Fatality",'Incident'!$D$4:$D$100003,"Mar",'Incident'!$H$4:$H$100003,dCrit)</f>
        <v>0</v>
      </c>
      <c r="G14" s="22">
        <f>COUNTIFS('Incident'!$N$4:$N$100003,"Lost Time Injury",'Incident'!$D$4:$D$100003,"Mar",'Incident'!$H$4:$H$100003,dCrit)+COUNTIFS('Incident'!$N$4:$N$100003,"Fatality",'Incident'!$D$4:$D$100003,"Mar",'Incident'!$H$4:$H$100003,dCrit)</f>
        <v>0</v>
      </c>
      <c r="H14" s="22">
        <f>COUNTIFS('Incident'!$N$4:$N$100003,"Near Miss",'Incident'!$D$4:$D$100003,"Mar",'Incident'!$H$4:$H$100003,dCrit)</f>
        <v>0</v>
      </c>
      <c r="I14" s="22">
        <f>COUNTIFS('Incident'!$N$4:$N$100003,"First Aid",'Incident'!$D$4:$D$100003,"Mar",'Incident'!$H$4:$H$100003,dCrit)</f>
        <v>0</v>
      </c>
      <c r="J14" s="22">
        <f>COUNTIFS('Incident'!$N$4:$N$100003,"Medical Treatment",'Incident'!$D$4:$D$100003,"Mar",'Incident'!$H$4:$H$100003,dCrit)</f>
        <v>0</v>
      </c>
      <c r="K14" s="22">
        <f>COUNTIFS('Incident'!$N$4:$N$100003,"Restricted Work",'Incident'!$D$4:$D$100003,"Mar",'Incident'!$H$4:$H$100003,dCrit)</f>
        <v>0</v>
      </c>
      <c r="L14" s="22">
        <f>COUNTIFS('Incident'!$N$4:$N$100003,"Lost Time Injury",'Incident'!$D$4:$D$100003,"Mar",'Incident'!$H$4:$H$100003,dCrit)</f>
        <v>0</v>
      </c>
      <c r="M14" s="22">
        <f>COUNTIFS('Incident'!$N$4:$N$100003,"Fatality",'Incident'!$D$4:$D$100003,"Mar",'Incident'!$H$4:$H$100003,dCrit)</f>
        <v>0</v>
      </c>
      <c r="N14" s="22">
        <f>SUMIFS('Incident'!$V$4:$V$100003,'Incident'!$D$4:$D$100003,"Mar",'Incident'!$H$4:$H$100003,dCrit)</f>
        <v>0</v>
      </c>
      <c r="O14" s="22">
        <f>COUNTIFS('Incident'!$D$4:$D$100003,"Mar",'Incident'!$H$4:$H$100003,dCrit)</f>
        <v>0</v>
      </c>
      <c r="P14" s="22">
        <f>COUNTIFS('Disciplinary Actions'!$D$4:$D$100003,"Mar",'Disciplinary Actions'!$F$4:$F$100003,dCrit)</f>
        <v>0</v>
      </c>
      <c r="Q14" s="22">
        <f>COUNTIFS('NC Management'!$M$4:$M$100003,"Open",'NC Management'!$D$4:$D$100003,"Mar",'NC Management'!$G$4:$G$100003,dCrit)+COUNTIFS('NC Management'!$M$4:$M$100003,"Overdue",'NC Management'!$D$4:$D$100003,"Mar",'NC Management'!$G$4:$G$100003,dCrit)</f>
        <v>0</v>
      </c>
      <c r="R14" s="22">
        <f>COUNTIFS('Training'!$D$4:$D$100003,"Mar",'Training'!$G$4:$G$100003,dCrit)</f>
        <v>0</v>
      </c>
      <c r="S14" s="22">
        <f>COUNTIFS('Training'!$N$4:$N$100003,"Completed",'Training'!$D$4:$D$100003,"Mar",'Training'!$G$4:$G$100003,dCrit)</f>
        <v>0</v>
      </c>
      <c r="T14" s="22">
        <f>COUNTIFS('HSE Observations'!$D$4:$D$100003,"Mar",'HSE Observations'!$G$4:$G$100003,dCrit)</f>
        <v>0</v>
      </c>
      <c r="U14" s="22">
        <f>COUNTIFS('HSE Observations'!$M$4:$M$100003,"Completed",'HSE Observations'!$D$4:$D$100003,"Mar",'HSE Observations'!$G$4:$G$100003,dCrit)</f>
        <v>0</v>
      </c>
      <c r="V14" s="22">
        <f>COUNTIFS('Toolbox Talks'!$D$4:$D$100003,"Mar",'Toolbox Talks'!$F$4:$F$100003,dCrit)</f>
        <v>0</v>
      </c>
      <c r="W14" s="22">
        <f>COUNTIFS('Workplace Inspections'!$D$4:$D$100003,"Mar",'Workplace Inspections'!$F$4:$F$100003,dCrit)+COUNTIFS('Equipment Inspections'!$D$4:$D$100003,"Mar",'Equipment Inspections'!$F$4:$F$100003,dCrit)+COUNTIFS('Safety Walkthroughs'!$D$4:$D$100003,"Mar",'Safety Walkthroughs'!$F$4:$F$100003,dCrit)</f>
        <v>0</v>
      </c>
      <c r="X14" s="22">
        <f>COUNTIFS('Internal Audits'!$D$4:$D$100003,"Mar",'Internal Audits'!$G$4:$G$100003,dCrit)+COUNTIFS('External Audits'!$D$4:$D$100003,"Mar",'External Audits'!$G$4:$G$100003,dCrit)</f>
        <v>0</v>
      </c>
      <c r="Y14" s="22">
        <f>COUNTIFS('PTW Audits'!$D$4:$D$100003,"Mar",'PTW Audits'!$F$4:$F$100003,dCrit)</f>
        <v>0</v>
      </c>
      <c r="Z14" s="22">
        <f>COUNTIFS('PTW Audits'!$M$4:$M$100003,"Compliant",'PTW Audits'!$D$4:$D$100003,"Mar",'PTW Audits'!$F$4:$F$100003,dCrit)</f>
        <v>0</v>
      </c>
      <c r="AA14" s="22">
        <f>COUNTIFS('Emergency Drills'!$D$4:$D$100003,"Mar")</f>
        <v>0</v>
      </c>
      <c r="AB14" s="22">
        <f>COUNTIFS('Corrective Actions'!$D$4:$D$100003,"Mar",'Corrective Actions'!$F$4:$F$100003,dCrit)</f>
        <v>0</v>
      </c>
      <c r="AC14" s="22">
        <f>COUNTIFS('Corrective Actions'!$N$4:$N$100003,"Completed",'Corrective Actions'!$D$4:$D$100003,"Mar",'Corrective Actions'!$F$4:$F$100003,dCrit)</f>
        <v>0</v>
      </c>
      <c r="AD14" s="22">
        <f>COUNTIFS('JSA Risk Assessment'!$D$4:$D$100003,"Mar",'JSA Risk Assessment'!$F$4:$F$100003,dCrit)</f>
        <v>0</v>
      </c>
      <c r="AE14" s="22">
        <f>COUNTIFS('Safety Meetings'!$D$4:$D$100003,"Mar",'Safety Meetings'!$G$4:$G$100003,dCrit)</f>
        <v>0</v>
      </c>
      <c r="AF14" s="22">
        <f>COUNTIFS('Unsafe Acts'!$D$4:$D$100003,"Mar",'Unsafe Acts'!$F$4:$F$100003,dCrit)+COUNTIFS('Unsafe Conditions'!$D$4:$D$100003,"Mar",'Unsafe Conditions'!$F$4:$F$100003,dCrit)</f>
        <v>0</v>
      </c>
      <c r="AG14" s="22">
        <f>COUNTIFS('Unsafe Acts'!$D$4:$D$100003,"Mar",'Unsafe Acts'!$F$4:$F$100003,dCrit)</f>
        <v>0</v>
      </c>
      <c r="AH14" s="22">
        <f>COUNTIFS('Unsafe Conditions'!$D$4:$D$100003,"Mar",'Unsafe Conditions'!$F$4:$F$100003,dCrit)</f>
        <v>0</v>
      </c>
      <c r="AI14" s="22">
        <f>SUMIFS('Toolbox Talks'!$J$4:$J$100003,'Toolbox Talks'!$D$4:$D$100003,"Mar",'Toolbox Talks'!$F$4:$F$100003,dCrit)</f>
        <v>0</v>
      </c>
      <c r="AJ14" s="22">
        <f>SUMIFS('Toolbox Talks'!$I$4:$I$100003,'Toolbox Talks'!$D$4:$D$100003,"Mar",'Toolbox Talks'!$F$4:$F$100003,dCrit)</f>
        <v>0</v>
      </c>
      <c r="AK14" s="22">
        <f>COUNTIFS('JSA Risk Assessment'!$M$4:$M$100003,"Approved",'JSA Risk Assessment'!$D$4:$D$100003,"Mar",'JSA Risk Assessment'!$F$4:$F$100003,dCrit)</f>
        <v>0</v>
      </c>
      <c r="AL14" s="22">
        <f>COUNTIFS('Workplace Inspections'!$D$4:$D$100003,"Mar",'Workplace Inspections'!$F$4:$F$100003,dCrit)</f>
        <v>0</v>
      </c>
      <c r="AM14" s="22">
        <f>COUNTIFS('Workplace Inspections'!$M$4:$M$100003,"Completed",'Workplace Inspections'!$D$4:$D$100003,"Mar",'Workplace Inspections'!$F$4:$F$100003,dCrit)</f>
        <v>0</v>
      </c>
      <c r="AN14" s="22">
        <f>COUNTIFS('Equipment Inspections'!$D$4:$D$100003,"Mar",'Equipment Inspections'!$F$4:$F$100003,dCrit)</f>
        <v>0</v>
      </c>
      <c r="AO14" s="22">
        <f>SUMIFS('Equipment Inspections'!$K$4:$K$100003,'Equipment Inspections'!$D$4:$D$100003,"Mar",'Equipment Inspections'!$F$4:$F$100003,dCrit)</f>
        <v>0</v>
      </c>
      <c r="AP14" s="22">
        <f>COUNTIFS('Safety Walkthroughs'!$D$4:$D$100003,"Mar",'Safety Walkthroughs'!$F$4:$F$100003,dCrit)</f>
        <v>0</v>
      </c>
      <c r="AQ14" s="22">
        <f>SUMIFS('Safety Meetings'!$M$4:$M$100003,'Safety Meetings'!$D$4:$D$100003,"Mar",'Safety Meetings'!$G$4:$G$100003,dCrit)</f>
        <v>0</v>
      </c>
      <c r="AR14" s="22">
        <f>SUMIFS('Safety Meetings'!$N$4:$N$100003,'Safety Meetings'!$D$4:$D$100003,"Mar",'Safety Meetings'!$G$4:$G$100003,dCrit)</f>
        <v>0</v>
      </c>
      <c r="AS14" s="22">
        <f>COUNTIFS('Safety Bulletins'!$D$4:$D$100003,"Mar")</f>
        <v>0</v>
      </c>
      <c r="AT14" s="22">
        <f>SUMIFS('Safety Bulletins'!$L$4:$L$100003,'Safety Bulletins'!$D$4:$D$100003,"Mar")</f>
        <v>0</v>
      </c>
      <c r="AU14" s="22">
        <f>SUMIFS('Safety Bulletins'!$M$4:$M$100003,'Safety Bulletins'!$D$4:$D$100003,"Mar")</f>
        <v>0</v>
      </c>
      <c r="AV14" s="22">
        <f>SUMIFS('Emergency Drills'!$H$4:$H$100003,'Emergency Drills'!$D$4:$D$100003,"Mar")</f>
        <v>0</v>
      </c>
      <c r="AW14" s="22">
        <f>SUMIFS('Emergency Drills'!$I$4:$I$100003,'Emergency Drills'!$D$4:$D$100003,"Mar")</f>
        <v>0</v>
      </c>
      <c r="AX14" s="22">
        <f>COUNTIFS('Internal Audits'!$D$4:$D$100003,"Mar",'Internal Audits'!$G$4:$G$100003,dCrit)</f>
        <v>0</v>
      </c>
      <c r="AY14" s="22">
        <f>SUMIFS('Internal Audits'!$L$4:$L$100003,'Internal Audits'!$D$4:$D$100003,"Mar",'Internal Audits'!$G$4:$G$100003,dCrit)+SUMIFS('Internal Audits'!$M$4:$M$100003,'Internal Audits'!$D$4:$D$100003,"Mar",'Internal Audits'!$G$4:$G$100003,dCrit)</f>
        <v>0</v>
      </c>
      <c r="AZ14" s="22">
        <f>COUNTIFS('External Audits'!$D$4:$D$100003,"Mar",'External Audits'!$G$4:$G$100003,dCrit)</f>
        <v>0</v>
      </c>
      <c r="BA14" s="22">
        <f>SUMIFS('External Audits'!$L$4:$L$100003,'External Audits'!$D$4:$D$100003,"Mar",'External Audits'!$G$4:$G$100003,dCrit)+SUMIFS('External Audits'!$M$4:$M$100003,'External Audits'!$D$4:$D$100003,"Mar",'External Audits'!$G$4:$G$100003,dCrit)</f>
        <v>0</v>
      </c>
      <c r="BB14" s="22">
        <f>COUNTIFS('Management Visits'!$D$4:$D$100003,"Mar",'Management Visits'!$F$4:$F$100003,dCrit)</f>
        <v>0</v>
      </c>
      <c r="BC14" s="22">
        <f>SUMIFS('Management Visits'!$K$4:$K$100003,'Management Visits'!$D$4:$D$100003,"Mar",'Management Visits'!$F$4:$F$100003,dCrit)</f>
        <v>0</v>
      </c>
      <c r="BD14" s="22">
        <f>SUMIFS('Management Visits'!$L$4:$L$100003,'Management Visits'!$D$4:$D$100003,"Mar",'Management Visits'!$F$4:$F$100003,dCrit)</f>
        <v>0</v>
      </c>
      <c r="BE14" s="22">
        <f>COUNTIFS('Management Reviews'!$D$4:$D$100003,"Mar")</f>
        <v>0</v>
      </c>
      <c r="BF14" s="22">
        <f>SUMIFS('Management Reviews'!$H$4:$H$100003,'Management Reviews'!$D$4:$D$100003,"Mar")</f>
        <v>0</v>
      </c>
      <c r="BG14" s="22">
        <f>SUMIFS('Management Reviews'!$G$4:$G$100003,'Management Reviews'!$D$4:$D$100003,"Mar")</f>
        <v>0</v>
      </c>
      <c r="BH14" s="22">
        <f>COUNTIFS('Safety Awards'!$D$4:$D$100003,"Mar",'Safety Awards'!$F$4:$F$100003,dCrit)</f>
        <v>0</v>
      </c>
      <c r="BI14" s="22">
        <f>COUNTIFS('Stop Work Authority'!$D$4:$D$100003,"Mar",'Stop Work Authority'!$F$4:$F$100003,dCrit)</f>
        <v>0</v>
      </c>
      <c r="BJ14" s="22">
        <f>COUNTIFS('Alcohol Tests'!$D$4:$D$100003,"Mar",'Alcohol Tests'!$E$4:$E$100003,dCrit)</f>
        <v>0</v>
      </c>
      <c r="BK14" s="22">
        <f>COUNTIFS('Alcohol Tests'!$H$4:$H$100003,"Positive",'Alcohol Tests'!$D$4:$D$100003,"Mar",'Alcohol Tests'!$E$4:$E$100003,dCrit)</f>
        <v>0</v>
      </c>
      <c r="BL14" s="22">
        <f>COUNTIFS('Unsafe Acts'!$D$4:$D$100003,"Mar",'Unsafe Acts'!$F$4:$F$100003,dCrit)</f>
        <v>0</v>
      </c>
      <c r="BM14" s="22">
        <f>COUNTIFS('Unsafe Acts'!$M$4:$M$100003,"Completed",'Unsafe Acts'!$D$4:$D$100003,"Mar",'Unsafe Acts'!$F$4:$F$100003,dCrit)</f>
        <v>0</v>
      </c>
      <c r="BN14" s="22">
        <f>COUNTIFS('Unsafe Conditions'!$D$4:$D$100003,"Mar",'Unsafe Conditions'!$F$4:$F$100003,dCrit)</f>
        <v>0</v>
      </c>
      <c r="BO14" s="22">
        <f>COUNTIFS('Unsafe Conditions'!$M$4:$M$100003,"Completed",'Unsafe Conditions'!$D$4:$D$100003,"Mar",'Unsafe Conditions'!$F$4:$F$100003,dCrit)</f>
        <v>0</v>
      </c>
      <c r="BP14" s="22">
        <f>COUNTIFS('NC Management'!$D$4:$D$100003,"Mar",'NC Management'!$G$4:$G$100003,dCrit)</f>
        <v>0</v>
      </c>
      <c r="BQ14" s="22">
        <f>COUNTIFS('NC Management'!$M$4:$M$100003,"Closed",'NC Management'!$D$4:$D$100003,"Mar",'NC Management'!$G$4:$G$100003,dCrit)</f>
        <v>0</v>
      </c>
      <c r="BR14" s="22">
        <f>COUNTIFS('Training'!$F$4:$F$100003,"Induction",'Training'!$D$4:$D$100003,"Mar",'Training'!$G$4:$G$100003,dCrit)</f>
        <v>0</v>
      </c>
      <c r="BS14" s="22">
        <f>COUNTIFS('HSE Observations'!$E$4:$E$100003,"Safe Act",'HSE Observations'!$D$4:$D$100003,"Mar",'HSE Observations'!$G$4:$G$100003,dCrit)+COUNTIFS('HSE Observations'!$E$4:$E$100003,"Safe Condition",'HSE Observations'!$D$4:$D$100003,"Mar",'HSE Observations'!$G$4:$G$100003,dCrit)</f>
        <v>0</v>
      </c>
      <c r="BT14" s="22">
        <f>COUNTIFS('HSE Observations'!$E$4:$E$100003,"Unsafe Act",'HSE Observations'!$D$4:$D$100003,"Mar",'HSE Observations'!$G$4:$G$100003,dCrit)+COUNTIFS('HSE Observations'!$E$4:$E$100003,"Unsafe Condition",'HSE Observations'!$D$4:$D$100003,"Mar",'HSE Observations'!$G$4:$G$100003,dCrit)</f>
        <v>0</v>
      </c>
      <c r="BU14" s="22">
        <f>IFERROR(AVERAGEIFS('Emergency Drills'!$L$4:$L$100003,'Emergency Drills'!$D$4:$D$100003,"Mar"),0)</f>
        <v>0</v>
      </c>
      <c r="BV14" s="22">
        <f>IFERROR(AVERAGEIFS('Emergency Drills'!$K$4:$K$100003,'Emergency Drills'!$D$4:$D$100003,"Mar"),0)</f>
        <v>0</v>
      </c>
      <c r="BW14" s="22">
        <f>SUMIFS('Internal Audits'!$M$4:$M$100003,'Internal Audits'!$D$4:$D$100003,"Mar",'Internal Audits'!$G$4:$G$100003,dCrit)</f>
        <v>0</v>
      </c>
      <c r="BX14" s="22">
        <f>SUMIFS('External Audits'!$M$4:$M$100003,'External Audits'!$D$4:$D$100003,"Mar",'External Audits'!$G$4:$G$100003,dCrit)</f>
        <v>0</v>
      </c>
      <c r="BY14" s="22">
        <f>SUMIFS('Management Reviews'!$K$4:$K$100003,'Management Reviews'!$D$4:$D$100003,"Mar")</f>
        <v>0</v>
      </c>
      <c r="BZ14" s="22">
        <f>SUMIFS('Management Reviews'!$L$4:$L$100003,'Management Reviews'!$D$4:$D$100003,"Mar")</f>
        <v>0</v>
      </c>
      <c r="CA14" s="22">
        <f>SUMIFS('Stop Work Authority'!$J$4:$J$100003,'Stop Work Authority'!$D$4:$D$100003,"Mar",'Stop Work Authority'!$F$4:$F$100003,dCrit)</f>
        <v>0</v>
      </c>
      <c r="CB14" s="22">
        <f>SUMIFS('Training'!$M$4:$M$100003,'Training'!$D$4:$D$100003,"Mar",'Training'!$G$4:$G$100003,dCrit)</f>
        <v>0</v>
      </c>
      <c r="CC14" s="22">
        <f>SUMIFS('Workplace Inspections'!$J$4:$J$100003,'Workplace Inspections'!$D$4:$D$100003,"Mar",'Workplace Inspections'!$F$4:$F$100003,dCrit)</f>
        <v>0</v>
      </c>
      <c r="CD14" s="22">
        <f>COUNTIFS('Corrective Actions'!$O$4:$O$100003,"On-Time",'Corrective Actions'!$D$4:$D$100003,"Mar",'Corrective Actions'!$F$4:$F$100003,dCrit)</f>
        <v>0</v>
      </c>
      <c r="CE14" s="22">
        <f>COUNTIFS('Corrective Actions'!$O$4:$O$100003,"Delayed",'Corrective Actions'!$D$4:$D$100003,"Mar",'Corrective Actions'!$F$4:$F$100003,dCrit)</f>
        <v>0</v>
      </c>
      <c r="CF14" s="22">
        <f>COUNTIFS('JSA Risk Assessment'!$J$4:$J$100003,"Critical",'JSA Risk Assessment'!$D$4:$D$100003,"Mar",'JSA Risk Assessment'!$F$4:$F$100003,dCrit)</f>
        <v>0</v>
      </c>
      <c r="CG14" s="22">
        <f>COUNTIFS('JSA Risk Assessment'!$J$4:$J$100003,"High",'JSA Risk Assessment'!$D$4:$D$100003,"Mar",'JSA Risk Assessment'!$F$4:$F$100003,dCrit)</f>
        <v>0</v>
      </c>
      <c r="CH14" s="22">
        <f>COUNTIFS('JSA Risk Assessment'!$J$4:$J$100003,"Medium",'JSA Risk Assessment'!$D$4:$D$100003,"Mar",'JSA Risk Assessment'!$F$4:$F$100003,dCrit)</f>
        <v>0</v>
      </c>
      <c r="CI14" s="22">
        <f>COUNTIFS('JSA Risk Assessment'!$J$4:$J$100003,"Low",'JSA Risk Assessment'!$D$4:$D$100003,"Mar",'JSA Risk Assessment'!$F$4:$F$100003,dCrit)</f>
        <v>0</v>
      </c>
      <c r="CJ14" s="23">
        <f>IFERROR($F$14*TRIRmult/Settings!$C$15,0)</f>
        <v>0</v>
      </c>
      <c r="CK14" s="23">
        <f>IFERROR($G$14*LTIFRmult/Settings!$C$15,0)</f>
        <v>0</v>
      </c>
      <c r="CL14" s="23">
        <f>BenchTRIR</f>
        <v>0</v>
      </c>
      <c r="CM14" s="23">
        <f>BenchLTIFR</f>
        <v>0</v>
      </c>
      <c r="CN14" s="25">
        <f>IFERROR($BK$14/$BJ$14*100,0)</f>
        <v>0</v>
      </c>
      <c r="CO14" s="22">
        <f>$V$14+$R$14+$T$14+$W$14+$X$14+$AA$14+$Y$14+$AE$14+$AD$14</f>
        <v>0</v>
      </c>
      <c r="CP14" s="22">
        <f>$O$14+$BP$14+$P$14</f>
        <v>0</v>
      </c>
      <c r="CQ14" s="23">
        <f>IFERROR($CO$14/$CP$14,0)</f>
        <v>0</v>
      </c>
      <c r="DJ14" s="13" t="s">
        <v>1931</v>
      </c>
      <c r="DK14" s="23" t="s">
        <v>1930</v>
      </c>
      <c r="DL14" s="22">
        <f>SUMPRODUCT(Calculations!$O$12:$O$23,Calculations!$D$12:$D$23)</f>
        <v>0</v>
      </c>
      <c r="DM14" s="22">
        <f>SUMPRODUCT(Calculations!$O$12:$O$23,Calculations!$E$12:$E$23)</f>
        <v>0</v>
      </c>
      <c r="DN14" s="25">
        <f>IFERROR(($DL$14-$DM$14)/$DM$14,IF($DL$14&gt;0,1,0))</f>
        <v>0</v>
      </c>
      <c r="DO14" s="23">
        <f>($DL$14-$DM$14)*-1</f>
        <v>0</v>
      </c>
      <c r="DP14" s="22">
        <f>IFERROR(AVERAGE(Calculations!$O$12:$O$23)*SUM(Calculations!$D$12:$D$23),0)</f>
        <v>0</v>
      </c>
      <c r="DQ14" s="23">
        <f>IFERROR(IF($DL$14&lt;=$DP$14,2,IF($DL$14&lt;=$DP$14/AmberBand,1,0)),1)</f>
        <v>0</v>
      </c>
      <c r="DS14" s="13" t="s">
        <v>1518</v>
      </c>
      <c r="DT14" s="22">
        <f>SUMPRODUCT(Calculations!$J$12:$J$23,Calculations!$D$12:$D$23)</f>
        <v>0</v>
      </c>
      <c r="DV14" s="23" t="s">
        <v>53</v>
      </c>
      <c r="DW14" s="22">
        <f>COUNTIFS('Incident'!$D$4:$D$100003,"Apr",'Incident'!$H$4:$H$100003,dCrit)</f>
        <v>0</v>
      </c>
      <c r="DY14" s="23">
        <f>IFERROR($BQ$14/$BP$14*100,0)</f>
        <v>0</v>
      </c>
      <c r="DZ14" s="23">
        <f>IFERROR($BK$14/$BJ$14*100,0)</f>
        <v>0</v>
      </c>
      <c r="EA14" s="23">
        <f>IFERROR($AI$14/$AJ$14*100,0)</f>
        <v>0</v>
      </c>
      <c r="EB14" s="23">
        <f>IFERROR($AK$14/$AD$14*100,0)</f>
        <v>0</v>
      </c>
      <c r="EC14" s="23">
        <f>IFERROR($S$14/$R$14*100,0)</f>
        <v>0</v>
      </c>
      <c r="ED14" s="23">
        <f>IFERROR($U$14/$T$14*100,0)</f>
        <v>0</v>
      </c>
      <c r="EE14" s="23">
        <f>IFERROR($AM$14/$AL$14*100,0)</f>
        <v>0</v>
      </c>
      <c r="EF14" s="23">
        <f>IFERROR($AR$14/$AQ$14*100,0)</f>
        <v>0</v>
      </c>
      <c r="EG14" s="23">
        <f>IFERROR($AU$14/$AT$14*100,0)</f>
        <v>0</v>
      </c>
      <c r="EH14" s="23">
        <f>IFERROR($AW$14/$AV$14*100,0)</f>
        <v>0</v>
      </c>
      <c r="EI14" s="23">
        <f>IFERROR($BD$14/$BC$14*100,0)</f>
        <v>0</v>
      </c>
      <c r="EJ14" s="23">
        <f>IFERROR($BF$14/$BG$14*100,0)</f>
        <v>0</v>
      </c>
      <c r="EK14" s="23">
        <f>IFERROR($Z$14/$Y$14*100,0)</f>
        <v>0</v>
      </c>
      <c r="EL14" s="23">
        <f>IFERROR($AC$14/$AB$14*100,0)</f>
        <v>0</v>
      </c>
      <c r="EM14" s="23">
        <f>IFERROR($BM$14/$BL$14*100,0)</f>
        <v>0</v>
      </c>
      <c r="EN14" s="23">
        <f>IFERROR($BO$14/$BN$14*100,0)</f>
        <v>0</v>
      </c>
    </row>
    <row r="15" spans="2:144">
      <c r="B15" s="23" t="s">
        <v>53</v>
      </c>
      <c r="C15" s="23">
        <v>4</v>
      </c>
      <c r="D15" s="23">
        <f>IF(Calculations!$C$10=1,IF(ROUNDUP($C$15/3,0)=Calculations!$F$10,1,0),IF($C$15=Calculations!$I$10,1,0))</f>
        <v>0</v>
      </c>
      <c r="E15" s="23">
        <f>IF(Calculations!$C$10=1,IF(ROUNDUP($C$15/3,0)=Calculations!$F$10-1,1,0),IF($C$15=Calculations!$I$10-1,1,0))</f>
        <v>0</v>
      </c>
      <c r="F15" s="22">
        <f>COUNTIFS('Incident'!$N$4:$N$100003,"Medical Treatment",'Incident'!$D$4:$D$100003,"Apr",'Incident'!$H$4:$H$100003,dCrit)+COUNTIFS('Incident'!$N$4:$N$100003,"Restricted Work",'Incident'!$D$4:$D$100003,"Apr",'Incident'!$H$4:$H$100003,dCrit)+COUNTIFS('Incident'!$N$4:$N$100003,"Lost Time Injury",'Incident'!$D$4:$D$100003,"Apr",'Incident'!$H$4:$H$100003,dCrit)+COUNTIFS('Incident'!$N$4:$N$100003,"Fatality",'Incident'!$D$4:$D$100003,"Apr",'Incident'!$H$4:$H$100003,dCrit)</f>
        <v>0</v>
      </c>
      <c r="G15" s="22">
        <f>COUNTIFS('Incident'!$N$4:$N$100003,"Lost Time Injury",'Incident'!$D$4:$D$100003,"Apr",'Incident'!$H$4:$H$100003,dCrit)+COUNTIFS('Incident'!$N$4:$N$100003,"Fatality",'Incident'!$D$4:$D$100003,"Apr",'Incident'!$H$4:$H$100003,dCrit)</f>
        <v>0</v>
      </c>
      <c r="H15" s="22">
        <f>COUNTIFS('Incident'!$N$4:$N$100003,"Near Miss",'Incident'!$D$4:$D$100003,"Apr",'Incident'!$H$4:$H$100003,dCrit)</f>
        <v>0</v>
      </c>
      <c r="I15" s="22">
        <f>COUNTIFS('Incident'!$N$4:$N$100003,"First Aid",'Incident'!$D$4:$D$100003,"Apr",'Incident'!$H$4:$H$100003,dCrit)</f>
        <v>0</v>
      </c>
      <c r="J15" s="22">
        <f>COUNTIFS('Incident'!$N$4:$N$100003,"Medical Treatment",'Incident'!$D$4:$D$100003,"Apr",'Incident'!$H$4:$H$100003,dCrit)</f>
        <v>0</v>
      </c>
      <c r="K15" s="22">
        <f>COUNTIFS('Incident'!$N$4:$N$100003,"Restricted Work",'Incident'!$D$4:$D$100003,"Apr",'Incident'!$H$4:$H$100003,dCrit)</f>
        <v>0</v>
      </c>
      <c r="L15" s="22">
        <f>COUNTIFS('Incident'!$N$4:$N$100003,"Lost Time Injury",'Incident'!$D$4:$D$100003,"Apr",'Incident'!$H$4:$H$100003,dCrit)</f>
        <v>0</v>
      </c>
      <c r="M15" s="22">
        <f>COUNTIFS('Incident'!$N$4:$N$100003,"Fatality",'Incident'!$D$4:$D$100003,"Apr",'Incident'!$H$4:$H$100003,dCrit)</f>
        <v>0</v>
      </c>
      <c r="N15" s="22">
        <f>SUMIFS('Incident'!$V$4:$V$100003,'Incident'!$D$4:$D$100003,"Apr",'Incident'!$H$4:$H$100003,dCrit)</f>
        <v>0</v>
      </c>
      <c r="O15" s="22">
        <f>COUNTIFS('Incident'!$D$4:$D$100003,"Apr",'Incident'!$H$4:$H$100003,dCrit)</f>
        <v>0</v>
      </c>
      <c r="P15" s="22">
        <f>COUNTIFS('Disciplinary Actions'!$D$4:$D$100003,"Apr",'Disciplinary Actions'!$F$4:$F$100003,dCrit)</f>
        <v>0</v>
      </c>
      <c r="Q15" s="22">
        <f>COUNTIFS('NC Management'!$M$4:$M$100003,"Open",'NC Management'!$D$4:$D$100003,"Apr",'NC Management'!$G$4:$G$100003,dCrit)+COUNTIFS('NC Management'!$M$4:$M$100003,"Overdue",'NC Management'!$D$4:$D$100003,"Apr",'NC Management'!$G$4:$G$100003,dCrit)</f>
        <v>0</v>
      </c>
      <c r="R15" s="22">
        <f>COUNTIFS('Training'!$D$4:$D$100003,"Apr",'Training'!$G$4:$G$100003,dCrit)</f>
        <v>0</v>
      </c>
      <c r="S15" s="22">
        <f>COUNTIFS('Training'!$N$4:$N$100003,"Completed",'Training'!$D$4:$D$100003,"Apr",'Training'!$G$4:$G$100003,dCrit)</f>
        <v>0</v>
      </c>
      <c r="T15" s="22">
        <f>COUNTIFS('HSE Observations'!$D$4:$D$100003,"Apr",'HSE Observations'!$G$4:$G$100003,dCrit)</f>
        <v>0</v>
      </c>
      <c r="U15" s="22">
        <f>COUNTIFS('HSE Observations'!$M$4:$M$100003,"Completed",'HSE Observations'!$D$4:$D$100003,"Apr",'HSE Observations'!$G$4:$G$100003,dCrit)</f>
        <v>0</v>
      </c>
      <c r="V15" s="22">
        <f>COUNTIFS('Toolbox Talks'!$D$4:$D$100003,"Apr",'Toolbox Talks'!$F$4:$F$100003,dCrit)</f>
        <v>0</v>
      </c>
      <c r="W15" s="22">
        <f>COUNTIFS('Workplace Inspections'!$D$4:$D$100003,"Apr",'Workplace Inspections'!$F$4:$F$100003,dCrit)+COUNTIFS('Equipment Inspections'!$D$4:$D$100003,"Apr",'Equipment Inspections'!$F$4:$F$100003,dCrit)+COUNTIFS('Safety Walkthroughs'!$D$4:$D$100003,"Apr",'Safety Walkthroughs'!$F$4:$F$100003,dCrit)</f>
        <v>0</v>
      </c>
      <c r="X15" s="22">
        <f>COUNTIFS('Internal Audits'!$D$4:$D$100003,"Apr",'Internal Audits'!$G$4:$G$100003,dCrit)+COUNTIFS('External Audits'!$D$4:$D$100003,"Apr",'External Audits'!$G$4:$G$100003,dCrit)</f>
        <v>0</v>
      </c>
      <c r="Y15" s="22">
        <f>COUNTIFS('PTW Audits'!$D$4:$D$100003,"Apr",'PTW Audits'!$F$4:$F$100003,dCrit)</f>
        <v>0</v>
      </c>
      <c r="Z15" s="22">
        <f>COUNTIFS('PTW Audits'!$M$4:$M$100003,"Compliant",'PTW Audits'!$D$4:$D$100003,"Apr",'PTW Audits'!$F$4:$F$100003,dCrit)</f>
        <v>0</v>
      </c>
      <c r="AA15" s="22">
        <f>COUNTIFS('Emergency Drills'!$D$4:$D$100003,"Apr")</f>
        <v>0</v>
      </c>
      <c r="AB15" s="22">
        <f>COUNTIFS('Corrective Actions'!$D$4:$D$100003,"Apr",'Corrective Actions'!$F$4:$F$100003,dCrit)</f>
        <v>0</v>
      </c>
      <c r="AC15" s="22">
        <f>COUNTIFS('Corrective Actions'!$N$4:$N$100003,"Completed",'Corrective Actions'!$D$4:$D$100003,"Apr",'Corrective Actions'!$F$4:$F$100003,dCrit)</f>
        <v>0</v>
      </c>
      <c r="AD15" s="22">
        <f>COUNTIFS('JSA Risk Assessment'!$D$4:$D$100003,"Apr",'JSA Risk Assessment'!$F$4:$F$100003,dCrit)</f>
        <v>0</v>
      </c>
      <c r="AE15" s="22">
        <f>COUNTIFS('Safety Meetings'!$D$4:$D$100003,"Apr",'Safety Meetings'!$G$4:$G$100003,dCrit)</f>
        <v>0</v>
      </c>
      <c r="AF15" s="22">
        <f>COUNTIFS('Unsafe Acts'!$D$4:$D$100003,"Apr",'Unsafe Acts'!$F$4:$F$100003,dCrit)+COUNTIFS('Unsafe Conditions'!$D$4:$D$100003,"Apr",'Unsafe Conditions'!$F$4:$F$100003,dCrit)</f>
        <v>0</v>
      </c>
      <c r="AG15" s="22">
        <f>COUNTIFS('Unsafe Acts'!$D$4:$D$100003,"Apr",'Unsafe Acts'!$F$4:$F$100003,dCrit)</f>
        <v>0</v>
      </c>
      <c r="AH15" s="22">
        <f>COUNTIFS('Unsafe Conditions'!$D$4:$D$100003,"Apr",'Unsafe Conditions'!$F$4:$F$100003,dCrit)</f>
        <v>0</v>
      </c>
      <c r="AI15" s="22">
        <f>SUMIFS('Toolbox Talks'!$J$4:$J$100003,'Toolbox Talks'!$D$4:$D$100003,"Apr",'Toolbox Talks'!$F$4:$F$100003,dCrit)</f>
        <v>0</v>
      </c>
      <c r="AJ15" s="22">
        <f>SUMIFS('Toolbox Talks'!$I$4:$I$100003,'Toolbox Talks'!$D$4:$D$100003,"Apr",'Toolbox Talks'!$F$4:$F$100003,dCrit)</f>
        <v>0</v>
      </c>
      <c r="AK15" s="22">
        <f>COUNTIFS('JSA Risk Assessment'!$M$4:$M$100003,"Approved",'JSA Risk Assessment'!$D$4:$D$100003,"Apr",'JSA Risk Assessment'!$F$4:$F$100003,dCrit)</f>
        <v>0</v>
      </c>
      <c r="AL15" s="22">
        <f>COUNTIFS('Workplace Inspections'!$D$4:$D$100003,"Apr",'Workplace Inspections'!$F$4:$F$100003,dCrit)</f>
        <v>0</v>
      </c>
      <c r="AM15" s="22">
        <f>COUNTIFS('Workplace Inspections'!$M$4:$M$100003,"Completed",'Workplace Inspections'!$D$4:$D$100003,"Apr",'Workplace Inspections'!$F$4:$F$100003,dCrit)</f>
        <v>0</v>
      </c>
      <c r="AN15" s="22">
        <f>COUNTIFS('Equipment Inspections'!$D$4:$D$100003,"Apr",'Equipment Inspections'!$F$4:$F$100003,dCrit)</f>
        <v>0</v>
      </c>
      <c r="AO15" s="22">
        <f>SUMIFS('Equipment Inspections'!$K$4:$K$100003,'Equipment Inspections'!$D$4:$D$100003,"Apr",'Equipment Inspections'!$F$4:$F$100003,dCrit)</f>
        <v>0</v>
      </c>
      <c r="AP15" s="22">
        <f>COUNTIFS('Safety Walkthroughs'!$D$4:$D$100003,"Apr",'Safety Walkthroughs'!$F$4:$F$100003,dCrit)</f>
        <v>0</v>
      </c>
      <c r="AQ15" s="22">
        <f>SUMIFS('Safety Meetings'!$M$4:$M$100003,'Safety Meetings'!$D$4:$D$100003,"Apr",'Safety Meetings'!$G$4:$G$100003,dCrit)</f>
        <v>0</v>
      </c>
      <c r="AR15" s="22">
        <f>SUMIFS('Safety Meetings'!$N$4:$N$100003,'Safety Meetings'!$D$4:$D$100003,"Apr",'Safety Meetings'!$G$4:$G$100003,dCrit)</f>
        <v>0</v>
      </c>
      <c r="AS15" s="22">
        <f>COUNTIFS('Safety Bulletins'!$D$4:$D$100003,"Apr")</f>
        <v>0</v>
      </c>
      <c r="AT15" s="22">
        <f>SUMIFS('Safety Bulletins'!$L$4:$L$100003,'Safety Bulletins'!$D$4:$D$100003,"Apr")</f>
        <v>0</v>
      </c>
      <c r="AU15" s="22">
        <f>SUMIFS('Safety Bulletins'!$M$4:$M$100003,'Safety Bulletins'!$D$4:$D$100003,"Apr")</f>
        <v>0</v>
      </c>
      <c r="AV15" s="22">
        <f>SUMIFS('Emergency Drills'!$H$4:$H$100003,'Emergency Drills'!$D$4:$D$100003,"Apr")</f>
        <v>0</v>
      </c>
      <c r="AW15" s="22">
        <f>SUMIFS('Emergency Drills'!$I$4:$I$100003,'Emergency Drills'!$D$4:$D$100003,"Apr")</f>
        <v>0</v>
      </c>
      <c r="AX15" s="22">
        <f>COUNTIFS('Internal Audits'!$D$4:$D$100003,"Apr",'Internal Audits'!$G$4:$G$100003,dCrit)</f>
        <v>0</v>
      </c>
      <c r="AY15" s="22">
        <f>SUMIFS('Internal Audits'!$L$4:$L$100003,'Internal Audits'!$D$4:$D$100003,"Apr",'Internal Audits'!$G$4:$G$100003,dCrit)+SUMIFS('Internal Audits'!$M$4:$M$100003,'Internal Audits'!$D$4:$D$100003,"Apr",'Internal Audits'!$G$4:$G$100003,dCrit)</f>
        <v>0</v>
      </c>
      <c r="AZ15" s="22">
        <f>COUNTIFS('External Audits'!$D$4:$D$100003,"Apr",'External Audits'!$G$4:$G$100003,dCrit)</f>
        <v>0</v>
      </c>
      <c r="BA15" s="22">
        <f>SUMIFS('External Audits'!$L$4:$L$100003,'External Audits'!$D$4:$D$100003,"Apr",'External Audits'!$G$4:$G$100003,dCrit)+SUMIFS('External Audits'!$M$4:$M$100003,'External Audits'!$D$4:$D$100003,"Apr",'External Audits'!$G$4:$G$100003,dCrit)</f>
        <v>0</v>
      </c>
      <c r="BB15" s="22">
        <f>COUNTIFS('Management Visits'!$D$4:$D$100003,"Apr",'Management Visits'!$F$4:$F$100003,dCrit)</f>
        <v>0</v>
      </c>
      <c r="BC15" s="22">
        <f>SUMIFS('Management Visits'!$K$4:$K$100003,'Management Visits'!$D$4:$D$100003,"Apr",'Management Visits'!$F$4:$F$100003,dCrit)</f>
        <v>0</v>
      </c>
      <c r="BD15" s="22">
        <f>SUMIFS('Management Visits'!$L$4:$L$100003,'Management Visits'!$D$4:$D$100003,"Apr",'Management Visits'!$F$4:$F$100003,dCrit)</f>
        <v>0</v>
      </c>
      <c r="BE15" s="22">
        <f>COUNTIFS('Management Reviews'!$D$4:$D$100003,"Apr")</f>
        <v>0</v>
      </c>
      <c r="BF15" s="22">
        <f>SUMIFS('Management Reviews'!$H$4:$H$100003,'Management Reviews'!$D$4:$D$100003,"Apr")</f>
        <v>0</v>
      </c>
      <c r="BG15" s="22">
        <f>SUMIFS('Management Reviews'!$G$4:$G$100003,'Management Reviews'!$D$4:$D$100003,"Apr")</f>
        <v>0</v>
      </c>
      <c r="BH15" s="22">
        <f>COUNTIFS('Safety Awards'!$D$4:$D$100003,"Apr",'Safety Awards'!$F$4:$F$100003,dCrit)</f>
        <v>0</v>
      </c>
      <c r="BI15" s="22">
        <f>COUNTIFS('Stop Work Authority'!$D$4:$D$100003,"Apr",'Stop Work Authority'!$F$4:$F$100003,dCrit)</f>
        <v>0</v>
      </c>
      <c r="BJ15" s="22">
        <f>COUNTIFS('Alcohol Tests'!$D$4:$D$100003,"Apr",'Alcohol Tests'!$E$4:$E$100003,dCrit)</f>
        <v>0</v>
      </c>
      <c r="BK15" s="22">
        <f>COUNTIFS('Alcohol Tests'!$H$4:$H$100003,"Positive",'Alcohol Tests'!$D$4:$D$100003,"Apr",'Alcohol Tests'!$E$4:$E$100003,dCrit)</f>
        <v>0</v>
      </c>
      <c r="BL15" s="22">
        <f>COUNTIFS('Unsafe Acts'!$D$4:$D$100003,"Apr",'Unsafe Acts'!$F$4:$F$100003,dCrit)</f>
        <v>0</v>
      </c>
      <c r="BM15" s="22">
        <f>COUNTIFS('Unsafe Acts'!$M$4:$M$100003,"Completed",'Unsafe Acts'!$D$4:$D$100003,"Apr",'Unsafe Acts'!$F$4:$F$100003,dCrit)</f>
        <v>0</v>
      </c>
      <c r="BN15" s="22">
        <f>COUNTIFS('Unsafe Conditions'!$D$4:$D$100003,"Apr",'Unsafe Conditions'!$F$4:$F$100003,dCrit)</f>
        <v>0</v>
      </c>
      <c r="BO15" s="22">
        <f>COUNTIFS('Unsafe Conditions'!$M$4:$M$100003,"Completed",'Unsafe Conditions'!$D$4:$D$100003,"Apr",'Unsafe Conditions'!$F$4:$F$100003,dCrit)</f>
        <v>0</v>
      </c>
      <c r="BP15" s="22">
        <f>COUNTIFS('NC Management'!$D$4:$D$100003,"Apr",'NC Management'!$G$4:$G$100003,dCrit)</f>
        <v>0</v>
      </c>
      <c r="BQ15" s="22">
        <f>COUNTIFS('NC Management'!$M$4:$M$100003,"Closed",'NC Management'!$D$4:$D$100003,"Apr",'NC Management'!$G$4:$G$100003,dCrit)</f>
        <v>0</v>
      </c>
      <c r="BR15" s="22">
        <f>COUNTIFS('Training'!$F$4:$F$100003,"Induction",'Training'!$D$4:$D$100003,"Apr",'Training'!$G$4:$G$100003,dCrit)</f>
        <v>0</v>
      </c>
      <c r="BS15" s="22">
        <f>COUNTIFS('HSE Observations'!$E$4:$E$100003,"Safe Act",'HSE Observations'!$D$4:$D$100003,"Apr",'HSE Observations'!$G$4:$G$100003,dCrit)+COUNTIFS('HSE Observations'!$E$4:$E$100003,"Safe Condition",'HSE Observations'!$D$4:$D$100003,"Apr",'HSE Observations'!$G$4:$G$100003,dCrit)</f>
        <v>0</v>
      </c>
      <c r="BT15" s="22">
        <f>COUNTIFS('HSE Observations'!$E$4:$E$100003,"Unsafe Act",'HSE Observations'!$D$4:$D$100003,"Apr",'HSE Observations'!$G$4:$G$100003,dCrit)+COUNTIFS('HSE Observations'!$E$4:$E$100003,"Unsafe Condition",'HSE Observations'!$D$4:$D$100003,"Apr",'HSE Observations'!$G$4:$G$100003,dCrit)</f>
        <v>0</v>
      </c>
      <c r="BU15" s="22">
        <f>IFERROR(AVERAGEIFS('Emergency Drills'!$L$4:$L$100003,'Emergency Drills'!$D$4:$D$100003,"Apr"),0)</f>
        <v>0</v>
      </c>
      <c r="BV15" s="22">
        <f>IFERROR(AVERAGEIFS('Emergency Drills'!$K$4:$K$100003,'Emergency Drills'!$D$4:$D$100003,"Apr"),0)</f>
        <v>0</v>
      </c>
      <c r="BW15" s="22">
        <f>SUMIFS('Internal Audits'!$M$4:$M$100003,'Internal Audits'!$D$4:$D$100003,"Apr",'Internal Audits'!$G$4:$G$100003,dCrit)</f>
        <v>0</v>
      </c>
      <c r="BX15" s="22">
        <f>SUMIFS('External Audits'!$M$4:$M$100003,'External Audits'!$D$4:$D$100003,"Apr",'External Audits'!$G$4:$G$100003,dCrit)</f>
        <v>0</v>
      </c>
      <c r="BY15" s="22">
        <f>SUMIFS('Management Reviews'!$K$4:$K$100003,'Management Reviews'!$D$4:$D$100003,"Apr")</f>
        <v>0</v>
      </c>
      <c r="BZ15" s="22">
        <f>SUMIFS('Management Reviews'!$L$4:$L$100003,'Management Reviews'!$D$4:$D$100003,"Apr")</f>
        <v>0</v>
      </c>
      <c r="CA15" s="22">
        <f>SUMIFS('Stop Work Authority'!$J$4:$J$100003,'Stop Work Authority'!$D$4:$D$100003,"Apr",'Stop Work Authority'!$F$4:$F$100003,dCrit)</f>
        <v>0</v>
      </c>
      <c r="CB15" s="22">
        <f>SUMIFS('Training'!$M$4:$M$100003,'Training'!$D$4:$D$100003,"Apr",'Training'!$G$4:$G$100003,dCrit)</f>
        <v>0</v>
      </c>
      <c r="CC15" s="22">
        <f>SUMIFS('Workplace Inspections'!$J$4:$J$100003,'Workplace Inspections'!$D$4:$D$100003,"Apr",'Workplace Inspections'!$F$4:$F$100003,dCrit)</f>
        <v>0</v>
      </c>
      <c r="CD15" s="22">
        <f>COUNTIFS('Corrective Actions'!$O$4:$O$100003,"On-Time",'Corrective Actions'!$D$4:$D$100003,"Apr",'Corrective Actions'!$F$4:$F$100003,dCrit)</f>
        <v>0</v>
      </c>
      <c r="CE15" s="22">
        <f>COUNTIFS('Corrective Actions'!$O$4:$O$100003,"Delayed",'Corrective Actions'!$D$4:$D$100003,"Apr",'Corrective Actions'!$F$4:$F$100003,dCrit)</f>
        <v>0</v>
      </c>
      <c r="CF15" s="22">
        <f>COUNTIFS('JSA Risk Assessment'!$J$4:$J$100003,"Critical",'JSA Risk Assessment'!$D$4:$D$100003,"Apr",'JSA Risk Assessment'!$F$4:$F$100003,dCrit)</f>
        <v>0</v>
      </c>
      <c r="CG15" s="22">
        <f>COUNTIFS('JSA Risk Assessment'!$J$4:$J$100003,"High",'JSA Risk Assessment'!$D$4:$D$100003,"Apr",'JSA Risk Assessment'!$F$4:$F$100003,dCrit)</f>
        <v>0</v>
      </c>
      <c r="CH15" s="22">
        <f>COUNTIFS('JSA Risk Assessment'!$J$4:$J$100003,"Medium",'JSA Risk Assessment'!$D$4:$D$100003,"Apr",'JSA Risk Assessment'!$F$4:$F$100003,dCrit)</f>
        <v>0</v>
      </c>
      <c r="CI15" s="22">
        <f>COUNTIFS('JSA Risk Assessment'!$J$4:$J$100003,"Low",'JSA Risk Assessment'!$D$4:$D$100003,"Apr",'JSA Risk Assessment'!$F$4:$F$100003,dCrit)</f>
        <v>0</v>
      </c>
      <c r="CJ15" s="23">
        <f>IFERROR($F$15*TRIRmult/Settings!$C$16,0)</f>
        <v>0</v>
      </c>
      <c r="CK15" s="23">
        <f>IFERROR($G$15*LTIFRmult/Settings!$C$16,0)</f>
        <v>0</v>
      </c>
      <c r="CL15" s="23">
        <f>BenchTRIR</f>
        <v>0</v>
      </c>
      <c r="CM15" s="23">
        <f>BenchLTIFR</f>
        <v>0</v>
      </c>
      <c r="CN15" s="25">
        <f>IFERROR($BK$15/$BJ$15*100,0)</f>
        <v>0</v>
      </c>
      <c r="CO15" s="22">
        <f>$V$15+$R$15+$T$15+$W$15+$X$15+$AA$15+$Y$15+$AE$15+$AD$15</f>
        <v>0</v>
      </c>
      <c r="CP15" s="22">
        <f>$O$15+$BP$15+$P$15</f>
        <v>0</v>
      </c>
      <c r="CQ15" s="23">
        <f>IFERROR($CO$15/$CP$15,0)</f>
        <v>0</v>
      </c>
      <c r="DJ15" s="13" t="s">
        <v>1932</v>
      </c>
      <c r="DK15" s="23" t="s">
        <v>1930</v>
      </c>
      <c r="DL15" s="22">
        <f>SUMPRODUCT(Calculations!$F$12:$F$23,Calculations!$D$12:$D$23)</f>
        <v>0</v>
      </c>
      <c r="DM15" s="22">
        <f>SUMPRODUCT(Calculations!$F$12:$F$23,Calculations!$E$12:$E$23)</f>
        <v>0</v>
      </c>
      <c r="DN15" s="25">
        <f>IFERROR(($DL$15-$DM$15)/$DM$15,IF($DL$15&gt;0,1,0))</f>
        <v>0</v>
      </c>
      <c r="DO15" s="23">
        <f>($DL$15-$DM$15)*-1</f>
        <v>0</v>
      </c>
      <c r="DP15" s="22">
        <f>IFERROR(AVERAGE(Calculations!$F$12:$F$23)*SUM(Calculations!$D$12:$D$23),0)</f>
        <v>0</v>
      </c>
      <c r="DQ15" s="23">
        <f>IFERROR(IF($DL$15&lt;=$DP$15,2,IF($DL$15&lt;=$DP$15/AmberBand,1,0)),1)</f>
        <v>0</v>
      </c>
      <c r="DS15" s="13" t="s">
        <v>1530</v>
      </c>
      <c r="DT15" s="22">
        <f>SUMPRODUCT(Calculations!$I$12:$I$23,Calculations!$D$12:$D$23)</f>
        <v>0</v>
      </c>
      <c r="DV15" s="23" t="s">
        <v>60</v>
      </c>
      <c r="DW15" s="22">
        <f>COUNTIFS('Incident'!$D$4:$D$100003,"May",'Incident'!$H$4:$H$100003,dCrit)</f>
        <v>0</v>
      </c>
      <c r="DY15" s="23">
        <f>IFERROR($BQ$15/$BP$15*100,0)</f>
        <v>0</v>
      </c>
      <c r="DZ15" s="23">
        <f>IFERROR($BK$15/$BJ$15*100,0)</f>
        <v>0</v>
      </c>
      <c r="EA15" s="23">
        <f>IFERROR($AI$15/$AJ$15*100,0)</f>
        <v>0</v>
      </c>
      <c r="EB15" s="23">
        <f>IFERROR($AK$15/$AD$15*100,0)</f>
        <v>0</v>
      </c>
      <c r="EC15" s="23">
        <f>IFERROR($S$15/$R$15*100,0)</f>
        <v>0</v>
      </c>
      <c r="ED15" s="23">
        <f>IFERROR($U$15/$T$15*100,0)</f>
        <v>0</v>
      </c>
      <c r="EE15" s="23">
        <f>IFERROR($AM$15/$AL$15*100,0)</f>
        <v>0</v>
      </c>
      <c r="EF15" s="23">
        <f>IFERROR($AR$15/$AQ$15*100,0)</f>
        <v>0</v>
      </c>
      <c r="EG15" s="23">
        <f>IFERROR($AU$15/$AT$15*100,0)</f>
        <v>0</v>
      </c>
      <c r="EH15" s="23">
        <f>IFERROR($AW$15/$AV$15*100,0)</f>
        <v>0</v>
      </c>
      <c r="EI15" s="23">
        <f>IFERROR($BD$15/$BC$15*100,0)</f>
        <v>0</v>
      </c>
      <c r="EJ15" s="23">
        <f>IFERROR($BF$15/$BG$15*100,0)</f>
        <v>0</v>
      </c>
      <c r="EK15" s="23">
        <f>IFERROR($Z$15/$Y$15*100,0)</f>
        <v>0</v>
      </c>
      <c r="EL15" s="23">
        <f>IFERROR($AC$15/$AB$15*100,0)</f>
        <v>0</v>
      </c>
      <c r="EM15" s="23">
        <f>IFERROR($BM$15/$BL$15*100,0)</f>
        <v>0</v>
      </c>
      <c r="EN15" s="23">
        <f>IFERROR($BO$15/$BN$15*100,0)</f>
        <v>0</v>
      </c>
    </row>
    <row r="16" spans="2:144">
      <c r="B16" s="23" t="s">
        <v>60</v>
      </c>
      <c r="C16" s="23">
        <v>5</v>
      </c>
      <c r="D16" s="23">
        <f>IF(Calculations!$C$10=1,IF(ROUNDUP($C$16/3,0)=Calculations!$F$10,1,0),IF($C$16=Calculations!$I$10,1,0))</f>
        <v>0</v>
      </c>
      <c r="E16" s="23">
        <f>IF(Calculations!$C$10=1,IF(ROUNDUP($C$16/3,0)=Calculations!$F$10-1,1,0),IF($C$16=Calculations!$I$10-1,1,0))</f>
        <v>0</v>
      </c>
      <c r="F16" s="22">
        <f>COUNTIFS('Incident'!$N$4:$N$100003,"Medical Treatment",'Incident'!$D$4:$D$100003,"May",'Incident'!$H$4:$H$100003,dCrit)+COUNTIFS('Incident'!$N$4:$N$100003,"Restricted Work",'Incident'!$D$4:$D$100003,"May",'Incident'!$H$4:$H$100003,dCrit)+COUNTIFS('Incident'!$N$4:$N$100003,"Lost Time Injury",'Incident'!$D$4:$D$100003,"May",'Incident'!$H$4:$H$100003,dCrit)+COUNTIFS('Incident'!$N$4:$N$100003,"Fatality",'Incident'!$D$4:$D$100003,"May",'Incident'!$H$4:$H$100003,dCrit)</f>
        <v>0</v>
      </c>
      <c r="G16" s="22">
        <f>COUNTIFS('Incident'!$N$4:$N$100003,"Lost Time Injury",'Incident'!$D$4:$D$100003,"May",'Incident'!$H$4:$H$100003,dCrit)+COUNTIFS('Incident'!$N$4:$N$100003,"Fatality",'Incident'!$D$4:$D$100003,"May",'Incident'!$H$4:$H$100003,dCrit)</f>
        <v>0</v>
      </c>
      <c r="H16" s="22">
        <f>COUNTIFS('Incident'!$N$4:$N$100003,"Near Miss",'Incident'!$D$4:$D$100003,"May",'Incident'!$H$4:$H$100003,dCrit)</f>
        <v>0</v>
      </c>
      <c r="I16" s="22">
        <f>COUNTIFS('Incident'!$N$4:$N$100003,"First Aid",'Incident'!$D$4:$D$100003,"May",'Incident'!$H$4:$H$100003,dCrit)</f>
        <v>0</v>
      </c>
      <c r="J16" s="22">
        <f>COUNTIFS('Incident'!$N$4:$N$100003,"Medical Treatment",'Incident'!$D$4:$D$100003,"May",'Incident'!$H$4:$H$100003,dCrit)</f>
        <v>0</v>
      </c>
      <c r="K16" s="22">
        <f>COUNTIFS('Incident'!$N$4:$N$100003,"Restricted Work",'Incident'!$D$4:$D$100003,"May",'Incident'!$H$4:$H$100003,dCrit)</f>
        <v>0</v>
      </c>
      <c r="L16" s="22">
        <f>COUNTIFS('Incident'!$N$4:$N$100003,"Lost Time Injury",'Incident'!$D$4:$D$100003,"May",'Incident'!$H$4:$H$100003,dCrit)</f>
        <v>0</v>
      </c>
      <c r="M16" s="22">
        <f>COUNTIFS('Incident'!$N$4:$N$100003,"Fatality",'Incident'!$D$4:$D$100003,"May",'Incident'!$H$4:$H$100003,dCrit)</f>
        <v>0</v>
      </c>
      <c r="N16" s="22">
        <f>SUMIFS('Incident'!$V$4:$V$100003,'Incident'!$D$4:$D$100003,"May",'Incident'!$H$4:$H$100003,dCrit)</f>
        <v>0</v>
      </c>
      <c r="O16" s="22">
        <f>COUNTIFS('Incident'!$D$4:$D$100003,"May",'Incident'!$H$4:$H$100003,dCrit)</f>
        <v>0</v>
      </c>
      <c r="P16" s="22">
        <f>COUNTIFS('Disciplinary Actions'!$D$4:$D$100003,"May",'Disciplinary Actions'!$F$4:$F$100003,dCrit)</f>
        <v>0</v>
      </c>
      <c r="Q16" s="22">
        <f>COUNTIFS('NC Management'!$M$4:$M$100003,"Open",'NC Management'!$D$4:$D$100003,"May",'NC Management'!$G$4:$G$100003,dCrit)+COUNTIFS('NC Management'!$M$4:$M$100003,"Overdue",'NC Management'!$D$4:$D$100003,"May",'NC Management'!$G$4:$G$100003,dCrit)</f>
        <v>0</v>
      </c>
      <c r="R16" s="22">
        <f>COUNTIFS('Training'!$D$4:$D$100003,"May",'Training'!$G$4:$G$100003,dCrit)</f>
        <v>0</v>
      </c>
      <c r="S16" s="22">
        <f>COUNTIFS('Training'!$N$4:$N$100003,"Completed",'Training'!$D$4:$D$100003,"May",'Training'!$G$4:$G$100003,dCrit)</f>
        <v>0</v>
      </c>
      <c r="T16" s="22">
        <f>COUNTIFS('HSE Observations'!$D$4:$D$100003,"May",'HSE Observations'!$G$4:$G$100003,dCrit)</f>
        <v>0</v>
      </c>
      <c r="U16" s="22">
        <f>COUNTIFS('HSE Observations'!$M$4:$M$100003,"Completed",'HSE Observations'!$D$4:$D$100003,"May",'HSE Observations'!$G$4:$G$100003,dCrit)</f>
        <v>0</v>
      </c>
      <c r="V16" s="22">
        <f>COUNTIFS('Toolbox Talks'!$D$4:$D$100003,"May",'Toolbox Talks'!$F$4:$F$100003,dCrit)</f>
        <v>0</v>
      </c>
      <c r="W16" s="22">
        <f>COUNTIFS('Workplace Inspections'!$D$4:$D$100003,"May",'Workplace Inspections'!$F$4:$F$100003,dCrit)+COUNTIFS('Equipment Inspections'!$D$4:$D$100003,"May",'Equipment Inspections'!$F$4:$F$100003,dCrit)+COUNTIFS('Safety Walkthroughs'!$D$4:$D$100003,"May",'Safety Walkthroughs'!$F$4:$F$100003,dCrit)</f>
        <v>0</v>
      </c>
      <c r="X16" s="22">
        <f>COUNTIFS('Internal Audits'!$D$4:$D$100003,"May",'Internal Audits'!$G$4:$G$100003,dCrit)+COUNTIFS('External Audits'!$D$4:$D$100003,"May",'External Audits'!$G$4:$G$100003,dCrit)</f>
        <v>0</v>
      </c>
      <c r="Y16" s="22">
        <f>COUNTIFS('PTW Audits'!$D$4:$D$100003,"May",'PTW Audits'!$F$4:$F$100003,dCrit)</f>
        <v>0</v>
      </c>
      <c r="Z16" s="22">
        <f>COUNTIFS('PTW Audits'!$M$4:$M$100003,"Compliant",'PTW Audits'!$D$4:$D$100003,"May",'PTW Audits'!$F$4:$F$100003,dCrit)</f>
        <v>0</v>
      </c>
      <c r="AA16" s="22">
        <f>COUNTIFS('Emergency Drills'!$D$4:$D$100003,"May")</f>
        <v>0</v>
      </c>
      <c r="AB16" s="22">
        <f>COUNTIFS('Corrective Actions'!$D$4:$D$100003,"May",'Corrective Actions'!$F$4:$F$100003,dCrit)</f>
        <v>0</v>
      </c>
      <c r="AC16" s="22">
        <f>COUNTIFS('Corrective Actions'!$N$4:$N$100003,"Completed",'Corrective Actions'!$D$4:$D$100003,"May",'Corrective Actions'!$F$4:$F$100003,dCrit)</f>
        <v>0</v>
      </c>
      <c r="AD16" s="22">
        <f>COUNTIFS('JSA Risk Assessment'!$D$4:$D$100003,"May",'JSA Risk Assessment'!$F$4:$F$100003,dCrit)</f>
        <v>0</v>
      </c>
      <c r="AE16" s="22">
        <f>COUNTIFS('Safety Meetings'!$D$4:$D$100003,"May",'Safety Meetings'!$G$4:$G$100003,dCrit)</f>
        <v>0</v>
      </c>
      <c r="AF16" s="22">
        <f>COUNTIFS('Unsafe Acts'!$D$4:$D$100003,"May",'Unsafe Acts'!$F$4:$F$100003,dCrit)+COUNTIFS('Unsafe Conditions'!$D$4:$D$100003,"May",'Unsafe Conditions'!$F$4:$F$100003,dCrit)</f>
        <v>0</v>
      </c>
      <c r="AG16" s="22">
        <f>COUNTIFS('Unsafe Acts'!$D$4:$D$100003,"May",'Unsafe Acts'!$F$4:$F$100003,dCrit)</f>
        <v>0</v>
      </c>
      <c r="AH16" s="22">
        <f>COUNTIFS('Unsafe Conditions'!$D$4:$D$100003,"May",'Unsafe Conditions'!$F$4:$F$100003,dCrit)</f>
        <v>0</v>
      </c>
      <c r="AI16" s="22">
        <f>SUMIFS('Toolbox Talks'!$J$4:$J$100003,'Toolbox Talks'!$D$4:$D$100003,"May",'Toolbox Talks'!$F$4:$F$100003,dCrit)</f>
        <v>0</v>
      </c>
      <c r="AJ16" s="22">
        <f>SUMIFS('Toolbox Talks'!$I$4:$I$100003,'Toolbox Talks'!$D$4:$D$100003,"May",'Toolbox Talks'!$F$4:$F$100003,dCrit)</f>
        <v>0</v>
      </c>
      <c r="AK16" s="22">
        <f>COUNTIFS('JSA Risk Assessment'!$M$4:$M$100003,"Approved",'JSA Risk Assessment'!$D$4:$D$100003,"May",'JSA Risk Assessment'!$F$4:$F$100003,dCrit)</f>
        <v>0</v>
      </c>
      <c r="AL16" s="22">
        <f>COUNTIFS('Workplace Inspections'!$D$4:$D$100003,"May",'Workplace Inspections'!$F$4:$F$100003,dCrit)</f>
        <v>0</v>
      </c>
      <c r="AM16" s="22">
        <f>COUNTIFS('Workplace Inspections'!$M$4:$M$100003,"Completed",'Workplace Inspections'!$D$4:$D$100003,"May",'Workplace Inspections'!$F$4:$F$100003,dCrit)</f>
        <v>0</v>
      </c>
      <c r="AN16" s="22">
        <f>COUNTIFS('Equipment Inspections'!$D$4:$D$100003,"May",'Equipment Inspections'!$F$4:$F$100003,dCrit)</f>
        <v>0</v>
      </c>
      <c r="AO16" s="22">
        <f>SUMIFS('Equipment Inspections'!$K$4:$K$100003,'Equipment Inspections'!$D$4:$D$100003,"May",'Equipment Inspections'!$F$4:$F$100003,dCrit)</f>
        <v>0</v>
      </c>
      <c r="AP16" s="22">
        <f>COUNTIFS('Safety Walkthroughs'!$D$4:$D$100003,"May",'Safety Walkthroughs'!$F$4:$F$100003,dCrit)</f>
        <v>0</v>
      </c>
      <c r="AQ16" s="22">
        <f>SUMIFS('Safety Meetings'!$M$4:$M$100003,'Safety Meetings'!$D$4:$D$100003,"May",'Safety Meetings'!$G$4:$G$100003,dCrit)</f>
        <v>0</v>
      </c>
      <c r="AR16" s="22">
        <f>SUMIFS('Safety Meetings'!$N$4:$N$100003,'Safety Meetings'!$D$4:$D$100003,"May",'Safety Meetings'!$G$4:$G$100003,dCrit)</f>
        <v>0</v>
      </c>
      <c r="AS16" s="22">
        <f>COUNTIFS('Safety Bulletins'!$D$4:$D$100003,"May")</f>
        <v>0</v>
      </c>
      <c r="AT16" s="22">
        <f>SUMIFS('Safety Bulletins'!$L$4:$L$100003,'Safety Bulletins'!$D$4:$D$100003,"May")</f>
        <v>0</v>
      </c>
      <c r="AU16" s="22">
        <f>SUMIFS('Safety Bulletins'!$M$4:$M$100003,'Safety Bulletins'!$D$4:$D$100003,"May")</f>
        <v>0</v>
      </c>
      <c r="AV16" s="22">
        <f>SUMIFS('Emergency Drills'!$H$4:$H$100003,'Emergency Drills'!$D$4:$D$100003,"May")</f>
        <v>0</v>
      </c>
      <c r="AW16" s="22">
        <f>SUMIFS('Emergency Drills'!$I$4:$I$100003,'Emergency Drills'!$D$4:$D$100003,"May")</f>
        <v>0</v>
      </c>
      <c r="AX16" s="22">
        <f>COUNTIFS('Internal Audits'!$D$4:$D$100003,"May",'Internal Audits'!$G$4:$G$100003,dCrit)</f>
        <v>0</v>
      </c>
      <c r="AY16" s="22">
        <f>SUMIFS('Internal Audits'!$L$4:$L$100003,'Internal Audits'!$D$4:$D$100003,"May",'Internal Audits'!$G$4:$G$100003,dCrit)+SUMIFS('Internal Audits'!$M$4:$M$100003,'Internal Audits'!$D$4:$D$100003,"May",'Internal Audits'!$G$4:$G$100003,dCrit)</f>
        <v>0</v>
      </c>
      <c r="AZ16" s="22">
        <f>COUNTIFS('External Audits'!$D$4:$D$100003,"May",'External Audits'!$G$4:$G$100003,dCrit)</f>
        <v>0</v>
      </c>
      <c r="BA16" s="22">
        <f>SUMIFS('External Audits'!$L$4:$L$100003,'External Audits'!$D$4:$D$100003,"May",'External Audits'!$G$4:$G$100003,dCrit)+SUMIFS('External Audits'!$M$4:$M$100003,'External Audits'!$D$4:$D$100003,"May",'External Audits'!$G$4:$G$100003,dCrit)</f>
        <v>0</v>
      </c>
      <c r="BB16" s="22">
        <f>COUNTIFS('Management Visits'!$D$4:$D$100003,"May",'Management Visits'!$F$4:$F$100003,dCrit)</f>
        <v>0</v>
      </c>
      <c r="BC16" s="22">
        <f>SUMIFS('Management Visits'!$K$4:$K$100003,'Management Visits'!$D$4:$D$100003,"May",'Management Visits'!$F$4:$F$100003,dCrit)</f>
        <v>0</v>
      </c>
      <c r="BD16" s="22">
        <f>SUMIFS('Management Visits'!$L$4:$L$100003,'Management Visits'!$D$4:$D$100003,"May",'Management Visits'!$F$4:$F$100003,dCrit)</f>
        <v>0</v>
      </c>
      <c r="BE16" s="22">
        <f>COUNTIFS('Management Reviews'!$D$4:$D$100003,"May")</f>
        <v>0</v>
      </c>
      <c r="BF16" s="22">
        <f>SUMIFS('Management Reviews'!$H$4:$H$100003,'Management Reviews'!$D$4:$D$100003,"May")</f>
        <v>0</v>
      </c>
      <c r="BG16" s="22">
        <f>SUMIFS('Management Reviews'!$G$4:$G$100003,'Management Reviews'!$D$4:$D$100003,"May")</f>
        <v>0</v>
      </c>
      <c r="BH16" s="22">
        <f>COUNTIFS('Safety Awards'!$D$4:$D$100003,"May",'Safety Awards'!$F$4:$F$100003,dCrit)</f>
        <v>0</v>
      </c>
      <c r="BI16" s="22">
        <f>COUNTIFS('Stop Work Authority'!$D$4:$D$100003,"May",'Stop Work Authority'!$F$4:$F$100003,dCrit)</f>
        <v>0</v>
      </c>
      <c r="BJ16" s="22">
        <f>COUNTIFS('Alcohol Tests'!$D$4:$D$100003,"May",'Alcohol Tests'!$E$4:$E$100003,dCrit)</f>
        <v>0</v>
      </c>
      <c r="BK16" s="22">
        <f>COUNTIFS('Alcohol Tests'!$H$4:$H$100003,"Positive",'Alcohol Tests'!$D$4:$D$100003,"May",'Alcohol Tests'!$E$4:$E$100003,dCrit)</f>
        <v>0</v>
      </c>
      <c r="BL16" s="22">
        <f>COUNTIFS('Unsafe Acts'!$D$4:$D$100003,"May",'Unsafe Acts'!$F$4:$F$100003,dCrit)</f>
        <v>0</v>
      </c>
      <c r="BM16" s="22">
        <f>COUNTIFS('Unsafe Acts'!$M$4:$M$100003,"Completed",'Unsafe Acts'!$D$4:$D$100003,"May",'Unsafe Acts'!$F$4:$F$100003,dCrit)</f>
        <v>0</v>
      </c>
      <c r="BN16" s="22">
        <f>COUNTIFS('Unsafe Conditions'!$D$4:$D$100003,"May",'Unsafe Conditions'!$F$4:$F$100003,dCrit)</f>
        <v>0</v>
      </c>
      <c r="BO16" s="22">
        <f>COUNTIFS('Unsafe Conditions'!$M$4:$M$100003,"Completed",'Unsafe Conditions'!$D$4:$D$100003,"May",'Unsafe Conditions'!$F$4:$F$100003,dCrit)</f>
        <v>0</v>
      </c>
      <c r="BP16" s="22">
        <f>COUNTIFS('NC Management'!$D$4:$D$100003,"May",'NC Management'!$G$4:$G$100003,dCrit)</f>
        <v>0</v>
      </c>
      <c r="BQ16" s="22">
        <f>COUNTIFS('NC Management'!$M$4:$M$100003,"Closed",'NC Management'!$D$4:$D$100003,"May",'NC Management'!$G$4:$G$100003,dCrit)</f>
        <v>0</v>
      </c>
      <c r="BR16" s="22">
        <f>COUNTIFS('Training'!$F$4:$F$100003,"Induction",'Training'!$D$4:$D$100003,"May",'Training'!$G$4:$G$100003,dCrit)</f>
        <v>0</v>
      </c>
      <c r="BS16" s="22">
        <f>COUNTIFS('HSE Observations'!$E$4:$E$100003,"Safe Act",'HSE Observations'!$D$4:$D$100003,"May",'HSE Observations'!$G$4:$G$100003,dCrit)+COUNTIFS('HSE Observations'!$E$4:$E$100003,"Safe Condition",'HSE Observations'!$D$4:$D$100003,"May",'HSE Observations'!$G$4:$G$100003,dCrit)</f>
        <v>0</v>
      </c>
      <c r="BT16" s="22">
        <f>COUNTIFS('HSE Observations'!$E$4:$E$100003,"Unsafe Act",'HSE Observations'!$D$4:$D$100003,"May",'HSE Observations'!$G$4:$G$100003,dCrit)+COUNTIFS('HSE Observations'!$E$4:$E$100003,"Unsafe Condition",'HSE Observations'!$D$4:$D$100003,"May",'HSE Observations'!$G$4:$G$100003,dCrit)</f>
        <v>0</v>
      </c>
      <c r="BU16" s="22">
        <f>IFERROR(AVERAGEIFS('Emergency Drills'!$L$4:$L$100003,'Emergency Drills'!$D$4:$D$100003,"May"),0)</f>
        <v>0</v>
      </c>
      <c r="BV16" s="22">
        <f>IFERROR(AVERAGEIFS('Emergency Drills'!$K$4:$K$100003,'Emergency Drills'!$D$4:$D$100003,"May"),0)</f>
        <v>0</v>
      </c>
      <c r="BW16" s="22">
        <f>SUMIFS('Internal Audits'!$M$4:$M$100003,'Internal Audits'!$D$4:$D$100003,"May",'Internal Audits'!$G$4:$G$100003,dCrit)</f>
        <v>0</v>
      </c>
      <c r="BX16" s="22">
        <f>SUMIFS('External Audits'!$M$4:$M$100003,'External Audits'!$D$4:$D$100003,"May",'External Audits'!$G$4:$G$100003,dCrit)</f>
        <v>0</v>
      </c>
      <c r="BY16" s="22">
        <f>SUMIFS('Management Reviews'!$K$4:$K$100003,'Management Reviews'!$D$4:$D$100003,"May")</f>
        <v>0</v>
      </c>
      <c r="BZ16" s="22">
        <f>SUMIFS('Management Reviews'!$L$4:$L$100003,'Management Reviews'!$D$4:$D$100003,"May")</f>
        <v>0</v>
      </c>
      <c r="CA16" s="22">
        <f>SUMIFS('Stop Work Authority'!$J$4:$J$100003,'Stop Work Authority'!$D$4:$D$100003,"May",'Stop Work Authority'!$F$4:$F$100003,dCrit)</f>
        <v>0</v>
      </c>
      <c r="CB16" s="22">
        <f>SUMIFS('Training'!$M$4:$M$100003,'Training'!$D$4:$D$100003,"May",'Training'!$G$4:$G$100003,dCrit)</f>
        <v>0</v>
      </c>
      <c r="CC16" s="22">
        <f>SUMIFS('Workplace Inspections'!$J$4:$J$100003,'Workplace Inspections'!$D$4:$D$100003,"May",'Workplace Inspections'!$F$4:$F$100003,dCrit)</f>
        <v>0</v>
      </c>
      <c r="CD16" s="22">
        <f>COUNTIFS('Corrective Actions'!$O$4:$O$100003,"On-Time",'Corrective Actions'!$D$4:$D$100003,"May",'Corrective Actions'!$F$4:$F$100003,dCrit)</f>
        <v>0</v>
      </c>
      <c r="CE16" s="22">
        <f>COUNTIFS('Corrective Actions'!$O$4:$O$100003,"Delayed",'Corrective Actions'!$D$4:$D$100003,"May",'Corrective Actions'!$F$4:$F$100003,dCrit)</f>
        <v>0</v>
      </c>
      <c r="CF16" s="22">
        <f>COUNTIFS('JSA Risk Assessment'!$J$4:$J$100003,"Critical",'JSA Risk Assessment'!$D$4:$D$100003,"May",'JSA Risk Assessment'!$F$4:$F$100003,dCrit)</f>
        <v>0</v>
      </c>
      <c r="CG16" s="22">
        <f>COUNTIFS('JSA Risk Assessment'!$J$4:$J$100003,"High",'JSA Risk Assessment'!$D$4:$D$100003,"May",'JSA Risk Assessment'!$F$4:$F$100003,dCrit)</f>
        <v>0</v>
      </c>
      <c r="CH16" s="22">
        <f>COUNTIFS('JSA Risk Assessment'!$J$4:$J$100003,"Medium",'JSA Risk Assessment'!$D$4:$D$100003,"May",'JSA Risk Assessment'!$F$4:$F$100003,dCrit)</f>
        <v>0</v>
      </c>
      <c r="CI16" s="22">
        <f>COUNTIFS('JSA Risk Assessment'!$J$4:$J$100003,"Low",'JSA Risk Assessment'!$D$4:$D$100003,"May",'JSA Risk Assessment'!$F$4:$F$100003,dCrit)</f>
        <v>0</v>
      </c>
      <c r="CJ16" s="23">
        <f>IFERROR($F$16*TRIRmult/Settings!$C$17,0)</f>
        <v>0</v>
      </c>
      <c r="CK16" s="23">
        <f>IFERROR($G$16*LTIFRmult/Settings!$C$17,0)</f>
        <v>0</v>
      </c>
      <c r="CL16" s="23">
        <f>BenchTRIR</f>
        <v>0</v>
      </c>
      <c r="CM16" s="23">
        <f>BenchLTIFR</f>
        <v>0</v>
      </c>
      <c r="CN16" s="25">
        <f>IFERROR($BK$16/$BJ$16*100,0)</f>
        <v>0</v>
      </c>
      <c r="CO16" s="22">
        <f>$V$16+$R$16+$T$16+$W$16+$X$16+$AA$16+$Y$16+$AE$16+$AD$16</f>
        <v>0</v>
      </c>
      <c r="CP16" s="22">
        <f>$O$16+$BP$16+$P$16</f>
        <v>0</v>
      </c>
      <c r="CQ16" s="23">
        <f>IFERROR($CO$16/$CP$16,0)</f>
        <v>0</v>
      </c>
      <c r="DJ16" s="13" t="s">
        <v>1933</v>
      </c>
      <c r="DK16" s="23" t="s">
        <v>1930</v>
      </c>
      <c r="DL16" s="22">
        <f>SUMPRODUCT(Calculations!$G$12:$G$23,Calculations!$D$12:$D$23)</f>
        <v>0</v>
      </c>
      <c r="DM16" s="22">
        <f>SUMPRODUCT(Calculations!$G$12:$G$23,Calculations!$E$12:$E$23)</f>
        <v>0</v>
      </c>
      <c r="DN16" s="25">
        <f>IFERROR(($DL$16-$DM$16)/$DM$16,IF($DL$16&gt;0,1,0))</f>
        <v>0</v>
      </c>
      <c r="DO16" s="23">
        <f>($DL$16-$DM$16)*-1</f>
        <v>0</v>
      </c>
      <c r="DP16" s="22">
        <f>IFERROR(AVERAGE(Calculations!$G$12:$G$23)*SUM(Calculations!$D$12:$D$23),0)</f>
        <v>0</v>
      </c>
      <c r="DQ16" s="23">
        <f>IFERROR(IF($DL$16&lt;=$DP$16,2,IF($DL$16&lt;=$DP$16/AmberBand,1,0)),1)</f>
        <v>0</v>
      </c>
      <c r="DS16" s="13" t="s">
        <v>310</v>
      </c>
      <c r="DT16" s="22">
        <f>SUMPRODUCT(Calculations!$H$12:$H$23,Calculations!$D$12:$D$23)</f>
        <v>0</v>
      </c>
      <c r="DV16" s="23" t="s">
        <v>73</v>
      </c>
      <c r="DW16" s="22">
        <f>COUNTIFS('Incident'!$D$4:$D$100003,"Jun",'Incident'!$H$4:$H$100003,dCrit)</f>
        <v>0</v>
      </c>
      <c r="DY16" s="23">
        <f>IFERROR($BQ$16/$BP$16*100,0)</f>
        <v>0</v>
      </c>
      <c r="DZ16" s="23">
        <f>IFERROR($BK$16/$BJ$16*100,0)</f>
        <v>0</v>
      </c>
      <c r="EA16" s="23">
        <f>IFERROR($AI$16/$AJ$16*100,0)</f>
        <v>0</v>
      </c>
      <c r="EB16" s="23">
        <f>IFERROR($AK$16/$AD$16*100,0)</f>
        <v>0</v>
      </c>
      <c r="EC16" s="23">
        <f>IFERROR($S$16/$R$16*100,0)</f>
        <v>0</v>
      </c>
      <c r="ED16" s="23">
        <f>IFERROR($U$16/$T$16*100,0)</f>
        <v>0</v>
      </c>
      <c r="EE16" s="23">
        <f>IFERROR($AM$16/$AL$16*100,0)</f>
        <v>0</v>
      </c>
      <c r="EF16" s="23">
        <f>IFERROR($AR$16/$AQ$16*100,0)</f>
        <v>0</v>
      </c>
      <c r="EG16" s="23">
        <f>IFERROR($AU$16/$AT$16*100,0)</f>
        <v>0</v>
      </c>
      <c r="EH16" s="23">
        <f>IFERROR($AW$16/$AV$16*100,0)</f>
        <v>0</v>
      </c>
      <c r="EI16" s="23">
        <f>IFERROR($BD$16/$BC$16*100,0)</f>
        <v>0</v>
      </c>
      <c r="EJ16" s="23">
        <f>IFERROR($BF$16/$BG$16*100,0)</f>
        <v>0</v>
      </c>
      <c r="EK16" s="23">
        <f>IFERROR($Z$16/$Y$16*100,0)</f>
        <v>0</v>
      </c>
      <c r="EL16" s="23">
        <f>IFERROR($AC$16/$AB$16*100,0)</f>
        <v>0</v>
      </c>
      <c r="EM16" s="23">
        <f>IFERROR($BM$16/$BL$16*100,0)</f>
        <v>0</v>
      </c>
      <c r="EN16" s="23">
        <f>IFERROR($BO$16/$BN$16*100,0)</f>
        <v>0</v>
      </c>
    </row>
    <row r="17" spans="2:144">
      <c r="B17" s="23" t="s">
        <v>73</v>
      </c>
      <c r="C17" s="23">
        <v>6</v>
      </c>
      <c r="D17" s="23">
        <f>IF(Calculations!$C$10=1,IF(ROUNDUP($C$17/3,0)=Calculations!$F$10,1,0),IF($C$17=Calculations!$I$10,1,0))</f>
        <v>0</v>
      </c>
      <c r="E17" s="23">
        <f>IF(Calculations!$C$10=1,IF(ROUNDUP($C$17/3,0)=Calculations!$F$10-1,1,0),IF($C$17=Calculations!$I$10-1,1,0))</f>
        <v>0</v>
      </c>
      <c r="F17" s="22">
        <f>COUNTIFS('Incident'!$N$4:$N$100003,"Medical Treatment",'Incident'!$D$4:$D$100003,"Jun",'Incident'!$H$4:$H$100003,dCrit)+COUNTIFS('Incident'!$N$4:$N$100003,"Restricted Work",'Incident'!$D$4:$D$100003,"Jun",'Incident'!$H$4:$H$100003,dCrit)+COUNTIFS('Incident'!$N$4:$N$100003,"Lost Time Injury",'Incident'!$D$4:$D$100003,"Jun",'Incident'!$H$4:$H$100003,dCrit)+COUNTIFS('Incident'!$N$4:$N$100003,"Fatality",'Incident'!$D$4:$D$100003,"Jun",'Incident'!$H$4:$H$100003,dCrit)</f>
        <v>0</v>
      </c>
      <c r="G17" s="22">
        <f>COUNTIFS('Incident'!$N$4:$N$100003,"Lost Time Injury",'Incident'!$D$4:$D$100003,"Jun",'Incident'!$H$4:$H$100003,dCrit)+COUNTIFS('Incident'!$N$4:$N$100003,"Fatality",'Incident'!$D$4:$D$100003,"Jun",'Incident'!$H$4:$H$100003,dCrit)</f>
        <v>0</v>
      </c>
      <c r="H17" s="22">
        <f>COUNTIFS('Incident'!$N$4:$N$100003,"Near Miss",'Incident'!$D$4:$D$100003,"Jun",'Incident'!$H$4:$H$100003,dCrit)</f>
        <v>0</v>
      </c>
      <c r="I17" s="22">
        <f>COUNTIFS('Incident'!$N$4:$N$100003,"First Aid",'Incident'!$D$4:$D$100003,"Jun",'Incident'!$H$4:$H$100003,dCrit)</f>
        <v>0</v>
      </c>
      <c r="J17" s="22">
        <f>COUNTIFS('Incident'!$N$4:$N$100003,"Medical Treatment",'Incident'!$D$4:$D$100003,"Jun",'Incident'!$H$4:$H$100003,dCrit)</f>
        <v>0</v>
      </c>
      <c r="K17" s="22">
        <f>COUNTIFS('Incident'!$N$4:$N$100003,"Restricted Work",'Incident'!$D$4:$D$100003,"Jun",'Incident'!$H$4:$H$100003,dCrit)</f>
        <v>0</v>
      </c>
      <c r="L17" s="22">
        <f>COUNTIFS('Incident'!$N$4:$N$100003,"Lost Time Injury",'Incident'!$D$4:$D$100003,"Jun",'Incident'!$H$4:$H$100003,dCrit)</f>
        <v>0</v>
      </c>
      <c r="M17" s="22">
        <f>COUNTIFS('Incident'!$N$4:$N$100003,"Fatality",'Incident'!$D$4:$D$100003,"Jun",'Incident'!$H$4:$H$100003,dCrit)</f>
        <v>0</v>
      </c>
      <c r="N17" s="22">
        <f>SUMIFS('Incident'!$V$4:$V$100003,'Incident'!$D$4:$D$100003,"Jun",'Incident'!$H$4:$H$100003,dCrit)</f>
        <v>0</v>
      </c>
      <c r="O17" s="22">
        <f>COUNTIFS('Incident'!$D$4:$D$100003,"Jun",'Incident'!$H$4:$H$100003,dCrit)</f>
        <v>0</v>
      </c>
      <c r="P17" s="22">
        <f>COUNTIFS('Disciplinary Actions'!$D$4:$D$100003,"Jun",'Disciplinary Actions'!$F$4:$F$100003,dCrit)</f>
        <v>0</v>
      </c>
      <c r="Q17" s="22">
        <f>COUNTIFS('NC Management'!$M$4:$M$100003,"Open",'NC Management'!$D$4:$D$100003,"Jun",'NC Management'!$G$4:$G$100003,dCrit)+COUNTIFS('NC Management'!$M$4:$M$100003,"Overdue",'NC Management'!$D$4:$D$100003,"Jun",'NC Management'!$G$4:$G$100003,dCrit)</f>
        <v>0</v>
      </c>
      <c r="R17" s="22">
        <f>COUNTIFS('Training'!$D$4:$D$100003,"Jun",'Training'!$G$4:$G$100003,dCrit)</f>
        <v>0</v>
      </c>
      <c r="S17" s="22">
        <f>COUNTIFS('Training'!$N$4:$N$100003,"Completed",'Training'!$D$4:$D$100003,"Jun",'Training'!$G$4:$G$100003,dCrit)</f>
        <v>0</v>
      </c>
      <c r="T17" s="22">
        <f>COUNTIFS('HSE Observations'!$D$4:$D$100003,"Jun",'HSE Observations'!$G$4:$G$100003,dCrit)</f>
        <v>0</v>
      </c>
      <c r="U17" s="22">
        <f>COUNTIFS('HSE Observations'!$M$4:$M$100003,"Completed",'HSE Observations'!$D$4:$D$100003,"Jun",'HSE Observations'!$G$4:$G$100003,dCrit)</f>
        <v>0</v>
      </c>
      <c r="V17" s="22">
        <f>COUNTIFS('Toolbox Talks'!$D$4:$D$100003,"Jun",'Toolbox Talks'!$F$4:$F$100003,dCrit)</f>
        <v>0</v>
      </c>
      <c r="W17" s="22">
        <f>COUNTIFS('Workplace Inspections'!$D$4:$D$100003,"Jun",'Workplace Inspections'!$F$4:$F$100003,dCrit)+COUNTIFS('Equipment Inspections'!$D$4:$D$100003,"Jun",'Equipment Inspections'!$F$4:$F$100003,dCrit)+COUNTIFS('Safety Walkthroughs'!$D$4:$D$100003,"Jun",'Safety Walkthroughs'!$F$4:$F$100003,dCrit)</f>
        <v>0</v>
      </c>
      <c r="X17" s="22">
        <f>COUNTIFS('Internal Audits'!$D$4:$D$100003,"Jun",'Internal Audits'!$G$4:$G$100003,dCrit)+COUNTIFS('External Audits'!$D$4:$D$100003,"Jun",'External Audits'!$G$4:$G$100003,dCrit)</f>
        <v>0</v>
      </c>
      <c r="Y17" s="22">
        <f>COUNTIFS('PTW Audits'!$D$4:$D$100003,"Jun",'PTW Audits'!$F$4:$F$100003,dCrit)</f>
        <v>0</v>
      </c>
      <c r="Z17" s="22">
        <f>COUNTIFS('PTW Audits'!$M$4:$M$100003,"Compliant",'PTW Audits'!$D$4:$D$100003,"Jun",'PTW Audits'!$F$4:$F$100003,dCrit)</f>
        <v>0</v>
      </c>
      <c r="AA17" s="22">
        <f>COUNTIFS('Emergency Drills'!$D$4:$D$100003,"Jun")</f>
        <v>0</v>
      </c>
      <c r="AB17" s="22">
        <f>COUNTIFS('Corrective Actions'!$D$4:$D$100003,"Jun",'Corrective Actions'!$F$4:$F$100003,dCrit)</f>
        <v>0</v>
      </c>
      <c r="AC17" s="22">
        <f>COUNTIFS('Corrective Actions'!$N$4:$N$100003,"Completed",'Corrective Actions'!$D$4:$D$100003,"Jun",'Corrective Actions'!$F$4:$F$100003,dCrit)</f>
        <v>0</v>
      </c>
      <c r="AD17" s="22">
        <f>COUNTIFS('JSA Risk Assessment'!$D$4:$D$100003,"Jun",'JSA Risk Assessment'!$F$4:$F$100003,dCrit)</f>
        <v>0</v>
      </c>
      <c r="AE17" s="22">
        <f>COUNTIFS('Safety Meetings'!$D$4:$D$100003,"Jun",'Safety Meetings'!$G$4:$G$100003,dCrit)</f>
        <v>0</v>
      </c>
      <c r="AF17" s="22">
        <f>COUNTIFS('Unsafe Acts'!$D$4:$D$100003,"Jun",'Unsafe Acts'!$F$4:$F$100003,dCrit)+COUNTIFS('Unsafe Conditions'!$D$4:$D$100003,"Jun",'Unsafe Conditions'!$F$4:$F$100003,dCrit)</f>
        <v>0</v>
      </c>
      <c r="AG17" s="22">
        <f>COUNTIFS('Unsafe Acts'!$D$4:$D$100003,"Jun",'Unsafe Acts'!$F$4:$F$100003,dCrit)</f>
        <v>0</v>
      </c>
      <c r="AH17" s="22">
        <f>COUNTIFS('Unsafe Conditions'!$D$4:$D$100003,"Jun",'Unsafe Conditions'!$F$4:$F$100003,dCrit)</f>
        <v>0</v>
      </c>
      <c r="AI17" s="22">
        <f>SUMIFS('Toolbox Talks'!$J$4:$J$100003,'Toolbox Talks'!$D$4:$D$100003,"Jun",'Toolbox Talks'!$F$4:$F$100003,dCrit)</f>
        <v>0</v>
      </c>
      <c r="AJ17" s="22">
        <f>SUMIFS('Toolbox Talks'!$I$4:$I$100003,'Toolbox Talks'!$D$4:$D$100003,"Jun",'Toolbox Talks'!$F$4:$F$100003,dCrit)</f>
        <v>0</v>
      </c>
      <c r="AK17" s="22">
        <f>COUNTIFS('JSA Risk Assessment'!$M$4:$M$100003,"Approved",'JSA Risk Assessment'!$D$4:$D$100003,"Jun",'JSA Risk Assessment'!$F$4:$F$100003,dCrit)</f>
        <v>0</v>
      </c>
      <c r="AL17" s="22">
        <f>COUNTIFS('Workplace Inspections'!$D$4:$D$100003,"Jun",'Workplace Inspections'!$F$4:$F$100003,dCrit)</f>
        <v>0</v>
      </c>
      <c r="AM17" s="22">
        <f>COUNTIFS('Workplace Inspections'!$M$4:$M$100003,"Completed",'Workplace Inspections'!$D$4:$D$100003,"Jun",'Workplace Inspections'!$F$4:$F$100003,dCrit)</f>
        <v>0</v>
      </c>
      <c r="AN17" s="22">
        <f>COUNTIFS('Equipment Inspections'!$D$4:$D$100003,"Jun",'Equipment Inspections'!$F$4:$F$100003,dCrit)</f>
        <v>0</v>
      </c>
      <c r="AO17" s="22">
        <f>SUMIFS('Equipment Inspections'!$K$4:$K$100003,'Equipment Inspections'!$D$4:$D$100003,"Jun",'Equipment Inspections'!$F$4:$F$100003,dCrit)</f>
        <v>0</v>
      </c>
      <c r="AP17" s="22">
        <f>COUNTIFS('Safety Walkthroughs'!$D$4:$D$100003,"Jun",'Safety Walkthroughs'!$F$4:$F$100003,dCrit)</f>
        <v>0</v>
      </c>
      <c r="AQ17" s="22">
        <f>SUMIFS('Safety Meetings'!$M$4:$M$100003,'Safety Meetings'!$D$4:$D$100003,"Jun",'Safety Meetings'!$G$4:$G$100003,dCrit)</f>
        <v>0</v>
      </c>
      <c r="AR17" s="22">
        <f>SUMIFS('Safety Meetings'!$N$4:$N$100003,'Safety Meetings'!$D$4:$D$100003,"Jun",'Safety Meetings'!$G$4:$G$100003,dCrit)</f>
        <v>0</v>
      </c>
      <c r="AS17" s="22">
        <f>COUNTIFS('Safety Bulletins'!$D$4:$D$100003,"Jun")</f>
        <v>0</v>
      </c>
      <c r="AT17" s="22">
        <f>SUMIFS('Safety Bulletins'!$L$4:$L$100003,'Safety Bulletins'!$D$4:$D$100003,"Jun")</f>
        <v>0</v>
      </c>
      <c r="AU17" s="22">
        <f>SUMIFS('Safety Bulletins'!$M$4:$M$100003,'Safety Bulletins'!$D$4:$D$100003,"Jun")</f>
        <v>0</v>
      </c>
      <c r="AV17" s="22">
        <f>SUMIFS('Emergency Drills'!$H$4:$H$100003,'Emergency Drills'!$D$4:$D$100003,"Jun")</f>
        <v>0</v>
      </c>
      <c r="AW17" s="22">
        <f>SUMIFS('Emergency Drills'!$I$4:$I$100003,'Emergency Drills'!$D$4:$D$100003,"Jun")</f>
        <v>0</v>
      </c>
      <c r="AX17" s="22">
        <f>COUNTIFS('Internal Audits'!$D$4:$D$100003,"Jun",'Internal Audits'!$G$4:$G$100003,dCrit)</f>
        <v>0</v>
      </c>
      <c r="AY17" s="22">
        <f>SUMIFS('Internal Audits'!$L$4:$L$100003,'Internal Audits'!$D$4:$D$100003,"Jun",'Internal Audits'!$G$4:$G$100003,dCrit)+SUMIFS('Internal Audits'!$M$4:$M$100003,'Internal Audits'!$D$4:$D$100003,"Jun",'Internal Audits'!$G$4:$G$100003,dCrit)</f>
        <v>0</v>
      </c>
      <c r="AZ17" s="22">
        <f>COUNTIFS('External Audits'!$D$4:$D$100003,"Jun",'External Audits'!$G$4:$G$100003,dCrit)</f>
        <v>0</v>
      </c>
      <c r="BA17" s="22">
        <f>SUMIFS('External Audits'!$L$4:$L$100003,'External Audits'!$D$4:$D$100003,"Jun",'External Audits'!$G$4:$G$100003,dCrit)+SUMIFS('External Audits'!$M$4:$M$100003,'External Audits'!$D$4:$D$100003,"Jun",'External Audits'!$G$4:$G$100003,dCrit)</f>
        <v>0</v>
      </c>
      <c r="BB17" s="22">
        <f>COUNTIFS('Management Visits'!$D$4:$D$100003,"Jun",'Management Visits'!$F$4:$F$100003,dCrit)</f>
        <v>0</v>
      </c>
      <c r="BC17" s="22">
        <f>SUMIFS('Management Visits'!$K$4:$K$100003,'Management Visits'!$D$4:$D$100003,"Jun",'Management Visits'!$F$4:$F$100003,dCrit)</f>
        <v>0</v>
      </c>
      <c r="BD17" s="22">
        <f>SUMIFS('Management Visits'!$L$4:$L$100003,'Management Visits'!$D$4:$D$100003,"Jun",'Management Visits'!$F$4:$F$100003,dCrit)</f>
        <v>0</v>
      </c>
      <c r="BE17" s="22">
        <f>COUNTIFS('Management Reviews'!$D$4:$D$100003,"Jun")</f>
        <v>0</v>
      </c>
      <c r="BF17" s="22">
        <f>SUMIFS('Management Reviews'!$H$4:$H$100003,'Management Reviews'!$D$4:$D$100003,"Jun")</f>
        <v>0</v>
      </c>
      <c r="BG17" s="22">
        <f>SUMIFS('Management Reviews'!$G$4:$G$100003,'Management Reviews'!$D$4:$D$100003,"Jun")</f>
        <v>0</v>
      </c>
      <c r="BH17" s="22">
        <f>COUNTIFS('Safety Awards'!$D$4:$D$100003,"Jun",'Safety Awards'!$F$4:$F$100003,dCrit)</f>
        <v>0</v>
      </c>
      <c r="BI17" s="22">
        <f>COUNTIFS('Stop Work Authority'!$D$4:$D$100003,"Jun",'Stop Work Authority'!$F$4:$F$100003,dCrit)</f>
        <v>0</v>
      </c>
      <c r="BJ17" s="22">
        <f>COUNTIFS('Alcohol Tests'!$D$4:$D$100003,"Jun",'Alcohol Tests'!$E$4:$E$100003,dCrit)</f>
        <v>0</v>
      </c>
      <c r="BK17" s="22">
        <f>COUNTIFS('Alcohol Tests'!$H$4:$H$100003,"Positive",'Alcohol Tests'!$D$4:$D$100003,"Jun",'Alcohol Tests'!$E$4:$E$100003,dCrit)</f>
        <v>0</v>
      </c>
      <c r="BL17" s="22">
        <f>COUNTIFS('Unsafe Acts'!$D$4:$D$100003,"Jun",'Unsafe Acts'!$F$4:$F$100003,dCrit)</f>
        <v>0</v>
      </c>
      <c r="BM17" s="22">
        <f>COUNTIFS('Unsafe Acts'!$M$4:$M$100003,"Completed",'Unsafe Acts'!$D$4:$D$100003,"Jun",'Unsafe Acts'!$F$4:$F$100003,dCrit)</f>
        <v>0</v>
      </c>
      <c r="BN17" s="22">
        <f>COUNTIFS('Unsafe Conditions'!$D$4:$D$100003,"Jun",'Unsafe Conditions'!$F$4:$F$100003,dCrit)</f>
        <v>0</v>
      </c>
      <c r="BO17" s="22">
        <f>COUNTIFS('Unsafe Conditions'!$M$4:$M$100003,"Completed",'Unsafe Conditions'!$D$4:$D$100003,"Jun",'Unsafe Conditions'!$F$4:$F$100003,dCrit)</f>
        <v>0</v>
      </c>
      <c r="BP17" s="22">
        <f>COUNTIFS('NC Management'!$D$4:$D$100003,"Jun",'NC Management'!$G$4:$G$100003,dCrit)</f>
        <v>0</v>
      </c>
      <c r="BQ17" s="22">
        <f>COUNTIFS('NC Management'!$M$4:$M$100003,"Closed",'NC Management'!$D$4:$D$100003,"Jun",'NC Management'!$G$4:$G$100003,dCrit)</f>
        <v>0</v>
      </c>
      <c r="BR17" s="22">
        <f>COUNTIFS('Training'!$F$4:$F$100003,"Induction",'Training'!$D$4:$D$100003,"Jun",'Training'!$G$4:$G$100003,dCrit)</f>
        <v>0</v>
      </c>
      <c r="BS17" s="22">
        <f>COUNTIFS('HSE Observations'!$E$4:$E$100003,"Safe Act",'HSE Observations'!$D$4:$D$100003,"Jun",'HSE Observations'!$G$4:$G$100003,dCrit)+COUNTIFS('HSE Observations'!$E$4:$E$100003,"Safe Condition",'HSE Observations'!$D$4:$D$100003,"Jun",'HSE Observations'!$G$4:$G$100003,dCrit)</f>
        <v>0</v>
      </c>
      <c r="BT17" s="22">
        <f>COUNTIFS('HSE Observations'!$E$4:$E$100003,"Unsafe Act",'HSE Observations'!$D$4:$D$100003,"Jun",'HSE Observations'!$G$4:$G$100003,dCrit)+COUNTIFS('HSE Observations'!$E$4:$E$100003,"Unsafe Condition",'HSE Observations'!$D$4:$D$100003,"Jun",'HSE Observations'!$G$4:$G$100003,dCrit)</f>
        <v>0</v>
      </c>
      <c r="BU17" s="22">
        <f>IFERROR(AVERAGEIFS('Emergency Drills'!$L$4:$L$100003,'Emergency Drills'!$D$4:$D$100003,"Jun"),0)</f>
        <v>0</v>
      </c>
      <c r="BV17" s="22">
        <f>IFERROR(AVERAGEIFS('Emergency Drills'!$K$4:$K$100003,'Emergency Drills'!$D$4:$D$100003,"Jun"),0)</f>
        <v>0</v>
      </c>
      <c r="BW17" s="22">
        <f>SUMIFS('Internal Audits'!$M$4:$M$100003,'Internal Audits'!$D$4:$D$100003,"Jun",'Internal Audits'!$G$4:$G$100003,dCrit)</f>
        <v>0</v>
      </c>
      <c r="BX17" s="22">
        <f>SUMIFS('External Audits'!$M$4:$M$100003,'External Audits'!$D$4:$D$100003,"Jun",'External Audits'!$G$4:$G$100003,dCrit)</f>
        <v>0</v>
      </c>
      <c r="BY17" s="22">
        <f>SUMIFS('Management Reviews'!$K$4:$K$100003,'Management Reviews'!$D$4:$D$100003,"Jun")</f>
        <v>0</v>
      </c>
      <c r="BZ17" s="22">
        <f>SUMIFS('Management Reviews'!$L$4:$L$100003,'Management Reviews'!$D$4:$D$100003,"Jun")</f>
        <v>0</v>
      </c>
      <c r="CA17" s="22">
        <f>SUMIFS('Stop Work Authority'!$J$4:$J$100003,'Stop Work Authority'!$D$4:$D$100003,"Jun",'Stop Work Authority'!$F$4:$F$100003,dCrit)</f>
        <v>0</v>
      </c>
      <c r="CB17" s="22">
        <f>SUMIFS('Training'!$M$4:$M$100003,'Training'!$D$4:$D$100003,"Jun",'Training'!$G$4:$G$100003,dCrit)</f>
        <v>0</v>
      </c>
      <c r="CC17" s="22">
        <f>SUMIFS('Workplace Inspections'!$J$4:$J$100003,'Workplace Inspections'!$D$4:$D$100003,"Jun",'Workplace Inspections'!$F$4:$F$100003,dCrit)</f>
        <v>0</v>
      </c>
      <c r="CD17" s="22">
        <f>COUNTIFS('Corrective Actions'!$O$4:$O$100003,"On-Time",'Corrective Actions'!$D$4:$D$100003,"Jun",'Corrective Actions'!$F$4:$F$100003,dCrit)</f>
        <v>0</v>
      </c>
      <c r="CE17" s="22">
        <f>COUNTIFS('Corrective Actions'!$O$4:$O$100003,"Delayed",'Corrective Actions'!$D$4:$D$100003,"Jun",'Corrective Actions'!$F$4:$F$100003,dCrit)</f>
        <v>0</v>
      </c>
      <c r="CF17" s="22">
        <f>COUNTIFS('JSA Risk Assessment'!$J$4:$J$100003,"Critical",'JSA Risk Assessment'!$D$4:$D$100003,"Jun",'JSA Risk Assessment'!$F$4:$F$100003,dCrit)</f>
        <v>0</v>
      </c>
      <c r="CG17" s="22">
        <f>COUNTIFS('JSA Risk Assessment'!$J$4:$J$100003,"High",'JSA Risk Assessment'!$D$4:$D$100003,"Jun",'JSA Risk Assessment'!$F$4:$F$100003,dCrit)</f>
        <v>0</v>
      </c>
      <c r="CH17" s="22">
        <f>COUNTIFS('JSA Risk Assessment'!$J$4:$J$100003,"Medium",'JSA Risk Assessment'!$D$4:$D$100003,"Jun",'JSA Risk Assessment'!$F$4:$F$100003,dCrit)</f>
        <v>0</v>
      </c>
      <c r="CI17" s="22">
        <f>COUNTIFS('JSA Risk Assessment'!$J$4:$J$100003,"Low",'JSA Risk Assessment'!$D$4:$D$100003,"Jun",'JSA Risk Assessment'!$F$4:$F$100003,dCrit)</f>
        <v>0</v>
      </c>
      <c r="CJ17" s="23">
        <f>IFERROR($F$17*TRIRmult/Settings!$C$18,0)</f>
        <v>0</v>
      </c>
      <c r="CK17" s="23">
        <f>IFERROR($G$17*LTIFRmult/Settings!$C$18,0)</f>
        <v>0</v>
      </c>
      <c r="CL17" s="23">
        <f>BenchTRIR</f>
        <v>0</v>
      </c>
      <c r="CM17" s="23">
        <f>BenchLTIFR</f>
        <v>0</v>
      </c>
      <c r="CN17" s="25">
        <f>IFERROR($BK$17/$BJ$17*100,0)</f>
        <v>0</v>
      </c>
      <c r="CO17" s="22">
        <f>$V$17+$R$17+$T$17+$W$17+$X$17+$AA$17+$Y$17+$AE$17+$AD$17</f>
        <v>0</v>
      </c>
      <c r="CP17" s="22">
        <f>$O$17+$BP$17+$P$17</f>
        <v>0</v>
      </c>
      <c r="CQ17" s="23">
        <f>IFERROR($CO$17/$CP$17,0)</f>
        <v>0</v>
      </c>
      <c r="DJ17" s="13" t="s">
        <v>310</v>
      </c>
      <c r="DK17" s="23" t="s">
        <v>1930</v>
      </c>
      <c r="DL17" s="22">
        <f>SUMPRODUCT(Calculations!$H$12:$H$23,Calculations!$D$12:$D$23)</f>
        <v>0</v>
      </c>
      <c r="DM17" s="22">
        <f>SUMPRODUCT(Calculations!$H$12:$H$23,Calculations!$E$12:$E$23)</f>
        <v>0</v>
      </c>
      <c r="DN17" s="25">
        <f>IFERROR(($DL$17-$DM$17)/$DM$17,IF($DL$17&gt;0,1,0))</f>
        <v>0</v>
      </c>
      <c r="DO17" s="23">
        <f>($DL$17-$DM$17)*-1</f>
        <v>0</v>
      </c>
      <c r="DP17" s="22">
        <f>IFERROR(AVERAGE(Calculations!$H$12:$H$23)*SUM(Calculations!$D$12:$D$23),0)</f>
        <v>0</v>
      </c>
      <c r="DQ17" s="23">
        <f>IFERROR(IF($DL$17&lt;=$DP$17,2,IF($DL$17&lt;=$DP$17/AmberBand,1,0)),1)</f>
        <v>0</v>
      </c>
      <c r="DS17" s="13" t="s">
        <v>1967</v>
      </c>
      <c r="DT17" s="22">
        <f>SUMPRODUCT(Calculations!$AF$12:$AF$23,Calculations!$D$12:$D$23)</f>
        <v>0</v>
      </c>
      <c r="DV17" s="23" t="s">
        <v>76</v>
      </c>
      <c r="DW17" s="22">
        <f>COUNTIFS('Incident'!$D$4:$D$100003,"Jul",'Incident'!$H$4:$H$100003,dCrit)</f>
        <v>0</v>
      </c>
      <c r="DY17" s="23">
        <f>IFERROR($BQ$17/$BP$17*100,0)</f>
        <v>0</v>
      </c>
      <c r="DZ17" s="23">
        <f>IFERROR($BK$17/$BJ$17*100,0)</f>
        <v>0</v>
      </c>
      <c r="EA17" s="23">
        <f>IFERROR($AI$17/$AJ$17*100,0)</f>
        <v>0</v>
      </c>
      <c r="EB17" s="23">
        <f>IFERROR($AK$17/$AD$17*100,0)</f>
        <v>0</v>
      </c>
      <c r="EC17" s="23">
        <f>IFERROR($S$17/$R$17*100,0)</f>
        <v>0</v>
      </c>
      <c r="ED17" s="23">
        <f>IFERROR($U$17/$T$17*100,0)</f>
        <v>0</v>
      </c>
      <c r="EE17" s="23">
        <f>IFERROR($AM$17/$AL$17*100,0)</f>
        <v>0</v>
      </c>
      <c r="EF17" s="23">
        <f>IFERROR($AR$17/$AQ$17*100,0)</f>
        <v>0</v>
      </c>
      <c r="EG17" s="23">
        <f>IFERROR($AU$17/$AT$17*100,0)</f>
        <v>0</v>
      </c>
      <c r="EH17" s="23">
        <f>IFERROR($AW$17/$AV$17*100,0)</f>
        <v>0</v>
      </c>
      <c r="EI17" s="23">
        <f>IFERROR($BD$17/$BC$17*100,0)</f>
        <v>0</v>
      </c>
      <c r="EJ17" s="23">
        <f>IFERROR($BF$17/$BG$17*100,0)</f>
        <v>0</v>
      </c>
      <c r="EK17" s="23">
        <f>IFERROR($Z$17/$Y$17*100,0)</f>
        <v>0</v>
      </c>
      <c r="EL17" s="23">
        <f>IFERROR($AC$17/$AB$17*100,0)</f>
        <v>0</v>
      </c>
      <c r="EM17" s="23">
        <f>IFERROR($BM$17/$BL$17*100,0)</f>
        <v>0</v>
      </c>
      <c r="EN17" s="23">
        <f>IFERROR($BO$17/$BN$17*100,0)</f>
        <v>0</v>
      </c>
    </row>
    <row r="18" spans="2:144">
      <c r="B18" s="23" t="s">
        <v>76</v>
      </c>
      <c r="C18" s="23">
        <v>7</v>
      </c>
      <c r="D18" s="23">
        <f>IF(Calculations!$C$10=1,IF(ROUNDUP($C$18/3,0)=Calculations!$F$10,1,0),IF($C$18=Calculations!$I$10,1,0))</f>
        <v>0</v>
      </c>
      <c r="E18" s="23">
        <f>IF(Calculations!$C$10=1,IF(ROUNDUP($C$18/3,0)=Calculations!$F$10-1,1,0),IF($C$18=Calculations!$I$10-1,1,0))</f>
        <v>0</v>
      </c>
      <c r="F18" s="22">
        <f>COUNTIFS('Incident'!$N$4:$N$100003,"Medical Treatment",'Incident'!$D$4:$D$100003,"Jul",'Incident'!$H$4:$H$100003,dCrit)+COUNTIFS('Incident'!$N$4:$N$100003,"Restricted Work",'Incident'!$D$4:$D$100003,"Jul",'Incident'!$H$4:$H$100003,dCrit)+COUNTIFS('Incident'!$N$4:$N$100003,"Lost Time Injury",'Incident'!$D$4:$D$100003,"Jul",'Incident'!$H$4:$H$100003,dCrit)+COUNTIFS('Incident'!$N$4:$N$100003,"Fatality",'Incident'!$D$4:$D$100003,"Jul",'Incident'!$H$4:$H$100003,dCrit)</f>
        <v>0</v>
      </c>
      <c r="G18" s="22">
        <f>COUNTIFS('Incident'!$N$4:$N$100003,"Lost Time Injury",'Incident'!$D$4:$D$100003,"Jul",'Incident'!$H$4:$H$100003,dCrit)+COUNTIFS('Incident'!$N$4:$N$100003,"Fatality",'Incident'!$D$4:$D$100003,"Jul",'Incident'!$H$4:$H$100003,dCrit)</f>
        <v>0</v>
      </c>
      <c r="H18" s="22">
        <f>COUNTIFS('Incident'!$N$4:$N$100003,"Near Miss",'Incident'!$D$4:$D$100003,"Jul",'Incident'!$H$4:$H$100003,dCrit)</f>
        <v>0</v>
      </c>
      <c r="I18" s="22">
        <f>COUNTIFS('Incident'!$N$4:$N$100003,"First Aid",'Incident'!$D$4:$D$100003,"Jul",'Incident'!$H$4:$H$100003,dCrit)</f>
        <v>0</v>
      </c>
      <c r="J18" s="22">
        <f>COUNTIFS('Incident'!$N$4:$N$100003,"Medical Treatment",'Incident'!$D$4:$D$100003,"Jul",'Incident'!$H$4:$H$100003,dCrit)</f>
        <v>0</v>
      </c>
      <c r="K18" s="22">
        <f>COUNTIFS('Incident'!$N$4:$N$100003,"Restricted Work",'Incident'!$D$4:$D$100003,"Jul",'Incident'!$H$4:$H$100003,dCrit)</f>
        <v>0</v>
      </c>
      <c r="L18" s="22">
        <f>COUNTIFS('Incident'!$N$4:$N$100003,"Lost Time Injury",'Incident'!$D$4:$D$100003,"Jul",'Incident'!$H$4:$H$100003,dCrit)</f>
        <v>0</v>
      </c>
      <c r="M18" s="22">
        <f>COUNTIFS('Incident'!$N$4:$N$100003,"Fatality",'Incident'!$D$4:$D$100003,"Jul",'Incident'!$H$4:$H$100003,dCrit)</f>
        <v>0</v>
      </c>
      <c r="N18" s="22">
        <f>SUMIFS('Incident'!$V$4:$V$100003,'Incident'!$D$4:$D$100003,"Jul",'Incident'!$H$4:$H$100003,dCrit)</f>
        <v>0</v>
      </c>
      <c r="O18" s="22">
        <f>COUNTIFS('Incident'!$D$4:$D$100003,"Jul",'Incident'!$H$4:$H$100003,dCrit)</f>
        <v>0</v>
      </c>
      <c r="P18" s="22">
        <f>COUNTIFS('Disciplinary Actions'!$D$4:$D$100003,"Jul",'Disciplinary Actions'!$F$4:$F$100003,dCrit)</f>
        <v>0</v>
      </c>
      <c r="Q18" s="22">
        <f>COUNTIFS('NC Management'!$M$4:$M$100003,"Open",'NC Management'!$D$4:$D$100003,"Jul",'NC Management'!$G$4:$G$100003,dCrit)+COUNTIFS('NC Management'!$M$4:$M$100003,"Overdue",'NC Management'!$D$4:$D$100003,"Jul",'NC Management'!$G$4:$G$100003,dCrit)</f>
        <v>0</v>
      </c>
      <c r="R18" s="22">
        <f>COUNTIFS('Training'!$D$4:$D$100003,"Jul",'Training'!$G$4:$G$100003,dCrit)</f>
        <v>0</v>
      </c>
      <c r="S18" s="22">
        <f>COUNTIFS('Training'!$N$4:$N$100003,"Completed",'Training'!$D$4:$D$100003,"Jul",'Training'!$G$4:$G$100003,dCrit)</f>
        <v>0</v>
      </c>
      <c r="T18" s="22">
        <f>COUNTIFS('HSE Observations'!$D$4:$D$100003,"Jul",'HSE Observations'!$G$4:$G$100003,dCrit)</f>
        <v>0</v>
      </c>
      <c r="U18" s="22">
        <f>COUNTIFS('HSE Observations'!$M$4:$M$100003,"Completed",'HSE Observations'!$D$4:$D$100003,"Jul",'HSE Observations'!$G$4:$G$100003,dCrit)</f>
        <v>0</v>
      </c>
      <c r="V18" s="22">
        <f>COUNTIFS('Toolbox Talks'!$D$4:$D$100003,"Jul",'Toolbox Talks'!$F$4:$F$100003,dCrit)</f>
        <v>0</v>
      </c>
      <c r="W18" s="22">
        <f>COUNTIFS('Workplace Inspections'!$D$4:$D$100003,"Jul",'Workplace Inspections'!$F$4:$F$100003,dCrit)+COUNTIFS('Equipment Inspections'!$D$4:$D$100003,"Jul",'Equipment Inspections'!$F$4:$F$100003,dCrit)+COUNTIFS('Safety Walkthroughs'!$D$4:$D$100003,"Jul",'Safety Walkthroughs'!$F$4:$F$100003,dCrit)</f>
        <v>0</v>
      </c>
      <c r="X18" s="22">
        <f>COUNTIFS('Internal Audits'!$D$4:$D$100003,"Jul",'Internal Audits'!$G$4:$G$100003,dCrit)+COUNTIFS('External Audits'!$D$4:$D$100003,"Jul",'External Audits'!$G$4:$G$100003,dCrit)</f>
        <v>0</v>
      </c>
      <c r="Y18" s="22">
        <f>COUNTIFS('PTW Audits'!$D$4:$D$100003,"Jul",'PTW Audits'!$F$4:$F$100003,dCrit)</f>
        <v>0</v>
      </c>
      <c r="Z18" s="22">
        <f>COUNTIFS('PTW Audits'!$M$4:$M$100003,"Compliant",'PTW Audits'!$D$4:$D$100003,"Jul",'PTW Audits'!$F$4:$F$100003,dCrit)</f>
        <v>0</v>
      </c>
      <c r="AA18" s="22">
        <f>COUNTIFS('Emergency Drills'!$D$4:$D$100003,"Jul")</f>
        <v>0</v>
      </c>
      <c r="AB18" s="22">
        <f>COUNTIFS('Corrective Actions'!$D$4:$D$100003,"Jul",'Corrective Actions'!$F$4:$F$100003,dCrit)</f>
        <v>0</v>
      </c>
      <c r="AC18" s="22">
        <f>COUNTIFS('Corrective Actions'!$N$4:$N$100003,"Completed",'Corrective Actions'!$D$4:$D$100003,"Jul",'Corrective Actions'!$F$4:$F$100003,dCrit)</f>
        <v>0</v>
      </c>
      <c r="AD18" s="22">
        <f>COUNTIFS('JSA Risk Assessment'!$D$4:$D$100003,"Jul",'JSA Risk Assessment'!$F$4:$F$100003,dCrit)</f>
        <v>0</v>
      </c>
      <c r="AE18" s="22">
        <f>COUNTIFS('Safety Meetings'!$D$4:$D$100003,"Jul",'Safety Meetings'!$G$4:$G$100003,dCrit)</f>
        <v>0</v>
      </c>
      <c r="AF18" s="22">
        <f>COUNTIFS('Unsafe Acts'!$D$4:$D$100003,"Jul",'Unsafe Acts'!$F$4:$F$100003,dCrit)+COUNTIFS('Unsafe Conditions'!$D$4:$D$100003,"Jul",'Unsafe Conditions'!$F$4:$F$100003,dCrit)</f>
        <v>0</v>
      </c>
      <c r="AG18" s="22">
        <f>COUNTIFS('Unsafe Acts'!$D$4:$D$100003,"Jul",'Unsafe Acts'!$F$4:$F$100003,dCrit)</f>
        <v>0</v>
      </c>
      <c r="AH18" s="22">
        <f>COUNTIFS('Unsafe Conditions'!$D$4:$D$100003,"Jul",'Unsafe Conditions'!$F$4:$F$100003,dCrit)</f>
        <v>0</v>
      </c>
      <c r="AI18" s="22">
        <f>SUMIFS('Toolbox Talks'!$J$4:$J$100003,'Toolbox Talks'!$D$4:$D$100003,"Jul",'Toolbox Talks'!$F$4:$F$100003,dCrit)</f>
        <v>0</v>
      </c>
      <c r="AJ18" s="22">
        <f>SUMIFS('Toolbox Talks'!$I$4:$I$100003,'Toolbox Talks'!$D$4:$D$100003,"Jul",'Toolbox Talks'!$F$4:$F$100003,dCrit)</f>
        <v>0</v>
      </c>
      <c r="AK18" s="22">
        <f>COUNTIFS('JSA Risk Assessment'!$M$4:$M$100003,"Approved",'JSA Risk Assessment'!$D$4:$D$100003,"Jul",'JSA Risk Assessment'!$F$4:$F$100003,dCrit)</f>
        <v>0</v>
      </c>
      <c r="AL18" s="22">
        <f>COUNTIFS('Workplace Inspections'!$D$4:$D$100003,"Jul",'Workplace Inspections'!$F$4:$F$100003,dCrit)</f>
        <v>0</v>
      </c>
      <c r="AM18" s="22">
        <f>COUNTIFS('Workplace Inspections'!$M$4:$M$100003,"Completed",'Workplace Inspections'!$D$4:$D$100003,"Jul",'Workplace Inspections'!$F$4:$F$100003,dCrit)</f>
        <v>0</v>
      </c>
      <c r="AN18" s="22">
        <f>COUNTIFS('Equipment Inspections'!$D$4:$D$100003,"Jul",'Equipment Inspections'!$F$4:$F$100003,dCrit)</f>
        <v>0</v>
      </c>
      <c r="AO18" s="22">
        <f>SUMIFS('Equipment Inspections'!$K$4:$K$100003,'Equipment Inspections'!$D$4:$D$100003,"Jul",'Equipment Inspections'!$F$4:$F$100003,dCrit)</f>
        <v>0</v>
      </c>
      <c r="AP18" s="22">
        <f>COUNTIFS('Safety Walkthroughs'!$D$4:$D$100003,"Jul",'Safety Walkthroughs'!$F$4:$F$100003,dCrit)</f>
        <v>0</v>
      </c>
      <c r="AQ18" s="22">
        <f>SUMIFS('Safety Meetings'!$M$4:$M$100003,'Safety Meetings'!$D$4:$D$100003,"Jul",'Safety Meetings'!$G$4:$G$100003,dCrit)</f>
        <v>0</v>
      </c>
      <c r="AR18" s="22">
        <f>SUMIFS('Safety Meetings'!$N$4:$N$100003,'Safety Meetings'!$D$4:$D$100003,"Jul",'Safety Meetings'!$G$4:$G$100003,dCrit)</f>
        <v>0</v>
      </c>
      <c r="AS18" s="22">
        <f>COUNTIFS('Safety Bulletins'!$D$4:$D$100003,"Jul")</f>
        <v>0</v>
      </c>
      <c r="AT18" s="22">
        <f>SUMIFS('Safety Bulletins'!$L$4:$L$100003,'Safety Bulletins'!$D$4:$D$100003,"Jul")</f>
        <v>0</v>
      </c>
      <c r="AU18" s="22">
        <f>SUMIFS('Safety Bulletins'!$M$4:$M$100003,'Safety Bulletins'!$D$4:$D$100003,"Jul")</f>
        <v>0</v>
      </c>
      <c r="AV18" s="22">
        <f>SUMIFS('Emergency Drills'!$H$4:$H$100003,'Emergency Drills'!$D$4:$D$100003,"Jul")</f>
        <v>0</v>
      </c>
      <c r="AW18" s="22">
        <f>SUMIFS('Emergency Drills'!$I$4:$I$100003,'Emergency Drills'!$D$4:$D$100003,"Jul")</f>
        <v>0</v>
      </c>
      <c r="AX18" s="22">
        <f>COUNTIFS('Internal Audits'!$D$4:$D$100003,"Jul",'Internal Audits'!$G$4:$G$100003,dCrit)</f>
        <v>0</v>
      </c>
      <c r="AY18" s="22">
        <f>SUMIFS('Internal Audits'!$L$4:$L$100003,'Internal Audits'!$D$4:$D$100003,"Jul",'Internal Audits'!$G$4:$G$100003,dCrit)+SUMIFS('Internal Audits'!$M$4:$M$100003,'Internal Audits'!$D$4:$D$100003,"Jul",'Internal Audits'!$G$4:$G$100003,dCrit)</f>
        <v>0</v>
      </c>
      <c r="AZ18" s="22">
        <f>COUNTIFS('External Audits'!$D$4:$D$100003,"Jul",'External Audits'!$G$4:$G$100003,dCrit)</f>
        <v>0</v>
      </c>
      <c r="BA18" s="22">
        <f>SUMIFS('External Audits'!$L$4:$L$100003,'External Audits'!$D$4:$D$100003,"Jul",'External Audits'!$G$4:$G$100003,dCrit)+SUMIFS('External Audits'!$M$4:$M$100003,'External Audits'!$D$4:$D$100003,"Jul",'External Audits'!$G$4:$G$100003,dCrit)</f>
        <v>0</v>
      </c>
      <c r="BB18" s="22">
        <f>COUNTIFS('Management Visits'!$D$4:$D$100003,"Jul",'Management Visits'!$F$4:$F$100003,dCrit)</f>
        <v>0</v>
      </c>
      <c r="BC18" s="22">
        <f>SUMIFS('Management Visits'!$K$4:$K$100003,'Management Visits'!$D$4:$D$100003,"Jul",'Management Visits'!$F$4:$F$100003,dCrit)</f>
        <v>0</v>
      </c>
      <c r="BD18" s="22">
        <f>SUMIFS('Management Visits'!$L$4:$L$100003,'Management Visits'!$D$4:$D$100003,"Jul",'Management Visits'!$F$4:$F$100003,dCrit)</f>
        <v>0</v>
      </c>
      <c r="BE18" s="22">
        <f>COUNTIFS('Management Reviews'!$D$4:$D$100003,"Jul")</f>
        <v>0</v>
      </c>
      <c r="BF18" s="22">
        <f>SUMIFS('Management Reviews'!$H$4:$H$100003,'Management Reviews'!$D$4:$D$100003,"Jul")</f>
        <v>0</v>
      </c>
      <c r="BG18" s="22">
        <f>SUMIFS('Management Reviews'!$G$4:$G$100003,'Management Reviews'!$D$4:$D$100003,"Jul")</f>
        <v>0</v>
      </c>
      <c r="BH18" s="22">
        <f>COUNTIFS('Safety Awards'!$D$4:$D$100003,"Jul",'Safety Awards'!$F$4:$F$100003,dCrit)</f>
        <v>0</v>
      </c>
      <c r="BI18" s="22">
        <f>COUNTIFS('Stop Work Authority'!$D$4:$D$100003,"Jul",'Stop Work Authority'!$F$4:$F$100003,dCrit)</f>
        <v>0</v>
      </c>
      <c r="BJ18" s="22">
        <f>COUNTIFS('Alcohol Tests'!$D$4:$D$100003,"Jul",'Alcohol Tests'!$E$4:$E$100003,dCrit)</f>
        <v>0</v>
      </c>
      <c r="BK18" s="22">
        <f>COUNTIFS('Alcohol Tests'!$H$4:$H$100003,"Positive",'Alcohol Tests'!$D$4:$D$100003,"Jul",'Alcohol Tests'!$E$4:$E$100003,dCrit)</f>
        <v>0</v>
      </c>
      <c r="BL18" s="22">
        <f>COUNTIFS('Unsafe Acts'!$D$4:$D$100003,"Jul",'Unsafe Acts'!$F$4:$F$100003,dCrit)</f>
        <v>0</v>
      </c>
      <c r="BM18" s="22">
        <f>COUNTIFS('Unsafe Acts'!$M$4:$M$100003,"Completed",'Unsafe Acts'!$D$4:$D$100003,"Jul",'Unsafe Acts'!$F$4:$F$100003,dCrit)</f>
        <v>0</v>
      </c>
      <c r="BN18" s="22">
        <f>COUNTIFS('Unsafe Conditions'!$D$4:$D$100003,"Jul",'Unsafe Conditions'!$F$4:$F$100003,dCrit)</f>
        <v>0</v>
      </c>
      <c r="BO18" s="22">
        <f>COUNTIFS('Unsafe Conditions'!$M$4:$M$100003,"Completed",'Unsafe Conditions'!$D$4:$D$100003,"Jul",'Unsafe Conditions'!$F$4:$F$100003,dCrit)</f>
        <v>0</v>
      </c>
      <c r="BP18" s="22">
        <f>COUNTIFS('NC Management'!$D$4:$D$100003,"Jul",'NC Management'!$G$4:$G$100003,dCrit)</f>
        <v>0</v>
      </c>
      <c r="BQ18" s="22">
        <f>COUNTIFS('NC Management'!$M$4:$M$100003,"Closed",'NC Management'!$D$4:$D$100003,"Jul",'NC Management'!$G$4:$G$100003,dCrit)</f>
        <v>0</v>
      </c>
      <c r="BR18" s="22">
        <f>COUNTIFS('Training'!$F$4:$F$100003,"Induction",'Training'!$D$4:$D$100003,"Jul",'Training'!$G$4:$G$100003,dCrit)</f>
        <v>0</v>
      </c>
      <c r="BS18" s="22">
        <f>COUNTIFS('HSE Observations'!$E$4:$E$100003,"Safe Act",'HSE Observations'!$D$4:$D$100003,"Jul",'HSE Observations'!$G$4:$G$100003,dCrit)+COUNTIFS('HSE Observations'!$E$4:$E$100003,"Safe Condition",'HSE Observations'!$D$4:$D$100003,"Jul",'HSE Observations'!$G$4:$G$100003,dCrit)</f>
        <v>0</v>
      </c>
      <c r="BT18" s="22">
        <f>COUNTIFS('HSE Observations'!$E$4:$E$100003,"Unsafe Act",'HSE Observations'!$D$4:$D$100003,"Jul",'HSE Observations'!$G$4:$G$100003,dCrit)+COUNTIFS('HSE Observations'!$E$4:$E$100003,"Unsafe Condition",'HSE Observations'!$D$4:$D$100003,"Jul",'HSE Observations'!$G$4:$G$100003,dCrit)</f>
        <v>0</v>
      </c>
      <c r="BU18" s="22">
        <f>IFERROR(AVERAGEIFS('Emergency Drills'!$L$4:$L$100003,'Emergency Drills'!$D$4:$D$100003,"Jul"),0)</f>
        <v>0</v>
      </c>
      <c r="BV18" s="22">
        <f>IFERROR(AVERAGEIFS('Emergency Drills'!$K$4:$K$100003,'Emergency Drills'!$D$4:$D$100003,"Jul"),0)</f>
        <v>0</v>
      </c>
      <c r="BW18" s="22">
        <f>SUMIFS('Internal Audits'!$M$4:$M$100003,'Internal Audits'!$D$4:$D$100003,"Jul",'Internal Audits'!$G$4:$G$100003,dCrit)</f>
        <v>0</v>
      </c>
      <c r="BX18" s="22">
        <f>SUMIFS('External Audits'!$M$4:$M$100003,'External Audits'!$D$4:$D$100003,"Jul",'External Audits'!$G$4:$G$100003,dCrit)</f>
        <v>0</v>
      </c>
      <c r="BY18" s="22">
        <f>SUMIFS('Management Reviews'!$K$4:$K$100003,'Management Reviews'!$D$4:$D$100003,"Jul")</f>
        <v>0</v>
      </c>
      <c r="BZ18" s="22">
        <f>SUMIFS('Management Reviews'!$L$4:$L$100003,'Management Reviews'!$D$4:$D$100003,"Jul")</f>
        <v>0</v>
      </c>
      <c r="CA18" s="22">
        <f>SUMIFS('Stop Work Authority'!$J$4:$J$100003,'Stop Work Authority'!$D$4:$D$100003,"Jul",'Stop Work Authority'!$F$4:$F$100003,dCrit)</f>
        <v>0</v>
      </c>
      <c r="CB18" s="22">
        <f>SUMIFS('Training'!$M$4:$M$100003,'Training'!$D$4:$D$100003,"Jul",'Training'!$G$4:$G$100003,dCrit)</f>
        <v>0</v>
      </c>
      <c r="CC18" s="22">
        <f>SUMIFS('Workplace Inspections'!$J$4:$J$100003,'Workplace Inspections'!$D$4:$D$100003,"Jul",'Workplace Inspections'!$F$4:$F$100003,dCrit)</f>
        <v>0</v>
      </c>
      <c r="CD18" s="22">
        <f>COUNTIFS('Corrective Actions'!$O$4:$O$100003,"On-Time",'Corrective Actions'!$D$4:$D$100003,"Jul",'Corrective Actions'!$F$4:$F$100003,dCrit)</f>
        <v>0</v>
      </c>
      <c r="CE18" s="22">
        <f>COUNTIFS('Corrective Actions'!$O$4:$O$100003,"Delayed",'Corrective Actions'!$D$4:$D$100003,"Jul",'Corrective Actions'!$F$4:$F$100003,dCrit)</f>
        <v>0</v>
      </c>
      <c r="CF18" s="22">
        <f>COUNTIFS('JSA Risk Assessment'!$J$4:$J$100003,"Critical",'JSA Risk Assessment'!$D$4:$D$100003,"Jul",'JSA Risk Assessment'!$F$4:$F$100003,dCrit)</f>
        <v>0</v>
      </c>
      <c r="CG18" s="22">
        <f>COUNTIFS('JSA Risk Assessment'!$J$4:$J$100003,"High",'JSA Risk Assessment'!$D$4:$D$100003,"Jul",'JSA Risk Assessment'!$F$4:$F$100003,dCrit)</f>
        <v>0</v>
      </c>
      <c r="CH18" s="22">
        <f>COUNTIFS('JSA Risk Assessment'!$J$4:$J$100003,"Medium",'JSA Risk Assessment'!$D$4:$D$100003,"Jul",'JSA Risk Assessment'!$F$4:$F$100003,dCrit)</f>
        <v>0</v>
      </c>
      <c r="CI18" s="22">
        <f>COUNTIFS('JSA Risk Assessment'!$J$4:$J$100003,"Low",'JSA Risk Assessment'!$D$4:$D$100003,"Jul",'JSA Risk Assessment'!$F$4:$F$100003,dCrit)</f>
        <v>0</v>
      </c>
      <c r="CJ18" s="23">
        <f>IFERROR($F$18*TRIRmult/Settings!$C$19,0)</f>
        <v>0</v>
      </c>
      <c r="CK18" s="23">
        <f>IFERROR($G$18*LTIFRmult/Settings!$C$19,0)</f>
        <v>0</v>
      </c>
      <c r="CL18" s="23">
        <f>BenchTRIR</f>
        <v>0</v>
      </c>
      <c r="CM18" s="23">
        <f>BenchLTIFR</f>
        <v>0</v>
      </c>
      <c r="CN18" s="25">
        <f>IFERROR($BK$18/$BJ$18*100,0)</f>
        <v>0</v>
      </c>
      <c r="CO18" s="22">
        <f>$V$18+$R$18+$T$18+$W$18+$X$18+$AA$18+$Y$18+$AE$18+$AD$18</f>
        <v>0</v>
      </c>
      <c r="CP18" s="22">
        <f>$O$18+$BP$18+$P$18</f>
        <v>0</v>
      </c>
      <c r="CQ18" s="23">
        <f>IFERROR($CO$18/$CP$18,0)</f>
        <v>0</v>
      </c>
      <c r="DJ18" s="13" t="s">
        <v>1530</v>
      </c>
      <c r="DK18" s="23" t="s">
        <v>1930</v>
      </c>
      <c r="DL18" s="22">
        <f>SUMPRODUCT(Calculations!$I$12:$I$23,Calculations!$D$12:$D$23)</f>
        <v>0</v>
      </c>
      <c r="DM18" s="22">
        <f>SUMPRODUCT(Calculations!$I$12:$I$23,Calculations!$E$12:$E$23)</f>
        <v>0</v>
      </c>
      <c r="DN18" s="25">
        <f>IFERROR(($DL$18-$DM$18)/$DM$18,IF($DL$18&gt;0,1,0))</f>
        <v>0</v>
      </c>
      <c r="DO18" s="23">
        <f>($DL$18-$DM$18)*-1</f>
        <v>0</v>
      </c>
      <c r="DP18" s="22">
        <f>IFERROR(AVERAGE(Calculations!$I$12:$I$23)*SUM(Calculations!$D$12:$D$23),0)</f>
        <v>0</v>
      </c>
      <c r="DQ18" s="23">
        <f>IFERROR(IF($DL$18&lt;=$DP$18,2,IF($DL$18&lt;=$DP$18/AmberBand,1,0)),1)</f>
        <v>0</v>
      </c>
      <c r="DV18" s="23" t="s">
        <v>86</v>
      </c>
      <c r="DW18" s="22">
        <f>COUNTIFS('Incident'!$D$4:$D$100003,"Aug",'Incident'!$H$4:$H$100003,dCrit)</f>
        <v>0</v>
      </c>
      <c r="DY18" s="23">
        <f>IFERROR($BQ$18/$BP$18*100,0)</f>
        <v>0</v>
      </c>
      <c r="DZ18" s="23">
        <f>IFERROR($BK$18/$BJ$18*100,0)</f>
        <v>0</v>
      </c>
      <c r="EA18" s="23">
        <f>IFERROR($AI$18/$AJ$18*100,0)</f>
        <v>0</v>
      </c>
      <c r="EB18" s="23">
        <f>IFERROR($AK$18/$AD$18*100,0)</f>
        <v>0</v>
      </c>
      <c r="EC18" s="23">
        <f>IFERROR($S$18/$R$18*100,0)</f>
        <v>0</v>
      </c>
      <c r="ED18" s="23">
        <f>IFERROR($U$18/$T$18*100,0)</f>
        <v>0</v>
      </c>
      <c r="EE18" s="23">
        <f>IFERROR($AM$18/$AL$18*100,0)</f>
        <v>0</v>
      </c>
      <c r="EF18" s="23">
        <f>IFERROR($AR$18/$AQ$18*100,0)</f>
        <v>0</v>
      </c>
      <c r="EG18" s="23">
        <f>IFERROR($AU$18/$AT$18*100,0)</f>
        <v>0</v>
      </c>
      <c r="EH18" s="23">
        <f>IFERROR($AW$18/$AV$18*100,0)</f>
        <v>0</v>
      </c>
      <c r="EI18" s="23">
        <f>IFERROR($BD$18/$BC$18*100,0)</f>
        <v>0</v>
      </c>
      <c r="EJ18" s="23">
        <f>IFERROR($BF$18/$BG$18*100,0)</f>
        <v>0</v>
      </c>
      <c r="EK18" s="23">
        <f>IFERROR($Z$18/$Y$18*100,0)</f>
        <v>0</v>
      </c>
      <c r="EL18" s="23">
        <f>IFERROR($AC$18/$AB$18*100,0)</f>
        <v>0</v>
      </c>
      <c r="EM18" s="23">
        <f>IFERROR($BM$18/$BL$18*100,0)</f>
        <v>0</v>
      </c>
      <c r="EN18" s="23">
        <f>IFERROR($BO$18/$BN$18*100,0)</f>
        <v>0</v>
      </c>
    </row>
    <row r="19" spans="2:144">
      <c r="B19" s="23" t="s">
        <v>86</v>
      </c>
      <c r="C19" s="23">
        <v>8</v>
      </c>
      <c r="D19" s="23">
        <f>IF(Calculations!$C$10=1,IF(ROUNDUP($C$19/3,0)=Calculations!$F$10,1,0),IF($C$19=Calculations!$I$10,1,0))</f>
        <v>0</v>
      </c>
      <c r="E19" s="23">
        <f>IF(Calculations!$C$10=1,IF(ROUNDUP($C$19/3,0)=Calculations!$F$10-1,1,0),IF($C$19=Calculations!$I$10-1,1,0))</f>
        <v>0</v>
      </c>
      <c r="F19" s="22">
        <f>COUNTIFS('Incident'!$N$4:$N$100003,"Medical Treatment",'Incident'!$D$4:$D$100003,"Aug",'Incident'!$H$4:$H$100003,dCrit)+COUNTIFS('Incident'!$N$4:$N$100003,"Restricted Work",'Incident'!$D$4:$D$100003,"Aug",'Incident'!$H$4:$H$100003,dCrit)+COUNTIFS('Incident'!$N$4:$N$100003,"Lost Time Injury",'Incident'!$D$4:$D$100003,"Aug",'Incident'!$H$4:$H$100003,dCrit)+COUNTIFS('Incident'!$N$4:$N$100003,"Fatality",'Incident'!$D$4:$D$100003,"Aug",'Incident'!$H$4:$H$100003,dCrit)</f>
        <v>0</v>
      </c>
      <c r="G19" s="22">
        <f>COUNTIFS('Incident'!$N$4:$N$100003,"Lost Time Injury",'Incident'!$D$4:$D$100003,"Aug",'Incident'!$H$4:$H$100003,dCrit)+COUNTIFS('Incident'!$N$4:$N$100003,"Fatality",'Incident'!$D$4:$D$100003,"Aug",'Incident'!$H$4:$H$100003,dCrit)</f>
        <v>0</v>
      </c>
      <c r="H19" s="22">
        <f>COUNTIFS('Incident'!$N$4:$N$100003,"Near Miss",'Incident'!$D$4:$D$100003,"Aug",'Incident'!$H$4:$H$100003,dCrit)</f>
        <v>0</v>
      </c>
      <c r="I19" s="22">
        <f>COUNTIFS('Incident'!$N$4:$N$100003,"First Aid",'Incident'!$D$4:$D$100003,"Aug",'Incident'!$H$4:$H$100003,dCrit)</f>
        <v>0</v>
      </c>
      <c r="J19" s="22">
        <f>COUNTIFS('Incident'!$N$4:$N$100003,"Medical Treatment",'Incident'!$D$4:$D$100003,"Aug",'Incident'!$H$4:$H$100003,dCrit)</f>
        <v>0</v>
      </c>
      <c r="K19" s="22">
        <f>COUNTIFS('Incident'!$N$4:$N$100003,"Restricted Work",'Incident'!$D$4:$D$100003,"Aug",'Incident'!$H$4:$H$100003,dCrit)</f>
        <v>0</v>
      </c>
      <c r="L19" s="22">
        <f>COUNTIFS('Incident'!$N$4:$N$100003,"Lost Time Injury",'Incident'!$D$4:$D$100003,"Aug",'Incident'!$H$4:$H$100003,dCrit)</f>
        <v>0</v>
      </c>
      <c r="M19" s="22">
        <f>COUNTIFS('Incident'!$N$4:$N$100003,"Fatality",'Incident'!$D$4:$D$100003,"Aug",'Incident'!$H$4:$H$100003,dCrit)</f>
        <v>0</v>
      </c>
      <c r="N19" s="22">
        <f>SUMIFS('Incident'!$V$4:$V$100003,'Incident'!$D$4:$D$100003,"Aug",'Incident'!$H$4:$H$100003,dCrit)</f>
        <v>0</v>
      </c>
      <c r="O19" s="22">
        <f>COUNTIFS('Incident'!$D$4:$D$100003,"Aug",'Incident'!$H$4:$H$100003,dCrit)</f>
        <v>0</v>
      </c>
      <c r="P19" s="22">
        <f>COUNTIFS('Disciplinary Actions'!$D$4:$D$100003,"Aug",'Disciplinary Actions'!$F$4:$F$100003,dCrit)</f>
        <v>0</v>
      </c>
      <c r="Q19" s="22">
        <f>COUNTIFS('NC Management'!$M$4:$M$100003,"Open",'NC Management'!$D$4:$D$100003,"Aug",'NC Management'!$G$4:$G$100003,dCrit)+COUNTIFS('NC Management'!$M$4:$M$100003,"Overdue",'NC Management'!$D$4:$D$100003,"Aug",'NC Management'!$G$4:$G$100003,dCrit)</f>
        <v>0</v>
      </c>
      <c r="R19" s="22">
        <f>COUNTIFS('Training'!$D$4:$D$100003,"Aug",'Training'!$G$4:$G$100003,dCrit)</f>
        <v>0</v>
      </c>
      <c r="S19" s="22">
        <f>COUNTIFS('Training'!$N$4:$N$100003,"Completed",'Training'!$D$4:$D$100003,"Aug",'Training'!$G$4:$G$100003,dCrit)</f>
        <v>0</v>
      </c>
      <c r="T19" s="22">
        <f>COUNTIFS('HSE Observations'!$D$4:$D$100003,"Aug",'HSE Observations'!$G$4:$G$100003,dCrit)</f>
        <v>0</v>
      </c>
      <c r="U19" s="22">
        <f>COUNTIFS('HSE Observations'!$M$4:$M$100003,"Completed",'HSE Observations'!$D$4:$D$100003,"Aug",'HSE Observations'!$G$4:$G$100003,dCrit)</f>
        <v>0</v>
      </c>
      <c r="V19" s="22">
        <f>COUNTIFS('Toolbox Talks'!$D$4:$D$100003,"Aug",'Toolbox Talks'!$F$4:$F$100003,dCrit)</f>
        <v>0</v>
      </c>
      <c r="W19" s="22">
        <f>COUNTIFS('Workplace Inspections'!$D$4:$D$100003,"Aug",'Workplace Inspections'!$F$4:$F$100003,dCrit)+COUNTIFS('Equipment Inspections'!$D$4:$D$100003,"Aug",'Equipment Inspections'!$F$4:$F$100003,dCrit)+COUNTIFS('Safety Walkthroughs'!$D$4:$D$100003,"Aug",'Safety Walkthroughs'!$F$4:$F$100003,dCrit)</f>
        <v>0</v>
      </c>
      <c r="X19" s="22">
        <f>COUNTIFS('Internal Audits'!$D$4:$D$100003,"Aug",'Internal Audits'!$G$4:$G$100003,dCrit)+COUNTIFS('External Audits'!$D$4:$D$100003,"Aug",'External Audits'!$G$4:$G$100003,dCrit)</f>
        <v>0</v>
      </c>
      <c r="Y19" s="22">
        <f>COUNTIFS('PTW Audits'!$D$4:$D$100003,"Aug",'PTW Audits'!$F$4:$F$100003,dCrit)</f>
        <v>0</v>
      </c>
      <c r="Z19" s="22">
        <f>COUNTIFS('PTW Audits'!$M$4:$M$100003,"Compliant",'PTW Audits'!$D$4:$D$100003,"Aug",'PTW Audits'!$F$4:$F$100003,dCrit)</f>
        <v>0</v>
      </c>
      <c r="AA19" s="22">
        <f>COUNTIFS('Emergency Drills'!$D$4:$D$100003,"Aug")</f>
        <v>0</v>
      </c>
      <c r="AB19" s="22">
        <f>COUNTIFS('Corrective Actions'!$D$4:$D$100003,"Aug",'Corrective Actions'!$F$4:$F$100003,dCrit)</f>
        <v>0</v>
      </c>
      <c r="AC19" s="22">
        <f>COUNTIFS('Corrective Actions'!$N$4:$N$100003,"Completed",'Corrective Actions'!$D$4:$D$100003,"Aug",'Corrective Actions'!$F$4:$F$100003,dCrit)</f>
        <v>0</v>
      </c>
      <c r="AD19" s="22">
        <f>COUNTIFS('JSA Risk Assessment'!$D$4:$D$100003,"Aug",'JSA Risk Assessment'!$F$4:$F$100003,dCrit)</f>
        <v>0</v>
      </c>
      <c r="AE19" s="22">
        <f>COUNTIFS('Safety Meetings'!$D$4:$D$100003,"Aug",'Safety Meetings'!$G$4:$G$100003,dCrit)</f>
        <v>0</v>
      </c>
      <c r="AF19" s="22">
        <f>COUNTIFS('Unsafe Acts'!$D$4:$D$100003,"Aug",'Unsafe Acts'!$F$4:$F$100003,dCrit)+COUNTIFS('Unsafe Conditions'!$D$4:$D$100003,"Aug",'Unsafe Conditions'!$F$4:$F$100003,dCrit)</f>
        <v>0</v>
      </c>
      <c r="AG19" s="22">
        <f>COUNTIFS('Unsafe Acts'!$D$4:$D$100003,"Aug",'Unsafe Acts'!$F$4:$F$100003,dCrit)</f>
        <v>0</v>
      </c>
      <c r="AH19" s="22">
        <f>COUNTIFS('Unsafe Conditions'!$D$4:$D$100003,"Aug",'Unsafe Conditions'!$F$4:$F$100003,dCrit)</f>
        <v>0</v>
      </c>
      <c r="AI19" s="22">
        <f>SUMIFS('Toolbox Talks'!$J$4:$J$100003,'Toolbox Talks'!$D$4:$D$100003,"Aug",'Toolbox Talks'!$F$4:$F$100003,dCrit)</f>
        <v>0</v>
      </c>
      <c r="AJ19" s="22">
        <f>SUMIFS('Toolbox Talks'!$I$4:$I$100003,'Toolbox Talks'!$D$4:$D$100003,"Aug",'Toolbox Talks'!$F$4:$F$100003,dCrit)</f>
        <v>0</v>
      </c>
      <c r="AK19" s="22">
        <f>COUNTIFS('JSA Risk Assessment'!$M$4:$M$100003,"Approved",'JSA Risk Assessment'!$D$4:$D$100003,"Aug",'JSA Risk Assessment'!$F$4:$F$100003,dCrit)</f>
        <v>0</v>
      </c>
      <c r="AL19" s="22">
        <f>COUNTIFS('Workplace Inspections'!$D$4:$D$100003,"Aug",'Workplace Inspections'!$F$4:$F$100003,dCrit)</f>
        <v>0</v>
      </c>
      <c r="AM19" s="22">
        <f>COUNTIFS('Workplace Inspections'!$M$4:$M$100003,"Completed",'Workplace Inspections'!$D$4:$D$100003,"Aug",'Workplace Inspections'!$F$4:$F$100003,dCrit)</f>
        <v>0</v>
      </c>
      <c r="AN19" s="22">
        <f>COUNTIFS('Equipment Inspections'!$D$4:$D$100003,"Aug",'Equipment Inspections'!$F$4:$F$100003,dCrit)</f>
        <v>0</v>
      </c>
      <c r="AO19" s="22">
        <f>SUMIFS('Equipment Inspections'!$K$4:$K$100003,'Equipment Inspections'!$D$4:$D$100003,"Aug",'Equipment Inspections'!$F$4:$F$100003,dCrit)</f>
        <v>0</v>
      </c>
      <c r="AP19" s="22">
        <f>COUNTIFS('Safety Walkthroughs'!$D$4:$D$100003,"Aug",'Safety Walkthroughs'!$F$4:$F$100003,dCrit)</f>
        <v>0</v>
      </c>
      <c r="AQ19" s="22">
        <f>SUMIFS('Safety Meetings'!$M$4:$M$100003,'Safety Meetings'!$D$4:$D$100003,"Aug",'Safety Meetings'!$G$4:$G$100003,dCrit)</f>
        <v>0</v>
      </c>
      <c r="AR19" s="22">
        <f>SUMIFS('Safety Meetings'!$N$4:$N$100003,'Safety Meetings'!$D$4:$D$100003,"Aug",'Safety Meetings'!$G$4:$G$100003,dCrit)</f>
        <v>0</v>
      </c>
      <c r="AS19" s="22">
        <f>COUNTIFS('Safety Bulletins'!$D$4:$D$100003,"Aug")</f>
        <v>0</v>
      </c>
      <c r="AT19" s="22">
        <f>SUMIFS('Safety Bulletins'!$L$4:$L$100003,'Safety Bulletins'!$D$4:$D$100003,"Aug")</f>
        <v>0</v>
      </c>
      <c r="AU19" s="22">
        <f>SUMIFS('Safety Bulletins'!$M$4:$M$100003,'Safety Bulletins'!$D$4:$D$100003,"Aug")</f>
        <v>0</v>
      </c>
      <c r="AV19" s="22">
        <f>SUMIFS('Emergency Drills'!$H$4:$H$100003,'Emergency Drills'!$D$4:$D$100003,"Aug")</f>
        <v>0</v>
      </c>
      <c r="AW19" s="22">
        <f>SUMIFS('Emergency Drills'!$I$4:$I$100003,'Emergency Drills'!$D$4:$D$100003,"Aug")</f>
        <v>0</v>
      </c>
      <c r="AX19" s="22">
        <f>COUNTIFS('Internal Audits'!$D$4:$D$100003,"Aug",'Internal Audits'!$G$4:$G$100003,dCrit)</f>
        <v>0</v>
      </c>
      <c r="AY19" s="22">
        <f>SUMIFS('Internal Audits'!$L$4:$L$100003,'Internal Audits'!$D$4:$D$100003,"Aug",'Internal Audits'!$G$4:$G$100003,dCrit)+SUMIFS('Internal Audits'!$M$4:$M$100003,'Internal Audits'!$D$4:$D$100003,"Aug",'Internal Audits'!$G$4:$G$100003,dCrit)</f>
        <v>0</v>
      </c>
      <c r="AZ19" s="22">
        <f>COUNTIFS('External Audits'!$D$4:$D$100003,"Aug",'External Audits'!$G$4:$G$100003,dCrit)</f>
        <v>0</v>
      </c>
      <c r="BA19" s="22">
        <f>SUMIFS('External Audits'!$L$4:$L$100003,'External Audits'!$D$4:$D$100003,"Aug",'External Audits'!$G$4:$G$100003,dCrit)+SUMIFS('External Audits'!$M$4:$M$100003,'External Audits'!$D$4:$D$100003,"Aug",'External Audits'!$G$4:$G$100003,dCrit)</f>
        <v>0</v>
      </c>
      <c r="BB19" s="22">
        <f>COUNTIFS('Management Visits'!$D$4:$D$100003,"Aug",'Management Visits'!$F$4:$F$100003,dCrit)</f>
        <v>0</v>
      </c>
      <c r="BC19" s="22">
        <f>SUMIFS('Management Visits'!$K$4:$K$100003,'Management Visits'!$D$4:$D$100003,"Aug",'Management Visits'!$F$4:$F$100003,dCrit)</f>
        <v>0</v>
      </c>
      <c r="BD19" s="22">
        <f>SUMIFS('Management Visits'!$L$4:$L$100003,'Management Visits'!$D$4:$D$100003,"Aug",'Management Visits'!$F$4:$F$100003,dCrit)</f>
        <v>0</v>
      </c>
      <c r="BE19" s="22">
        <f>COUNTIFS('Management Reviews'!$D$4:$D$100003,"Aug")</f>
        <v>0</v>
      </c>
      <c r="BF19" s="22">
        <f>SUMIFS('Management Reviews'!$H$4:$H$100003,'Management Reviews'!$D$4:$D$100003,"Aug")</f>
        <v>0</v>
      </c>
      <c r="BG19" s="22">
        <f>SUMIFS('Management Reviews'!$G$4:$G$100003,'Management Reviews'!$D$4:$D$100003,"Aug")</f>
        <v>0</v>
      </c>
      <c r="BH19" s="22">
        <f>COUNTIFS('Safety Awards'!$D$4:$D$100003,"Aug",'Safety Awards'!$F$4:$F$100003,dCrit)</f>
        <v>0</v>
      </c>
      <c r="BI19" s="22">
        <f>COUNTIFS('Stop Work Authority'!$D$4:$D$100003,"Aug",'Stop Work Authority'!$F$4:$F$100003,dCrit)</f>
        <v>0</v>
      </c>
      <c r="BJ19" s="22">
        <f>COUNTIFS('Alcohol Tests'!$D$4:$D$100003,"Aug",'Alcohol Tests'!$E$4:$E$100003,dCrit)</f>
        <v>0</v>
      </c>
      <c r="BK19" s="22">
        <f>COUNTIFS('Alcohol Tests'!$H$4:$H$100003,"Positive",'Alcohol Tests'!$D$4:$D$100003,"Aug",'Alcohol Tests'!$E$4:$E$100003,dCrit)</f>
        <v>0</v>
      </c>
      <c r="BL19" s="22">
        <f>COUNTIFS('Unsafe Acts'!$D$4:$D$100003,"Aug",'Unsafe Acts'!$F$4:$F$100003,dCrit)</f>
        <v>0</v>
      </c>
      <c r="BM19" s="22">
        <f>COUNTIFS('Unsafe Acts'!$M$4:$M$100003,"Completed",'Unsafe Acts'!$D$4:$D$100003,"Aug",'Unsafe Acts'!$F$4:$F$100003,dCrit)</f>
        <v>0</v>
      </c>
      <c r="BN19" s="22">
        <f>COUNTIFS('Unsafe Conditions'!$D$4:$D$100003,"Aug",'Unsafe Conditions'!$F$4:$F$100003,dCrit)</f>
        <v>0</v>
      </c>
      <c r="BO19" s="22">
        <f>COUNTIFS('Unsafe Conditions'!$M$4:$M$100003,"Completed",'Unsafe Conditions'!$D$4:$D$100003,"Aug",'Unsafe Conditions'!$F$4:$F$100003,dCrit)</f>
        <v>0</v>
      </c>
      <c r="BP19" s="22">
        <f>COUNTIFS('NC Management'!$D$4:$D$100003,"Aug",'NC Management'!$G$4:$G$100003,dCrit)</f>
        <v>0</v>
      </c>
      <c r="BQ19" s="22">
        <f>COUNTIFS('NC Management'!$M$4:$M$100003,"Closed",'NC Management'!$D$4:$D$100003,"Aug",'NC Management'!$G$4:$G$100003,dCrit)</f>
        <v>0</v>
      </c>
      <c r="BR19" s="22">
        <f>COUNTIFS('Training'!$F$4:$F$100003,"Induction",'Training'!$D$4:$D$100003,"Aug",'Training'!$G$4:$G$100003,dCrit)</f>
        <v>0</v>
      </c>
      <c r="BS19" s="22">
        <f>COUNTIFS('HSE Observations'!$E$4:$E$100003,"Safe Act",'HSE Observations'!$D$4:$D$100003,"Aug",'HSE Observations'!$G$4:$G$100003,dCrit)+COUNTIFS('HSE Observations'!$E$4:$E$100003,"Safe Condition",'HSE Observations'!$D$4:$D$100003,"Aug",'HSE Observations'!$G$4:$G$100003,dCrit)</f>
        <v>0</v>
      </c>
      <c r="BT19" s="22">
        <f>COUNTIFS('HSE Observations'!$E$4:$E$100003,"Unsafe Act",'HSE Observations'!$D$4:$D$100003,"Aug",'HSE Observations'!$G$4:$G$100003,dCrit)+COUNTIFS('HSE Observations'!$E$4:$E$100003,"Unsafe Condition",'HSE Observations'!$D$4:$D$100003,"Aug",'HSE Observations'!$G$4:$G$100003,dCrit)</f>
        <v>0</v>
      </c>
      <c r="BU19" s="22">
        <f>IFERROR(AVERAGEIFS('Emergency Drills'!$L$4:$L$100003,'Emergency Drills'!$D$4:$D$100003,"Aug"),0)</f>
        <v>0</v>
      </c>
      <c r="BV19" s="22">
        <f>IFERROR(AVERAGEIFS('Emergency Drills'!$K$4:$K$100003,'Emergency Drills'!$D$4:$D$100003,"Aug"),0)</f>
        <v>0</v>
      </c>
      <c r="BW19" s="22">
        <f>SUMIFS('Internal Audits'!$M$4:$M$100003,'Internal Audits'!$D$4:$D$100003,"Aug",'Internal Audits'!$G$4:$G$100003,dCrit)</f>
        <v>0</v>
      </c>
      <c r="BX19" s="22">
        <f>SUMIFS('External Audits'!$M$4:$M$100003,'External Audits'!$D$4:$D$100003,"Aug",'External Audits'!$G$4:$G$100003,dCrit)</f>
        <v>0</v>
      </c>
      <c r="BY19" s="22">
        <f>SUMIFS('Management Reviews'!$K$4:$K$100003,'Management Reviews'!$D$4:$D$100003,"Aug")</f>
        <v>0</v>
      </c>
      <c r="BZ19" s="22">
        <f>SUMIFS('Management Reviews'!$L$4:$L$100003,'Management Reviews'!$D$4:$D$100003,"Aug")</f>
        <v>0</v>
      </c>
      <c r="CA19" s="22">
        <f>SUMIFS('Stop Work Authority'!$J$4:$J$100003,'Stop Work Authority'!$D$4:$D$100003,"Aug",'Stop Work Authority'!$F$4:$F$100003,dCrit)</f>
        <v>0</v>
      </c>
      <c r="CB19" s="22">
        <f>SUMIFS('Training'!$M$4:$M$100003,'Training'!$D$4:$D$100003,"Aug",'Training'!$G$4:$G$100003,dCrit)</f>
        <v>0</v>
      </c>
      <c r="CC19" s="22">
        <f>SUMIFS('Workplace Inspections'!$J$4:$J$100003,'Workplace Inspections'!$D$4:$D$100003,"Aug",'Workplace Inspections'!$F$4:$F$100003,dCrit)</f>
        <v>0</v>
      </c>
      <c r="CD19" s="22">
        <f>COUNTIFS('Corrective Actions'!$O$4:$O$100003,"On-Time",'Corrective Actions'!$D$4:$D$100003,"Aug",'Corrective Actions'!$F$4:$F$100003,dCrit)</f>
        <v>0</v>
      </c>
      <c r="CE19" s="22">
        <f>COUNTIFS('Corrective Actions'!$O$4:$O$100003,"Delayed",'Corrective Actions'!$D$4:$D$100003,"Aug",'Corrective Actions'!$F$4:$F$100003,dCrit)</f>
        <v>0</v>
      </c>
      <c r="CF19" s="22">
        <f>COUNTIFS('JSA Risk Assessment'!$J$4:$J$100003,"Critical",'JSA Risk Assessment'!$D$4:$D$100003,"Aug",'JSA Risk Assessment'!$F$4:$F$100003,dCrit)</f>
        <v>0</v>
      </c>
      <c r="CG19" s="22">
        <f>COUNTIFS('JSA Risk Assessment'!$J$4:$J$100003,"High",'JSA Risk Assessment'!$D$4:$D$100003,"Aug",'JSA Risk Assessment'!$F$4:$F$100003,dCrit)</f>
        <v>0</v>
      </c>
      <c r="CH19" s="22">
        <f>COUNTIFS('JSA Risk Assessment'!$J$4:$J$100003,"Medium",'JSA Risk Assessment'!$D$4:$D$100003,"Aug",'JSA Risk Assessment'!$F$4:$F$100003,dCrit)</f>
        <v>0</v>
      </c>
      <c r="CI19" s="22">
        <f>COUNTIFS('JSA Risk Assessment'!$J$4:$J$100003,"Low",'JSA Risk Assessment'!$D$4:$D$100003,"Aug",'JSA Risk Assessment'!$F$4:$F$100003,dCrit)</f>
        <v>0</v>
      </c>
      <c r="CJ19" s="23">
        <f>IFERROR($F$19*TRIRmult/Settings!$C$20,0)</f>
        <v>0</v>
      </c>
      <c r="CK19" s="23">
        <f>IFERROR($G$19*LTIFRmult/Settings!$C$20,0)</f>
        <v>0</v>
      </c>
      <c r="CL19" s="23">
        <f>BenchTRIR</f>
        <v>0</v>
      </c>
      <c r="CM19" s="23">
        <f>BenchLTIFR</f>
        <v>0</v>
      </c>
      <c r="CN19" s="25">
        <f>IFERROR($BK$19/$BJ$19*100,0)</f>
        <v>0</v>
      </c>
      <c r="CO19" s="22">
        <f>$V$19+$R$19+$T$19+$W$19+$X$19+$AA$19+$Y$19+$AE$19+$AD$19</f>
        <v>0</v>
      </c>
      <c r="CP19" s="22">
        <f>$O$19+$BP$19+$P$19</f>
        <v>0</v>
      </c>
      <c r="CQ19" s="23">
        <f>IFERROR($CO$19/$CP$19,0)</f>
        <v>0</v>
      </c>
      <c r="DJ19" s="13" t="s">
        <v>1606</v>
      </c>
      <c r="DK19" s="23" t="s">
        <v>1930</v>
      </c>
      <c r="DL19" s="22">
        <f>SUMPRODUCT(Calculations!$N$12:$N$23,Calculations!$D$12:$D$23)</f>
        <v>0</v>
      </c>
      <c r="DM19" s="22">
        <f>SUMPRODUCT(Calculations!$N$12:$N$23,Calculations!$E$12:$E$23)</f>
        <v>0</v>
      </c>
      <c r="DN19" s="25">
        <f>IFERROR(($DL$19-$DM$19)/$DM$19,IF($DL$19&gt;0,1,0))</f>
        <v>0</v>
      </c>
      <c r="DO19" s="23">
        <f>($DL$19-$DM$19)*-1</f>
        <v>0</v>
      </c>
      <c r="DP19" s="22">
        <f>IFERROR(AVERAGE(Calculations!$N$12:$N$23)*SUM(Calculations!$D$12:$D$23),0)</f>
        <v>0</v>
      </c>
      <c r="DQ19" s="23">
        <f>IFERROR(IF($DL$19&lt;=$DP$19,2,IF($DL$19&lt;=$DP$19/AmberBand,1,0)),1)</f>
        <v>0</v>
      </c>
      <c r="DS19" s="12" t="s">
        <v>1968</v>
      </c>
      <c r="DT19" s="12" t="s">
        <v>1965</v>
      </c>
      <c r="DV19" s="23" t="s">
        <v>102</v>
      </c>
      <c r="DW19" s="22">
        <f>COUNTIFS('Incident'!$D$4:$D$100003,"Sep",'Incident'!$H$4:$H$100003,dCrit)</f>
        <v>0</v>
      </c>
      <c r="DY19" s="23">
        <f>IFERROR($BQ$19/$BP$19*100,0)</f>
        <v>0</v>
      </c>
      <c r="DZ19" s="23">
        <f>IFERROR($BK$19/$BJ$19*100,0)</f>
        <v>0</v>
      </c>
      <c r="EA19" s="23">
        <f>IFERROR($AI$19/$AJ$19*100,0)</f>
        <v>0</v>
      </c>
      <c r="EB19" s="23">
        <f>IFERROR($AK$19/$AD$19*100,0)</f>
        <v>0</v>
      </c>
      <c r="EC19" s="23">
        <f>IFERROR($S$19/$R$19*100,0)</f>
        <v>0</v>
      </c>
      <c r="ED19" s="23">
        <f>IFERROR($U$19/$T$19*100,0)</f>
        <v>0</v>
      </c>
      <c r="EE19" s="23">
        <f>IFERROR($AM$19/$AL$19*100,0)</f>
        <v>0</v>
      </c>
      <c r="EF19" s="23">
        <f>IFERROR($AR$19/$AQ$19*100,0)</f>
        <v>0</v>
      </c>
      <c r="EG19" s="23">
        <f>IFERROR($AU$19/$AT$19*100,0)</f>
        <v>0</v>
      </c>
      <c r="EH19" s="23">
        <f>IFERROR($AW$19/$AV$19*100,0)</f>
        <v>0</v>
      </c>
      <c r="EI19" s="23">
        <f>IFERROR($BD$19/$BC$19*100,0)</f>
        <v>0</v>
      </c>
      <c r="EJ19" s="23">
        <f>IFERROR($BF$19/$BG$19*100,0)</f>
        <v>0</v>
      </c>
      <c r="EK19" s="23">
        <f>IFERROR($Z$19/$Y$19*100,0)</f>
        <v>0</v>
      </c>
      <c r="EL19" s="23">
        <f>IFERROR($AC$19/$AB$19*100,0)</f>
        <v>0</v>
      </c>
      <c r="EM19" s="23">
        <f>IFERROR($BM$19/$BL$19*100,0)</f>
        <v>0</v>
      </c>
      <c r="EN19" s="23">
        <f>IFERROR($BO$19/$BN$19*100,0)</f>
        <v>0</v>
      </c>
    </row>
    <row r="20" spans="2:144">
      <c r="B20" s="23" t="s">
        <v>102</v>
      </c>
      <c r="C20" s="23">
        <v>9</v>
      </c>
      <c r="D20" s="23">
        <f>IF(Calculations!$C$10=1,IF(ROUNDUP($C$20/3,0)=Calculations!$F$10,1,0),IF($C$20=Calculations!$I$10,1,0))</f>
        <v>0</v>
      </c>
      <c r="E20" s="23">
        <f>IF(Calculations!$C$10=1,IF(ROUNDUP($C$20/3,0)=Calculations!$F$10-1,1,0),IF($C$20=Calculations!$I$10-1,1,0))</f>
        <v>0</v>
      </c>
      <c r="F20" s="22">
        <f>COUNTIFS('Incident'!$N$4:$N$100003,"Medical Treatment",'Incident'!$D$4:$D$100003,"Sep",'Incident'!$H$4:$H$100003,dCrit)+COUNTIFS('Incident'!$N$4:$N$100003,"Restricted Work",'Incident'!$D$4:$D$100003,"Sep",'Incident'!$H$4:$H$100003,dCrit)+COUNTIFS('Incident'!$N$4:$N$100003,"Lost Time Injury",'Incident'!$D$4:$D$100003,"Sep",'Incident'!$H$4:$H$100003,dCrit)+COUNTIFS('Incident'!$N$4:$N$100003,"Fatality",'Incident'!$D$4:$D$100003,"Sep",'Incident'!$H$4:$H$100003,dCrit)</f>
        <v>0</v>
      </c>
      <c r="G20" s="22">
        <f>COUNTIFS('Incident'!$N$4:$N$100003,"Lost Time Injury",'Incident'!$D$4:$D$100003,"Sep",'Incident'!$H$4:$H$100003,dCrit)+COUNTIFS('Incident'!$N$4:$N$100003,"Fatality",'Incident'!$D$4:$D$100003,"Sep",'Incident'!$H$4:$H$100003,dCrit)</f>
        <v>0</v>
      </c>
      <c r="H20" s="22">
        <f>COUNTIFS('Incident'!$N$4:$N$100003,"Near Miss",'Incident'!$D$4:$D$100003,"Sep",'Incident'!$H$4:$H$100003,dCrit)</f>
        <v>0</v>
      </c>
      <c r="I20" s="22">
        <f>COUNTIFS('Incident'!$N$4:$N$100003,"First Aid",'Incident'!$D$4:$D$100003,"Sep",'Incident'!$H$4:$H$100003,dCrit)</f>
        <v>0</v>
      </c>
      <c r="J20" s="22">
        <f>COUNTIFS('Incident'!$N$4:$N$100003,"Medical Treatment",'Incident'!$D$4:$D$100003,"Sep",'Incident'!$H$4:$H$100003,dCrit)</f>
        <v>0</v>
      </c>
      <c r="K20" s="22">
        <f>COUNTIFS('Incident'!$N$4:$N$100003,"Restricted Work",'Incident'!$D$4:$D$100003,"Sep",'Incident'!$H$4:$H$100003,dCrit)</f>
        <v>0</v>
      </c>
      <c r="L20" s="22">
        <f>COUNTIFS('Incident'!$N$4:$N$100003,"Lost Time Injury",'Incident'!$D$4:$D$100003,"Sep",'Incident'!$H$4:$H$100003,dCrit)</f>
        <v>0</v>
      </c>
      <c r="M20" s="22">
        <f>COUNTIFS('Incident'!$N$4:$N$100003,"Fatality",'Incident'!$D$4:$D$100003,"Sep",'Incident'!$H$4:$H$100003,dCrit)</f>
        <v>0</v>
      </c>
      <c r="N20" s="22">
        <f>SUMIFS('Incident'!$V$4:$V$100003,'Incident'!$D$4:$D$100003,"Sep",'Incident'!$H$4:$H$100003,dCrit)</f>
        <v>0</v>
      </c>
      <c r="O20" s="22">
        <f>COUNTIFS('Incident'!$D$4:$D$100003,"Sep",'Incident'!$H$4:$H$100003,dCrit)</f>
        <v>0</v>
      </c>
      <c r="P20" s="22">
        <f>COUNTIFS('Disciplinary Actions'!$D$4:$D$100003,"Sep",'Disciplinary Actions'!$F$4:$F$100003,dCrit)</f>
        <v>0</v>
      </c>
      <c r="Q20" s="22">
        <f>COUNTIFS('NC Management'!$M$4:$M$100003,"Open",'NC Management'!$D$4:$D$100003,"Sep",'NC Management'!$G$4:$G$100003,dCrit)+COUNTIFS('NC Management'!$M$4:$M$100003,"Overdue",'NC Management'!$D$4:$D$100003,"Sep",'NC Management'!$G$4:$G$100003,dCrit)</f>
        <v>0</v>
      </c>
      <c r="R20" s="22">
        <f>COUNTIFS('Training'!$D$4:$D$100003,"Sep",'Training'!$G$4:$G$100003,dCrit)</f>
        <v>0</v>
      </c>
      <c r="S20" s="22">
        <f>COUNTIFS('Training'!$N$4:$N$100003,"Completed",'Training'!$D$4:$D$100003,"Sep",'Training'!$G$4:$G$100003,dCrit)</f>
        <v>0</v>
      </c>
      <c r="T20" s="22">
        <f>COUNTIFS('HSE Observations'!$D$4:$D$100003,"Sep",'HSE Observations'!$G$4:$G$100003,dCrit)</f>
        <v>0</v>
      </c>
      <c r="U20" s="22">
        <f>COUNTIFS('HSE Observations'!$M$4:$M$100003,"Completed",'HSE Observations'!$D$4:$D$100003,"Sep",'HSE Observations'!$G$4:$G$100003,dCrit)</f>
        <v>0</v>
      </c>
      <c r="V20" s="22">
        <f>COUNTIFS('Toolbox Talks'!$D$4:$D$100003,"Sep",'Toolbox Talks'!$F$4:$F$100003,dCrit)</f>
        <v>0</v>
      </c>
      <c r="W20" s="22">
        <f>COUNTIFS('Workplace Inspections'!$D$4:$D$100003,"Sep",'Workplace Inspections'!$F$4:$F$100003,dCrit)+COUNTIFS('Equipment Inspections'!$D$4:$D$100003,"Sep",'Equipment Inspections'!$F$4:$F$100003,dCrit)+COUNTIFS('Safety Walkthroughs'!$D$4:$D$100003,"Sep",'Safety Walkthroughs'!$F$4:$F$100003,dCrit)</f>
        <v>0</v>
      </c>
      <c r="X20" s="22">
        <f>COUNTIFS('Internal Audits'!$D$4:$D$100003,"Sep",'Internal Audits'!$G$4:$G$100003,dCrit)+COUNTIFS('External Audits'!$D$4:$D$100003,"Sep",'External Audits'!$G$4:$G$100003,dCrit)</f>
        <v>0</v>
      </c>
      <c r="Y20" s="22">
        <f>COUNTIFS('PTW Audits'!$D$4:$D$100003,"Sep",'PTW Audits'!$F$4:$F$100003,dCrit)</f>
        <v>0</v>
      </c>
      <c r="Z20" s="22">
        <f>COUNTIFS('PTW Audits'!$M$4:$M$100003,"Compliant",'PTW Audits'!$D$4:$D$100003,"Sep",'PTW Audits'!$F$4:$F$100003,dCrit)</f>
        <v>0</v>
      </c>
      <c r="AA20" s="22">
        <f>COUNTIFS('Emergency Drills'!$D$4:$D$100003,"Sep")</f>
        <v>0</v>
      </c>
      <c r="AB20" s="22">
        <f>COUNTIFS('Corrective Actions'!$D$4:$D$100003,"Sep",'Corrective Actions'!$F$4:$F$100003,dCrit)</f>
        <v>0</v>
      </c>
      <c r="AC20" s="22">
        <f>COUNTIFS('Corrective Actions'!$N$4:$N$100003,"Completed",'Corrective Actions'!$D$4:$D$100003,"Sep",'Corrective Actions'!$F$4:$F$100003,dCrit)</f>
        <v>0</v>
      </c>
      <c r="AD20" s="22">
        <f>COUNTIFS('JSA Risk Assessment'!$D$4:$D$100003,"Sep",'JSA Risk Assessment'!$F$4:$F$100003,dCrit)</f>
        <v>0</v>
      </c>
      <c r="AE20" s="22">
        <f>COUNTIFS('Safety Meetings'!$D$4:$D$100003,"Sep",'Safety Meetings'!$G$4:$G$100003,dCrit)</f>
        <v>0</v>
      </c>
      <c r="AF20" s="22">
        <f>COUNTIFS('Unsafe Acts'!$D$4:$D$100003,"Sep",'Unsafe Acts'!$F$4:$F$100003,dCrit)+COUNTIFS('Unsafe Conditions'!$D$4:$D$100003,"Sep",'Unsafe Conditions'!$F$4:$F$100003,dCrit)</f>
        <v>0</v>
      </c>
      <c r="AG20" s="22">
        <f>COUNTIFS('Unsafe Acts'!$D$4:$D$100003,"Sep",'Unsafe Acts'!$F$4:$F$100003,dCrit)</f>
        <v>0</v>
      </c>
      <c r="AH20" s="22">
        <f>COUNTIFS('Unsafe Conditions'!$D$4:$D$100003,"Sep",'Unsafe Conditions'!$F$4:$F$100003,dCrit)</f>
        <v>0</v>
      </c>
      <c r="AI20" s="22">
        <f>SUMIFS('Toolbox Talks'!$J$4:$J$100003,'Toolbox Talks'!$D$4:$D$100003,"Sep",'Toolbox Talks'!$F$4:$F$100003,dCrit)</f>
        <v>0</v>
      </c>
      <c r="AJ20" s="22">
        <f>SUMIFS('Toolbox Talks'!$I$4:$I$100003,'Toolbox Talks'!$D$4:$D$100003,"Sep",'Toolbox Talks'!$F$4:$F$100003,dCrit)</f>
        <v>0</v>
      </c>
      <c r="AK20" s="22">
        <f>COUNTIFS('JSA Risk Assessment'!$M$4:$M$100003,"Approved",'JSA Risk Assessment'!$D$4:$D$100003,"Sep",'JSA Risk Assessment'!$F$4:$F$100003,dCrit)</f>
        <v>0</v>
      </c>
      <c r="AL20" s="22">
        <f>COUNTIFS('Workplace Inspections'!$D$4:$D$100003,"Sep",'Workplace Inspections'!$F$4:$F$100003,dCrit)</f>
        <v>0</v>
      </c>
      <c r="AM20" s="22">
        <f>COUNTIFS('Workplace Inspections'!$M$4:$M$100003,"Completed",'Workplace Inspections'!$D$4:$D$100003,"Sep",'Workplace Inspections'!$F$4:$F$100003,dCrit)</f>
        <v>0</v>
      </c>
      <c r="AN20" s="22">
        <f>COUNTIFS('Equipment Inspections'!$D$4:$D$100003,"Sep",'Equipment Inspections'!$F$4:$F$100003,dCrit)</f>
        <v>0</v>
      </c>
      <c r="AO20" s="22">
        <f>SUMIFS('Equipment Inspections'!$K$4:$K$100003,'Equipment Inspections'!$D$4:$D$100003,"Sep",'Equipment Inspections'!$F$4:$F$100003,dCrit)</f>
        <v>0</v>
      </c>
      <c r="AP20" s="22">
        <f>COUNTIFS('Safety Walkthroughs'!$D$4:$D$100003,"Sep",'Safety Walkthroughs'!$F$4:$F$100003,dCrit)</f>
        <v>0</v>
      </c>
      <c r="AQ20" s="22">
        <f>SUMIFS('Safety Meetings'!$M$4:$M$100003,'Safety Meetings'!$D$4:$D$100003,"Sep",'Safety Meetings'!$G$4:$G$100003,dCrit)</f>
        <v>0</v>
      </c>
      <c r="AR20" s="22">
        <f>SUMIFS('Safety Meetings'!$N$4:$N$100003,'Safety Meetings'!$D$4:$D$100003,"Sep",'Safety Meetings'!$G$4:$G$100003,dCrit)</f>
        <v>0</v>
      </c>
      <c r="AS20" s="22">
        <f>COUNTIFS('Safety Bulletins'!$D$4:$D$100003,"Sep")</f>
        <v>0</v>
      </c>
      <c r="AT20" s="22">
        <f>SUMIFS('Safety Bulletins'!$L$4:$L$100003,'Safety Bulletins'!$D$4:$D$100003,"Sep")</f>
        <v>0</v>
      </c>
      <c r="AU20" s="22">
        <f>SUMIFS('Safety Bulletins'!$M$4:$M$100003,'Safety Bulletins'!$D$4:$D$100003,"Sep")</f>
        <v>0</v>
      </c>
      <c r="AV20" s="22">
        <f>SUMIFS('Emergency Drills'!$H$4:$H$100003,'Emergency Drills'!$D$4:$D$100003,"Sep")</f>
        <v>0</v>
      </c>
      <c r="AW20" s="22">
        <f>SUMIFS('Emergency Drills'!$I$4:$I$100003,'Emergency Drills'!$D$4:$D$100003,"Sep")</f>
        <v>0</v>
      </c>
      <c r="AX20" s="22">
        <f>COUNTIFS('Internal Audits'!$D$4:$D$100003,"Sep",'Internal Audits'!$G$4:$G$100003,dCrit)</f>
        <v>0</v>
      </c>
      <c r="AY20" s="22">
        <f>SUMIFS('Internal Audits'!$L$4:$L$100003,'Internal Audits'!$D$4:$D$100003,"Sep",'Internal Audits'!$G$4:$G$100003,dCrit)+SUMIFS('Internal Audits'!$M$4:$M$100003,'Internal Audits'!$D$4:$D$100003,"Sep",'Internal Audits'!$G$4:$G$100003,dCrit)</f>
        <v>0</v>
      </c>
      <c r="AZ20" s="22">
        <f>COUNTIFS('External Audits'!$D$4:$D$100003,"Sep",'External Audits'!$G$4:$G$100003,dCrit)</f>
        <v>0</v>
      </c>
      <c r="BA20" s="22">
        <f>SUMIFS('External Audits'!$L$4:$L$100003,'External Audits'!$D$4:$D$100003,"Sep",'External Audits'!$G$4:$G$100003,dCrit)+SUMIFS('External Audits'!$M$4:$M$100003,'External Audits'!$D$4:$D$100003,"Sep",'External Audits'!$G$4:$G$100003,dCrit)</f>
        <v>0</v>
      </c>
      <c r="BB20" s="22">
        <f>COUNTIFS('Management Visits'!$D$4:$D$100003,"Sep",'Management Visits'!$F$4:$F$100003,dCrit)</f>
        <v>0</v>
      </c>
      <c r="BC20" s="22">
        <f>SUMIFS('Management Visits'!$K$4:$K$100003,'Management Visits'!$D$4:$D$100003,"Sep",'Management Visits'!$F$4:$F$100003,dCrit)</f>
        <v>0</v>
      </c>
      <c r="BD20" s="22">
        <f>SUMIFS('Management Visits'!$L$4:$L$100003,'Management Visits'!$D$4:$D$100003,"Sep",'Management Visits'!$F$4:$F$100003,dCrit)</f>
        <v>0</v>
      </c>
      <c r="BE20" s="22">
        <f>COUNTIFS('Management Reviews'!$D$4:$D$100003,"Sep")</f>
        <v>0</v>
      </c>
      <c r="BF20" s="22">
        <f>SUMIFS('Management Reviews'!$H$4:$H$100003,'Management Reviews'!$D$4:$D$100003,"Sep")</f>
        <v>0</v>
      </c>
      <c r="BG20" s="22">
        <f>SUMIFS('Management Reviews'!$G$4:$G$100003,'Management Reviews'!$D$4:$D$100003,"Sep")</f>
        <v>0</v>
      </c>
      <c r="BH20" s="22">
        <f>COUNTIFS('Safety Awards'!$D$4:$D$100003,"Sep",'Safety Awards'!$F$4:$F$100003,dCrit)</f>
        <v>0</v>
      </c>
      <c r="BI20" s="22">
        <f>COUNTIFS('Stop Work Authority'!$D$4:$D$100003,"Sep",'Stop Work Authority'!$F$4:$F$100003,dCrit)</f>
        <v>0</v>
      </c>
      <c r="BJ20" s="22">
        <f>COUNTIFS('Alcohol Tests'!$D$4:$D$100003,"Sep",'Alcohol Tests'!$E$4:$E$100003,dCrit)</f>
        <v>0</v>
      </c>
      <c r="BK20" s="22">
        <f>COUNTIFS('Alcohol Tests'!$H$4:$H$100003,"Positive",'Alcohol Tests'!$D$4:$D$100003,"Sep",'Alcohol Tests'!$E$4:$E$100003,dCrit)</f>
        <v>0</v>
      </c>
      <c r="BL20" s="22">
        <f>COUNTIFS('Unsafe Acts'!$D$4:$D$100003,"Sep",'Unsafe Acts'!$F$4:$F$100003,dCrit)</f>
        <v>0</v>
      </c>
      <c r="BM20" s="22">
        <f>COUNTIFS('Unsafe Acts'!$M$4:$M$100003,"Completed",'Unsafe Acts'!$D$4:$D$100003,"Sep",'Unsafe Acts'!$F$4:$F$100003,dCrit)</f>
        <v>0</v>
      </c>
      <c r="BN20" s="22">
        <f>COUNTIFS('Unsafe Conditions'!$D$4:$D$100003,"Sep",'Unsafe Conditions'!$F$4:$F$100003,dCrit)</f>
        <v>0</v>
      </c>
      <c r="BO20" s="22">
        <f>COUNTIFS('Unsafe Conditions'!$M$4:$M$100003,"Completed",'Unsafe Conditions'!$D$4:$D$100003,"Sep",'Unsafe Conditions'!$F$4:$F$100003,dCrit)</f>
        <v>0</v>
      </c>
      <c r="BP20" s="22">
        <f>COUNTIFS('NC Management'!$D$4:$D$100003,"Sep",'NC Management'!$G$4:$G$100003,dCrit)</f>
        <v>0</v>
      </c>
      <c r="BQ20" s="22">
        <f>COUNTIFS('NC Management'!$M$4:$M$100003,"Closed",'NC Management'!$D$4:$D$100003,"Sep",'NC Management'!$G$4:$G$100003,dCrit)</f>
        <v>0</v>
      </c>
      <c r="BR20" s="22">
        <f>COUNTIFS('Training'!$F$4:$F$100003,"Induction",'Training'!$D$4:$D$100003,"Sep",'Training'!$G$4:$G$100003,dCrit)</f>
        <v>0</v>
      </c>
      <c r="BS20" s="22">
        <f>COUNTIFS('HSE Observations'!$E$4:$E$100003,"Safe Act",'HSE Observations'!$D$4:$D$100003,"Sep",'HSE Observations'!$G$4:$G$100003,dCrit)+COUNTIFS('HSE Observations'!$E$4:$E$100003,"Safe Condition",'HSE Observations'!$D$4:$D$100003,"Sep",'HSE Observations'!$G$4:$G$100003,dCrit)</f>
        <v>0</v>
      </c>
      <c r="BT20" s="22">
        <f>COUNTIFS('HSE Observations'!$E$4:$E$100003,"Unsafe Act",'HSE Observations'!$D$4:$D$100003,"Sep",'HSE Observations'!$G$4:$G$100003,dCrit)+COUNTIFS('HSE Observations'!$E$4:$E$100003,"Unsafe Condition",'HSE Observations'!$D$4:$D$100003,"Sep",'HSE Observations'!$G$4:$G$100003,dCrit)</f>
        <v>0</v>
      </c>
      <c r="BU20" s="22">
        <f>IFERROR(AVERAGEIFS('Emergency Drills'!$L$4:$L$100003,'Emergency Drills'!$D$4:$D$100003,"Sep"),0)</f>
        <v>0</v>
      </c>
      <c r="BV20" s="22">
        <f>IFERROR(AVERAGEIFS('Emergency Drills'!$K$4:$K$100003,'Emergency Drills'!$D$4:$D$100003,"Sep"),0)</f>
        <v>0</v>
      </c>
      <c r="BW20" s="22">
        <f>SUMIFS('Internal Audits'!$M$4:$M$100003,'Internal Audits'!$D$4:$D$100003,"Sep",'Internal Audits'!$G$4:$G$100003,dCrit)</f>
        <v>0</v>
      </c>
      <c r="BX20" s="22">
        <f>SUMIFS('External Audits'!$M$4:$M$100003,'External Audits'!$D$4:$D$100003,"Sep",'External Audits'!$G$4:$G$100003,dCrit)</f>
        <v>0</v>
      </c>
      <c r="BY20" s="22">
        <f>SUMIFS('Management Reviews'!$K$4:$K$100003,'Management Reviews'!$D$4:$D$100003,"Sep")</f>
        <v>0</v>
      </c>
      <c r="BZ20" s="22">
        <f>SUMIFS('Management Reviews'!$L$4:$L$100003,'Management Reviews'!$D$4:$D$100003,"Sep")</f>
        <v>0</v>
      </c>
      <c r="CA20" s="22">
        <f>SUMIFS('Stop Work Authority'!$J$4:$J$100003,'Stop Work Authority'!$D$4:$D$100003,"Sep",'Stop Work Authority'!$F$4:$F$100003,dCrit)</f>
        <v>0</v>
      </c>
      <c r="CB20" s="22">
        <f>SUMIFS('Training'!$M$4:$M$100003,'Training'!$D$4:$D$100003,"Sep",'Training'!$G$4:$G$100003,dCrit)</f>
        <v>0</v>
      </c>
      <c r="CC20" s="22">
        <f>SUMIFS('Workplace Inspections'!$J$4:$J$100003,'Workplace Inspections'!$D$4:$D$100003,"Sep",'Workplace Inspections'!$F$4:$F$100003,dCrit)</f>
        <v>0</v>
      </c>
      <c r="CD20" s="22">
        <f>COUNTIFS('Corrective Actions'!$O$4:$O$100003,"On-Time",'Corrective Actions'!$D$4:$D$100003,"Sep",'Corrective Actions'!$F$4:$F$100003,dCrit)</f>
        <v>0</v>
      </c>
      <c r="CE20" s="22">
        <f>COUNTIFS('Corrective Actions'!$O$4:$O$100003,"Delayed",'Corrective Actions'!$D$4:$D$100003,"Sep",'Corrective Actions'!$F$4:$F$100003,dCrit)</f>
        <v>0</v>
      </c>
      <c r="CF20" s="22">
        <f>COUNTIFS('JSA Risk Assessment'!$J$4:$J$100003,"Critical",'JSA Risk Assessment'!$D$4:$D$100003,"Sep",'JSA Risk Assessment'!$F$4:$F$100003,dCrit)</f>
        <v>0</v>
      </c>
      <c r="CG20" s="22">
        <f>COUNTIFS('JSA Risk Assessment'!$J$4:$J$100003,"High",'JSA Risk Assessment'!$D$4:$D$100003,"Sep",'JSA Risk Assessment'!$F$4:$F$100003,dCrit)</f>
        <v>0</v>
      </c>
      <c r="CH20" s="22">
        <f>COUNTIFS('JSA Risk Assessment'!$J$4:$J$100003,"Medium",'JSA Risk Assessment'!$D$4:$D$100003,"Sep",'JSA Risk Assessment'!$F$4:$F$100003,dCrit)</f>
        <v>0</v>
      </c>
      <c r="CI20" s="22">
        <f>COUNTIFS('JSA Risk Assessment'!$J$4:$J$100003,"Low",'JSA Risk Assessment'!$D$4:$D$100003,"Sep",'JSA Risk Assessment'!$F$4:$F$100003,dCrit)</f>
        <v>0</v>
      </c>
      <c r="CJ20" s="23">
        <f>IFERROR($F$20*TRIRmult/Settings!$C$21,0)</f>
        <v>0</v>
      </c>
      <c r="CK20" s="23">
        <f>IFERROR($G$20*LTIFRmult/Settings!$C$21,0)</f>
        <v>0</v>
      </c>
      <c r="CL20" s="23">
        <f>BenchTRIR</f>
        <v>0</v>
      </c>
      <c r="CM20" s="23">
        <f>BenchLTIFR</f>
        <v>0</v>
      </c>
      <c r="CN20" s="25">
        <f>IFERROR($BK$20/$BJ$20*100,0)</f>
        <v>0</v>
      </c>
      <c r="CO20" s="22">
        <f>$V$20+$R$20+$T$20+$W$20+$X$20+$AA$20+$Y$20+$AE$20+$AD$20</f>
        <v>0</v>
      </c>
      <c r="CP20" s="22">
        <f>$O$20+$BP$20+$P$20</f>
        <v>0</v>
      </c>
      <c r="CQ20" s="23">
        <f>IFERROR($CO$20/$CP$20,0)</f>
        <v>0</v>
      </c>
      <c r="DJ20" s="13" t="s">
        <v>1934</v>
      </c>
      <c r="DK20" s="23" t="s">
        <v>1930</v>
      </c>
      <c r="DL20" s="22">
        <f>SUMPRODUCT(Calculations!$P$12:$P$23,Calculations!$D$12:$D$23)</f>
        <v>0</v>
      </c>
      <c r="DM20" s="22">
        <f>SUMPRODUCT(Calculations!$P$12:$P$23,Calculations!$E$12:$E$23)</f>
        <v>0</v>
      </c>
      <c r="DN20" s="25">
        <f>IFERROR(($DL$20-$DM$20)/$DM$20,IF($DL$20&gt;0,1,0))</f>
        <v>0</v>
      </c>
      <c r="DO20" s="23">
        <f>($DL$20-$DM$20)*-1</f>
        <v>0</v>
      </c>
      <c r="DP20" s="22">
        <f>IFERROR(AVERAGE(Calculations!$P$12:$P$23)*SUM(Calculations!$D$12:$D$23),0)</f>
        <v>0</v>
      </c>
      <c r="DQ20" s="23">
        <f>IFERROR(IF($DL$20&lt;=$DP$20,2,IF($DL$20&lt;=$DP$20/AmberBand,1,0)),1)</f>
        <v>0</v>
      </c>
      <c r="DS20" s="13" t="s">
        <v>1969</v>
      </c>
      <c r="DT20" s="22">
        <f>SUMPRODUCT(Calculations!$V$12:$V$23,Calculations!$D$12:$D$23)</f>
        <v>0</v>
      </c>
      <c r="DV20" s="23" t="s">
        <v>106</v>
      </c>
      <c r="DW20" s="22">
        <f>COUNTIFS('Incident'!$D$4:$D$100003,"Oct",'Incident'!$H$4:$H$100003,dCrit)</f>
        <v>0</v>
      </c>
      <c r="DY20" s="23">
        <f>IFERROR($BQ$20/$BP$20*100,0)</f>
        <v>0</v>
      </c>
      <c r="DZ20" s="23">
        <f>IFERROR($BK$20/$BJ$20*100,0)</f>
        <v>0</v>
      </c>
      <c r="EA20" s="23">
        <f>IFERROR($AI$20/$AJ$20*100,0)</f>
        <v>0</v>
      </c>
      <c r="EB20" s="23">
        <f>IFERROR($AK$20/$AD$20*100,0)</f>
        <v>0</v>
      </c>
      <c r="EC20" s="23">
        <f>IFERROR($S$20/$R$20*100,0)</f>
        <v>0</v>
      </c>
      <c r="ED20" s="23">
        <f>IFERROR($U$20/$T$20*100,0)</f>
        <v>0</v>
      </c>
      <c r="EE20" s="23">
        <f>IFERROR($AM$20/$AL$20*100,0)</f>
        <v>0</v>
      </c>
      <c r="EF20" s="23">
        <f>IFERROR($AR$20/$AQ$20*100,0)</f>
        <v>0</v>
      </c>
      <c r="EG20" s="23">
        <f>IFERROR($AU$20/$AT$20*100,0)</f>
        <v>0</v>
      </c>
      <c r="EH20" s="23">
        <f>IFERROR($AW$20/$AV$20*100,0)</f>
        <v>0</v>
      </c>
      <c r="EI20" s="23">
        <f>IFERROR($BD$20/$BC$20*100,0)</f>
        <v>0</v>
      </c>
      <c r="EJ20" s="23">
        <f>IFERROR($BF$20/$BG$20*100,0)</f>
        <v>0</v>
      </c>
      <c r="EK20" s="23">
        <f>IFERROR($Z$20/$Y$20*100,0)</f>
        <v>0</v>
      </c>
      <c r="EL20" s="23">
        <f>IFERROR($AC$20/$AB$20*100,0)</f>
        <v>0</v>
      </c>
      <c r="EM20" s="23">
        <f>IFERROR($BM$20/$BL$20*100,0)</f>
        <v>0</v>
      </c>
      <c r="EN20" s="23">
        <f>IFERROR($BO$20/$BN$20*100,0)</f>
        <v>0</v>
      </c>
    </row>
    <row r="21" spans="2:144">
      <c r="B21" s="23" t="s">
        <v>106</v>
      </c>
      <c r="C21" s="23">
        <v>10</v>
      </c>
      <c r="D21" s="23">
        <f>IF(Calculations!$C$10=1,IF(ROUNDUP($C$21/3,0)=Calculations!$F$10,1,0),IF($C$21=Calculations!$I$10,1,0))</f>
        <v>0</v>
      </c>
      <c r="E21" s="23">
        <f>IF(Calculations!$C$10=1,IF(ROUNDUP($C$21/3,0)=Calculations!$F$10-1,1,0),IF($C$21=Calculations!$I$10-1,1,0))</f>
        <v>0</v>
      </c>
      <c r="F21" s="22">
        <f>COUNTIFS('Incident'!$N$4:$N$100003,"Medical Treatment",'Incident'!$D$4:$D$100003,"Oct",'Incident'!$H$4:$H$100003,dCrit)+COUNTIFS('Incident'!$N$4:$N$100003,"Restricted Work",'Incident'!$D$4:$D$100003,"Oct",'Incident'!$H$4:$H$100003,dCrit)+COUNTIFS('Incident'!$N$4:$N$100003,"Lost Time Injury",'Incident'!$D$4:$D$100003,"Oct",'Incident'!$H$4:$H$100003,dCrit)+COUNTIFS('Incident'!$N$4:$N$100003,"Fatality",'Incident'!$D$4:$D$100003,"Oct",'Incident'!$H$4:$H$100003,dCrit)</f>
        <v>0</v>
      </c>
      <c r="G21" s="22">
        <f>COUNTIFS('Incident'!$N$4:$N$100003,"Lost Time Injury",'Incident'!$D$4:$D$100003,"Oct",'Incident'!$H$4:$H$100003,dCrit)+COUNTIFS('Incident'!$N$4:$N$100003,"Fatality",'Incident'!$D$4:$D$100003,"Oct",'Incident'!$H$4:$H$100003,dCrit)</f>
        <v>0</v>
      </c>
      <c r="H21" s="22">
        <f>COUNTIFS('Incident'!$N$4:$N$100003,"Near Miss",'Incident'!$D$4:$D$100003,"Oct",'Incident'!$H$4:$H$100003,dCrit)</f>
        <v>0</v>
      </c>
      <c r="I21" s="22">
        <f>COUNTIFS('Incident'!$N$4:$N$100003,"First Aid",'Incident'!$D$4:$D$100003,"Oct",'Incident'!$H$4:$H$100003,dCrit)</f>
        <v>0</v>
      </c>
      <c r="J21" s="22">
        <f>COUNTIFS('Incident'!$N$4:$N$100003,"Medical Treatment",'Incident'!$D$4:$D$100003,"Oct",'Incident'!$H$4:$H$100003,dCrit)</f>
        <v>0</v>
      </c>
      <c r="K21" s="22">
        <f>COUNTIFS('Incident'!$N$4:$N$100003,"Restricted Work",'Incident'!$D$4:$D$100003,"Oct",'Incident'!$H$4:$H$100003,dCrit)</f>
        <v>0</v>
      </c>
      <c r="L21" s="22">
        <f>COUNTIFS('Incident'!$N$4:$N$100003,"Lost Time Injury",'Incident'!$D$4:$D$100003,"Oct",'Incident'!$H$4:$H$100003,dCrit)</f>
        <v>0</v>
      </c>
      <c r="M21" s="22">
        <f>COUNTIFS('Incident'!$N$4:$N$100003,"Fatality",'Incident'!$D$4:$D$100003,"Oct",'Incident'!$H$4:$H$100003,dCrit)</f>
        <v>0</v>
      </c>
      <c r="N21" s="22">
        <f>SUMIFS('Incident'!$V$4:$V$100003,'Incident'!$D$4:$D$100003,"Oct",'Incident'!$H$4:$H$100003,dCrit)</f>
        <v>0</v>
      </c>
      <c r="O21" s="22">
        <f>COUNTIFS('Incident'!$D$4:$D$100003,"Oct",'Incident'!$H$4:$H$100003,dCrit)</f>
        <v>0</v>
      </c>
      <c r="P21" s="22">
        <f>COUNTIFS('Disciplinary Actions'!$D$4:$D$100003,"Oct",'Disciplinary Actions'!$F$4:$F$100003,dCrit)</f>
        <v>0</v>
      </c>
      <c r="Q21" s="22">
        <f>COUNTIFS('NC Management'!$M$4:$M$100003,"Open",'NC Management'!$D$4:$D$100003,"Oct",'NC Management'!$G$4:$G$100003,dCrit)+COUNTIFS('NC Management'!$M$4:$M$100003,"Overdue",'NC Management'!$D$4:$D$100003,"Oct",'NC Management'!$G$4:$G$100003,dCrit)</f>
        <v>0</v>
      </c>
      <c r="R21" s="22">
        <f>COUNTIFS('Training'!$D$4:$D$100003,"Oct",'Training'!$G$4:$G$100003,dCrit)</f>
        <v>0</v>
      </c>
      <c r="S21" s="22">
        <f>COUNTIFS('Training'!$N$4:$N$100003,"Completed",'Training'!$D$4:$D$100003,"Oct",'Training'!$G$4:$G$100003,dCrit)</f>
        <v>0</v>
      </c>
      <c r="T21" s="22">
        <f>COUNTIFS('HSE Observations'!$D$4:$D$100003,"Oct",'HSE Observations'!$G$4:$G$100003,dCrit)</f>
        <v>0</v>
      </c>
      <c r="U21" s="22">
        <f>COUNTIFS('HSE Observations'!$M$4:$M$100003,"Completed",'HSE Observations'!$D$4:$D$100003,"Oct",'HSE Observations'!$G$4:$G$100003,dCrit)</f>
        <v>0</v>
      </c>
      <c r="V21" s="22">
        <f>COUNTIFS('Toolbox Talks'!$D$4:$D$100003,"Oct",'Toolbox Talks'!$F$4:$F$100003,dCrit)</f>
        <v>0</v>
      </c>
      <c r="W21" s="22">
        <f>COUNTIFS('Workplace Inspections'!$D$4:$D$100003,"Oct",'Workplace Inspections'!$F$4:$F$100003,dCrit)+COUNTIFS('Equipment Inspections'!$D$4:$D$100003,"Oct",'Equipment Inspections'!$F$4:$F$100003,dCrit)+COUNTIFS('Safety Walkthroughs'!$D$4:$D$100003,"Oct",'Safety Walkthroughs'!$F$4:$F$100003,dCrit)</f>
        <v>0</v>
      </c>
      <c r="X21" s="22">
        <f>COUNTIFS('Internal Audits'!$D$4:$D$100003,"Oct",'Internal Audits'!$G$4:$G$100003,dCrit)+COUNTIFS('External Audits'!$D$4:$D$100003,"Oct",'External Audits'!$G$4:$G$100003,dCrit)</f>
        <v>0</v>
      </c>
      <c r="Y21" s="22">
        <f>COUNTIFS('PTW Audits'!$D$4:$D$100003,"Oct",'PTW Audits'!$F$4:$F$100003,dCrit)</f>
        <v>0</v>
      </c>
      <c r="Z21" s="22">
        <f>COUNTIFS('PTW Audits'!$M$4:$M$100003,"Compliant",'PTW Audits'!$D$4:$D$100003,"Oct",'PTW Audits'!$F$4:$F$100003,dCrit)</f>
        <v>0</v>
      </c>
      <c r="AA21" s="22">
        <f>COUNTIFS('Emergency Drills'!$D$4:$D$100003,"Oct")</f>
        <v>0</v>
      </c>
      <c r="AB21" s="22">
        <f>COUNTIFS('Corrective Actions'!$D$4:$D$100003,"Oct",'Corrective Actions'!$F$4:$F$100003,dCrit)</f>
        <v>0</v>
      </c>
      <c r="AC21" s="22">
        <f>COUNTIFS('Corrective Actions'!$N$4:$N$100003,"Completed",'Corrective Actions'!$D$4:$D$100003,"Oct",'Corrective Actions'!$F$4:$F$100003,dCrit)</f>
        <v>0</v>
      </c>
      <c r="AD21" s="22">
        <f>COUNTIFS('JSA Risk Assessment'!$D$4:$D$100003,"Oct",'JSA Risk Assessment'!$F$4:$F$100003,dCrit)</f>
        <v>0</v>
      </c>
      <c r="AE21" s="22">
        <f>COUNTIFS('Safety Meetings'!$D$4:$D$100003,"Oct",'Safety Meetings'!$G$4:$G$100003,dCrit)</f>
        <v>0</v>
      </c>
      <c r="AF21" s="22">
        <f>COUNTIFS('Unsafe Acts'!$D$4:$D$100003,"Oct",'Unsafe Acts'!$F$4:$F$100003,dCrit)+COUNTIFS('Unsafe Conditions'!$D$4:$D$100003,"Oct",'Unsafe Conditions'!$F$4:$F$100003,dCrit)</f>
        <v>0</v>
      </c>
      <c r="AG21" s="22">
        <f>COUNTIFS('Unsafe Acts'!$D$4:$D$100003,"Oct",'Unsafe Acts'!$F$4:$F$100003,dCrit)</f>
        <v>0</v>
      </c>
      <c r="AH21" s="22">
        <f>COUNTIFS('Unsafe Conditions'!$D$4:$D$100003,"Oct",'Unsafe Conditions'!$F$4:$F$100003,dCrit)</f>
        <v>0</v>
      </c>
      <c r="AI21" s="22">
        <f>SUMIFS('Toolbox Talks'!$J$4:$J$100003,'Toolbox Talks'!$D$4:$D$100003,"Oct",'Toolbox Talks'!$F$4:$F$100003,dCrit)</f>
        <v>0</v>
      </c>
      <c r="AJ21" s="22">
        <f>SUMIFS('Toolbox Talks'!$I$4:$I$100003,'Toolbox Talks'!$D$4:$D$100003,"Oct",'Toolbox Talks'!$F$4:$F$100003,dCrit)</f>
        <v>0</v>
      </c>
      <c r="AK21" s="22">
        <f>COUNTIFS('JSA Risk Assessment'!$M$4:$M$100003,"Approved",'JSA Risk Assessment'!$D$4:$D$100003,"Oct",'JSA Risk Assessment'!$F$4:$F$100003,dCrit)</f>
        <v>0</v>
      </c>
      <c r="AL21" s="22">
        <f>COUNTIFS('Workplace Inspections'!$D$4:$D$100003,"Oct",'Workplace Inspections'!$F$4:$F$100003,dCrit)</f>
        <v>0</v>
      </c>
      <c r="AM21" s="22">
        <f>COUNTIFS('Workplace Inspections'!$M$4:$M$100003,"Completed",'Workplace Inspections'!$D$4:$D$100003,"Oct",'Workplace Inspections'!$F$4:$F$100003,dCrit)</f>
        <v>0</v>
      </c>
      <c r="AN21" s="22">
        <f>COUNTIFS('Equipment Inspections'!$D$4:$D$100003,"Oct",'Equipment Inspections'!$F$4:$F$100003,dCrit)</f>
        <v>0</v>
      </c>
      <c r="AO21" s="22">
        <f>SUMIFS('Equipment Inspections'!$K$4:$K$100003,'Equipment Inspections'!$D$4:$D$100003,"Oct",'Equipment Inspections'!$F$4:$F$100003,dCrit)</f>
        <v>0</v>
      </c>
      <c r="AP21" s="22">
        <f>COUNTIFS('Safety Walkthroughs'!$D$4:$D$100003,"Oct",'Safety Walkthroughs'!$F$4:$F$100003,dCrit)</f>
        <v>0</v>
      </c>
      <c r="AQ21" s="22">
        <f>SUMIFS('Safety Meetings'!$M$4:$M$100003,'Safety Meetings'!$D$4:$D$100003,"Oct",'Safety Meetings'!$G$4:$G$100003,dCrit)</f>
        <v>0</v>
      </c>
      <c r="AR21" s="22">
        <f>SUMIFS('Safety Meetings'!$N$4:$N$100003,'Safety Meetings'!$D$4:$D$100003,"Oct",'Safety Meetings'!$G$4:$G$100003,dCrit)</f>
        <v>0</v>
      </c>
      <c r="AS21" s="22">
        <f>COUNTIFS('Safety Bulletins'!$D$4:$D$100003,"Oct")</f>
        <v>0</v>
      </c>
      <c r="AT21" s="22">
        <f>SUMIFS('Safety Bulletins'!$L$4:$L$100003,'Safety Bulletins'!$D$4:$D$100003,"Oct")</f>
        <v>0</v>
      </c>
      <c r="AU21" s="22">
        <f>SUMIFS('Safety Bulletins'!$M$4:$M$100003,'Safety Bulletins'!$D$4:$D$100003,"Oct")</f>
        <v>0</v>
      </c>
      <c r="AV21" s="22">
        <f>SUMIFS('Emergency Drills'!$H$4:$H$100003,'Emergency Drills'!$D$4:$D$100003,"Oct")</f>
        <v>0</v>
      </c>
      <c r="AW21" s="22">
        <f>SUMIFS('Emergency Drills'!$I$4:$I$100003,'Emergency Drills'!$D$4:$D$100003,"Oct")</f>
        <v>0</v>
      </c>
      <c r="AX21" s="22">
        <f>COUNTIFS('Internal Audits'!$D$4:$D$100003,"Oct",'Internal Audits'!$G$4:$G$100003,dCrit)</f>
        <v>0</v>
      </c>
      <c r="AY21" s="22">
        <f>SUMIFS('Internal Audits'!$L$4:$L$100003,'Internal Audits'!$D$4:$D$100003,"Oct",'Internal Audits'!$G$4:$G$100003,dCrit)+SUMIFS('Internal Audits'!$M$4:$M$100003,'Internal Audits'!$D$4:$D$100003,"Oct",'Internal Audits'!$G$4:$G$100003,dCrit)</f>
        <v>0</v>
      </c>
      <c r="AZ21" s="22">
        <f>COUNTIFS('External Audits'!$D$4:$D$100003,"Oct",'External Audits'!$G$4:$G$100003,dCrit)</f>
        <v>0</v>
      </c>
      <c r="BA21" s="22">
        <f>SUMIFS('External Audits'!$L$4:$L$100003,'External Audits'!$D$4:$D$100003,"Oct",'External Audits'!$G$4:$G$100003,dCrit)+SUMIFS('External Audits'!$M$4:$M$100003,'External Audits'!$D$4:$D$100003,"Oct",'External Audits'!$G$4:$G$100003,dCrit)</f>
        <v>0</v>
      </c>
      <c r="BB21" s="22">
        <f>COUNTIFS('Management Visits'!$D$4:$D$100003,"Oct",'Management Visits'!$F$4:$F$100003,dCrit)</f>
        <v>0</v>
      </c>
      <c r="BC21" s="22">
        <f>SUMIFS('Management Visits'!$K$4:$K$100003,'Management Visits'!$D$4:$D$100003,"Oct",'Management Visits'!$F$4:$F$100003,dCrit)</f>
        <v>0</v>
      </c>
      <c r="BD21" s="22">
        <f>SUMIFS('Management Visits'!$L$4:$L$100003,'Management Visits'!$D$4:$D$100003,"Oct",'Management Visits'!$F$4:$F$100003,dCrit)</f>
        <v>0</v>
      </c>
      <c r="BE21" s="22">
        <f>COUNTIFS('Management Reviews'!$D$4:$D$100003,"Oct")</f>
        <v>0</v>
      </c>
      <c r="BF21" s="22">
        <f>SUMIFS('Management Reviews'!$H$4:$H$100003,'Management Reviews'!$D$4:$D$100003,"Oct")</f>
        <v>0</v>
      </c>
      <c r="BG21" s="22">
        <f>SUMIFS('Management Reviews'!$G$4:$G$100003,'Management Reviews'!$D$4:$D$100003,"Oct")</f>
        <v>0</v>
      </c>
      <c r="BH21" s="22">
        <f>COUNTIFS('Safety Awards'!$D$4:$D$100003,"Oct",'Safety Awards'!$F$4:$F$100003,dCrit)</f>
        <v>0</v>
      </c>
      <c r="BI21" s="22">
        <f>COUNTIFS('Stop Work Authority'!$D$4:$D$100003,"Oct",'Stop Work Authority'!$F$4:$F$100003,dCrit)</f>
        <v>0</v>
      </c>
      <c r="BJ21" s="22">
        <f>COUNTIFS('Alcohol Tests'!$D$4:$D$100003,"Oct",'Alcohol Tests'!$E$4:$E$100003,dCrit)</f>
        <v>0</v>
      </c>
      <c r="BK21" s="22">
        <f>COUNTIFS('Alcohol Tests'!$H$4:$H$100003,"Positive",'Alcohol Tests'!$D$4:$D$100003,"Oct",'Alcohol Tests'!$E$4:$E$100003,dCrit)</f>
        <v>0</v>
      </c>
      <c r="BL21" s="22">
        <f>COUNTIFS('Unsafe Acts'!$D$4:$D$100003,"Oct",'Unsafe Acts'!$F$4:$F$100003,dCrit)</f>
        <v>0</v>
      </c>
      <c r="BM21" s="22">
        <f>COUNTIFS('Unsafe Acts'!$M$4:$M$100003,"Completed",'Unsafe Acts'!$D$4:$D$100003,"Oct",'Unsafe Acts'!$F$4:$F$100003,dCrit)</f>
        <v>0</v>
      </c>
      <c r="BN21" s="22">
        <f>COUNTIFS('Unsafe Conditions'!$D$4:$D$100003,"Oct",'Unsafe Conditions'!$F$4:$F$100003,dCrit)</f>
        <v>0</v>
      </c>
      <c r="BO21" s="22">
        <f>COUNTIFS('Unsafe Conditions'!$M$4:$M$100003,"Completed",'Unsafe Conditions'!$D$4:$D$100003,"Oct",'Unsafe Conditions'!$F$4:$F$100003,dCrit)</f>
        <v>0</v>
      </c>
      <c r="BP21" s="22">
        <f>COUNTIFS('NC Management'!$D$4:$D$100003,"Oct",'NC Management'!$G$4:$G$100003,dCrit)</f>
        <v>0</v>
      </c>
      <c r="BQ21" s="22">
        <f>COUNTIFS('NC Management'!$M$4:$M$100003,"Closed",'NC Management'!$D$4:$D$100003,"Oct",'NC Management'!$G$4:$G$100003,dCrit)</f>
        <v>0</v>
      </c>
      <c r="BR21" s="22">
        <f>COUNTIFS('Training'!$F$4:$F$100003,"Induction",'Training'!$D$4:$D$100003,"Oct",'Training'!$G$4:$G$100003,dCrit)</f>
        <v>0</v>
      </c>
      <c r="BS21" s="22">
        <f>COUNTIFS('HSE Observations'!$E$4:$E$100003,"Safe Act",'HSE Observations'!$D$4:$D$100003,"Oct",'HSE Observations'!$G$4:$G$100003,dCrit)+COUNTIFS('HSE Observations'!$E$4:$E$100003,"Safe Condition",'HSE Observations'!$D$4:$D$100003,"Oct",'HSE Observations'!$G$4:$G$100003,dCrit)</f>
        <v>0</v>
      </c>
      <c r="BT21" s="22">
        <f>COUNTIFS('HSE Observations'!$E$4:$E$100003,"Unsafe Act",'HSE Observations'!$D$4:$D$100003,"Oct",'HSE Observations'!$G$4:$G$100003,dCrit)+COUNTIFS('HSE Observations'!$E$4:$E$100003,"Unsafe Condition",'HSE Observations'!$D$4:$D$100003,"Oct",'HSE Observations'!$G$4:$G$100003,dCrit)</f>
        <v>0</v>
      </c>
      <c r="BU21" s="22">
        <f>IFERROR(AVERAGEIFS('Emergency Drills'!$L$4:$L$100003,'Emergency Drills'!$D$4:$D$100003,"Oct"),0)</f>
        <v>0</v>
      </c>
      <c r="BV21" s="22">
        <f>IFERROR(AVERAGEIFS('Emergency Drills'!$K$4:$K$100003,'Emergency Drills'!$D$4:$D$100003,"Oct"),0)</f>
        <v>0</v>
      </c>
      <c r="BW21" s="22">
        <f>SUMIFS('Internal Audits'!$M$4:$M$100003,'Internal Audits'!$D$4:$D$100003,"Oct",'Internal Audits'!$G$4:$G$100003,dCrit)</f>
        <v>0</v>
      </c>
      <c r="BX21" s="22">
        <f>SUMIFS('External Audits'!$M$4:$M$100003,'External Audits'!$D$4:$D$100003,"Oct",'External Audits'!$G$4:$G$100003,dCrit)</f>
        <v>0</v>
      </c>
      <c r="BY21" s="22">
        <f>SUMIFS('Management Reviews'!$K$4:$K$100003,'Management Reviews'!$D$4:$D$100003,"Oct")</f>
        <v>0</v>
      </c>
      <c r="BZ21" s="22">
        <f>SUMIFS('Management Reviews'!$L$4:$L$100003,'Management Reviews'!$D$4:$D$100003,"Oct")</f>
        <v>0</v>
      </c>
      <c r="CA21" s="22">
        <f>SUMIFS('Stop Work Authority'!$J$4:$J$100003,'Stop Work Authority'!$D$4:$D$100003,"Oct",'Stop Work Authority'!$F$4:$F$100003,dCrit)</f>
        <v>0</v>
      </c>
      <c r="CB21" s="22">
        <f>SUMIFS('Training'!$M$4:$M$100003,'Training'!$D$4:$D$100003,"Oct",'Training'!$G$4:$G$100003,dCrit)</f>
        <v>0</v>
      </c>
      <c r="CC21" s="22">
        <f>SUMIFS('Workplace Inspections'!$J$4:$J$100003,'Workplace Inspections'!$D$4:$D$100003,"Oct",'Workplace Inspections'!$F$4:$F$100003,dCrit)</f>
        <v>0</v>
      </c>
      <c r="CD21" s="22">
        <f>COUNTIFS('Corrective Actions'!$O$4:$O$100003,"On-Time",'Corrective Actions'!$D$4:$D$100003,"Oct",'Corrective Actions'!$F$4:$F$100003,dCrit)</f>
        <v>0</v>
      </c>
      <c r="CE21" s="22">
        <f>COUNTIFS('Corrective Actions'!$O$4:$O$100003,"Delayed",'Corrective Actions'!$D$4:$D$100003,"Oct",'Corrective Actions'!$F$4:$F$100003,dCrit)</f>
        <v>0</v>
      </c>
      <c r="CF21" s="22">
        <f>COUNTIFS('JSA Risk Assessment'!$J$4:$J$100003,"Critical",'JSA Risk Assessment'!$D$4:$D$100003,"Oct",'JSA Risk Assessment'!$F$4:$F$100003,dCrit)</f>
        <v>0</v>
      </c>
      <c r="CG21" s="22">
        <f>COUNTIFS('JSA Risk Assessment'!$J$4:$J$100003,"High",'JSA Risk Assessment'!$D$4:$D$100003,"Oct",'JSA Risk Assessment'!$F$4:$F$100003,dCrit)</f>
        <v>0</v>
      </c>
      <c r="CH21" s="22">
        <f>COUNTIFS('JSA Risk Assessment'!$J$4:$J$100003,"Medium",'JSA Risk Assessment'!$D$4:$D$100003,"Oct",'JSA Risk Assessment'!$F$4:$F$100003,dCrit)</f>
        <v>0</v>
      </c>
      <c r="CI21" s="22">
        <f>COUNTIFS('JSA Risk Assessment'!$J$4:$J$100003,"Low",'JSA Risk Assessment'!$D$4:$D$100003,"Oct",'JSA Risk Assessment'!$F$4:$F$100003,dCrit)</f>
        <v>0</v>
      </c>
      <c r="CJ21" s="23">
        <f>IFERROR($F$21*TRIRmult/Settings!$C$22,0)</f>
        <v>0</v>
      </c>
      <c r="CK21" s="23">
        <f>IFERROR($G$21*LTIFRmult/Settings!$C$22,0)</f>
        <v>0</v>
      </c>
      <c r="CL21" s="23">
        <f>BenchTRIR</f>
        <v>0</v>
      </c>
      <c r="CM21" s="23">
        <f>BenchLTIFR</f>
        <v>0</v>
      </c>
      <c r="CN21" s="25">
        <f>IFERROR($BK$21/$BJ$21*100,0)</f>
        <v>0</v>
      </c>
      <c r="CO21" s="22">
        <f>$V$21+$R$21+$T$21+$W$21+$X$21+$AA$21+$Y$21+$AE$21+$AD$21</f>
        <v>0</v>
      </c>
      <c r="CP21" s="22">
        <f>$O$21+$BP$21+$P$21</f>
        <v>0</v>
      </c>
      <c r="CQ21" s="23">
        <f>IFERROR($CO$21/$CP$21,0)</f>
        <v>0</v>
      </c>
      <c r="DJ21" s="13" t="s">
        <v>1935</v>
      </c>
      <c r="DK21" s="23" t="s">
        <v>1930</v>
      </c>
      <c r="DL21" s="22">
        <f>SUMPRODUCT(Calculations!$Q$12:$Q$23,Calculations!$D$12:$D$23)</f>
        <v>0</v>
      </c>
      <c r="DM21" s="22">
        <f>SUMPRODUCT(Calculations!$Q$12:$Q$23,Calculations!$E$12:$E$23)</f>
        <v>0</v>
      </c>
      <c r="DN21" s="25">
        <f>IFERROR(($DL$21-$DM$21)/$DM$21,IF($DL$21&gt;0,1,0))</f>
        <v>0</v>
      </c>
      <c r="DO21" s="23">
        <f>($DL$21-$DM$21)*-1</f>
        <v>0</v>
      </c>
      <c r="DP21" s="22">
        <f>IFERROR(AVERAGE(Calculations!$Q$12:$Q$23)*SUM(Calculations!$D$12:$D$23),0)</f>
        <v>0</v>
      </c>
      <c r="DQ21" s="23">
        <f>IFERROR(IF($DL$21&lt;=$DP$21,2,IF($DL$21&lt;=$DP$21/AmberBand,1,0)),1)</f>
        <v>0</v>
      </c>
      <c r="DS21" s="13" t="s">
        <v>1942</v>
      </c>
      <c r="DT21" s="22">
        <f>SUMPRODUCT(Calculations!$R$12:$R$23,Calculations!$D$12:$D$23)</f>
        <v>0</v>
      </c>
      <c r="DV21" s="23" t="s">
        <v>111</v>
      </c>
      <c r="DW21" s="22">
        <f>COUNTIFS('Incident'!$D$4:$D$100003,"Nov",'Incident'!$H$4:$H$100003,dCrit)</f>
        <v>0</v>
      </c>
      <c r="DY21" s="23">
        <f>IFERROR($BQ$21/$BP$21*100,0)</f>
        <v>0</v>
      </c>
      <c r="DZ21" s="23">
        <f>IFERROR($BK$21/$BJ$21*100,0)</f>
        <v>0</v>
      </c>
      <c r="EA21" s="23">
        <f>IFERROR($AI$21/$AJ$21*100,0)</f>
        <v>0</v>
      </c>
      <c r="EB21" s="23">
        <f>IFERROR($AK$21/$AD$21*100,0)</f>
        <v>0</v>
      </c>
      <c r="EC21" s="23">
        <f>IFERROR($S$21/$R$21*100,0)</f>
        <v>0</v>
      </c>
      <c r="ED21" s="23">
        <f>IFERROR($U$21/$T$21*100,0)</f>
        <v>0</v>
      </c>
      <c r="EE21" s="23">
        <f>IFERROR($AM$21/$AL$21*100,0)</f>
        <v>0</v>
      </c>
      <c r="EF21" s="23">
        <f>IFERROR($AR$21/$AQ$21*100,0)</f>
        <v>0</v>
      </c>
      <c r="EG21" s="23">
        <f>IFERROR($AU$21/$AT$21*100,0)</f>
        <v>0</v>
      </c>
      <c r="EH21" s="23">
        <f>IFERROR($AW$21/$AV$21*100,0)</f>
        <v>0</v>
      </c>
      <c r="EI21" s="23">
        <f>IFERROR($BD$21/$BC$21*100,0)</f>
        <v>0</v>
      </c>
      <c r="EJ21" s="23">
        <f>IFERROR($BF$21/$BG$21*100,0)</f>
        <v>0</v>
      </c>
      <c r="EK21" s="23">
        <f>IFERROR($Z$21/$Y$21*100,0)</f>
        <v>0</v>
      </c>
      <c r="EL21" s="23">
        <f>IFERROR($AC$21/$AB$21*100,0)</f>
        <v>0</v>
      </c>
      <c r="EM21" s="23">
        <f>IFERROR($BM$21/$BL$21*100,0)</f>
        <v>0</v>
      </c>
      <c r="EN21" s="23">
        <f>IFERROR($BO$21/$BN$21*100,0)</f>
        <v>0</v>
      </c>
    </row>
    <row r="22" spans="2:144">
      <c r="B22" s="23" t="s">
        <v>111</v>
      </c>
      <c r="C22" s="23">
        <v>11</v>
      </c>
      <c r="D22" s="23">
        <f>IF(Calculations!$C$10=1,IF(ROUNDUP($C$22/3,0)=Calculations!$F$10,1,0),IF($C$22=Calculations!$I$10,1,0))</f>
        <v>0</v>
      </c>
      <c r="E22" s="23">
        <f>IF(Calculations!$C$10=1,IF(ROUNDUP($C$22/3,0)=Calculations!$F$10-1,1,0),IF($C$22=Calculations!$I$10-1,1,0))</f>
        <v>0</v>
      </c>
      <c r="F22" s="22">
        <f>COUNTIFS('Incident'!$N$4:$N$100003,"Medical Treatment",'Incident'!$D$4:$D$100003,"Nov",'Incident'!$H$4:$H$100003,dCrit)+COUNTIFS('Incident'!$N$4:$N$100003,"Restricted Work",'Incident'!$D$4:$D$100003,"Nov",'Incident'!$H$4:$H$100003,dCrit)+COUNTIFS('Incident'!$N$4:$N$100003,"Lost Time Injury",'Incident'!$D$4:$D$100003,"Nov",'Incident'!$H$4:$H$100003,dCrit)+COUNTIFS('Incident'!$N$4:$N$100003,"Fatality",'Incident'!$D$4:$D$100003,"Nov",'Incident'!$H$4:$H$100003,dCrit)</f>
        <v>0</v>
      </c>
      <c r="G22" s="22">
        <f>COUNTIFS('Incident'!$N$4:$N$100003,"Lost Time Injury",'Incident'!$D$4:$D$100003,"Nov",'Incident'!$H$4:$H$100003,dCrit)+COUNTIFS('Incident'!$N$4:$N$100003,"Fatality",'Incident'!$D$4:$D$100003,"Nov",'Incident'!$H$4:$H$100003,dCrit)</f>
        <v>0</v>
      </c>
      <c r="H22" s="22">
        <f>COUNTIFS('Incident'!$N$4:$N$100003,"Near Miss",'Incident'!$D$4:$D$100003,"Nov",'Incident'!$H$4:$H$100003,dCrit)</f>
        <v>0</v>
      </c>
      <c r="I22" s="22">
        <f>COUNTIFS('Incident'!$N$4:$N$100003,"First Aid",'Incident'!$D$4:$D$100003,"Nov",'Incident'!$H$4:$H$100003,dCrit)</f>
        <v>0</v>
      </c>
      <c r="J22" s="22">
        <f>COUNTIFS('Incident'!$N$4:$N$100003,"Medical Treatment",'Incident'!$D$4:$D$100003,"Nov",'Incident'!$H$4:$H$100003,dCrit)</f>
        <v>0</v>
      </c>
      <c r="K22" s="22">
        <f>COUNTIFS('Incident'!$N$4:$N$100003,"Restricted Work",'Incident'!$D$4:$D$100003,"Nov",'Incident'!$H$4:$H$100003,dCrit)</f>
        <v>0</v>
      </c>
      <c r="L22" s="22">
        <f>COUNTIFS('Incident'!$N$4:$N$100003,"Lost Time Injury",'Incident'!$D$4:$D$100003,"Nov",'Incident'!$H$4:$H$100003,dCrit)</f>
        <v>0</v>
      </c>
      <c r="M22" s="22">
        <f>COUNTIFS('Incident'!$N$4:$N$100003,"Fatality",'Incident'!$D$4:$D$100003,"Nov",'Incident'!$H$4:$H$100003,dCrit)</f>
        <v>0</v>
      </c>
      <c r="N22" s="22">
        <f>SUMIFS('Incident'!$V$4:$V$100003,'Incident'!$D$4:$D$100003,"Nov",'Incident'!$H$4:$H$100003,dCrit)</f>
        <v>0</v>
      </c>
      <c r="O22" s="22">
        <f>COUNTIFS('Incident'!$D$4:$D$100003,"Nov",'Incident'!$H$4:$H$100003,dCrit)</f>
        <v>0</v>
      </c>
      <c r="P22" s="22">
        <f>COUNTIFS('Disciplinary Actions'!$D$4:$D$100003,"Nov",'Disciplinary Actions'!$F$4:$F$100003,dCrit)</f>
        <v>0</v>
      </c>
      <c r="Q22" s="22">
        <f>COUNTIFS('NC Management'!$M$4:$M$100003,"Open",'NC Management'!$D$4:$D$100003,"Nov",'NC Management'!$G$4:$G$100003,dCrit)+COUNTIFS('NC Management'!$M$4:$M$100003,"Overdue",'NC Management'!$D$4:$D$100003,"Nov",'NC Management'!$G$4:$G$100003,dCrit)</f>
        <v>0</v>
      </c>
      <c r="R22" s="22">
        <f>COUNTIFS('Training'!$D$4:$D$100003,"Nov",'Training'!$G$4:$G$100003,dCrit)</f>
        <v>0</v>
      </c>
      <c r="S22" s="22">
        <f>COUNTIFS('Training'!$N$4:$N$100003,"Completed",'Training'!$D$4:$D$100003,"Nov",'Training'!$G$4:$G$100003,dCrit)</f>
        <v>0</v>
      </c>
      <c r="T22" s="22">
        <f>COUNTIFS('HSE Observations'!$D$4:$D$100003,"Nov",'HSE Observations'!$G$4:$G$100003,dCrit)</f>
        <v>0</v>
      </c>
      <c r="U22" s="22">
        <f>COUNTIFS('HSE Observations'!$M$4:$M$100003,"Completed",'HSE Observations'!$D$4:$D$100003,"Nov",'HSE Observations'!$G$4:$G$100003,dCrit)</f>
        <v>0</v>
      </c>
      <c r="V22" s="22">
        <f>COUNTIFS('Toolbox Talks'!$D$4:$D$100003,"Nov",'Toolbox Talks'!$F$4:$F$100003,dCrit)</f>
        <v>0</v>
      </c>
      <c r="W22" s="22">
        <f>COUNTIFS('Workplace Inspections'!$D$4:$D$100003,"Nov",'Workplace Inspections'!$F$4:$F$100003,dCrit)+COUNTIFS('Equipment Inspections'!$D$4:$D$100003,"Nov",'Equipment Inspections'!$F$4:$F$100003,dCrit)+COUNTIFS('Safety Walkthroughs'!$D$4:$D$100003,"Nov",'Safety Walkthroughs'!$F$4:$F$100003,dCrit)</f>
        <v>0</v>
      </c>
      <c r="X22" s="22">
        <f>COUNTIFS('Internal Audits'!$D$4:$D$100003,"Nov",'Internal Audits'!$G$4:$G$100003,dCrit)+COUNTIFS('External Audits'!$D$4:$D$100003,"Nov",'External Audits'!$G$4:$G$100003,dCrit)</f>
        <v>0</v>
      </c>
      <c r="Y22" s="22">
        <f>COUNTIFS('PTW Audits'!$D$4:$D$100003,"Nov",'PTW Audits'!$F$4:$F$100003,dCrit)</f>
        <v>0</v>
      </c>
      <c r="Z22" s="22">
        <f>COUNTIFS('PTW Audits'!$M$4:$M$100003,"Compliant",'PTW Audits'!$D$4:$D$100003,"Nov",'PTW Audits'!$F$4:$F$100003,dCrit)</f>
        <v>0</v>
      </c>
      <c r="AA22" s="22">
        <f>COUNTIFS('Emergency Drills'!$D$4:$D$100003,"Nov")</f>
        <v>0</v>
      </c>
      <c r="AB22" s="22">
        <f>COUNTIFS('Corrective Actions'!$D$4:$D$100003,"Nov",'Corrective Actions'!$F$4:$F$100003,dCrit)</f>
        <v>0</v>
      </c>
      <c r="AC22" s="22">
        <f>COUNTIFS('Corrective Actions'!$N$4:$N$100003,"Completed",'Corrective Actions'!$D$4:$D$100003,"Nov",'Corrective Actions'!$F$4:$F$100003,dCrit)</f>
        <v>0</v>
      </c>
      <c r="AD22" s="22">
        <f>COUNTIFS('JSA Risk Assessment'!$D$4:$D$100003,"Nov",'JSA Risk Assessment'!$F$4:$F$100003,dCrit)</f>
        <v>0</v>
      </c>
      <c r="AE22" s="22">
        <f>COUNTIFS('Safety Meetings'!$D$4:$D$100003,"Nov",'Safety Meetings'!$G$4:$G$100003,dCrit)</f>
        <v>0</v>
      </c>
      <c r="AF22" s="22">
        <f>COUNTIFS('Unsafe Acts'!$D$4:$D$100003,"Nov",'Unsafe Acts'!$F$4:$F$100003,dCrit)+COUNTIFS('Unsafe Conditions'!$D$4:$D$100003,"Nov",'Unsafe Conditions'!$F$4:$F$100003,dCrit)</f>
        <v>0</v>
      </c>
      <c r="AG22" s="22">
        <f>COUNTIFS('Unsafe Acts'!$D$4:$D$100003,"Nov",'Unsafe Acts'!$F$4:$F$100003,dCrit)</f>
        <v>0</v>
      </c>
      <c r="AH22" s="22">
        <f>COUNTIFS('Unsafe Conditions'!$D$4:$D$100003,"Nov",'Unsafe Conditions'!$F$4:$F$100003,dCrit)</f>
        <v>0</v>
      </c>
      <c r="AI22" s="22">
        <f>SUMIFS('Toolbox Talks'!$J$4:$J$100003,'Toolbox Talks'!$D$4:$D$100003,"Nov",'Toolbox Talks'!$F$4:$F$100003,dCrit)</f>
        <v>0</v>
      </c>
      <c r="AJ22" s="22">
        <f>SUMIFS('Toolbox Talks'!$I$4:$I$100003,'Toolbox Talks'!$D$4:$D$100003,"Nov",'Toolbox Talks'!$F$4:$F$100003,dCrit)</f>
        <v>0</v>
      </c>
      <c r="AK22" s="22">
        <f>COUNTIFS('JSA Risk Assessment'!$M$4:$M$100003,"Approved",'JSA Risk Assessment'!$D$4:$D$100003,"Nov",'JSA Risk Assessment'!$F$4:$F$100003,dCrit)</f>
        <v>0</v>
      </c>
      <c r="AL22" s="22">
        <f>COUNTIFS('Workplace Inspections'!$D$4:$D$100003,"Nov",'Workplace Inspections'!$F$4:$F$100003,dCrit)</f>
        <v>0</v>
      </c>
      <c r="AM22" s="22">
        <f>COUNTIFS('Workplace Inspections'!$M$4:$M$100003,"Completed",'Workplace Inspections'!$D$4:$D$100003,"Nov",'Workplace Inspections'!$F$4:$F$100003,dCrit)</f>
        <v>0</v>
      </c>
      <c r="AN22" s="22">
        <f>COUNTIFS('Equipment Inspections'!$D$4:$D$100003,"Nov",'Equipment Inspections'!$F$4:$F$100003,dCrit)</f>
        <v>0</v>
      </c>
      <c r="AO22" s="22">
        <f>SUMIFS('Equipment Inspections'!$K$4:$K$100003,'Equipment Inspections'!$D$4:$D$100003,"Nov",'Equipment Inspections'!$F$4:$F$100003,dCrit)</f>
        <v>0</v>
      </c>
      <c r="AP22" s="22">
        <f>COUNTIFS('Safety Walkthroughs'!$D$4:$D$100003,"Nov",'Safety Walkthroughs'!$F$4:$F$100003,dCrit)</f>
        <v>0</v>
      </c>
      <c r="AQ22" s="22">
        <f>SUMIFS('Safety Meetings'!$M$4:$M$100003,'Safety Meetings'!$D$4:$D$100003,"Nov",'Safety Meetings'!$G$4:$G$100003,dCrit)</f>
        <v>0</v>
      </c>
      <c r="AR22" s="22">
        <f>SUMIFS('Safety Meetings'!$N$4:$N$100003,'Safety Meetings'!$D$4:$D$100003,"Nov",'Safety Meetings'!$G$4:$G$100003,dCrit)</f>
        <v>0</v>
      </c>
      <c r="AS22" s="22">
        <f>COUNTIFS('Safety Bulletins'!$D$4:$D$100003,"Nov")</f>
        <v>0</v>
      </c>
      <c r="AT22" s="22">
        <f>SUMIFS('Safety Bulletins'!$L$4:$L$100003,'Safety Bulletins'!$D$4:$D$100003,"Nov")</f>
        <v>0</v>
      </c>
      <c r="AU22" s="22">
        <f>SUMIFS('Safety Bulletins'!$M$4:$M$100003,'Safety Bulletins'!$D$4:$D$100003,"Nov")</f>
        <v>0</v>
      </c>
      <c r="AV22" s="22">
        <f>SUMIFS('Emergency Drills'!$H$4:$H$100003,'Emergency Drills'!$D$4:$D$100003,"Nov")</f>
        <v>0</v>
      </c>
      <c r="AW22" s="22">
        <f>SUMIFS('Emergency Drills'!$I$4:$I$100003,'Emergency Drills'!$D$4:$D$100003,"Nov")</f>
        <v>0</v>
      </c>
      <c r="AX22" s="22">
        <f>COUNTIFS('Internal Audits'!$D$4:$D$100003,"Nov",'Internal Audits'!$G$4:$G$100003,dCrit)</f>
        <v>0</v>
      </c>
      <c r="AY22" s="22">
        <f>SUMIFS('Internal Audits'!$L$4:$L$100003,'Internal Audits'!$D$4:$D$100003,"Nov",'Internal Audits'!$G$4:$G$100003,dCrit)+SUMIFS('Internal Audits'!$M$4:$M$100003,'Internal Audits'!$D$4:$D$100003,"Nov",'Internal Audits'!$G$4:$G$100003,dCrit)</f>
        <v>0</v>
      </c>
      <c r="AZ22" s="22">
        <f>COUNTIFS('External Audits'!$D$4:$D$100003,"Nov",'External Audits'!$G$4:$G$100003,dCrit)</f>
        <v>0</v>
      </c>
      <c r="BA22" s="22">
        <f>SUMIFS('External Audits'!$L$4:$L$100003,'External Audits'!$D$4:$D$100003,"Nov",'External Audits'!$G$4:$G$100003,dCrit)+SUMIFS('External Audits'!$M$4:$M$100003,'External Audits'!$D$4:$D$100003,"Nov",'External Audits'!$G$4:$G$100003,dCrit)</f>
        <v>0</v>
      </c>
      <c r="BB22" s="22">
        <f>COUNTIFS('Management Visits'!$D$4:$D$100003,"Nov",'Management Visits'!$F$4:$F$100003,dCrit)</f>
        <v>0</v>
      </c>
      <c r="BC22" s="22">
        <f>SUMIFS('Management Visits'!$K$4:$K$100003,'Management Visits'!$D$4:$D$100003,"Nov",'Management Visits'!$F$4:$F$100003,dCrit)</f>
        <v>0</v>
      </c>
      <c r="BD22" s="22">
        <f>SUMIFS('Management Visits'!$L$4:$L$100003,'Management Visits'!$D$4:$D$100003,"Nov",'Management Visits'!$F$4:$F$100003,dCrit)</f>
        <v>0</v>
      </c>
      <c r="BE22" s="22">
        <f>COUNTIFS('Management Reviews'!$D$4:$D$100003,"Nov")</f>
        <v>0</v>
      </c>
      <c r="BF22" s="22">
        <f>SUMIFS('Management Reviews'!$H$4:$H$100003,'Management Reviews'!$D$4:$D$100003,"Nov")</f>
        <v>0</v>
      </c>
      <c r="BG22" s="22">
        <f>SUMIFS('Management Reviews'!$G$4:$G$100003,'Management Reviews'!$D$4:$D$100003,"Nov")</f>
        <v>0</v>
      </c>
      <c r="BH22" s="22">
        <f>COUNTIFS('Safety Awards'!$D$4:$D$100003,"Nov",'Safety Awards'!$F$4:$F$100003,dCrit)</f>
        <v>0</v>
      </c>
      <c r="BI22" s="22">
        <f>COUNTIFS('Stop Work Authority'!$D$4:$D$100003,"Nov",'Stop Work Authority'!$F$4:$F$100003,dCrit)</f>
        <v>0</v>
      </c>
      <c r="BJ22" s="22">
        <f>COUNTIFS('Alcohol Tests'!$D$4:$D$100003,"Nov",'Alcohol Tests'!$E$4:$E$100003,dCrit)</f>
        <v>0</v>
      </c>
      <c r="BK22" s="22">
        <f>COUNTIFS('Alcohol Tests'!$H$4:$H$100003,"Positive",'Alcohol Tests'!$D$4:$D$100003,"Nov",'Alcohol Tests'!$E$4:$E$100003,dCrit)</f>
        <v>0</v>
      </c>
      <c r="BL22" s="22">
        <f>COUNTIFS('Unsafe Acts'!$D$4:$D$100003,"Nov",'Unsafe Acts'!$F$4:$F$100003,dCrit)</f>
        <v>0</v>
      </c>
      <c r="BM22" s="22">
        <f>COUNTIFS('Unsafe Acts'!$M$4:$M$100003,"Completed",'Unsafe Acts'!$D$4:$D$100003,"Nov",'Unsafe Acts'!$F$4:$F$100003,dCrit)</f>
        <v>0</v>
      </c>
      <c r="BN22" s="22">
        <f>COUNTIFS('Unsafe Conditions'!$D$4:$D$100003,"Nov",'Unsafe Conditions'!$F$4:$F$100003,dCrit)</f>
        <v>0</v>
      </c>
      <c r="BO22" s="22">
        <f>COUNTIFS('Unsafe Conditions'!$M$4:$M$100003,"Completed",'Unsafe Conditions'!$D$4:$D$100003,"Nov",'Unsafe Conditions'!$F$4:$F$100003,dCrit)</f>
        <v>0</v>
      </c>
      <c r="BP22" s="22">
        <f>COUNTIFS('NC Management'!$D$4:$D$100003,"Nov",'NC Management'!$G$4:$G$100003,dCrit)</f>
        <v>0</v>
      </c>
      <c r="BQ22" s="22">
        <f>COUNTIFS('NC Management'!$M$4:$M$100003,"Closed",'NC Management'!$D$4:$D$100003,"Nov",'NC Management'!$G$4:$G$100003,dCrit)</f>
        <v>0</v>
      </c>
      <c r="BR22" s="22">
        <f>COUNTIFS('Training'!$F$4:$F$100003,"Induction",'Training'!$D$4:$D$100003,"Nov",'Training'!$G$4:$G$100003,dCrit)</f>
        <v>0</v>
      </c>
      <c r="BS22" s="22">
        <f>COUNTIFS('HSE Observations'!$E$4:$E$100003,"Safe Act",'HSE Observations'!$D$4:$D$100003,"Nov",'HSE Observations'!$G$4:$G$100003,dCrit)+COUNTIFS('HSE Observations'!$E$4:$E$100003,"Safe Condition",'HSE Observations'!$D$4:$D$100003,"Nov",'HSE Observations'!$G$4:$G$100003,dCrit)</f>
        <v>0</v>
      </c>
      <c r="BT22" s="22">
        <f>COUNTIFS('HSE Observations'!$E$4:$E$100003,"Unsafe Act",'HSE Observations'!$D$4:$D$100003,"Nov",'HSE Observations'!$G$4:$G$100003,dCrit)+COUNTIFS('HSE Observations'!$E$4:$E$100003,"Unsafe Condition",'HSE Observations'!$D$4:$D$100003,"Nov",'HSE Observations'!$G$4:$G$100003,dCrit)</f>
        <v>0</v>
      </c>
      <c r="BU22" s="22">
        <f>IFERROR(AVERAGEIFS('Emergency Drills'!$L$4:$L$100003,'Emergency Drills'!$D$4:$D$100003,"Nov"),0)</f>
        <v>0</v>
      </c>
      <c r="BV22" s="22">
        <f>IFERROR(AVERAGEIFS('Emergency Drills'!$K$4:$K$100003,'Emergency Drills'!$D$4:$D$100003,"Nov"),0)</f>
        <v>0</v>
      </c>
      <c r="BW22" s="22">
        <f>SUMIFS('Internal Audits'!$M$4:$M$100003,'Internal Audits'!$D$4:$D$100003,"Nov",'Internal Audits'!$G$4:$G$100003,dCrit)</f>
        <v>0</v>
      </c>
      <c r="BX22" s="22">
        <f>SUMIFS('External Audits'!$M$4:$M$100003,'External Audits'!$D$4:$D$100003,"Nov",'External Audits'!$G$4:$G$100003,dCrit)</f>
        <v>0</v>
      </c>
      <c r="BY22" s="22">
        <f>SUMIFS('Management Reviews'!$K$4:$K$100003,'Management Reviews'!$D$4:$D$100003,"Nov")</f>
        <v>0</v>
      </c>
      <c r="BZ22" s="22">
        <f>SUMIFS('Management Reviews'!$L$4:$L$100003,'Management Reviews'!$D$4:$D$100003,"Nov")</f>
        <v>0</v>
      </c>
      <c r="CA22" s="22">
        <f>SUMIFS('Stop Work Authority'!$J$4:$J$100003,'Stop Work Authority'!$D$4:$D$100003,"Nov",'Stop Work Authority'!$F$4:$F$100003,dCrit)</f>
        <v>0</v>
      </c>
      <c r="CB22" s="22">
        <f>SUMIFS('Training'!$M$4:$M$100003,'Training'!$D$4:$D$100003,"Nov",'Training'!$G$4:$G$100003,dCrit)</f>
        <v>0</v>
      </c>
      <c r="CC22" s="22">
        <f>SUMIFS('Workplace Inspections'!$J$4:$J$100003,'Workplace Inspections'!$D$4:$D$100003,"Nov",'Workplace Inspections'!$F$4:$F$100003,dCrit)</f>
        <v>0</v>
      </c>
      <c r="CD22" s="22">
        <f>COUNTIFS('Corrective Actions'!$O$4:$O$100003,"On-Time",'Corrective Actions'!$D$4:$D$100003,"Nov",'Corrective Actions'!$F$4:$F$100003,dCrit)</f>
        <v>0</v>
      </c>
      <c r="CE22" s="22">
        <f>COUNTIFS('Corrective Actions'!$O$4:$O$100003,"Delayed",'Corrective Actions'!$D$4:$D$100003,"Nov",'Corrective Actions'!$F$4:$F$100003,dCrit)</f>
        <v>0</v>
      </c>
      <c r="CF22" s="22">
        <f>COUNTIFS('JSA Risk Assessment'!$J$4:$J$100003,"Critical",'JSA Risk Assessment'!$D$4:$D$100003,"Nov",'JSA Risk Assessment'!$F$4:$F$100003,dCrit)</f>
        <v>0</v>
      </c>
      <c r="CG22" s="22">
        <f>COUNTIFS('JSA Risk Assessment'!$J$4:$J$100003,"High",'JSA Risk Assessment'!$D$4:$D$100003,"Nov",'JSA Risk Assessment'!$F$4:$F$100003,dCrit)</f>
        <v>0</v>
      </c>
      <c r="CH22" s="22">
        <f>COUNTIFS('JSA Risk Assessment'!$J$4:$J$100003,"Medium",'JSA Risk Assessment'!$D$4:$D$100003,"Nov",'JSA Risk Assessment'!$F$4:$F$100003,dCrit)</f>
        <v>0</v>
      </c>
      <c r="CI22" s="22">
        <f>COUNTIFS('JSA Risk Assessment'!$J$4:$J$100003,"Low",'JSA Risk Assessment'!$D$4:$D$100003,"Nov",'JSA Risk Assessment'!$F$4:$F$100003,dCrit)</f>
        <v>0</v>
      </c>
      <c r="CJ22" s="23">
        <f>IFERROR($F$22*TRIRmult/Settings!$C$23,0)</f>
        <v>0</v>
      </c>
      <c r="CK22" s="23">
        <f>IFERROR($G$22*LTIFRmult/Settings!$C$23,0)</f>
        <v>0</v>
      </c>
      <c r="CL22" s="23">
        <f>BenchTRIR</f>
        <v>0</v>
      </c>
      <c r="CM22" s="23">
        <f>BenchLTIFR</f>
        <v>0</v>
      </c>
      <c r="CN22" s="25">
        <f>IFERROR($BK$22/$BJ$22*100,0)</f>
        <v>0</v>
      </c>
      <c r="CO22" s="22">
        <f>$V$22+$R$22+$T$22+$W$22+$X$22+$AA$22+$Y$22+$AE$22+$AD$22</f>
        <v>0</v>
      </c>
      <c r="CP22" s="22">
        <f>$O$22+$BP$22+$P$22</f>
        <v>0</v>
      </c>
      <c r="CQ22" s="23">
        <f>IFERROR($CO$22/$CP$22,0)</f>
        <v>0</v>
      </c>
      <c r="DJ22" s="13" t="s">
        <v>1936</v>
      </c>
      <c r="DK22" s="23" t="s">
        <v>1930</v>
      </c>
      <c r="DL22" s="25">
        <f>IFERROR(SUMPRODUCT(Calculations!$BQ$12:$BQ$23,Calculations!$D$12:$D$23)/SUMPRODUCT(Calculations!$BP$12:$BP$23,Calculations!$D$12:$D$23),0)*100</f>
        <v>0</v>
      </c>
      <c r="DM22" s="25">
        <f>IFERROR(SUMPRODUCT(Calculations!$BQ$12:$BQ$23,Calculations!$E$12:$E$23)/SUMPRODUCT(Calculations!$BP$12:$BP$23,Calculations!$E$12:$E$23),0)*100</f>
        <v>0</v>
      </c>
      <c r="DN22" s="25">
        <f>IFERROR(($DL$22-$DM$22)/$DM$22,IF($DL$22&gt;0,1,0))</f>
        <v>0</v>
      </c>
      <c r="DO22" s="23">
        <f>($DL$22-$DM$22)*1</f>
        <v>0</v>
      </c>
      <c r="DP22" s="25">
        <f>TgtCloseout*100</f>
        <v>0</v>
      </c>
      <c r="DQ22" s="23">
        <f>IFERROR(IF($DL$22&gt;=$DP$22,2,IF($DL$22&gt;=$DP$22*AmberBand,1,0)),1)</f>
        <v>0</v>
      </c>
      <c r="DS22" s="13" t="s">
        <v>779</v>
      </c>
      <c r="DT22" s="22">
        <f>SUMPRODUCT(Calculations!$T$12:$T$23,Calculations!$D$12:$D$23)</f>
        <v>0</v>
      </c>
      <c r="DV22" s="23" t="s">
        <v>122</v>
      </c>
      <c r="DW22" s="22">
        <f>COUNTIFS('Incident'!$D$4:$D$100003,"Dec",'Incident'!$H$4:$H$100003,dCrit)</f>
        <v>0</v>
      </c>
      <c r="DY22" s="23">
        <f>IFERROR($BQ$22/$BP$22*100,0)</f>
        <v>0</v>
      </c>
      <c r="DZ22" s="23">
        <f>IFERROR($BK$22/$BJ$22*100,0)</f>
        <v>0</v>
      </c>
      <c r="EA22" s="23">
        <f>IFERROR($AI$22/$AJ$22*100,0)</f>
        <v>0</v>
      </c>
      <c r="EB22" s="23">
        <f>IFERROR($AK$22/$AD$22*100,0)</f>
        <v>0</v>
      </c>
      <c r="EC22" s="23">
        <f>IFERROR($S$22/$R$22*100,0)</f>
        <v>0</v>
      </c>
      <c r="ED22" s="23">
        <f>IFERROR($U$22/$T$22*100,0)</f>
        <v>0</v>
      </c>
      <c r="EE22" s="23">
        <f>IFERROR($AM$22/$AL$22*100,0)</f>
        <v>0</v>
      </c>
      <c r="EF22" s="23">
        <f>IFERROR($AR$22/$AQ$22*100,0)</f>
        <v>0</v>
      </c>
      <c r="EG22" s="23">
        <f>IFERROR($AU$22/$AT$22*100,0)</f>
        <v>0</v>
      </c>
      <c r="EH22" s="23">
        <f>IFERROR($AW$22/$AV$22*100,0)</f>
        <v>0</v>
      </c>
      <c r="EI22" s="23">
        <f>IFERROR($BD$22/$BC$22*100,0)</f>
        <v>0</v>
      </c>
      <c r="EJ22" s="23">
        <f>IFERROR($BF$22/$BG$22*100,0)</f>
        <v>0</v>
      </c>
      <c r="EK22" s="23">
        <f>IFERROR($Z$22/$Y$22*100,0)</f>
        <v>0</v>
      </c>
      <c r="EL22" s="23">
        <f>IFERROR($AC$22/$AB$22*100,0)</f>
        <v>0</v>
      </c>
      <c r="EM22" s="23">
        <f>IFERROR($BM$22/$BL$22*100,0)</f>
        <v>0</v>
      </c>
      <c r="EN22" s="23">
        <f>IFERROR($BO$22/$BN$22*100,0)</f>
        <v>0</v>
      </c>
    </row>
    <row r="23" spans="2:144">
      <c r="B23" s="23" t="s">
        <v>122</v>
      </c>
      <c r="C23" s="23">
        <v>12</v>
      </c>
      <c r="D23" s="23">
        <f>IF(Calculations!$C$10=1,IF(ROUNDUP($C$23/3,0)=Calculations!$F$10,1,0),IF($C$23=Calculations!$I$10,1,0))</f>
        <v>0</v>
      </c>
      <c r="E23" s="23">
        <f>IF(Calculations!$C$10=1,IF(ROUNDUP($C$23/3,0)=Calculations!$F$10-1,1,0),IF($C$23=Calculations!$I$10-1,1,0))</f>
        <v>0</v>
      </c>
      <c r="F23" s="22">
        <f>COUNTIFS('Incident'!$N$4:$N$100003,"Medical Treatment",'Incident'!$D$4:$D$100003,"Dec",'Incident'!$H$4:$H$100003,dCrit)+COUNTIFS('Incident'!$N$4:$N$100003,"Restricted Work",'Incident'!$D$4:$D$100003,"Dec",'Incident'!$H$4:$H$100003,dCrit)+COUNTIFS('Incident'!$N$4:$N$100003,"Lost Time Injury",'Incident'!$D$4:$D$100003,"Dec",'Incident'!$H$4:$H$100003,dCrit)+COUNTIFS('Incident'!$N$4:$N$100003,"Fatality",'Incident'!$D$4:$D$100003,"Dec",'Incident'!$H$4:$H$100003,dCrit)</f>
        <v>0</v>
      </c>
      <c r="G23" s="22">
        <f>COUNTIFS('Incident'!$N$4:$N$100003,"Lost Time Injury",'Incident'!$D$4:$D$100003,"Dec",'Incident'!$H$4:$H$100003,dCrit)+COUNTIFS('Incident'!$N$4:$N$100003,"Fatality",'Incident'!$D$4:$D$100003,"Dec",'Incident'!$H$4:$H$100003,dCrit)</f>
        <v>0</v>
      </c>
      <c r="H23" s="22">
        <f>COUNTIFS('Incident'!$N$4:$N$100003,"Near Miss",'Incident'!$D$4:$D$100003,"Dec",'Incident'!$H$4:$H$100003,dCrit)</f>
        <v>0</v>
      </c>
      <c r="I23" s="22">
        <f>COUNTIFS('Incident'!$N$4:$N$100003,"First Aid",'Incident'!$D$4:$D$100003,"Dec",'Incident'!$H$4:$H$100003,dCrit)</f>
        <v>0</v>
      </c>
      <c r="J23" s="22">
        <f>COUNTIFS('Incident'!$N$4:$N$100003,"Medical Treatment",'Incident'!$D$4:$D$100003,"Dec",'Incident'!$H$4:$H$100003,dCrit)</f>
        <v>0</v>
      </c>
      <c r="K23" s="22">
        <f>COUNTIFS('Incident'!$N$4:$N$100003,"Restricted Work",'Incident'!$D$4:$D$100003,"Dec",'Incident'!$H$4:$H$100003,dCrit)</f>
        <v>0</v>
      </c>
      <c r="L23" s="22">
        <f>COUNTIFS('Incident'!$N$4:$N$100003,"Lost Time Injury",'Incident'!$D$4:$D$100003,"Dec",'Incident'!$H$4:$H$100003,dCrit)</f>
        <v>0</v>
      </c>
      <c r="M23" s="22">
        <f>COUNTIFS('Incident'!$N$4:$N$100003,"Fatality",'Incident'!$D$4:$D$100003,"Dec",'Incident'!$H$4:$H$100003,dCrit)</f>
        <v>0</v>
      </c>
      <c r="N23" s="22">
        <f>SUMIFS('Incident'!$V$4:$V$100003,'Incident'!$D$4:$D$100003,"Dec",'Incident'!$H$4:$H$100003,dCrit)</f>
        <v>0</v>
      </c>
      <c r="O23" s="22">
        <f>COUNTIFS('Incident'!$D$4:$D$100003,"Dec",'Incident'!$H$4:$H$100003,dCrit)</f>
        <v>0</v>
      </c>
      <c r="P23" s="22">
        <f>COUNTIFS('Disciplinary Actions'!$D$4:$D$100003,"Dec",'Disciplinary Actions'!$F$4:$F$100003,dCrit)</f>
        <v>0</v>
      </c>
      <c r="Q23" s="22">
        <f>COUNTIFS('NC Management'!$M$4:$M$100003,"Open",'NC Management'!$D$4:$D$100003,"Dec",'NC Management'!$G$4:$G$100003,dCrit)+COUNTIFS('NC Management'!$M$4:$M$100003,"Overdue",'NC Management'!$D$4:$D$100003,"Dec",'NC Management'!$G$4:$G$100003,dCrit)</f>
        <v>0</v>
      </c>
      <c r="R23" s="22">
        <f>COUNTIFS('Training'!$D$4:$D$100003,"Dec",'Training'!$G$4:$G$100003,dCrit)</f>
        <v>0</v>
      </c>
      <c r="S23" s="22">
        <f>COUNTIFS('Training'!$N$4:$N$100003,"Completed",'Training'!$D$4:$D$100003,"Dec",'Training'!$G$4:$G$100003,dCrit)</f>
        <v>0</v>
      </c>
      <c r="T23" s="22">
        <f>COUNTIFS('HSE Observations'!$D$4:$D$100003,"Dec",'HSE Observations'!$G$4:$G$100003,dCrit)</f>
        <v>0</v>
      </c>
      <c r="U23" s="22">
        <f>COUNTIFS('HSE Observations'!$M$4:$M$100003,"Completed",'HSE Observations'!$D$4:$D$100003,"Dec",'HSE Observations'!$G$4:$G$100003,dCrit)</f>
        <v>0</v>
      </c>
      <c r="V23" s="22">
        <f>COUNTIFS('Toolbox Talks'!$D$4:$D$100003,"Dec",'Toolbox Talks'!$F$4:$F$100003,dCrit)</f>
        <v>0</v>
      </c>
      <c r="W23" s="22">
        <f>COUNTIFS('Workplace Inspections'!$D$4:$D$100003,"Dec",'Workplace Inspections'!$F$4:$F$100003,dCrit)+COUNTIFS('Equipment Inspections'!$D$4:$D$100003,"Dec",'Equipment Inspections'!$F$4:$F$100003,dCrit)+COUNTIFS('Safety Walkthroughs'!$D$4:$D$100003,"Dec",'Safety Walkthroughs'!$F$4:$F$100003,dCrit)</f>
        <v>0</v>
      </c>
      <c r="X23" s="22">
        <f>COUNTIFS('Internal Audits'!$D$4:$D$100003,"Dec",'Internal Audits'!$G$4:$G$100003,dCrit)+COUNTIFS('External Audits'!$D$4:$D$100003,"Dec",'External Audits'!$G$4:$G$100003,dCrit)</f>
        <v>0</v>
      </c>
      <c r="Y23" s="22">
        <f>COUNTIFS('PTW Audits'!$D$4:$D$100003,"Dec",'PTW Audits'!$F$4:$F$100003,dCrit)</f>
        <v>0</v>
      </c>
      <c r="Z23" s="22">
        <f>COUNTIFS('PTW Audits'!$M$4:$M$100003,"Compliant",'PTW Audits'!$D$4:$D$100003,"Dec",'PTW Audits'!$F$4:$F$100003,dCrit)</f>
        <v>0</v>
      </c>
      <c r="AA23" s="22">
        <f>COUNTIFS('Emergency Drills'!$D$4:$D$100003,"Dec")</f>
        <v>0</v>
      </c>
      <c r="AB23" s="22">
        <f>COUNTIFS('Corrective Actions'!$D$4:$D$100003,"Dec",'Corrective Actions'!$F$4:$F$100003,dCrit)</f>
        <v>0</v>
      </c>
      <c r="AC23" s="22">
        <f>COUNTIFS('Corrective Actions'!$N$4:$N$100003,"Completed",'Corrective Actions'!$D$4:$D$100003,"Dec",'Corrective Actions'!$F$4:$F$100003,dCrit)</f>
        <v>0</v>
      </c>
      <c r="AD23" s="22">
        <f>COUNTIFS('JSA Risk Assessment'!$D$4:$D$100003,"Dec",'JSA Risk Assessment'!$F$4:$F$100003,dCrit)</f>
        <v>0</v>
      </c>
      <c r="AE23" s="22">
        <f>COUNTIFS('Safety Meetings'!$D$4:$D$100003,"Dec",'Safety Meetings'!$G$4:$G$100003,dCrit)</f>
        <v>0</v>
      </c>
      <c r="AF23" s="22">
        <f>COUNTIFS('Unsafe Acts'!$D$4:$D$100003,"Dec",'Unsafe Acts'!$F$4:$F$100003,dCrit)+COUNTIFS('Unsafe Conditions'!$D$4:$D$100003,"Dec",'Unsafe Conditions'!$F$4:$F$100003,dCrit)</f>
        <v>0</v>
      </c>
      <c r="AG23" s="22">
        <f>COUNTIFS('Unsafe Acts'!$D$4:$D$100003,"Dec",'Unsafe Acts'!$F$4:$F$100003,dCrit)</f>
        <v>0</v>
      </c>
      <c r="AH23" s="22">
        <f>COUNTIFS('Unsafe Conditions'!$D$4:$D$100003,"Dec",'Unsafe Conditions'!$F$4:$F$100003,dCrit)</f>
        <v>0</v>
      </c>
      <c r="AI23" s="22">
        <f>SUMIFS('Toolbox Talks'!$J$4:$J$100003,'Toolbox Talks'!$D$4:$D$100003,"Dec",'Toolbox Talks'!$F$4:$F$100003,dCrit)</f>
        <v>0</v>
      </c>
      <c r="AJ23" s="22">
        <f>SUMIFS('Toolbox Talks'!$I$4:$I$100003,'Toolbox Talks'!$D$4:$D$100003,"Dec",'Toolbox Talks'!$F$4:$F$100003,dCrit)</f>
        <v>0</v>
      </c>
      <c r="AK23" s="22">
        <f>COUNTIFS('JSA Risk Assessment'!$M$4:$M$100003,"Approved",'JSA Risk Assessment'!$D$4:$D$100003,"Dec",'JSA Risk Assessment'!$F$4:$F$100003,dCrit)</f>
        <v>0</v>
      </c>
      <c r="AL23" s="22">
        <f>COUNTIFS('Workplace Inspections'!$D$4:$D$100003,"Dec",'Workplace Inspections'!$F$4:$F$100003,dCrit)</f>
        <v>0</v>
      </c>
      <c r="AM23" s="22">
        <f>COUNTIFS('Workplace Inspections'!$M$4:$M$100003,"Completed",'Workplace Inspections'!$D$4:$D$100003,"Dec",'Workplace Inspections'!$F$4:$F$100003,dCrit)</f>
        <v>0</v>
      </c>
      <c r="AN23" s="22">
        <f>COUNTIFS('Equipment Inspections'!$D$4:$D$100003,"Dec",'Equipment Inspections'!$F$4:$F$100003,dCrit)</f>
        <v>0</v>
      </c>
      <c r="AO23" s="22">
        <f>SUMIFS('Equipment Inspections'!$K$4:$K$100003,'Equipment Inspections'!$D$4:$D$100003,"Dec",'Equipment Inspections'!$F$4:$F$100003,dCrit)</f>
        <v>0</v>
      </c>
      <c r="AP23" s="22">
        <f>COUNTIFS('Safety Walkthroughs'!$D$4:$D$100003,"Dec",'Safety Walkthroughs'!$F$4:$F$100003,dCrit)</f>
        <v>0</v>
      </c>
      <c r="AQ23" s="22">
        <f>SUMIFS('Safety Meetings'!$M$4:$M$100003,'Safety Meetings'!$D$4:$D$100003,"Dec",'Safety Meetings'!$G$4:$G$100003,dCrit)</f>
        <v>0</v>
      </c>
      <c r="AR23" s="22">
        <f>SUMIFS('Safety Meetings'!$N$4:$N$100003,'Safety Meetings'!$D$4:$D$100003,"Dec",'Safety Meetings'!$G$4:$G$100003,dCrit)</f>
        <v>0</v>
      </c>
      <c r="AS23" s="22">
        <f>COUNTIFS('Safety Bulletins'!$D$4:$D$100003,"Dec")</f>
        <v>0</v>
      </c>
      <c r="AT23" s="22">
        <f>SUMIFS('Safety Bulletins'!$L$4:$L$100003,'Safety Bulletins'!$D$4:$D$100003,"Dec")</f>
        <v>0</v>
      </c>
      <c r="AU23" s="22">
        <f>SUMIFS('Safety Bulletins'!$M$4:$M$100003,'Safety Bulletins'!$D$4:$D$100003,"Dec")</f>
        <v>0</v>
      </c>
      <c r="AV23" s="22">
        <f>SUMIFS('Emergency Drills'!$H$4:$H$100003,'Emergency Drills'!$D$4:$D$100003,"Dec")</f>
        <v>0</v>
      </c>
      <c r="AW23" s="22">
        <f>SUMIFS('Emergency Drills'!$I$4:$I$100003,'Emergency Drills'!$D$4:$D$100003,"Dec")</f>
        <v>0</v>
      </c>
      <c r="AX23" s="22">
        <f>COUNTIFS('Internal Audits'!$D$4:$D$100003,"Dec",'Internal Audits'!$G$4:$G$100003,dCrit)</f>
        <v>0</v>
      </c>
      <c r="AY23" s="22">
        <f>SUMIFS('Internal Audits'!$L$4:$L$100003,'Internal Audits'!$D$4:$D$100003,"Dec",'Internal Audits'!$G$4:$G$100003,dCrit)+SUMIFS('Internal Audits'!$M$4:$M$100003,'Internal Audits'!$D$4:$D$100003,"Dec",'Internal Audits'!$G$4:$G$100003,dCrit)</f>
        <v>0</v>
      </c>
      <c r="AZ23" s="22">
        <f>COUNTIFS('External Audits'!$D$4:$D$100003,"Dec",'External Audits'!$G$4:$G$100003,dCrit)</f>
        <v>0</v>
      </c>
      <c r="BA23" s="22">
        <f>SUMIFS('External Audits'!$L$4:$L$100003,'External Audits'!$D$4:$D$100003,"Dec",'External Audits'!$G$4:$G$100003,dCrit)+SUMIFS('External Audits'!$M$4:$M$100003,'External Audits'!$D$4:$D$100003,"Dec",'External Audits'!$G$4:$G$100003,dCrit)</f>
        <v>0</v>
      </c>
      <c r="BB23" s="22">
        <f>COUNTIFS('Management Visits'!$D$4:$D$100003,"Dec",'Management Visits'!$F$4:$F$100003,dCrit)</f>
        <v>0</v>
      </c>
      <c r="BC23" s="22">
        <f>SUMIFS('Management Visits'!$K$4:$K$100003,'Management Visits'!$D$4:$D$100003,"Dec",'Management Visits'!$F$4:$F$100003,dCrit)</f>
        <v>0</v>
      </c>
      <c r="BD23" s="22">
        <f>SUMIFS('Management Visits'!$L$4:$L$100003,'Management Visits'!$D$4:$D$100003,"Dec",'Management Visits'!$F$4:$F$100003,dCrit)</f>
        <v>0</v>
      </c>
      <c r="BE23" s="22">
        <f>COUNTIFS('Management Reviews'!$D$4:$D$100003,"Dec")</f>
        <v>0</v>
      </c>
      <c r="BF23" s="22">
        <f>SUMIFS('Management Reviews'!$H$4:$H$100003,'Management Reviews'!$D$4:$D$100003,"Dec")</f>
        <v>0</v>
      </c>
      <c r="BG23" s="22">
        <f>SUMIFS('Management Reviews'!$G$4:$G$100003,'Management Reviews'!$D$4:$D$100003,"Dec")</f>
        <v>0</v>
      </c>
      <c r="BH23" s="22">
        <f>COUNTIFS('Safety Awards'!$D$4:$D$100003,"Dec",'Safety Awards'!$F$4:$F$100003,dCrit)</f>
        <v>0</v>
      </c>
      <c r="BI23" s="22">
        <f>COUNTIFS('Stop Work Authority'!$D$4:$D$100003,"Dec",'Stop Work Authority'!$F$4:$F$100003,dCrit)</f>
        <v>0</v>
      </c>
      <c r="BJ23" s="22">
        <f>COUNTIFS('Alcohol Tests'!$D$4:$D$100003,"Dec",'Alcohol Tests'!$E$4:$E$100003,dCrit)</f>
        <v>0</v>
      </c>
      <c r="BK23" s="22">
        <f>COUNTIFS('Alcohol Tests'!$H$4:$H$100003,"Positive",'Alcohol Tests'!$D$4:$D$100003,"Dec",'Alcohol Tests'!$E$4:$E$100003,dCrit)</f>
        <v>0</v>
      </c>
      <c r="BL23" s="22">
        <f>COUNTIFS('Unsafe Acts'!$D$4:$D$100003,"Dec",'Unsafe Acts'!$F$4:$F$100003,dCrit)</f>
        <v>0</v>
      </c>
      <c r="BM23" s="22">
        <f>COUNTIFS('Unsafe Acts'!$M$4:$M$100003,"Completed",'Unsafe Acts'!$D$4:$D$100003,"Dec",'Unsafe Acts'!$F$4:$F$100003,dCrit)</f>
        <v>0</v>
      </c>
      <c r="BN23" s="22">
        <f>COUNTIFS('Unsafe Conditions'!$D$4:$D$100003,"Dec",'Unsafe Conditions'!$F$4:$F$100003,dCrit)</f>
        <v>0</v>
      </c>
      <c r="BO23" s="22">
        <f>COUNTIFS('Unsafe Conditions'!$M$4:$M$100003,"Completed",'Unsafe Conditions'!$D$4:$D$100003,"Dec",'Unsafe Conditions'!$F$4:$F$100003,dCrit)</f>
        <v>0</v>
      </c>
      <c r="BP23" s="22">
        <f>COUNTIFS('NC Management'!$D$4:$D$100003,"Dec",'NC Management'!$G$4:$G$100003,dCrit)</f>
        <v>0</v>
      </c>
      <c r="BQ23" s="22">
        <f>COUNTIFS('NC Management'!$M$4:$M$100003,"Closed",'NC Management'!$D$4:$D$100003,"Dec",'NC Management'!$G$4:$G$100003,dCrit)</f>
        <v>0</v>
      </c>
      <c r="BR23" s="22">
        <f>COUNTIFS('Training'!$F$4:$F$100003,"Induction",'Training'!$D$4:$D$100003,"Dec",'Training'!$G$4:$G$100003,dCrit)</f>
        <v>0</v>
      </c>
      <c r="BS23" s="22">
        <f>COUNTIFS('HSE Observations'!$E$4:$E$100003,"Safe Act",'HSE Observations'!$D$4:$D$100003,"Dec",'HSE Observations'!$G$4:$G$100003,dCrit)+COUNTIFS('HSE Observations'!$E$4:$E$100003,"Safe Condition",'HSE Observations'!$D$4:$D$100003,"Dec",'HSE Observations'!$G$4:$G$100003,dCrit)</f>
        <v>0</v>
      </c>
      <c r="BT23" s="22">
        <f>COUNTIFS('HSE Observations'!$E$4:$E$100003,"Unsafe Act",'HSE Observations'!$D$4:$D$100003,"Dec",'HSE Observations'!$G$4:$G$100003,dCrit)+COUNTIFS('HSE Observations'!$E$4:$E$100003,"Unsafe Condition",'HSE Observations'!$D$4:$D$100003,"Dec",'HSE Observations'!$G$4:$G$100003,dCrit)</f>
        <v>0</v>
      </c>
      <c r="BU23" s="22">
        <f>IFERROR(AVERAGEIFS('Emergency Drills'!$L$4:$L$100003,'Emergency Drills'!$D$4:$D$100003,"Dec"),0)</f>
        <v>0</v>
      </c>
      <c r="BV23" s="22">
        <f>IFERROR(AVERAGEIFS('Emergency Drills'!$K$4:$K$100003,'Emergency Drills'!$D$4:$D$100003,"Dec"),0)</f>
        <v>0</v>
      </c>
      <c r="BW23" s="22">
        <f>SUMIFS('Internal Audits'!$M$4:$M$100003,'Internal Audits'!$D$4:$D$100003,"Dec",'Internal Audits'!$G$4:$G$100003,dCrit)</f>
        <v>0</v>
      </c>
      <c r="BX23" s="22">
        <f>SUMIFS('External Audits'!$M$4:$M$100003,'External Audits'!$D$4:$D$100003,"Dec",'External Audits'!$G$4:$G$100003,dCrit)</f>
        <v>0</v>
      </c>
      <c r="BY23" s="22">
        <f>SUMIFS('Management Reviews'!$K$4:$K$100003,'Management Reviews'!$D$4:$D$100003,"Dec")</f>
        <v>0</v>
      </c>
      <c r="BZ23" s="22">
        <f>SUMIFS('Management Reviews'!$L$4:$L$100003,'Management Reviews'!$D$4:$D$100003,"Dec")</f>
        <v>0</v>
      </c>
      <c r="CA23" s="22">
        <f>SUMIFS('Stop Work Authority'!$J$4:$J$100003,'Stop Work Authority'!$D$4:$D$100003,"Dec",'Stop Work Authority'!$F$4:$F$100003,dCrit)</f>
        <v>0</v>
      </c>
      <c r="CB23" s="22">
        <f>SUMIFS('Training'!$M$4:$M$100003,'Training'!$D$4:$D$100003,"Dec",'Training'!$G$4:$G$100003,dCrit)</f>
        <v>0</v>
      </c>
      <c r="CC23" s="22">
        <f>SUMIFS('Workplace Inspections'!$J$4:$J$100003,'Workplace Inspections'!$D$4:$D$100003,"Dec",'Workplace Inspections'!$F$4:$F$100003,dCrit)</f>
        <v>0</v>
      </c>
      <c r="CD23" s="22">
        <f>COUNTIFS('Corrective Actions'!$O$4:$O$100003,"On-Time",'Corrective Actions'!$D$4:$D$100003,"Dec",'Corrective Actions'!$F$4:$F$100003,dCrit)</f>
        <v>0</v>
      </c>
      <c r="CE23" s="22">
        <f>COUNTIFS('Corrective Actions'!$O$4:$O$100003,"Delayed",'Corrective Actions'!$D$4:$D$100003,"Dec",'Corrective Actions'!$F$4:$F$100003,dCrit)</f>
        <v>0</v>
      </c>
      <c r="CF23" s="22">
        <f>COUNTIFS('JSA Risk Assessment'!$J$4:$J$100003,"Critical",'JSA Risk Assessment'!$D$4:$D$100003,"Dec",'JSA Risk Assessment'!$F$4:$F$100003,dCrit)</f>
        <v>0</v>
      </c>
      <c r="CG23" s="22">
        <f>COUNTIFS('JSA Risk Assessment'!$J$4:$J$100003,"High",'JSA Risk Assessment'!$D$4:$D$100003,"Dec",'JSA Risk Assessment'!$F$4:$F$100003,dCrit)</f>
        <v>0</v>
      </c>
      <c r="CH23" s="22">
        <f>COUNTIFS('JSA Risk Assessment'!$J$4:$J$100003,"Medium",'JSA Risk Assessment'!$D$4:$D$100003,"Dec",'JSA Risk Assessment'!$F$4:$F$100003,dCrit)</f>
        <v>0</v>
      </c>
      <c r="CI23" s="22">
        <f>COUNTIFS('JSA Risk Assessment'!$J$4:$J$100003,"Low",'JSA Risk Assessment'!$D$4:$D$100003,"Dec",'JSA Risk Assessment'!$F$4:$F$100003,dCrit)</f>
        <v>0</v>
      </c>
      <c r="CJ23" s="23">
        <f>IFERROR($F$23*TRIRmult/Settings!$C$24,0)</f>
        <v>0</v>
      </c>
      <c r="CK23" s="23">
        <f>IFERROR($G$23*LTIFRmult/Settings!$C$24,0)</f>
        <v>0</v>
      </c>
      <c r="CL23" s="23">
        <f>BenchTRIR</f>
        <v>0</v>
      </c>
      <c r="CM23" s="23">
        <f>BenchLTIFR</f>
        <v>0</v>
      </c>
      <c r="CN23" s="25">
        <f>IFERROR($BK$23/$BJ$23*100,0)</f>
        <v>0</v>
      </c>
      <c r="CO23" s="22">
        <f>$V$23+$R$23+$T$23+$W$23+$X$23+$AA$23+$Y$23+$AE$23+$AD$23</f>
        <v>0</v>
      </c>
      <c r="CP23" s="22">
        <f>$O$23+$BP$23+$P$23</f>
        <v>0</v>
      </c>
      <c r="CQ23" s="23">
        <f>IFERROR($CO$23/$CP$23,0)</f>
        <v>0</v>
      </c>
      <c r="DJ23" s="13" t="s">
        <v>1937</v>
      </c>
      <c r="DK23" s="23" t="s">
        <v>1930</v>
      </c>
      <c r="DL23" s="25">
        <f>IFERROR(SUMPRODUCT(Calculations!$BK$12:$BK$23,Calculations!$D$12:$D$23)/SUMPRODUCT(Calculations!$BJ$12:$BJ$23,Calculations!$D$12:$D$23),0)*100</f>
        <v>0</v>
      </c>
      <c r="DM23" s="25">
        <f>IFERROR(SUMPRODUCT(Calculations!$BK$12:$BK$23,Calculations!$E$12:$E$23)/SUMPRODUCT(Calculations!$BJ$12:$BJ$23,Calculations!$E$12:$E$23),0)*100</f>
        <v>0</v>
      </c>
      <c r="DN23" s="25">
        <f>IFERROR(($DL$23-$DM$23)/$DM$23,IF($DL$23&gt;0,1,0))</f>
        <v>0</v>
      </c>
      <c r="DO23" s="23">
        <f>($DL$23-$DM$23)*-1</f>
        <v>0</v>
      </c>
      <c r="DP23" s="25">
        <f>TgtAlcoholPositive*100</f>
        <v>0</v>
      </c>
      <c r="DQ23" s="23">
        <f>IFERROR(IF($DL$23&lt;=$DP$23,2,IF($DL$23&lt;=$DP$23/AmberBand,1,0)),1)</f>
        <v>0</v>
      </c>
      <c r="DS23" s="13" t="s">
        <v>1970</v>
      </c>
      <c r="DT23" s="22">
        <f>SUMPRODUCT(Calculations!$W$12:$W$23,Calculations!$D$12:$D$23)</f>
        <v>0</v>
      </c>
      <c r="DY23" s="23">
        <f>IFERROR($BQ$23/$BP$23*100,0)</f>
        <v>0</v>
      </c>
      <c r="DZ23" s="23">
        <f>IFERROR($BK$23/$BJ$23*100,0)</f>
        <v>0</v>
      </c>
      <c r="EA23" s="23">
        <f>IFERROR($AI$23/$AJ$23*100,0)</f>
        <v>0</v>
      </c>
      <c r="EB23" s="23">
        <f>IFERROR($AK$23/$AD$23*100,0)</f>
        <v>0</v>
      </c>
      <c r="EC23" s="23">
        <f>IFERROR($S$23/$R$23*100,0)</f>
        <v>0</v>
      </c>
      <c r="ED23" s="23">
        <f>IFERROR($U$23/$T$23*100,0)</f>
        <v>0</v>
      </c>
      <c r="EE23" s="23">
        <f>IFERROR($AM$23/$AL$23*100,0)</f>
        <v>0</v>
      </c>
      <c r="EF23" s="23">
        <f>IFERROR($AR$23/$AQ$23*100,0)</f>
        <v>0</v>
      </c>
      <c r="EG23" s="23">
        <f>IFERROR($AU$23/$AT$23*100,0)</f>
        <v>0</v>
      </c>
      <c r="EH23" s="23">
        <f>IFERROR($AW$23/$AV$23*100,0)</f>
        <v>0</v>
      </c>
      <c r="EI23" s="23">
        <f>IFERROR($BD$23/$BC$23*100,0)</f>
        <v>0</v>
      </c>
      <c r="EJ23" s="23">
        <f>IFERROR($BF$23/$BG$23*100,0)</f>
        <v>0</v>
      </c>
      <c r="EK23" s="23">
        <f>IFERROR($Z$23/$Y$23*100,0)</f>
        <v>0</v>
      </c>
      <c r="EL23" s="23">
        <f>IFERROR($AC$23/$AB$23*100,0)</f>
        <v>0</v>
      </c>
      <c r="EM23" s="23">
        <f>IFERROR($BM$23/$BL$23*100,0)</f>
        <v>0</v>
      </c>
      <c r="EN23" s="23">
        <f>IFERROR($BO$23/$BN$23*100,0)</f>
        <v>0</v>
      </c>
    </row>
    <row r="24" spans="2:144">
      <c r="DJ24" s="13" t="s">
        <v>1777</v>
      </c>
      <c r="DK24" s="23" t="s">
        <v>1938</v>
      </c>
      <c r="DL24" s="22">
        <f>SUMPRODUCT(Calculations!$V$12:$V$23,Calculations!$D$12:$D$23)</f>
        <v>0</v>
      </c>
      <c r="DM24" s="22">
        <f>SUMPRODUCT(Calculations!$V$12:$V$23,Calculations!$E$12:$E$23)</f>
        <v>0</v>
      </c>
      <c r="DN24" s="25">
        <f>IFERROR(($DL$24-$DM$24)/$DM$24,IF($DL$24&gt;0,1,0))</f>
        <v>0</v>
      </c>
      <c r="DO24" s="23">
        <f>($DL$24-$DM$24)*1</f>
        <v>0</v>
      </c>
      <c r="DP24" s="22">
        <f>IFERROR(AVERAGE(Calculations!$V$12:$V$23)*SUM(Calculations!$D$12:$D$23),0)</f>
        <v>0</v>
      </c>
      <c r="DQ24" s="23">
        <f>IFERROR(IF($DL$24&gt;=$DP$24,2,IF($DL$24&gt;=$DP$24*AmberBand,1,0)),1)</f>
        <v>0</v>
      </c>
      <c r="DS24" s="13" t="s">
        <v>1971</v>
      </c>
      <c r="DT24" s="22">
        <f>SUMPRODUCT(Calculations!$X$12:$X$23,Calculations!$D$12:$D$23)</f>
        <v>0</v>
      </c>
    </row>
    <row r="25" spans="2:144">
      <c r="CR25" s="12" t="s">
        <v>1922</v>
      </c>
      <c r="CS25" s="12" t="s">
        <v>1923</v>
      </c>
      <c r="CT25" s="12" t="s">
        <v>1924</v>
      </c>
      <c r="CV25" s="12" t="s">
        <v>1922</v>
      </c>
      <c r="CW25" s="12" t="s">
        <v>1923</v>
      </c>
      <c r="CX25" s="12" t="s">
        <v>1924</v>
      </c>
      <c r="CZ25" s="12" t="s">
        <v>1922</v>
      </c>
      <c r="DA25" s="12" t="s">
        <v>1923</v>
      </c>
      <c r="DB25" s="12" t="s">
        <v>1924</v>
      </c>
      <c r="DD25" s="12" t="s">
        <v>1922</v>
      </c>
      <c r="DE25" s="12" t="s">
        <v>1923</v>
      </c>
      <c r="DF25" s="12" t="s">
        <v>1924</v>
      </c>
      <c r="DJ25" s="13" t="s">
        <v>1939</v>
      </c>
      <c r="DK25" s="23" t="s">
        <v>1938</v>
      </c>
      <c r="DL25" s="25">
        <f>IFERROR(SUMPRODUCT(Calculations!$AI$12:$AI$23,Calculations!$D$12:$D$23)/SUMPRODUCT(Calculations!$AJ$12:$AJ$23,Calculations!$D$12:$D$23),0)*100</f>
        <v>0</v>
      </c>
      <c r="DM25" s="25">
        <f>IFERROR(SUMPRODUCT(Calculations!$AI$12:$AI$23,Calculations!$E$12:$E$23)/SUMPRODUCT(Calculations!$AJ$12:$AJ$23,Calculations!$E$12:$E$23),0)*100</f>
        <v>0</v>
      </c>
      <c r="DN25" s="25">
        <f>IFERROR(($DL$25-$DM$25)/$DM$25,IF($DL$25&gt;0,1,0))</f>
        <v>0</v>
      </c>
      <c r="DO25" s="23">
        <f>($DL$25-$DM$25)*1</f>
        <v>0</v>
      </c>
      <c r="DP25" s="25">
        <f>TgtAttendance*100</f>
        <v>0</v>
      </c>
      <c r="DQ25" s="23">
        <f>IFERROR(IF($DL$25&gt;=$DP$25,2,IF($DL$25&gt;=$DP$25*AmberBand,1,0)),1)</f>
        <v>0</v>
      </c>
      <c r="DS25" s="13" t="s">
        <v>1972</v>
      </c>
      <c r="DT25" s="22">
        <f>SUMPRODUCT(Calculations!$AA$12:$AA$23,Calculations!$D$12:$D$23)</f>
        <v>0</v>
      </c>
    </row>
    <row r="26" spans="2:144">
      <c r="CR26" s="23" t="s">
        <v>3</v>
      </c>
      <c r="CS26" s="22">
        <f>$AJ$12</f>
        <v>0</v>
      </c>
      <c r="CT26" s="22">
        <f>$AI$12</f>
        <v>0</v>
      </c>
      <c r="CV26" s="23" t="s">
        <v>3</v>
      </c>
      <c r="CW26" s="22">
        <f>$AT$12</f>
        <v>0</v>
      </c>
      <c r="CX26" s="22">
        <f>$AU$12</f>
        <v>0</v>
      </c>
      <c r="CZ26" s="23" t="s">
        <v>3</v>
      </c>
      <c r="DA26" s="22">
        <f>$AV$12</f>
        <v>0</v>
      </c>
      <c r="DB26" s="22">
        <f>$AW$12</f>
        <v>0</v>
      </c>
      <c r="DD26" s="23" t="s">
        <v>3</v>
      </c>
      <c r="DE26" s="22">
        <f>$BG$12</f>
        <v>0</v>
      </c>
      <c r="DF26" s="22">
        <f>$BF$12</f>
        <v>0</v>
      </c>
      <c r="DJ26" s="13" t="s">
        <v>1940</v>
      </c>
      <c r="DK26" s="23" t="s">
        <v>1938</v>
      </c>
      <c r="DL26" s="22">
        <f>SUMPRODUCT(Calculations!$AD$12:$AD$23,Calculations!$D$12:$D$23)</f>
        <v>0</v>
      </c>
      <c r="DM26" s="22">
        <f>SUMPRODUCT(Calculations!$AD$12:$AD$23,Calculations!$E$12:$E$23)</f>
        <v>0</v>
      </c>
      <c r="DN26" s="25">
        <f>IFERROR(($DL$26-$DM$26)/$DM$26,IF($DL$26&gt;0,1,0))</f>
        <v>0</v>
      </c>
      <c r="DO26" s="23">
        <f>($DL$26-$DM$26)*1</f>
        <v>0</v>
      </c>
      <c r="DP26" s="22">
        <f>IFERROR(AVERAGE(Calculations!$AD$12:$AD$23)*SUM(Calculations!$D$12:$D$23),0)</f>
        <v>0</v>
      </c>
      <c r="DQ26" s="23">
        <f>IFERROR(IF($DL$26&gt;=$DP$26,2,IF($DL$26&gt;=$DP$26*AmberBand,1,0)),1)</f>
        <v>0</v>
      </c>
      <c r="DS26" s="13" t="s">
        <v>1796</v>
      </c>
      <c r="DT26" s="22">
        <f>SUMPRODUCT(Calculations!$Y$12:$Y$23,Calculations!$D$12:$D$23)</f>
        <v>0</v>
      </c>
    </row>
    <row r="27" spans="2:144">
      <c r="CR27" s="23" t="s">
        <v>19</v>
      </c>
      <c r="CS27" s="22">
        <f>$AJ$13</f>
        <v>0</v>
      </c>
      <c r="CT27" s="22">
        <f>$AI$13</f>
        <v>0</v>
      </c>
      <c r="CV27" s="23" t="s">
        <v>19</v>
      </c>
      <c r="CW27" s="22">
        <f>$AT$13</f>
        <v>0</v>
      </c>
      <c r="CX27" s="22">
        <f>$AU$13</f>
        <v>0</v>
      </c>
      <c r="CZ27" s="23" t="s">
        <v>19</v>
      </c>
      <c r="DA27" s="22">
        <f>$AV$13</f>
        <v>0</v>
      </c>
      <c r="DB27" s="22">
        <f>$AW$13</f>
        <v>0</v>
      </c>
      <c r="DD27" s="23" t="s">
        <v>19</v>
      </c>
      <c r="DE27" s="22">
        <f>$BG$13</f>
        <v>0</v>
      </c>
      <c r="DF27" s="22">
        <f>$BF$13</f>
        <v>0</v>
      </c>
      <c r="DJ27" s="13" t="s">
        <v>1941</v>
      </c>
      <c r="DK27" s="23" t="s">
        <v>1938</v>
      </c>
      <c r="DL27" s="25">
        <f>IFERROR(SUMPRODUCT(Calculations!$AK$12:$AK$23,Calculations!$D$12:$D$23)/SUMPRODUCT(Calculations!$AD$12:$AD$23,Calculations!$D$12:$D$23),0)*100</f>
        <v>0</v>
      </c>
      <c r="DM27" s="25">
        <f>IFERROR(SUMPRODUCT(Calculations!$AK$12:$AK$23,Calculations!$E$12:$E$23)/SUMPRODUCT(Calculations!$AD$12:$AD$23,Calculations!$E$12:$E$23),0)*100</f>
        <v>0</v>
      </c>
      <c r="DN27" s="25">
        <f>IFERROR(($DL$27-$DM$27)/$DM$27,IF($DL$27&gt;0,1,0))</f>
        <v>0</v>
      </c>
      <c r="DO27" s="23">
        <f>($DL$27-$DM$27)*1</f>
        <v>0</v>
      </c>
      <c r="DP27" s="25">
        <f>TgtCloseout*100</f>
        <v>0</v>
      </c>
      <c r="DQ27" s="23">
        <f>IFERROR(IF($DL$27&gt;=$DP$27,2,IF($DL$27&gt;=$DP$27*AmberBand,1,0)),1)</f>
        <v>0</v>
      </c>
      <c r="DS27" s="13" t="s">
        <v>1973</v>
      </c>
      <c r="DT27" s="22">
        <f>SUMPRODUCT(Calculations!$AE$12:$AE$23,Calculations!$D$12:$D$23)</f>
        <v>0</v>
      </c>
    </row>
    <row r="28" spans="2:144">
      <c r="CR28" s="23" t="s">
        <v>44</v>
      </c>
      <c r="CS28" s="22">
        <f>$AJ$14</f>
        <v>0</v>
      </c>
      <c r="CT28" s="22">
        <f>$AI$14</f>
        <v>0</v>
      </c>
      <c r="CV28" s="23" t="s">
        <v>44</v>
      </c>
      <c r="CW28" s="22">
        <f>$AT$14</f>
        <v>0</v>
      </c>
      <c r="CX28" s="22">
        <f>$AU$14</f>
        <v>0</v>
      </c>
      <c r="CZ28" s="23" t="s">
        <v>44</v>
      </c>
      <c r="DA28" s="22">
        <f>$AV$14</f>
        <v>0</v>
      </c>
      <c r="DB28" s="22">
        <f>$AW$14</f>
        <v>0</v>
      </c>
      <c r="DD28" s="23" t="s">
        <v>44</v>
      </c>
      <c r="DE28" s="22">
        <f>$BG$14</f>
        <v>0</v>
      </c>
      <c r="DF28" s="22">
        <f>$BF$14</f>
        <v>0</v>
      </c>
      <c r="DJ28" s="13" t="s">
        <v>1942</v>
      </c>
      <c r="DK28" s="23" t="s">
        <v>1938</v>
      </c>
      <c r="DL28" s="22">
        <f>SUMPRODUCT(Calculations!$R$12:$R$23,Calculations!$D$12:$D$23)</f>
        <v>0</v>
      </c>
      <c r="DM28" s="22">
        <f>SUMPRODUCT(Calculations!$R$12:$R$23,Calculations!$E$12:$E$23)</f>
        <v>0</v>
      </c>
      <c r="DN28" s="25">
        <f>IFERROR(($DL$28-$DM$28)/$DM$28,IF($DL$28&gt;0,1,0))</f>
        <v>0</v>
      </c>
      <c r="DO28" s="23">
        <f>($DL$28-$DM$28)*1</f>
        <v>0</v>
      </c>
      <c r="DP28" s="22">
        <f>IFERROR(AVERAGE(Calculations!$R$12:$R$23)*SUM(Calculations!$D$12:$D$23),0)</f>
        <v>0</v>
      </c>
      <c r="DQ28" s="23">
        <f>IFERROR(IF($DL$28&gt;=$DP$28,2,IF($DL$28&gt;=$DP$28*AmberBand,1,0)),1)</f>
        <v>0</v>
      </c>
      <c r="DS28" s="13" t="s">
        <v>148</v>
      </c>
      <c r="DT28" s="22">
        <f>SUMPRODUCT(Calculations!$AD$12:$AD$23,Calculations!$D$12:$D$23)</f>
        <v>0</v>
      </c>
    </row>
    <row r="29" spans="2:144">
      <c r="CR29" s="23" t="s">
        <v>53</v>
      </c>
      <c r="CS29" s="22">
        <f>$AJ$15</f>
        <v>0</v>
      </c>
      <c r="CT29" s="22">
        <f>$AI$15</f>
        <v>0</v>
      </c>
      <c r="CV29" s="23" t="s">
        <v>53</v>
      </c>
      <c r="CW29" s="22">
        <f>$AT$15</f>
        <v>0</v>
      </c>
      <c r="CX29" s="22">
        <f>$AU$15</f>
        <v>0</v>
      </c>
      <c r="CZ29" s="23" t="s">
        <v>53</v>
      </c>
      <c r="DA29" s="22">
        <f>$AV$15</f>
        <v>0</v>
      </c>
      <c r="DB29" s="22">
        <f>$AW$15</f>
        <v>0</v>
      </c>
      <c r="DD29" s="23" t="s">
        <v>53</v>
      </c>
      <c r="DE29" s="22">
        <f>$BG$15</f>
        <v>0</v>
      </c>
      <c r="DF29" s="22">
        <f>$BF$15</f>
        <v>0</v>
      </c>
      <c r="DJ29" s="13" t="s">
        <v>1943</v>
      </c>
      <c r="DK29" s="23" t="s">
        <v>1938</v>
      </c>
      <c r="DL29" s="25">
        <f>IFERROR(SUMPRODUCT(Calculations!$S$12:$S$23,Calculations!$D$12:$D$23)/SUMPRODUCT(Calculations!$R$12:$R$23,Calculations!$D$12:$D$23),0)*100</f>
        <v>0</v>
      </c>
      <c r="DM29" s="25">
        <f>IFERROR(SUMPRODUCT(Calculations!$S$12:$S$23,Calculations!$E$12:$E$23)/SUMPRODUCT(Calculations!$R$12:$R$23,Calculations!$E$12:$E$23),0)*100</f>
        <v>0</v>
      </c>
      <c r="DN29" s="25">
        <f>IFERROR(($DL$29-$DM$29)/$DM$29,IF($DL$29&gt;0,1,0))</f>
        <v>0</v>
      </c>
      <c r="DO29" s="23">
        <f>($DL$29-$DM$29)*1</f>
        <v>0</v>
      </c>
      <c r="DP29" s="25">
        <f>TgtTrain*100</f>
        <v>0</v>
      </c>
      <c r="DQ29" s="23">
        <f>IFERROR(IF($DL$29&gt;=$DP$29,2,IF($DL$29&gt;=$DP$29*AmberBand,1,0)),1)</f>
        <v>0</v>
      </c>
    </row>
    <row r="30" spans="2:144">
      <c r="CR30" s="23" t="s">
        <v>60</v>
      </c>
      <c r="CS30" s="22">
        <f>$AJ$16</f>
        <v>0</v>
      </c>
      <c r="CT30" s="22">
        <f>$AI$16</f>
        <v>0</v>
      </c>
      <c r="CV30" s="23" t="s">
        <v>60</v>
      </c>
      <c r="CW30" s="22">
        <f>$AT$16</f>
        <v>0</v>
      </c>
      <c r="CX30" s="22">
        <f>$AU$16</f>
        <v>0</v>
      </c>
      <c r="CZ30" s="23" t="s">
        <v>60</v>
      </c>
      <c r="DA30" s="22">
        <f>$AV$16</f>
        <v>0</v>
      </c>
      <c r="DB30" s="22">
        <f>$AW$16</f>
        <v>0</v>
      </c>
      <c r="DD30" s="23" t="s">
        <v>60</v>
      </c>
      <c r="DE30" s="22">
        <f>$BG$16</f>
        <v>0</v>
      </c>
      <c r="DF30" s="22">
        <f>$BF$16</f>
        <v>0</v>
      </c>
      <c r="DJ30" s="13" t="s">
        <v>1781</v>
      </c>
      <c r="DK30" s="23" t="s">
        <v>1938</v>
      </c>
      <c r="DL30" s="22">
        <f>SUMPRODUCT(Calculations!$T$12:$T$23,Calculations!$D$12:$D$23)</f>
        <v>0</v>
      </c>
      <c r="DM30" s="22">
        <f>SUMPRODUCT(Calculations!$T$12:$T$23,Calculations!$E$12:$E$23)</f>
        <v>0</v>
      </c>
      <c r="DN30" s="25">
        <f>IFERROR(($DL$30-$DM$30)/$DM$30,IF($DL$30&gt;0,1,0))</f>
        <v>0</v>
      </c>
      <c r="DO30" s="23">
        <f>($DL$30-$DM$30)*1</f>
        <v>0</v>
      </c>
      <c r="DP30" s="22">
        <f>IFERROR(AVERAGE(Calculations!$T$12:$T$23)*SUM(Calculations!$D$12:$D$23),0)</f>
        <v>0</v>
      </c>
      <c r="DQ30" s="23">
        <f>IFERROR(IF($DL$30&gt;=$DP$30,2,IF($DL$30&gt;=$DP$30*AmberBand,1,0)),1)</f>
        <v>0</v>
      </c>
      <c r="DS30" s="12" t="s">
        <v>1974</v>
      </c>
      <c r="DT30" s="12" t="s">
        <v>1965</v>
      </c>
    </row>
    <row r="31" spans="2:144">
      <c r="CR31" s="23" t="s">
        <v>73</v>
      </c>
      <c r="CS31" s="22">
        <f>$AJ$17</f>
        <v>0</v>
      </c>
      <c r="CT31" s="22">
        <f>$AI$17</f>
        <v>0</v>
      </c>
      <c r="CV31" s="23" t="s">
        <v>73</v>
      </c>
      <c r="CW31" s="22">
        <f>$AT$17</f>
        <v>0</v>
      </c>
      <c r="CX31" s="22">
        <f>$AU$17</f>
        <v>0</v>
      </c>
      <c r="CZ31" s="23" t="s">
        <v>73</v>
      </c>
      <c r="DA31" s="22">
        <f>$AV$17</f>
        <v>0</v>
      </c>
      <c r="DB31" s="22">
        <f>$AW$17</f>
        <v>0</v>
      </c>
      <c r="DD31" s="23" t="s">
        <v>73</v>
      </c>
      <c r="DE31" s="22">
        <f>$BG$17</f>
        <v>0</v>
      </c>
      <c r="DF31" s="22">
        <f>$BF$17</f>
        <v>0</v>
      </c>
      <c r="DJ31" s="13" t="s">
        <v>1944</v>
      </c>
      <c r="DK31" s="23" t="s">
        <v>1938</v>
      </c>
      <c r="DL31" s="25">
        <f>IFERROR(SUMPRODUCT(Calculations!$U$12:$U$23,Calculations!$D$12:$D$23)/SUMPRODUCT(Calculations!$T$12:$T$23,Calculations!$D$12:$D$23),0)*100</f>
        <v>0</v>
      </c>
      <c r="DM31" s="25">
        <f>IFERROR(SUMPRODUCT(Calculations!$U$12:$U$23,Calculations!$E$12:$E$23)/SUMPRODUCT(Calculations!$T$12:$T$23,Calculations!$E$12:$E$23),0)*100</f>
        <v>0</v>
      </c>
      <c r="DN31" s="25">
        <f>IFERROR(($DL$31-$DM$31)/$DM$31,IF($DL$31&gt;0,1,0))</f>
        <v>0</v>
      </c>
      <c r="DO31" s="23">
        <f>($DL$31-$DM$31)*1</f>
        <v>0</v>
      </c>
      <c r="DP31" s="25">
        <f>TgtObs*100</f>
        <v>0</v>
      </c>
      <c r="DQ31" s="23">
        <f>IFERROR(IF($DL$31&gt;=$DP$31,2,IF($DL$31&gt;=$DP$31*AmberBand,1,0)),1)</f>
        <v>0</v>
      </c>
      <c r="DS31" s="13" t="s">
        <v>1975</v>
      </c>
      <c r="DT31" s="22">
        <f>SUMPRODUCT(Calculations!$O$12:$O$23,Calculations!$D$12:$D$23)</f>
        <v>0</v>
      </c>
    </row>
    <row r="32" spans="2:144">
      <c r="CR32" s="23" t="s">
        <v>76</v>
      </c>
      <c r="CS32" s="22">
        <f>$AJ$18</f>
        <v>0</v>
      </c>
      <c r="CT32" s="22">
        <f>$AI$18</f>
        <v>0</v>
      </c>
      <c r="CV32" s="23" t="s">
        <v>76</v>
      </c>
      <c r="CW32" s="22">
        <f>$AT$18</f>
        <v>0</v>
      </c>
      <c r="CX32" s="22">
        <f>$AU$18</f>
        <v>0</v>
      </c>
      <c r="CZ32" s="23" t="s">
        <v>76</v>
      </c>
      <c r="DA32" s="22">
        <f>$AV$18</f>
        <v>0</v>
      </c>
      <c r="DB32" s="22">
        <f>$AW$18</f>
        <v>0</v>
      </c>
      <c r="DD32" s="23" t="s">
        <v>76</v>
      </c>
      <c r="DE32" s="22">
        <f>$BG$18</f>
        <v>0</v>
      </c>
      <c r="DF32" s="22">
        <f>$BF$18</f>
        <v>0</v>
      </c>
      <c r="DJ32" s="13" t="s">
        <v>1782</v>
      </c>
      <c r="DK32" s="23" t="s">
        <v>1938</v>
      </c>
      <c r="DL32" s="22">
        <f>SUMPRODUCT(Calculations!$AL$12:$AL$23,Calculations!$D$12:$D$23)</f>
        <v>0</v>
      </c>
      <c r="DM32" s="22">
        <f>SUMPRODUCT(Calculations!$AL$12:$AL$23,Calculations!$E$12:$E$23)</f>
        <v>0</v>
      </c>
      <c r="DN32" s="25">
        <f>IFERROR(($DL$32-$DM$32)/$DM$32,IF($DL$32&gt;0,1,0))</f>
        <v>0</v>
      </c>
      <c r="DO32" s="23">
        <f>($DL$32-$DM$32)*1</f>
        <v>0</v>
      </c>
      <c r="DP32" s="22">
        <f>IFERROR(AVERAGE(Calculations!$AL$12:$AL$23)*SUM(Calculations!$D$12:$D$23),0)</f>
        <v>0</v>
      </c>
      <c r="DQ32" s="23">
        <f>IFERROR(IF($DL$32&gt;=$DP$32,2,IF($DL$32&gt;=$DP$32*AmberBand,1,0)),1)</f>
        <v>0</v>
      </c>
      <c r="DS32" s="13" t="s">
        <v>1932</v>
      </c>
      <c r="DT32" s="22">
        <f>SUMPRODUCT(Calculations!$F$12:$F$23,Calculations!$D$12:$D$23)</f>
        <v>0</v>
      </c>
    </row>
    <row r="33" spans="96:126">
      <c r="CR33" s="23" t="s">
        <v>86</v>
      </c>
      <c r="CS33" s="22">
        <f>$AJ$19</f>
        <v>0</v>
      </c>
      <c r="CT33" s="22">
        <f>$AI$19</f>
        <v>0</v>
      </c>
      <c r="CV33" s="23" t="s">
        <v>86</v>
      </c>
      <c r="CW33" s="22">
        <f>$AT$19</f>
        <v>0</v>
      </c>
      <c r="CX33" s="22">
        <f>$AU$19</f>
        <v>0</v>
      </c>
      <c r="CZ33" s="23" t="s">
        <v>86</v>
      </c>
      <c r="DA33" s="22">
        <f>$AV$19</f>
        <v>0</v>
      </c>
      <c r="DB33" s="22">
        <f>$AW$19</f>
        <v>0</v>
      </c>
      <c r="DD33" s="23" t="s">
        <v>86</v>
      </c>
      <c r="DE33" s="22">
        <f>$BG$19</f>
        <v>0</v>
      </c>
      <c r="DF33" s="22">
        <f>$BF$19</f>
        <v>0</v>
      </c>
      <c r="DJ33" s="13" t="s">
        <v>1945</v>
      </c>
      <c r="DK33" s="23" t="s">
        <v>1938</v>
      </c>
      <c r="DL33" s="25">
        <f>IFERROR(SUMPRODUCT(Calculations!$AM$12:$AM$23,Calculations!$D$12:$D$23)/SUMPRODUCT(Calculations!$AL$12:$AL$23,Calculations!$D$12:$D$23),0)*100</f>
        <v>0</v>
      </c>
      <c r="DM33" s="25">
        <f>IFERROR(SUMPRODUCT(Calculations!$AM$12:$AM$23,Calculations!$E$12:$E$23)/SUMPRODUCT(Calculations!$AL$12:$AL$23,Calculations!$E$12:$E$23),0)*100</f>
        <v>0</v>
      </c>
      <c r="DN33" s="25">
        <f>IFERROR(($DL$33-$DM$33)/$DM$33,IF($DL$33&gt;0,1,0))</f>
        <v>0</v>
      </c>
      <c r="DO33" s="23">
        <f>($DL$33-$DM$33)*1</f>
        <v>0</v>
      </c>
      <c r="DP33" s="25">
        <f>TgtCloseout*100</f>
        <v>0</v>
      </c>
      <c r="DQ33" s="23">
        <f>IFERROR(IF($DL$33&gt;=$DP$33,2,IF($DL$33&gt;=$DP$33*AmberBand,1,0)),1)</f>
        <v>0</v>
      </c>
      <c r="DS33" s="13" t="s">
        <v>310</v>
      </c>
      <c r="DT33" s="22">
        <f>SUMPRODUCT(Calculations!$H$12:$H$23,Calculations!$D$12:$D$23)</f>
        <v>0</v>
      </c>
    </row>
    <row r="34" spans="96:126">
      <c r="CR34" s="23" t="s">
        <v>102</v>
      </c>
      <c r="CS34" s="22">
        <f>$AJ$20</f>
        <v>0</v>
      </c>
      <c r="CT34" s="22">
        <f>$AI$20</f>
        <v>0</v>
      </c>
      <c r="CV34" s="23" t="s">
        <v>102</v>
      </c>
      <c r="CW34" s="22">
        <f>$AT$20</f>
        <v>0</v>
      </c>
      <c r="CX34" s="22">
        <f>$AU$20</f>
        <v>0</v>
      </c>
      <c r="CZ34" s="23" t="s">
        <v>102</v>
      </c>
      <c r="DA34" s="22">
        <f>$AV$20</f>
        <v>0</v>
      </c>
      <c r="DB34" s="22">
        <f>$AW$20</f>
        <v>0</v>
      </c>
      <c r="DD34" s="23" t="s">
        <v>102</v>
      </c>
      <c r="DE34" s="22">
        <f>$BG$20</f>
        <v>0</v>
      </c>
      <c r="DF34" s="22">
        <f>$BF$20</f>
        <v>0</v>
      </c>
      <c r="DJ34" s="13" t="s">
        <v>1783</v>
      </c>
      <c r="DK34" s="23" t="s">
        <v>1938</v>
      </c>
      <c r="DL34" s="22">
        <f>SUMPRODUCT(Calculations!$AN$12:$AN$23,Calculations!$D$12:$D$23)</f>
        <v>0</v>
      </c>
      <c r="DM34" s="22">
        <f>SUMPRODUCT(Calculations!$AN$12:$AN$23,Calculations!$E$12:$E$23)</f>
        <v>0</v>
      </c>
      <c r="DN34" s="25">
        <f>IFERROR(($DL$34-$DM$34)/$DM$34,IF($DL$34&gt;0,1,0))</f>
        <v>0</v>
      </c>
      <c r="DO34" s="23">
        <f>($DL$34-$DM$34)*1</f>
        <v>0</v>
      </c>
      <c r="DP34" s="22">
        <f>IFERROR(AVERAGE(Calculations!$AN$12:$AN$23)*SUM(Calculations!$D$12:$D$23),0)</f>
        <v>0</v>
      </c>
      <c r="DQ34" s="23">
        <f>IFERROR(IF($DL$34&gt;=$DP$34,2,IF($DL$34&gt;=$DP$34*AmberBand,1,0)),1)</f>
        <v>0</v>
      </c>
      <c r="DS34" s="13" t="s">
        <v>1530</v>
      </c>
      <c r="DT34" s="22">
        <f>SUMPRODUCT(Calculations!$I$12:$I$23,Calculations!$D$12:$D$23)</f>
        <v>0</v>
      </c>
    </row>
    <row r="35" spans="96:126">
      <c r="CR35" s="23" t="s">
        <v>106</v>
      </c>
      <c r="CS35" s="22">
        <f>$AJ$21</f>
        <v>0</v>
      </c>
      <c r="CT35" s="22">
        <f>$AI$21</f>
        <v>0</v>
      </c>
      <c r="CV35" s="23" t="s">
        <v>106</v>
      </c>
      <c r="CW35" s="22">
        <f>$AT$21</f>
        <v>0</v>
      </c>
      <c r="CX35" s="22">
        <f>$AU$21</f>
        <v>0</v>
      </c>
      <c r="CZ35" s="23" t="s">
        <v>106</v>
      </c>
      <c r="DA35" s="22">
        <f>$AV$21</f>
        <v>0</v>
      </c>
      <c r="DB35" s="22">
        <f>$AW$21</f>
        <v>0</v>
      </c>
      <c r="DD35" s="23" t="s">
        <v>106</v>
      </c>
      <c r="DE35" s="22">
        <f>$BG$21</f>
        <v>0</v>
      </c>
      <c r="DF35" s="22">
        <f>$BF$21</f>
        <v>0</v>
      </c>
      <c r="DJ35" s="13" t="s">
        <v>1946</v>
      </c>
      <c r="DK35" s="23" t="s">
        <v>1938</v>
      </c>
      <c r="DL35" s="22">
        <f>SUMPRODUCT(Calculations!$AO$12:$AO$23,Calculations!$D$12:$D$23)</f>
        <v>0</v>
      </c>
      <c r="DM35" s="22">
        <f>SUMPRODUCT(Calculations!$AO$12:$AO$23,Calculations!$E$12:$E$23)</f>
        <v>0</v>
      </c>
      <c r="DN35" s="25">
        <f>IFERROR(($DL$35-$DM$35)/$DM$35,IF($DL$35&gt;0,1,0))</f>
        <v>0</v>
      </c>
      <c r="DO35" s="23">
        <f>($DL$35-$DM$35)*-1</f>
        <v>0</v>
      </c>
      <c r="DP35" s="22">
        <f>IFERROR(AVERAGE(Calculations!$AO$12:$AO$23)*SUM(Calculations!$D$12:$D$23),0)</f>
        <v>0</v>
      </c>
      <c r="DQ35" s="23">
        <f>IFERROR(IF($DL$35&lt;=$DP$35,2,IF($DL$35&lt;=$DP$35/AmberBand,1,0)),1)</f>
        <v>0</v>
      </c>
      <c r="DS35" s="13" t="s">
        <v>1976</v>
      </c>
      <c r="DT35" s="22">
        <f>SUMPRODUCT(Calculations!$G$12:$G$23,Calculations!$D$12:$D$23)</f>
        <v>0</v>
      </c>
    </row>
    <row r="36" spans="96:126">
      <c r="CR36" s="23" t="s">
        <v>111</v>
      </c>
      <c r="CS36" s="22">
        <f>$AJ$22</f>
        <v>0</v>
      </c>
      <c r="CT36" s="22">
        <f>$AI$22</f>
        <v>0</v>
      </c>
      <c r="CV36" s="23" t="s">
        <v>111</v>
      </c>
      <c r="CW36" s="22">
        <f>$AT$22</f>
        <v>0</v>
      </c>
      <c r="CX36" s="22">
        <f>$AU$22</f>
        <v>0</v>
      </c>
      <c r="CZ36" s="23" t="s">
        <v>111</v>
      </c>
      <c r="DA36" s="22">
        <f>$AV$22</f>
        <v>0</v>
      </c>
      <c r="DB36" s="22">
        <f>$AW$22</f>
        <v>0</v>
      </c>
      <c r="DD36" s="23" t="s">
        <v>111</v>
      </c>
      <c r="DE36" s="22">
        <f>$BG$22</f>
        <v>0</v>
      </c>
      <c r="DF36" s="22">
        <f>$BF$22</f>
        <v>0</v>
      </c>
      <c r="DJ36" s="13" t="s">
        <v>1784</v>
      </c>
      <c r="DK36" s="23" t="s">
        <v>1938</v>
      </c>
      <c r="DL36" s="22">
        <f>SUMPRODUCT(Calculations!$AP$12:$AP$23,Calculations!$D$12:$D$23)</f>
        <v>0</v>
      </c>
      <c r="DM36" s="22">
        <f>SUMPRODUCT(Calculations!$AP$12:$AP$23,Calculations!$E$12:$E$23)</f>
        <v>0</v>
      </c>
      <c r="DN36" s="25">
        <f>IFERROR(($DL$36-$DM$36)/$DM$36,IF($DL$36&gt;0,1,0))</f>
        <v>0</v>
      </c>
      <c r="DO36" s="23">
        <f>($DL$36-$DM$36)*1</f>
        <v>0</v>
      </c>
      <c r="DP36" s="22">
        <f>IFERROR(AVERAGE(Calculations!$AP$12:$AP$23)*SUM(Calculations!$D$12:$D$23),0)</f>
        <v>0</v>
      </c>
      <c r="DQ36" s="23">
        <f>IFERROR(IF($DL$36&gt;=$DP$36,2,IF($DL$36&gt;=$DP$36*AmberBand,1,0)),1)</f>
        <v>0</v>
      </c>
      <c r="DS36" s="13" t="s">
        <v>1606</v>
      </c>
      <c r="DT36" s="22">
        <f>SUMPRODUCT(Calculations!$N$12:$N$23,Calculations!$D$12:$D$23)</f>
        <v>0</v>
      </c>
    </row>
    <row r="37" spans="96:126">
      <c r="CR37" s="23" t="s">
        <v>122</v>
      </c>
      <c r="CS37" s="22">
        <f>$AJ$23</f>
        <v>0</v>
      </c>
      <c r="CT37" s="22">
        <f>$AI$23</f>
        <v>0</v>
      </c>
      <c r="CV37" s="23" t="s">
        <v>122</v>
      </c>
      <c r="CW37" s="22">
        <f>$AT$23</f>
        <v>0</v>
      </c>
      <c r="CX37" s="22">
        <f>$AU$23</f>
        <v>0</v>
      </c>
      <c r="CZ37" s="23" t="s">
        <v>122</v>
      </c>
      <c r="DA37" s="22">
        <f>$AV$23</f>
        <v>0</v>
      </c>
      <c r="DB37" s="22">
        <f>$AW$23</f>
        <v>0</v>
      </c>
      <c r="DD37" s="23" t="s">
        <v>122</v>
      </c>
      <c r="DE37" s="22">
        <f>$BG$23</f>
        <v>0</v>
      </c>
      <c r="DF37" s="22">
        <f>$BF$23</f>
        <v>0</v>
      </c>
      <c r="DJ37" s="13" t="s">
        <v>1785</v>
      </c>
      <c r="DK37" s="23" t="s">
        <v>1938</v>
      </c>
      <c r="DL37" s="22">
        <f>SUMPRODUCT(Calculations!$AE$12:$AE$23,Calculations!$D$12:$D$23)</f>
        <v>0</v>
      </c>
      <c r="DM37" s="22">
        <f>SUMPRODUCT(Calculations!$AE$12:$AE$23,Calculations!$E$12:$E$23)</f>
        <v>0</v>
      </c>
      <c r="DN37" s="25">
        <f>IFERROR(($DL$37-$DM$37)/$DM$37,IF($DL$37&gt;0,1,0))</f>
        <v>0</v>
      </c>
      <c r="DO37" s="23">
        <f>($DL$37-$DM$37)*1</f>
        <v>0</v>
      </c>
      <c r="DP37" s="22">
        <f>IFERROR(AVERAGE(Calculations!$AE$12:$AE$23)*SUM(Calculations!$D$12:$D$23),0)</f>
        <v>0</v>
      </c>
      <c r="DQ37" s="23">
        <f>IFERROR(IF($DL$37&gt;=$DP$37,2,IF($DL$37&gt;=$DP$37*AmberBand,1,0)),1)</f>
        <v>0</v>
      </c>
      <c r="DS37" s="13" t="s">
        <v>1934</v>
      </c>
      <c r="DT37" s="22">
        <f>SUMPRODUCT(Calculations!$P$12:$P$23,Calculations!$D$12:$D$23)</f>
        <v>0</v>
      </c>
    </row>
    <row r="38" spans="96:126">
      <c r="CR38" s="23" t="s">
        <v>1925</v>
      </c>
      <c r="CS38" s="22">
        <f>$AJ$23</f>
        <v>0</v>
      </c>
      <c r="CT38" s="22">
        <f>ROUND(TREND($AI$12:$AI$23,{1,2,3,4,5,6,7,8,9,10,11,12},13),0)</f>
        <v>0</v>
      </c>
      <c r="CV38" s="23" t="s">
        <v>1925</v>
      </c>
      <c r="CW38" s="22">
        <f>$AT$23</f>
        <v>0</v>
      </c>
      <c r="CX38" s="22">
        <f>ROUND(TREND($AU$12:$AU$23,{1,2,3,4,5,6,7,8,9,10,11,12},13),0)</f>
        <v>0</v>
      </c>
      <c r="CZ38" s="23" t="s">
        <v>1925</v>
      </c>
      <c r="DA38" s="22">
        <f>$AV$23</f>
        <v>0</v>
      </c>
      <c r="DB38" s="22">
        <f>ROUND(TREND($AW$12:$AW$23,{1,2,3,4,5,6,7,8,9,10,11,12},13),0)</f>
        <v>0</v>
      </c>
      <c r="DD38" s="23" t="s">
        <v>1925</v>
      </c>
      <c r="DE38" s="22">
        <f>$BG$23</f>
        <v>0</v>
      </c>
      <c r="DF38" s="22">
        <f>ROUND(TREND($BF$12:$BF$23,{1,2,3,4,5,6,7,8,9,10,11,12},13),0)</f>
        <v>0</v>
      </c>
      <c r="DJ38" s="13" t="s">
        <v>1947</v>
      </c>
      <c r="DK38" s="23" t="s">
        <v>1938</v>
      </c>
      <c r="DL38" s="25">
        <f>IFERROR(SUMPRODUCT(Calculations!$AR$12:$AR$23,Calculations!$D$12:$D$23)/SUMPRODUCT(Calculations!$AQ$12:$AQ$23,Calculations!$D$12:$D$23),0)*100</f>
        <v>0</v>
      </c>
      <c r="DM38" s="25">
        <f>IFERROR(SUMPRODUCT(Calculations!$AR$12:$AR$23,Calculations!$E$12:$E$23)/SUMPRODUCT(Calculations!$AQ$12:$AQ$23,Calculations!$E$12:$E$23),0)*100</f>
        <v>0</v>
      </c>
      <c r="DN38" s="25">
        <f>IFERROR(($DL$38-$DM$38)/$DM$38,IF($DL$38&gt;0,1,0))</f>
        <v>0</v>
      </c>
      <c r="DO38" s="23">
        <f>($DL$38-$DM$38)*1</f>
        <v>0</v>
      </c>
      <c r="DP38" s="25">
        <f>TgtCloseout*100</f>
        <v>0</v>
      </c>
      <c r="DQ38" s="23">
        <f>IFERROR(IF($DL$38&gt;=$DP$38,2,IF($DL$38&gt;=$DP$38*AmberBand,1,0)),1)</f>
        <v>0</v>
      </c>
      <c r="DS38" s="13" t="s">
        <v>1977</v>
      </c>
      <c r="DT38" s="22">
        <f>SUMPRODUCT(Calculations!$Q$12:$Q$23,Calculations!$D$12:$D$23)</f>
        <v>0</v>
      </c>
    </row>
    <row r="39" spans="96:126">
      <c r="DJ39" s="13" t="s">
        <v>1786</v>
      </c>
      <c r="DK39" s="23" t="s">
        <v>1938</v>
      </c>
      <c r="DL39" s="22">
        <f>SUMPRODUCT(Calculations!$AS$12:$AS$23,Calculations!$D$12:$D$23)</f>
        <v>0</v>
      </c>
      <c r="DM39" s="22">
        <f>SUMPRODUCT(Calculations!$AS$12:$AS$23,Calculations!$E$12:$E$23)</f>
        <v>0</v>
      </c>
      <c r="DN39" s="25">
        <f>IFERROR(($DL$39-$DM$39)/$DM$39,IF($DL$39&gt;0,1,0))</f>
        <v>0</v>
      </c>
      <c r="DO39" s="23">
        <f>($DL$39-$DM$39)*1</f>
        <v>0</v>
      </c>
      <c r="DP39" s="22">
        <f>IFERROR(AVERAGE(Calculations!$AS$12:$AS$23)*SUM(Calculations!$D$12:$D$23),0)</f>
        <v>0</v>
      </c>
      <c r="DQ39" s="23">
        <f>IFERROR(IF($DL$39&gt;=$DP$39,2,IF($DL$39&gt;=$DP$39*AmberBand,1,0)),1)</f>
        <v>0</v>
      </c>
    </row>
    <row r="40" spans="96:126">
      <c r="DJ40" s="13" t="s">
        <v>1948</v>
      </c>
      <c r="DK40" s="23" t="s">
        <v>1938</v>
      </c>
      <c r="DL40" s="25">
        <f>IFERROR(SUMPRODUCT(Calculations!$AU$12:$AU$23,Calculations!$D$12:$D$23)/SUMPRODUCT(Calculations!$AT$12:$AT$23,Calculations!$D$12:$D$23),0)*100</f>
        <v>0</v>
      </c>
      <c r="DM40" s="25">
        <f>IFERROR(SUMPRODUCT(Calculations!$AU$12:$AU$23,Calculations!$E$12:$E$23)/SUMPRODUCT(Calculations!$AT$12:$AT$23,Calculations!$E$12:$E$23),0)*100</f>
        <v>0</v>
      </c>
      <c r="DN40" s="25">
        <f>IFERROR(($DL$40-$DM$40)/$DM$40,IF($DL$40&gt;0,1,0))</f>
        <v>0</v>
      </c>
      <c r="DO40" s="23">
        <f>($DL$40-$DM$40)*1</f>
        <v>0</v>
      </c>
      <c r="DP40" s="25">
        <f>TgtCloseout*100</f>
        <v>0</v>
      </c>
      <c r="DQ40" s="23">
        <f>IFERROR(IF($DL$40&gt;=$DP$40,2,IF($DL$40&gt;=$DP$40*AmberBand,1,0)),1)</f>
        <v>0</v>
      </c>
      <c r="DS40" s="12" t="s">
        <v>1980</v>
      </c>
      <c r="DT40" s="12" t="s">
        <v>1981</v>
      </c>
      <c r="DU40" s="12" t="s">
        <v>1982</v>
      </c>
      <c r="DV40" s="12" t="s">
        <v>288</v>
      </c>
    </row>
    <row r="41" spans="96:126">
      <c r="DJ41" s="13" t="s">
        <v>1787</v>
      </c>
      <c r="DK41" s="23" t="s">
        <v>1938</v>
      </c>
      <c r="DL41" s="22">
        <f>SUMPRODUCT(Calculations!$AA$12:$AA$23,Calculations!$D$12:$D$23)</f>
        <v>0</v>
      </c>
      <c r="DM41" s="22">
        <f>SUMPRODUCT(Calculations!$AA$12:$AA$23,Calculations!$E$12:$E$23)</f>
        <v>0</v>
      </c>
      <c r="DN41" s="25">
        <f>IFERROR(($DL$41-$DM$41)/$DM$41,IF($DL$41&gt;0,1,0))</f>
        <v>0</v>
      </c>
      <c r="DO41" s="23">
        <f>($DL$41-$DM$41)*1</f>
        <v>0</v>
      </c>
      <c r="DP41" s="22">
        <f>IFERROR(AVERAGE(Calculations!$AA$12:$AA$23)*SUM(Calculations!$D$12:$D$23),0)</f>
        <v>0</v>
      </c>
      <c r="DQ41" s="23">
        <f>IFERROR(IF($DL$41&gt;=$DP$41,2,IF($DL$41&gt;=$DP$41*AmberBand,1,0)),1)</f>
        <v>0</v>
      </c>
      <c r="DS41" s="13" t="s">
        <v>1757</v>
      </c>
      <c r="DT41" s="23">
        <f>TRIR</f>
        <v>0</v>
      </c>
      <c r="DU41" s="23">
        <f>TgtTRIR</f>
        <v>0</v>
      </c>
      <c r="DV41" s="13">
        <f>IF(TRIR&lt;=TgtTRIR,"🟢 GREEN",IF(TRIR&lt;=TgtTRIR/AmberBand,"🟡 AMBER","🔴 RED"))</f>
        <v>0</v>
      </c>
    </row>
    <row r="42" spans="96:126">
      <c r="DJ42" s="13" t="s">
        <v>1949</v>
      </c>
      <c r="DK42" s="23" t="s">
        <v>1938</v>
      </c>
      <c r="DL42" s="25">
        <f>IFERROR(SUMPRODUCT(Calculations!$AW$12:$AW$23,Calculations!$D$12:$D$23)/SUMPRODUCT(Calculations!$AV$12:$AV$23,Calculations!$D$12:$D$23),0)*100</f>
        <v>0</v>
      </c>
      <c r="DM42" s="25">
        <f>IFERROR(SUMPRODUCT(Calculations!$AW$12:$AW$23,Calculations!$E$12:$E$23)/SUMPRODUCT(Calculations!$AV$12:$AV$23,Calculations!$E$12:$E$23),0)*100</f>
        <v>0</v>
      </c>
      <c r="DN42" s="25">
        <f>IFERROR(($DL$42-$DM$42)/$DM$42,IF($DL$42&gt;0,1,0))</f>
        <v>0</v>
      </c>
      <c r="DO42" s="23">
        <f>($DL$42-$DM$42)*1</f>
        <v>0</v>
      </c>
      <c r="DP42" s="25">
        <f>TgtAttendance*100</f>
        <v>0</v>
      </c>
      <c r="DQ42" s="23">
        <f>IFERROR(IF($DL$42&gt;=$DP$42,2,IF($DL$42&gt;=$DP$42*AmberBand,1,0)),1)</f>
        <v>0</v>
      </c>
      <c r="DS42" s="13" t="s">
        <v>1944</v>
      </c>
      <c r="DT42" s="23">
        <f>ObsClosure/100</f>
        <v>0</v>
      </c>
      <c r="DU42" s="23">
        <f>TgtObs</f>
        <v>0</v>
      </c>
      <c r="DV42" s="13">
        <f>IF(ObsClosure/100&gt;=TgtObs,"🟢 GREEN",IF(ObsClosure/100&gt;=TgtObs*AmberBand,"🟡 AMBER","🔴 RED"))</f>
        <v>0</v>
      </c>
    </row>
    <row r="43" spans="96:126">
      <c r="DJ43" s="13" t="s">
        <v>1788</v>
      </c>
      <c r="DK43" s="23" t="s">
        <v>1938</v>
      </c>
      <c r="DL43" s="22">
        <f>SUMPRODUCT(Calculations!$AX$12:$AX$23,Calculations!$D$12:$D$23)</f>
        <v>0</v>
      </c>
      <c r="DM43" s="22">
        <f>SUMPRODUCT(Calculations!$AX$12:$AX$23,Calculations!$E$12:$E$23)</f>
        <v>0</v>
      </c>
      <c r="DN43" s="25">
        <f>IFERROR(($DL$43-$DM$43)/$DM$43,IF($DL$43&gt;0,1,0))</f>
        <v>0</v>
      </c>
      <c r="DO43" s="23">
        <f>($DL$43-$DM$43)*1</f>
        <v>0</v>
      </c>
      <c r="DP43" s="22">
        <f>IFERROR(AVERAGE(Calculations!$AX$12:$AX$23)*SUM(Calculations!$D$12:$D$23),0)</f>
        <v>0</v>
      </c>
      <c r="DQ43" s="23">
        <f>IFERROR(IF($DL$43&gt;=$DP$43,2,IF($DL$43&gt;=$DP$43*AmberBand,1,0)),1)</f>
        <v>0</v>
      </c>
      <c r="DS43" s="13" t="s">
        <v>1780</v>
      </c>
      <c r="DT43" s="23">
        <f>TrainCompliance/100</f>
        <v>0</v>
      </c>
      <c r="DU43" s="23">
        <f>TgtTrain</f>
        <v>0</v>
      </c>
      <c r="DV43" s="13">
        <f>IF(TrainCompliance/100&gt;=TgtTrain,"🟢 GREEN",IF(TrainCompliance/100&gt;=TgtTrain*AmberBand,"🟡 AMBER","🔴 RED"))</f>
        <v>0</v>
      </c>
    </row>
    <row r="44" spans="96:126">
      <c r="DJ44" s="13" t="s">
        <v>1950</v>
      </c>
      <c r="DK44" s="23" t="s">
        <v>1938</v>
      </c>
      <c r="DL44" s="22">
        <f>SUMPRODUCT(Calculations!$AY$12:$AY$23,Calculations!$D$12:$D$23)</f>
        <v>0</v>
      </c>
      <c r="DM44" s="22">
        <f>SUMPRODUCT(Calculations!$AY$12:$AY$23,Calculations!$E$12:$E$23)</f>
        <v>0</v>
      </c>
      <c r="DN44" s="25">
        <f>IFERROR(($DL$44-$DM$44)/$DM$44,IF($DL$44&gt;0,1,0))</f>
        <v>0</v>
      </c>
      <c r="DO44" s="23">
        <f>($DL$44-$DM$44)*-1</f>
        <v>0</v>
      </c>
      <c r="DP44" s="22">
        <f>IFERROR(AVERAGE(Calculations!$AY$12:$AY$23)*SUM(Calculations!$D$12:$D$23),0)</f>
        <v>0</v>
      </c>
      <c r="DQ44" s="23">
        <f>IFERROR(IF($DL$44&lt;=$DP$44,2,IF($DL$44&lt;=$DP$44/AmberBand,1,0)),1)</f>
        <v>0</v>
      </c>
      <c r="DS44" s="13" t="s">
        <v>1955</v>
      </c>
      <c r="DT44" s="23">
        <f>CAClosure/100</f>
        <v>0</v>
      </c>
      <c r="DU44" s="23">
        <f>TgtCA</f>
        <v>0</v>
      </c>
      <c r="DV44" s="13">
        <f>IF(CAClosure/100&gt;=TgtCA,"🟢 GREEN",IF(CAClosure/100&gt;=TgtCA*AmberBand,"🟡 AMBER","🔴 RED"))</f>
        <v>0</v>
      </c>
    </row>
    <row r="45" spans="96:126">
      <c r="DJ45" s="13" t="s">
        <v>1789</v>
      </c>
      <c r="DK45" s="23" t="s">
        <v>1938</v>
      </c>
      <c r="DL45" s="22">
        <f>SUMPRODUCT(Calculations!$AZ$12:$AZ$23,Calculations!$D$12:$D$23)</f>
        <v>0</v>
      </c>
      <c r="DM45" s="22">
        <f>SUMPRODUCT(Calculations!$AZ$12:$AZ$23,Calculations!$E$12:$E$23)</f>
        <v>0</v>
      </c>
      <c r="DN45" s="25">
        <f>IFERROR(($DL$45-$DM$45)/$DM$45,IF($DL$45&gt;0,1,0))</f>
        <v>0</v>
      </c>
      <c r="DO45" s="23">
        <f>($DL$45-$DM$45)*1</f>
        <v>0</v>
      </c>
      <c r="DP45" s="22">
        <f>IFERROR(AVERAGE(Calculations!$AZ$12:$AZ$23)*SUM(Calculations!$D$12:$D$23),0)</f>
        <v>0</v>
      </c>
      <c r="DQ45" s="23">
        <f>IFERROR(IF($DL$45&gt;=$DP$45,2,IF($DL$45&gt;=$DP$45*AmberBand,1,0)),1)</f>
        <v>0</v>
      </c>
      <c r="DS45" s="13" t="s">
        <v>1945</v>
      </c>
      <c r="DT45" s="23">
        <f>Calculations!$DL$33/100</f>
        <v>0</v>
      </c>
      <c r="DU45" s="23">
        <f>TgtObs</f>
        <v>0</v>
      </c>
      <c r="DV45" s="13">
        <f>IF(Calculations!$DL$33/100&gt;=TgtObs,"🟢 GREEN",IF(Calculations!$DL$33/100&gt;=TgtObs*AmberBand,"🟡 AMBER","🔴 RED"))</f>
        <v>0</v>
      </c>
    </row>
    <row r="46" spans="96:126">
      <c r="DJ46" s="13" t="s">
        <v>1951</v>
      </c>
      <c r="DK46" s="23" t="s">
        <v>1938</v>
      </c>
      <c r="DL46" s="22">
        <f>SUMPRODUCT(Calculations!$BA$12:$BA$23,Calculations!$D$12:$D$23)</f>
        <v>0</v>
      </c>
      <c r="DM46" s="22">
        <f>SUMPRODUCT(Calculations!$BA$12:$BA$23,Calculations!$E$12:$E$23)</f>
        <v>0</v>
      </c>
      <c r="DN46" s="25">
        <f>IFERROR(($DL$46-$DM$46)/$DM$46,IF($DL$46&gt;0,1,0))</f>
        <v>0</v>
      </c>
      <c r="DO46" s="23">
        <f>($DL$46-$DM$46)*-1</f>
        <v>0</v>
      </c>
      <c r="DP46" s="22">
        <f>IFERROR(AVERAGE(Calculations!$BA$12:$BA$23)*SUM(Calculations!$D$12:$D$23),0)</f>
        <v>0</v>
      </c>
      <c r="DQ46" s="23">
        <f>IFERROR(IF($DL$46&lt;=$DP$46,2,IF($DL$46&lt;=$DP$46/AmberBand,1,0)),1)</f>
        <v>0</v>
      </c>
      <c r="DS46" s="13" t="s">
        <v>1954</v>
      </c>
      <c r="DT46" s="23">
        <f>PTWauditComp/100</f>
        <v>0</v>
      </c>
      <c r="DU46" s="23">
        <f>TgtObs</f>
        <v>0</v>
      </c>
      <c r="DV46" s="13">
        <f>IF(PTWauditComp/100&gt;=TgtObs,"🟢 GREEN",IF(PTWauditComp/100&gt;=TgtObs*AmberBand,"🟡 AMBER","🔴 RED"))</f>
        <v>0</v>
      </c>
    </row>
    <row r="47" spans="96:126">
      <c r="DJ47" s="13" t="s">
        <v>1790</v>
      </c>
      <c r="DK47" s="23" t="s">
        <v>1938</v>
      </c>
      <c r="DL47" s="22">
        <f>SUMPRODUCT(Calculations!$BB$12:$BB$23,Calculations!$D$12:$D$23)</f>
        <v>0</v>
      </c>
      <c r="DM47" s="22">
        <f>SUMPRODUCT(Calculations!$BB$12:$BB$23,Calculations!$E$12:$E$23)</f>
        <v>0</v>
      </c>
      <c r="DN47" s="25">
        <f>IFERROR(($DL$47-$DM$47)/$DM$47,IF($DL$47&gt;0,1,0))</f>
        <v>0</v>
      </c>
      <c r="DO47" s="23">
        <f>($DL$47-$DM$47)*1</f>
        <v>0</v>
      </c>
      <c r="DP47" s="22">
        <f>IFERROR(AVERAGE(Calculations!$BB$12:$BB$23)*SUM(Calculations!$D$12:$D$23),0)</f>
        <v>0</v>
      </c>
      <c r="DQ47" s="23">
        <f>IFERROR(IF($DL$47&gt;=$DP$47,2,IF($DL$47&gt;=$DP$47*AmberBand,1,0)),1)</f>
        <v>0</v>
      </c>
    </row>
    <row r="48" spans="96:126">
      <c r="DJ48" s="13" t="s">
        <v>1952</v>
      </c>
      <c r="DK48" s="23" t="s">
        <v>1938</v>
      </c>
      <c r="DL48" s="25">
        <f>IFERROR(SUMPRODUCT(Calculations!$BD$12:$BD$23,Calculations!$D$12:$D$23)/SUMPRODUCT(Calculations!$BC$12:$BC$23,Calculations!$D$12:$D$23),0)*100</f>
        <v>0</v>
      </c>
      <c r="DM48" s="25">
        <f>IFERROR(SUMPRODUCT(Calculations!$BD$12:$BD$23,Calculations!$E$12:$E$23)/SUMPRODUCT(Calculations!$BC$12:$BC$23,Calculations!$E$12:$E$23),0)*100</f>
        <v>0</v>
      </c>
      <c r="DN48" s="25">
        <f>IFERROR(($DL$48-$DM$48)/$DM$48,IF($DL$48&gt;0,1,0))</f>
        <v>0</v>
      </c>
      <c r="DO48" s="23">
        <f>($DL$48-$DM$48)*1</f>
        <v>0</v>
      </c>
      <c r="DP48" s="25">
        <f>TgtCloseout*100</f>
        <v>0</v>
      </c>
      <c r="DQ48" s="23">
        <f>IFERROR(IF($DL$48&gt;=$DP$48,2,IF($DL$48&gt;=$DP$48*AmberBand,1,0)),1)</f>
        <v>0</v>
      </c>
    </row>
    <row r="49" spans="114:121">
      <c r="DJ49" s="13" t="s">
        <v>1791</v>
      </c>
      <c r="DK49" s="23" t="s">
        <v>1938</v>
      </c>
      <c r="DL49" s="22">
        <f>SUMPRODUCT(Calculations!$BE$12:$BE$23,Calculations!$D$12:$D$23)</f>
        <v>0</v>
      </c>
      <c r="DM49" s="22">
        <f>SUMPRODUCT(Calculations!$BE$12:$BE$23,Calculations!$E$12:$E$23)</f>
        <v>0</v>
      </c>
      <c r="DN49" s="25">
        <f>IFERROR(($DL$49-$DM$49)/$DM$49,IF($DL$49&gt;0,1,0))</f>
        <v>0</v>
      </c>
      <c r="DO49" s="23">
        <f>($DL$49-$DM$49)*1</f>
        <v>0</v>
      </c>
      <c r="DP49" s="22">
        <f>IFERROR(AVERAGE(Calculations!$BE$12:$BE$23)*SUM(Calculations!$D$12:$D$23),0)</f>
        <v>0</v>
      </c>
      <c r="DQ49" s="23">
        <f>IFERROR(IF($DL$49&gt;=$DP$49,2,IF($DL$49&gt;=$DP$49*AmberBand,1,0)),1)</f>
        <v>0</v>
      </c>
    </row>
    <row r="50" spans="114:121">
      <c r="DJ50" s="13" t="s">
        <v>1953</v>
      </c>
      <c r="DK50" s="23" t="s">
        <v>1938</v>
      </c>
      <c r="DL50" s="25">
        <f>IFERROR(SUMPRODUCT(Calculations!$BF$12:$BF$23,Calculations!$D$12:$D$23)/SUMPRODUCT(Calculations!$BG$12:$BG$23,Calculations!$D$12:$D$23),0)*100</f>
        <v>0</v>
      </c>
      <c r="DM50" s="25">
        <f>IFERROR(SUMPRODUCT(Calculations!$BF$12:$BF$23,Calculations!$E$12:$E$23)/SUMPRODUCT(Calculations!$BG$12:$BG$23,Calculations!$E$12:$E$23),0)*100</f>
        <v>0</v>
      </c>
      <c r="DN50" s="25">
        <f>IFERROR(($DL$50-$DM$50)/$DM$50,IF($DL$50&gt;0,1,0))</f>
        <v>0</v>
      </c>
      <c r="DO50" s="23">
        <f>($DL$50-$DM$50)*1</f>
        <v>0</v>
      </c>
      <c r="DP50" s="25">
        <f>TgtAttendance*100</f>
        <v>0</v>
      </c>
      <c r="DQ50" s="23">
        <f>IFERROR(IF($DL$50&gt;=$DP$50,2,IF($DL$50&gt;=$DP$50*AmberBand,1,0)),1)</f>
        <v>0</v>
      </c>
    </row>
    <row r="51" spans="114:121">
      <c r="DJ51" s="13" t="s">
        <v>1793</v>
      </c>
      <c r="DK51" s="23" t="s">
        <v>1938</v>
      </c>
      <c r="DL51" s="22">
        <f>SUMPRODUCT(Calculations!$BH$12:$BH$23,Calculations!$D$12:$D$23)</f>
        <v>0</v>
      </c>
      <c r="DM51" s="22">
        <f>SUMPRODUCT(Calculations!$BH$12:$BH$23,Calculations!$E$12:$E$23)</f>
        <v>0</v>
      </c>
      <c r="DN51" s="25">
        <f>IFERROR(($DL$51-$DM$51)/$DM$51,IF($DL$51&gt;0,1,0))</f>
        <v>0</v>
      </c>
      <c r="DO51" s="23">
        <f>($DL$51-$DM$51)*1</f>
        <v>0</v>
      </c>
      <c r="DP51" s="22">
        <f>IFERROR(AVERAGE(Calculations!$BH$12:$BH$23)*SUM(Calculations!$D$12:$D$23),0)</f>
        <v>0</v>
      </c>
      <c r="DQ51" s="23">
        <f>IFERROR(IF($DL$51&gt;=$DP$51,2,IF($DL$51&gt;=$DP$51*AmberBand,1,0)),1)</f>
        <v>0</v>
      </c>
    </row>
    <row r="52" spans="114:121">
      <c r="DJ52" s="13" t="s">
        <v>1794</v>
      </c>
      <c r="DK52" s="23" t="s">
        <v>1938</v>
      </c>
      <c r="DL52" s="22">
        <f>SUMPRODUCT(Calculations!$BI$12:$BI$23,Calculations!$D$12:$D$23)</f>
        <v>0</v>
      </c>
      <c r="DM52" s="22">
        <f>SUMPRODUCT(Calculations!$BI$12:$BI$23,Calculations!$E$12:$E$23)</f>
        <v>0</v>
      </c>
      <c r="DN52" s="25">
        <f>IFERROR(($DL$52-$DM$52)/$DM$52,IF($DL$52&gt;0,1,0))</f>
        <v>0</v>
      </c>
      <c r="DO52" s="23">
        <f>($DL$52-$DM$52)*1</f>
        <v>0</v>
      </c>
      <c r="DP52" s="22">
        <f>IFERROR(AVERAGE(Calculations!$BI$12:$BI$23)*SUM(Calculations!$D$12:$D$23),0)</f>
        <v>0</v>
      </c>
      <c r="DQ52" s="23">
        <f>IFERROR(IF($DL$52&gt;=$DP$52,2,IF($DL$52&gt;=$DP$52*AmberBand,1,0)),1)</f>
        <v>0</v>
      </c>
    </row>
    <row r="53" spans="114:121">
      <c r="DJ53" s="13" t="s">
        <v>1795</v>
      </c>
      <c r="DK53" s="23" t="s">
        <v>1938</v>
      </c>
      <c r="DL53" s="22">
        <f>SUMPRODUCT(Calculations!$BJ$12:$BJ$23,Calculations!$D$12:$D$23)</f>
        <v>0</v>
      </c>
      <c r="DM53" s="22">
        <f>SUMPRODUCT(Calculations!$BJ$12:$BJ$23,Calculations!$E$12:$E$23)</f>
        <v>0</v>
      </c>
      <c r="DN53" s="25">
        <f>IFERROR(($DL$53-$DM$53)/$DM$53,IF($DL$53&gt;0,1,0))</f>
        <v>0</v>
      </c>
      <c r="DO53" s="23">
        <f>($DL$53-$DM$53)*1</f>
        <v>0</v>
      </c>
      <c r="DP53" s="22">
        <f>IFERROR(AVERAGE(Calculations!$BJ$12:$BJ$23)*SUM(Calculations!$D$12:$D$23),0)</f>
        <v>0</v>
      </c>
      <c r="DQ53" s="23">
        <f>IFERROR(IF($DL$53&gt;=$DP$53,2,IF($DL$53&gt;=$DP$53*AmberBand,1,0)),1)</f>
        <v>0</v>
      </c>
    </row>
    <row r="54" spans="114:121">
      <c r="DJ54" s="13" t="s">
        <v>1796</v>
      </c>
      <c r="DK54" s="23" t="s">
        <v>1938</v>
      </c>
      <c r="DL54" s="22">
        <f>SUMPRODUCT(Calculations!$Y$12:$Y$23,Calculations!$D$12:$D$23)</f>
        <v>0</v>
      </c>
      <c r="DM54" s="22">
        <f>SUMPRODUCT(Calculations!$Y$12:$Y$23,Calculations!$E$12:$E$23)</f>
        <v>0</v>
      </c>
      <c r="DN54" s="25">
        <f>IFERROR(($DL$54-$DM$54)/$DM$54,IF($DL$54&gt;0,1,0))</f>
        <v>0</v>
      </c>
      <c r="DO54" s="23">
        <f>($DL$54-$DM$54)*1</f>
        <v>0</v>
      </c>
      <c r="DP54" s="22">
        <f>IFERROR(AVERAGE(Calculations!$Y$12:$Y$23)*SUM(Calculations!$D$12:$D$23),0)</f>
        <v>0</v>
      </c>
      <c r="DQ54" s="23">
        <f>IFERROR(IF($DL$54&gt;=$DP$54,2,IF($DL$54&gt;=$DP$54*AmberBand,1,0)),1)</f>
        <v>0</v>
      </c>
    </row>
    <row r="55" spans="114:121">
      <c r="DJ55" s="13" t="s">
        <v>1954</v>
      </c>
      <c r="DK55" s="23" t="s">
        <v>1938</v>
      </c>
      <c r="DL55" s="25">
        <f>IFERROR(SUMPRODUCT(Calculations!$Z$12:$Z$23,Calculations!$D$12:$D$23)/SUMPRODUCT(Calculations!$Y$12:$Y$23,Calculations!$D$12:$D$23),0)*100</f>
        <v>0</v>
      </c>
      <c r="DM55" s="25">
        <f>IFERROR(SUMPRODUCT(Calculations!$Z$12:$Z$23,Calculations!$E$12:$E$23)/SUMPRODUCT(Calculations!$Y$12:$Y$23,Calculations!$E$12:$E$23),0)*100</f>
        <v>0</v>
      </c>
      <c r="DN55" s="25">
        <f>IFERROR(($DL$55-$DM$55)/$DM$55,IF($DL$55&gt;0,1,0))</f>
        <v>0</v>
      </c>
      <c r="DO55" s="23">
        <f>($DL$55-$DM$55)*1</f>
        <v>0</v>
      </c>
      <c r="DP55" s="25">
        <f>TgtPTW*100</f>
        <v>0</v>
      </c>
      <c r="DQ55" s="23">
        <f>IFERROR(IF($DL$55&gt;=$DP$55,2,IF($DL$55&gt;=$DP$55*AmberBand,1,0)),1)</f>
        <v>0</v>
      </c>
    </row>
    <row r="56" spans="114:121">
      <c r="DJ56" s="13" t="s">
        <v>1797</v>
      </c>
      <c r="DK56" s="23" t="s">
        <v>1938</v>
      </c>
      <c r="DL56" s="22">
        <f>SUMPRODUCT(Calculations!$AB$12:$AB$23,Calculations!$D$12:$D$23)</f>
        <v>0</v>
      </c>
      <c r="DM56" s="22">
        <f>SUMPRODUCT(Calculations!$AB$12:$AB$23,Calculations!$E$12:$E$23)</f>
        <v>0</v>
      </c>
      <c r="DN56" s="25">
        <f>IFERROR(($DL$56-$DM$56)/$DM$56,IF($DL$56&gt;0,1,0))</f>
        <v>0</v>
      </c>
      <c r="DO56" s="23">
        <f>($DL$56-$DM$56)*1</f>
        <v>0</v>
      </c>
      <c r="DP56" s="22">
        <f>IFERROR(AVERAGE(Calculations!$AB$12:$AB$23)*SUM(Calculations!$D$12:$D$23),0)</f>
        <v>0</v>
      </c>
      <c r="DQ56" s="23">
        <f>IFERROR(IF($DL$56&gt;=$DP$56,2,IF($DL$56&gt;=$DP$56*AmberBand,1,0)),1)</f>
        <v>0</v>
      </c>
    </row>
    <row r="57" spans="114:121">
      <c r="DJ57" s="13" t="s">
        <v>1955</v>
      </c>
      <c r="DK57" s="23" t="s">
        <v>1938</v>
      </c>
      <c r="DL57" s="25">
        <f>IFERROR(SUMPRODUCT(Calculations!$AC$12:$AC$23,Calculations!$D$12:$D$23)/SUMPRODUCT(Calculations!$AB$12:$AB$23,Calculations!$D$12:$D$23),0)*100</f>
        <v>0</v>
      </c>
      <c r="DM57" s="25">
        <f>IFERROR(SUMPRODUCT(Calculations!$AC$12:$AC$23,Calculations!$E$12:$E$23)/SUMPRODUCT(Calculations!$AB$12:$AB$23,Calculations!$E$12:$E$23),0)*100</f>
        <v>0</v>
      </c>
      <c r="DN57" s="25">
        <f>IFERROR(($DL$57-$DM$57)/$DM$57,IF($DL$57&gt;0,1,0))</f>
        <v>0</v>
      </c>
      <c r="DO57" s="23">
        <f>($DL$57-$DM$57)*1</f>
        <v>0</v>
      </c>
      <c r="DP57" s="25">
        <f>TgtCA*100</f>
        <v>0</v>
      </c>
      <c r="DQ57" s="23">
        <f>IFERROR(IF($DL$57&gt;=$DP$57,2,IF($DL$57&gt;=$DP$57*AmberBand,1,0)),1)</f>
        <v>0</v>
      </c>
    </row>
    <row r="58" spans="114:121">
      <c r="DJ58" s="13" t="s">
        <v>1956</v>
      </c>
      <c r="DK58" s="23" t="s">
        <v>1938</v>
      </c>
      <c r="DL58" s="22">
        <f>SUMPRODUCT(Calculations!$BL$12:$BL$23,Calculations!$D$12:$D$23)</f>
        <v>0</v>
      </c>
      <c r="DM58" s="22">
        <f>SUMPRODUCT(Calculations!$BL$12:$BL$23,Calculations!$E$12:$E$23)</f>
        <v>0</v>
      </c>
      <c r="DN58" s="25">
        <f>IFERROR(($DL$58-$DM$58)/$DM$58,IF($DL$58&gt;0,1,0))</f>
        <v>0</v>
      </c>
      <c r="DO58" s="23">
        <f>($DL$58-$DM$58)*1</f>
        <v>0</v>
      </c>
      <c r="DP58" s="22">
        <f>IFERROR(AVERAGE(Calculations!$BL$12:$BL$23)*SUM(Calculations!$D$12:$D$23),0)</f>
        <v>0</v>
      </c>
      <c r="DQ58" s="23">
        <f>IFERROR(IF($DL$58&gt;=$DP$58,2,IF($DL$58&gt;=$DP$58*AmberBand,1,0)),1)</f>
        <v>0</v>
      </c>
    </row>
    <row r="59" spans="114:121">
      <c r="DJ59" s="13" t="s">
        <v>1957</v>
      </c>
      <c r="DK59" s="23" t="s">
        <v>1938</v>
      </c>
      <c r="DL59" s="25">
        <f>IFERROR(SUMPRODUCT(Calculations!$BM$12:$BM$23,Calculations!$D$12:$D$23)/SUMPRODUCT(Calculations!$BL$12:$BL$23,Calculations!$D$12:$D$23),0)*100</f>
        <v>0</v>
      </c>
      <c r="DM59" s="25">
        <f>IFERROR(SUMPRODUCT(Calculations!$BM$12:$BM$23,Calculations!$E$12:$E$23)/SUMPRODUCT(Calculations!$BL$12:$BL$23,Calculations!$E$12:$E$23),0)*100</f>
        <v>0</v>
      </c>
      <c r="DN59" s="25">
        <f>IFERROR(($DL$59-$DM$59)/$DM$59,IF($DL$59&gt;0,1,0))</f>
        <v>0</v>
      </c>
      <c r="DO59" s="23">
        <f>($DL$59-$DM$59)*1</f>
        <v>0</v>
      </c>
      <c r="DP59" s="25">
        <f>TgtCloseout*100</f>
        <v>0</v>
      </c>
      <c r="DQ59" s="23">
        <f>IFERROR(IF($DL$59&gt;=$DP$59,2,IF($DL$59&gt;=$DP$59*AmberBand,1,0)),1)</f>
        <v>0</v>
      </c>
    </row>
    <row r="60" spans="114:121">
      <c r="DJ60" s="13" t="s">
        <v>1958</v>
      </c>
      <c r="DK60" s="23" t="s">
        <v>1938</v>
      </c>
      <c r="DL60" s="22">
        <f>SUMPRODUCT(Calculations!$BN$12:$BN$23,Calculations!$D$12:$D$23)</f>
        <v>0</v>
      </c>
      <c r="DM60" s="22">
        <f>SUMPRODUCT(Calculations!$BN$12:$BN$23,Calculations!$E$12:$E$23)</f>
        <v>0</v>
      </c>
      <c r="DN60" s="25">
        <f>IFERROR(($DL$60-$DM$60)/$DM$60,IF($DL$60&gt;0,1,0))</f>
        <v>0</v>
      </c>
      <c r="DO60" s="23">
        <f>($DL$60-$DM$60)*1</f>
        <v>0</v>
      </c>
      <c r="DP60" s="22">
        <f>IFERROR(AVERAGE(Calculations!$BN$12:$BN$23)*SUM(Calculations!$D$12:$D$23),0)</f>
        <v>0</v>
      </c>
      <c r="DQ60" s="23">
        <f>IFERROR(IF($DL$60&gt;=$DP$60,2,IF($DL$60&gt;=$DP$60*AmberBand,1,0)),1)</f>
        <v>0</v>
      </c>
    </row>
    <row r="61" spans="114:121">
      <c r="DJ61" s="13" t="s">
        <v>1959</v>
      </c>
      <c r="DK61" s="23" t="s">
        <v>1938</v>
      </c>
      <c r="DL61" s="25">
        <f>IFERROR(SUMPRODUCT(Calculations!$BO$12:$BO$23,Calculations!$D$12:$D$23)/SUMPRODUCT(Calculations!$BN$12:$BN$23,Calculations!$D$12:$D$23),0)*100</f>
        <v>0</v>
      </c>
      <c r="DM61" s="25">
        <f>IFERROR(SUMPRODUCT(Calculations!$BO$12:$BO$23,Calculations!$E$12:$E$23)/SUMPRODUCT(Calculations!$BN$12:$BN$23,Calculations!$E$12:$E$23),0)*100</f>
        <v>0</v>
      </c>
      <c r="DN61" s="25">
        <f>IFERROR(($DL$61-$DM$61)/$DM$61,IF($DL$61&gt;0,1,0))</f>
        <v>0</v>
      </c>
      <c r="DO61" s="23">
        <f>($DL$61-$DM$61)*1</f>
        <v>0</v>
      </c>
      <c r="DP61" s="25">
        <f>TgtCloseout*100</f>
        <v>0</v>
      </c>
      <c r="DQ61" s="23">
        <f>IFERROR(IF($DL$61&gt;=$DP$61,2,IF($DL$61&gt;=$DP$61*AmberBand,1,0)),1)</f>
        <v>0</v>
      </c>
    </row>
    <row r="64" spans="114:121">
      <c r="DJ64" s="17" t="s">
        <v>1960</v>
      </c>
    </row>
    <row r="65" spans="114:117">
      <c r="DJ65" s="13" t="s">
        <v>1780</v>
      </c>
      <c r="DK65" s="23">
        <f>MIN(100,Calculations!$DL$29)/2</f>
        <v>0</v>
      </c>
      <c r="DL65" s="23">
        <f>50-$DK$65</f>
        <v>0</v>
      </c>
      <c r="DM65" s="23">
        <v>50</v>
      </c>
    </row>
    <row r="66" spans="114:117">
      <c r="DJ66" s="13" t="s">
        <v>1961</v>
      </c>
      <c r="DK66" s="23">
        <f>MIN(100,Calculations!$DL$55)/2</f>
        <v>0</v>
      </c>
      <c r="DL66" s="23">
        <f>50-$DK$66</f>
        <v>0</v>
      </c>
      <c r="DM66" s="23">
        <v>50</v>
      </c>
    </row>
    <row r="67" spans="114:117">
      <c r="DJ67" s="13" t="s">
        <v>1944</v>
      </c>
      <c r="DK67" s="23">
        <f>MIN(100,Calculations!$DL$31)/2</f>
        <v>0</v>
      </c>
      <c r="DL67" s="23">
        <f>50-$DK$67</f>
        <v>0</v>
      </c>
      <c r="DM67" s="23">
        <v>50</v>
      </c>
    </row>
    <row r="68" spans="114:117">
      <c r="DJ68" s="13" t="s">
        <v>1955</v>
      </c>
      <c r="DK68" s="23">
        <f>MIN(100,Calculations!$DL$57)/2</f>
        <v>0</v>
      </c>
      <c r="DL68" s="23">
        <f>50-$DK$68</f>
        <v>0</v>
      </c>
      <c r="DM68" s="23">
        <v>50</v>
      </c>
    </row>
    <row r="69" spans="114:117">
      <c r="DJ69" s="13" t="s">
        <v>1962</v>
      </c>
      <c r="DK69" s="23">
        <f>MIN(100,Calculations!$DL$33)/2</f>
        <v>0</v>
      </c>
      <c r="DL69" s="23">
        <f>50-$DK$69</f>
        <v>0</v>
      </c>
      <c r="DM69" s="23">
        <v>50</v>
      </c>
    </row>
    <row r="70" spans="114:117">
      <c r="DJ70" s="13" t="s">
        <v>1963</v>
      </c>
      <c r="DK70" s="23">
        <f>MIN(100,Calculations!$DL$22)/2</f>
        <v>0</v>
      </c>
      <c r="DL70" s="23">
        <f>50-$DK$70</f>
        <v>0</v>
      </c>
      <c r="DM70" s="23">
        <v>50</v>
      </c>
    </row>
    <row r="72" spans="114:117">
      <c r="DJ72" s="12" t="s">
        <v>1927</v>
      </c>
      <c r="DK72" s="12" t="s">
        <v>1983</v>
      </c>
      <c r="DL72" s="12" t="s">
        <v>1984</v>
      </c>
    </row>
    <row r="73" spans="114:117">
      <c r="DJ73" s="13" t="s">
        <v>1757</v>
      </c>
      <c r="DK73" s="23">
        <f>Calculations!$DN$12*-1</f>
        <v>0</v>
      </c>
      <c r="DL73" s="26">
        <f>DK73+ROW()/100000</f>
        <v>0</v>
      </c>
    </row>
    <row r="74" spans="114:117">
      <c r="DJ74" s="13" t="s">
        <v>1759</v>
      </c>
      <c r="DK74" s="23">
        <f>Calculations!$DN$13*-1</f>
        <v>0</v>
      </c>
      <c r="DL74" s="26">
        <f>DK74+ROW()/100000</f>
        <v>0</v>
      </c>
    </row>
    <row r="75" spans="114:117">
      <c r="DJ75" s="13" t="s">
        <v>1931</v>
      </c>
      <c r="DK75" s="23">
        <f>Calculations!$DN$14*-1</f>
        <v>0</v>
      </c>
      <c r="DL75" s="26">
        <f>DK75+ROW()/100000</f>
        <v>0</v>
      </c>
    </row>
    <row r="76" spans="114:117">
      <c r="DJ76" s="13" t="s">
        <v>1932</v>
      </c>
      <c r="DK76" s="23">
        <f>Calculations!$DN$15*-1</f>
        <v>0</v>
      </c>
      <c r="DL76" s="26">
        <f>DK76+ROW()/100000</f>
        <v>0</v>
      </c>
    </row>
    <row r="77" spans="114:117">
      <c r="DJ77" s="13" t="s">
        <v>1933</v>
      </c>
      <c r="DK77" s="23">
        <f>Calculations!$DN$16*-1</f>
        <v>0</v>
      </c>
      <c r="DL77" s="26">
        <f>DK77+ROW()/100000</f>
        <v>0</v>
      </c>
    </row>
    <row r="78" spans="114:117">
      <c r="DJ78" s="13" t="s">
        <v>310</v>
      </c>
      <c r="DK78" s="23">
        <f>Calculations!$DN$17*-1</f>
        <v>0</v>
      </c>
      <c r="DL78" s="26">
        <f>DK78+ROW()/100000</f>
        <v>0</v>
      </c>
    </row>
    <row r="79" spans="114:117">
      <c r="DJ79" s="13" t="s">
        <v>1530</v>
      </c>
      <c r="DK79" s="23">
        <f>Calculations!$DN$18*-1</f>
        <v>0</v>
      </c>
      <c r="DL79" s="26">
        <f>DK79+ROW()/100000</f>
        <v>0</v>
      </c>
    </row>
    <row r="80" spans="114:117">
      <c r="DJ80" s="13" t="s">
        <v>1606</v>
      </c>
      <c r="DK80" s="23">
        <f>Calculations!$DN$19*-1</f>
        <v>0</v>
      </c>
      <c r="DL80" s="26">
        <f>DK80+ROW()/100000</f>
        <v>0</v>
      </c>
    </row>
    <row r="81" spans="114:116">
      <c r="DJ81" s="13" t="s">
        <v>1934</v>
      </c>
      <c r="DK81" s="23">
        <f>Calculations!$DN$20*-1</f>
        <v>0</v>
      </c>
      <c r="DL81" s="26">
        <f>DK81+ROW()/100000</f>
        <v>0</v>
      </c>
    </row>
    <row r="82" spans="114:116">
      <c r="DJ82" s="13" t="s">
        <v>1935</v>
      </c>
      <c r="DK82" s="23">
        <f>Calculations!$DN$21*-1</f>
        <v>0</v>
      </c>
      <c r="DL82" s="26">
        <f>DK82+ROW()/100000</f>
        <v>0</v>
      </c>
    </row>
    <row r="83" spans="114:116">
      <c r="DJ83" s="13" t="s">
        <v>1936</v>
      </c>
      <c r="DK83" s="23">
        <f>Calculations!$DN$22*1</f>
        <v>0</v>
      </c>
      <c r="DL83" s="26">
        <f>DK83+ROW()/100000</f>
        <v>0</v>
      </c>
    </row>
    <row r="84" spans="114:116">
      <c r="DJ84" s="13" t="s">
        <v>1937</v>
      </c>
      <c r="DK84" s="23">
        <f>Calculations!$DN$23*-1</f>
        <v>0</v>
      </c>
      <c r="DL84" s="26">
        <f>DK84+ROW()/100000</f>
        <v>0</v>
      </c>
    </row>
    <row r="85" spans="114:116">
      <c r="DJ85" s="13" t="s">
        <v>1777</v>
      </c>
      <c r="DK85" s="23">
        <f>Calculations!$DN$24*1</f>
        <v>0</v>
      </c>
      <c r="DL85" s="26">
        <f>DK85+ROW()/100000</f>
        <v>0</v>
      </c>
    </row>
    <row r="86" spans="114:116">
      <c r="DJ86" s="13" t="s">
        <v>1939</v>
      </c>
      <c r="DK86" s="23">
        <f>Calculations!$DN$25*1</f>
        <v>0</v>
      </c>
      <c r="DL86" s="26">
        <f>DK86+ROW()/100000</f>
        <v>0</v>
      </c>
    </row>
    <row r="87" spans="114:116">
      <c r="DJ87" s="13" t="s">
        <v>1940</v>
      </c>
      <c r="DK87" s="23">
        <f>Calculations!$DN$26*1</f>
        <v>0</v>
      </c>
      <c r="DL87" s="26">
        <f>DK87+ROW()/100000</f>
        <v>0</v>
      </c>
    </row>
    <row r="88" spans="114:116">
      <c r="DJ88" s="13" t="s">
        <v>1941</v>
      </c>
      <c r="DK88" s="23">
        <f>Calculations!$DN$27*1</f>
        <v>0</v>
      </c>
      <c r="DL88" s="26">
        <f>DK88+ROW()/100000</f>
        <v>0</v>
      </c>
    </row>
    <row r="89" spans="114:116">
      <c r="DJ89" s="13" t="s">
        <v>1942</v>
      </c>
      <c r="DK89" s="23">
        <f>Calculations!$DN$28*1</f>
        <v>0</v>
      </c>
      <c r="DL89" s="26">
        <f>DK89+ROW()/100000</f>
        <v>0</v>
      </c>
    </row>
    <row r="90" spans="114:116">
      <c r="DJ90" s="13" t="s">
        <v>1943</v>
      </c>
      <c r="DK90" s="23">
        <f>Calculations!$DN$29*1</f>
        <v>0</v>
      </c>
      <c r="DL90" s="26">
        <f>DK90+ROW()/100000</f>
        <v>0</v>
      </c>
    </row>
    <row r="91" spans="114:116">
      <c r="DJ91" s="13" t="s">
        <v>1781</v>
      </c>
      <c r="DK91" s="23">
        <f>Calculations!$DN$30*1</f>
        <v>0</v>
      </c>
      <c r="DL91" s="26">
        <f>DK91+ROW()/100000</f>
        <v>0</v>
      </c>
    </row>
    <row r="92" spans="114:116">
      <c r="DJ92" s="13" t="s">
        <v>1944</v>
      </c>
      <c r="DK92" s="23">
        <f>Calculations!$DN$31*1</f>
        <v>0</v>
      </c>
      <c r="DL92" s="26">
        <f>DK92+ROW()/100000</f>
        <v>0</v>
      </c>
    </row>
    <row r="93" spans="114:116">
      <c r="DJ93" s="13" t="s">
        <v>1782</v>
      </c>
      <c r="DK93" s="23">
        <f>Calculations!$DN$32*1</f>
        <v>0</v>
      </c>
      <c r="DL93" s="26">
        <f>DK93+ROW()/100000</f>
        <v>0</v>
      </c>
    </row>
    <row r="94" spans="114:116">
      <c r="DJ94" s="13" t="s">
        <v>1945</v>
      </c>
      <c r="DK94" s="23">
        <f>Calculations!$DN$33*1</f>
        <v>0</v>
      </c>
      <c r="DL94" s="26">
        <f>DK94+ROW()/100000</f>
        <v>0</v>
      </c>
    </row>
    <row r="95" spans="114:116">
      <c r="DJ95" s="13" t="s">
        <v>1783</v>
      </c>
      <c r="DK95" s="23">
        <f>Calculations!$DN$34*1</f>
        <v>0</v>
      </c>
      <c r="DL95" s="26">
        <f>DK95+ROW()/100000</f>
        <v>0</v>
      </c>
    </row>
    <row r="96" spans="114:116">
      <c r="DJ96" s="13" t="s">
        <v>1946</v>
      </c>
      <c r="DK96" s="23">
        <f>Calculations!$DN$35*-1</f>
        <v>0</v>
      </c>
      <c r="DL96" s="26">
        <f>DK96+ROW()/100000</f>
        <v>0</v>
      </c>
    </row>
    <row r="97" spans="114:116">
      <c r="DJ97" s="13" t="s">
        <v>1784</v>
      </c>
      <c r="DK97" s="23">
        <f>Calculations!$DN$36*1</f>
        <v>0</v>
      </c>
      <c r="DL97" s="26">
        <f>DK97+ROW()/100000</f>
        <v>0</v>
      </c>
    </row>
    <row r="98" spans="114:116">
      <c r="DJ98" s="13" t="s">
        <v>1785</v>
      </c>
      <c r="DK98" s="23">
        <f>Calculations!$DN$37*1</f>
        <v>0</v>
      </c>
      <c r="DL98" s="26">
        <f>DK98+ROW()/100000</f>
        <v>0</v>
      </c>
    </row>
    <row r="99" spans="114:116">
      <c r="DJ99" s="13" t="s">
        <v>1947</v>
      </c>
      <c r="DK99" s="23">
        <f>Calculations!$DN$38*1</f>
        <v>0</v>
      </c>
      <c r="DL99" s="26">
        <f>DK99+ROW()/100000</f>
        <v>0</v>
      </c>
    </row>
    <row r="100" spans="114:116">
      <c r="DJ100" s="13" t="s">
        <v>1786</v>
      </c>
      <c r="DK100" s="23">
        <f>Calculations!$DN$39*1</f>
        <v>0</v>
      </c>
      <c r="DL100" s="26">
        <f>DK100+ROW()/100000</f>
        <v>0</v>
      </c>
    </row>
    <row r="101" spans="114:116">
      <c r="DJ101" s="13" t="s">
        <v>1948</v>
      </c>
      <c r="DK101" s="23">
        <f>Calculations!$DN$40*1</f>
        <v>0</v>
      </c>
      <c r="DL101" s="26">
        <f>DK101+ROW()/100000</f>
        <v>0</v>
      </c>
    </row>
    <row r="102" spans="114:116">
      <c r="DJ102" s="13" t="s">
        <v>1787</v>
      </c>
      <c r="DK102" s="23">
        <f>Calculations!$DN$41*1</f>
        <v>0</v>
      </c>
      <c r="DL102" s="26">
        <f>DK102+ROW()/100000</f>
        <v>0</v>
      </c>
    </row>
    <row r="103" spans="114:116">
      <c r="DJ103" s="13" t="s">
        <v>1949</v>
      </c>
      <c r="DK103" s="23">
        <f>Calculations!$DN$42*1</f>
        <v>0</v>
      </c>
      <c r="DL103" s="26">
        <f>DK103+ROW()/100000</f>
        <v>0</v>
      </c>
    </row>
    <row r="104" spans="114:116">
      <c r="DJ104" s="13" t="s">
        <v>1788</v>
      </c>
      <c r="DK104" s="23">
        <f>Calculations!$DN$43*1</f>
        <v>0</v>
      </c>
      <c r="DL104" s="26">
        <f>DK104+ROW()/100000</f>
        <v>0</v>
      </c>
    </row>
    <row r="105" spans="114:116">
      <c r="DJ105" s="13" t="s">
        <v>1950</v>
      </c>
      <c r="DK105" s="23">
        <f>Calculations!$DN$44*-1</f>
        <v>0</v>
      </c>
      <c r="DL105" s="26">
        <f>DK105+ROW()/100000</f>
        <v>0</v>
      </c>
    </row>
    <row r="106" spans="114:116">
      <c r="DJ106" s="13" t="s">
        <v>1789</v>
      </c>
      <c r="DK106" s="23">
        <f>Calculations!$DN$45*1</f>
        <v>0</v>
      </c>
      <c r="DL106" s="26">
        <f>DK106+ROW()/100000</f>
        <v>0</v>
      </c>
    </row>
    <row r="107" spans="114:116">
      <c r="DJ107" s="13" t="s">
        <v>1951</v>
      </c>
      <c r="DK107" s="23">
        <f>Calculations!$DN$46*-1</f>
        <v>0</v>
      </c>
      <c r="DL107" s="26">
        <f>DK107+ROW()/100000</f>
        <v>0</v>
      </c>
    </row>
    <row r="108" spans="114:116">
      <c r="DJ108" s="13" t="s">
        <v>1790</v>
      </c>
      <c r="DK108" s="23">
        <f>Calculations!$DN$47*1</f>
        <v>0</v>
      </c>
      <c r="DL108" s="26">
        <f>DK108+ROW()/100000</f>
        <v>0</v>
      </c>
    </row>
    <row r="109" spans="114:116">
      <c r="DJ109" s="13" t="s">
        <v>1952</v>
      </c>
      <c r="DK109" s="23">
        <f>Calculations!$DN$48*1</f>
        <v>0</v>
      </c>
      <c r="DL109" s="26">
        <f>DK109+ROW()/100000</f>
        <v>0</v>
      </c>
    </row>
    <row r="110" spans="114:116">
      <c r="DJ110" s="13" t="s">
        <v>1791</v>
      </c>
      <c r="DK110" s="23">
        <f>Calculations!$DN$49*1</f>
        <v>0</v>
      </c>
      <c r="DL110" s="26">
        <f>DK110+ROW()/100000</f>
        <v>0</v>
      </c>
    </row>
    <row r="111" spans="114:116">
      <c r="DJ111" s="13" t="s">
        <v>1953</v>
      </c>
      <c r="DK111" s="23">
        <f>Calculations!$DN$50*1</f>
        <v>0</v>
      </c>
      <c r="DL111" s="26">
        <f>DK111+ROW()/100000</f>
        <v>0</v>
      </c>
    </row>
    <row r="112" spans="114:116">
      <c r="DJ112" s="13" t="s">
        <v>1793</v>
      </c>
      <c r="DK112" s="23">
        <f>Calculations!$DN$51*1</f>
        <v>0</v>
      </c>
      <c r="DL112" s="26">
        <f>DK112+ROW()/100000</f>
        <v>0</v>
      </c>
    </row>
    <row r="113" spans="114:116">
      <c r="DJ113" s="13" t="s">
        <v>1794</v>
      </c>
      <c r="DK113" s="23">
        <f>Calculations!$DN$52*1</f>
        <v>0</v>
      </c>
      <c r="DL113" s="26">
        <f>DK113+ROW()/100000</f>
        <v>0</v>
      </c>
    </row>
    <row r="114" spans="114:116">
      <c r="DJ114" s="13" t="s">
        <v>1795</v>
      </c>
      <c r="DK114" s="23">
        <f>Calculations!$DN$53*1</f>
        <v>0</v>
      </c>
      <c r="DL114" s="26">
        <f>DK114+ROW()/100000</f>
        <v>0</v>
      </c>
    </row>
    <row r="115" spans="114:116">
      <c r="DJ115" s="13" t="s">
        <v>1796</v>
      </c>
      <c r="DK115" s="23">
        <f>Calculations!$DN$54*1</f>
        <v>0</v>
      </c>
      <c r="DL115" s="26">
        <f>DK115+ROW()/100000</f>
        <v>0</v>
      </c>
    </row>
    <row r="116" spans="114:116">
      <c r="DJ116" s="13" t="s">
        <v>1954</v>
      </c>
      <c r="DK116" s="23">
        <f>Calculations!$DN$55*1</f>
        <v>0</v>
      </c>
      <c r="DL116" s="26">
        <f>DK116+ROW()/100000</f>
        <v>0</v>
      </c>
    </row>
    <row r="117" spans="114:116">
      <c r="DJ117" s="13" t="s">
        <v>1797</v>
      </c>
      <c r="DK117" s="23">
        <f>Calculations!$DN$56*1</f>
        <v>0</v>
      </c>
      <c r="DL117" s="26">
        <f>DK117+ROW()/100000</f>
        <v>0</v>
      </c>
    </row>
    <row r="118" spans="114:116">
      <c r="DJ118" s="13" t="s">
        <v>1955</v>
      </c>
      <c r="DK118" s="23">
        <f>Calculations!$DN$57*1</f>
        <v>0</v>
      </c>
      <c r="DL118" s="26">
        <f>DK118+ROW()/100000</f>
        <v>0</v>
      </c>
    </row>
    <row r="119" spans="114:116">
      <c r="DJ119" s="13" t="s">
        <v>1956</v>
      </c>
      <c r="DK119" s="23">
        <f>Calculations!$DN$58*1</f>
        <v>0</v>
      </c>
      <c r="DL119" s="26">
        <f>DK119+ROW()/100000</f>
        <v>0</v>
      </c>
    </row>
    <row r="120" spans="114:116">
      <c r="DJ120" s="13" t="s">
        <v>1957</v>
      </c>
      <c r="DK120" s="23">
        <f>Calculations!$DN$59*1</f>
        <v>0</v>
      </c>
      <c r="DL120" s="26">
        <f>DK120+ROW()/100000</f>
        <v>0</v>
      </c>
    </row>
    <row r="121" spans="114:116">
      <c r="DJ121" s="13" t="s">
        <v>1958</v>
      </c>
      <c r="DK121" s="23">
        <f>Calculations!$DN$60*1</f>
        <v>0</v>
      </c>
      <c r="DL121" s="26">
        <f>DK121+ROW()/100000</f>
        <v>0</v>
      </c>
    </row>
    <row r="122" spans="114:116">
      <c r="DJ122" s="13" t="s">
        <v>1959</v>
      </c>
      <c r="DK122" s="23">
        <f>Calculations!$DN$61*1</f>
        <v>0</v>
      </c>
      <c r="DL122" s="26">
        <f>DK122+ROW()/100000</f>
        <v>0</v>
      </c>
    </row>
    <row r="124" spans="114:116">
      <c r="DJ124" s="12" t="s">
        <v>1985</v>
      </c>
      <c r="DK124" s="12" t="s">
        <v>1986</v>
      </c>
    </row>
    <row r="125" spans="114:116">
      <c r="DJ125" s="13">
        <f>INDEX($DJ$73:$DJ$122,MATCH(LARGE($DL$73:$DL$122,1),$DL$73:$DL$122,0))</f>
        <v>0</v>
      </c>
      <c r="DK125" s="27">
        <f>INDEX($DK$73:$DK$122,MATCH(LARGE($DL$73:$DL$122,1),$DL$73:$DL$122,0))</f>
        <v>0</v>
      </c>
    </row>
    <row r="126" spans="114:116">
      <c r="DJ126" s="13">
        <f>INDEX($DJ$73:$DJ$122,MATCH(LARGE($DL$73:$DL$122,2),$DL$73:$DL$122,0))</f>
        <v>0</v>
      </c>
      <c r="DK126" s="27">
        <f>INDEX($DK$73:$DK$122,MATCH(LARGE($DL$73:$DL$122,2),$DL$73:$DL$122,0))</f>
        <v>0</v>
      </c>
    </row>
    <row r="127" spans="114:116">
      <c r="DJ127" s="13">
        <f>INDEX($DJ$73:$DJ$122,MATCH(LARGE($DL$73:$DL$122,3),$DL$73:$DL$122,0))</f>
        <v>0</v>
      </c>
      <c r="DK127" s="27">
        <f>INDEX($DK$73:$DK$122,MATCH(LARGE($DL$73:$DL$122,3),$DL$73:$DL$122,0))</f>
        <v>0</v>
      </c>
    </row>
    <row r="128" spans="114:116">
      <c r="DJ128" s="12" t="s">
        <v>1987</v>
      </c>
      <c r="DK128" s="12" t="s">
        <v>1986</v>
      </c>
    </row>
    <row r="129" spans="2:115">
      <c r="DJ129" s="13">
        <f>INDEX($DJ$73:$DJ$122,MATCH(SMALL($DL$73:$DL$122,1),$DL$73:$DL$122,0))</f>
        <v>0</v>
      </c>
      <c r="DK129" s="27">
        <f>INDEX($DK$73:$DK$122,MATCH(SMALL($DL$73:$DL$122,1),$DL$73:$DL$122,0))</f>
        <v>0</v>
      </c>
    </row>
    <row r="130" spans="2:115">
      <c r="DJ130" s="13">
        <f>INDEX($DJ$73:$DJ$122,MATCH(SMALL($DL$73:$DL$122,2),$DL$73:$DL$122,0))</f>
        <v>0</v>
      </c>
      <c r="DK130" s="27">
        <f>INDEX($DK$73:$DK$122,MATCH(SMALL($DL$73:$DL$122,2),$DL$73:$DL$122,0))</f>
        <v>0</v>
      </c>
    </row>
    <row r="131" spans="2:115">
      <c r="DJ131" s="13">
        <f>INDEX($DJ$73:$DJ$122,MATCH(SMALL($DL$73:$DL$122,3),$DL$73:$DL$122,0))</f>
        <v>0</v>
      </c>
      <c r="DK131" s="27">
        <f>INDEX($DK$73:$DK$122,MATCH(SMALL($DL$73:$DL$122,3),$DL$73:$DL$122,0))</f>
        <v>0</v>
      </c>
    </row>
    <row r="134" spans="2:115">
      <c r="B134" s="17" t="s">
        <v>1988</v>
      </c>
      <c r="C134" s="17"/>
      <c r="D134" s="17"/>
      <c r="E134" s="17"/>
      <c r="F134" s="17"/>
      <c r="G134" s="17"/>
      <c r="H134" s="17"/>
      <c r="I134" s="17"/>
      <c r="J134" s="17"/>
      <c r="K134" s="17"/>
    </row>
    <row r="135" spans="2:115">
      <c r="B135" s="12" t="s">
        <v>1604</v>
      </c>
      <c r="C135" s="12" t="s">
        <v>1965</v>
      </c>
      <c r="D135" s="12" t="s">
        <v>1984</v>
      </c>
      <c r="E135" s="12" t="s">
        <v>1989</v>
      </c>
      <c r="F135" s="12" t="s">
        <v>1990</v>
      </c>
      <c r="G135" s="12" t="s">
        <v>1991</v>
      </c>
    </row>
    <row r="136" spans="2:115">
      <c r="B136" s="13" t="s">
        <v>1339</v>
      </c>
      <c r="C136" s="22">
        <f>COUNTIFS('Incident'!$T$4:$T$100003,"Human Error",'Incident'!$D$4:$D$100003,mCrit,'Incident'!$H$4:$H$100003,dCrit)</f>
        <v>0</v>
      </c>
      <c r="D136" s="26">
        <f>C136+ROW()/100000</f>
        <v>0</v>
      </c>
      <c r="E136" s="13">
        <f>INDEX($B$136:$B$143,MATCH(LARGE($D$136:$D$143,1),$D$136:$D$143,0))</f>
        <v>0</v>
      </c>
      <c r="F136" s="22">
        <f>INT(LARGE($D$136:$D$143,1))</f>
        <v>0</v>
      </c>
      <c r="G136" s="25">
        <f>IFERROR(SUM($F$136:F$136)/SUM($C$136:$C$143)*100,0)</f>
        <v>0</v>
      </c>
    </row>
    <row r="137" spans="2:115">
      <c r="B137" s="13" t="s">
        <v>302</v>
      </c>
      <c r="C137" s="22">
        <f>COUNTIFS('Incident'!$T$4:$T$100003,"Unsafe Act",'Incident'!$D$4:$D$100003,mCrit,'Incident'!$H$4:$H$100003,dCrit)</f>
        <v>0</v>
      </c>
      <c r="D137" s="26">
        <f>C137+ROW()/100000</f>
        <v>0</v>
      </c>
      <c r="E137" s="13">
        <f>INDEX($B$136:$B$143,MATCH(LARGE($D$136:$D$143,2),$D$136:$D$143,0))</f>
        <v>0</v>
      </c>
      <c r="F137" s="22">
        <f>INT(LARGE($D$136:$D$143,2))</f>
        <v>0</v>
      </c>
      <c r="G137" s="25">
        <f>IFERROR(SUM($F$136:F$137)/SUM($C$136:$C$143)*100,0)</f>
        <v>0</v>
      </c>
    </row>
    <row r="138" spans="2:115">
      <c r="B138" s="13" t="s">
        <v>297</v>
      </c>
      <c r="C138" s="22">
        <f>COUNTIFS('Incident'!$T$4:$T$100003,"Unsafe Condition",'Incident'!$D$4:$D$100003,mCrit,'Incident'!$H$4:$H$100003,dCrit)</f>
        <v>0</v>
      </c>
      <c r="D138" s="26">
        <f>C138+ROW()/100000</f>
        <v>0</v>
      </c>
      <c r="E138" s="13">
        <f>INDEX($B$136:$B$143,MATCH(LARGE($D$136:$D$143,3),$D$136:$D$143,0))</f>
        <v>0</v>
      </c>
      <c r="F138" s="22">
        <f>INT(LARGE($D$136:$D$143,3))</f>
        <v>0</v>
      </c>
      <c r="G138" s="25">
        <f>IFERROR(SUM($F$136:F$138)/SUM($C$136:$C$143)*100,0)</f>
        <v>0</v>
      </c>
    </row>
    <row r="139" spans="2:115">
      <c r="B139" s="13" t="s">
        <v>1336</v>
      </c>
      <c r="C139" s="22">
        <f>COUNTIFS('Incident'!$T$4:$T$100003,"Inadequate Procedure",'Incident'!$D$4:$D$100003,mCrit,'Incident'!$H$4:$H$100003,dCrit)</f>
        <v>0</v>
      </c>
      <c r="D139" s="26">
        <f>C139+ROW()/100000</f>
        <v>0</v>
      </c>
      <c r="E139" s="13">
        <f>INDEX($B$136:$B$143,MATCH(LARGE($D$136:$D$143,4),$D$136:$D$143,0))</f>
        <v>0</v>
      </c>
      <c r="F139" s="22">
        <f>INT(LARGE($D$136:$D$143,4))</f>
        <v>0</v>
      </c>
      <c r="G139" s="25">
        <f>IFERROR(SUM($F$136:F$139)/SUM($C$136:$C$143)*100,0)</f>
        <v>0</v>
      </c>
    </row>
    <row r="140" spans="2:115">
      <c r="B140" s="13" t="s">
        <v>1357</v>
      </c>
      <c r="C140" s="22">
        <f>COUNTIFS('Incident'!$T$4:$T$100003,"Lack of Training",'Incident'!$D$4:$D$100003,mCrit,'Incident'!$H$4:$H$100003,dCrit)</f>
        <v>0</v>
      </c>
      <c r="D140" s="26">
        <f>C140+ROW()/100000</f>
        <v>0</v>
      </c>
      <c r="E140" s="13">
        <f>INDEX($B$136:$B$143,MATCH(LARGE($D$136:$D$143,5),$D$136:$D$143,0))</f>
        <v>0</v>
      </c>
      <c r="F140" s="22">
        <f>INT(LARGE($D$136:$D$143,5))</f>
        <v>0</v>
      </c>
      <c r="G140" s="25">
        <f>IFERROR(SUM($F$136:F$140)/SUM($C$136:$C$143)*100,0)</f>
        <v>0</v>
      </c>
    </row>
    <row r="141" spans="2:115">
      <c r="B141" s="13" t="s">
        <v>1330</v>
      </c>
      <c r="C141" s="22">
        <f>COUNTIFS('Incident'!$T$4:$T$100003,"Equipment Failure",'Incident'!$D$4:$D$100003,mCrit,'Incident'!$H$4:$H$100003,dCrit)</f>
        <v>0</v>
      </c>
      <c r="D141" s="26">
        <f>C141+ROW()/100000</f>
        <v>0</v>
      </c>
      <c r="E141" s="13">
        <f>INDEX($B$136:$B$143,MATCH(LARGE($D$136:$D$143,6),$D$136:$D$143,0))</f>
        <v>0</v>
      </c>
      <c r="F141" s="22">
        <f>INT(LARGE($D$136:$D$143,6))</f>
        <v>0</v>
      </c>
      <c r="G141" s="25">
        <f>IFERROR(SUM($F$136:F$141)/SUM($C$136:$C$143)*100,0)</f>
        <v>0</v>
      </c>
    </row>
    <row r="142" spans="2:115">
      <c r="B142" s="13" t="s">
        <v>1327</v>
      </c>
      <c r="C142" s="22">
        <f>COUNTIFS('Incident'!$T$4:$T$100003,"PPE Not Used",'Incident'!$D$4:$D$100003,mCrit,'Incident'!$H$4:$H$100003,dCrit)</f>
        <v>0</v>
      </c>
      <c r="D142" s="26">
        <f>C142+ROW()/100000</f>
        <v>0</v>
      </c>
      <c r="E142" s="13">
        <f>INDEX($B$136:$B$143,MATCH(LARGE($D$136:$D$143,7),$D$136:$D$143,0))</f>
        <v>0</v>
      </c>
      <c r="F142" s="22">
        <f>INT(LARGE($D$136:$D$143,7))</f>
        <v>0</v>
      </c>
      <c r="G142" s="25">
        <f>IFERROR(SUM($F$136:F$142)/SUM($C$136:$C$143)*100,0)</f>
        <v>0</v>
      </c>
    </row>
    <row r="143" spans="2:115">
      <c r="B143" s="13" t="s">
        <v>1334</v>
      </c>
      <c r="C143" s="22">
        <f>COUNTIFS('Incident'!$T$4:$T$100003,"Poor Housekeeping",'Incident'!$D$4:$D$100003,mCrit,'Incident'!$H$4:$H$100003,dCrit)</f>
        <v>0</v>
      </c>
      <c r="D143" s="26">
        <f>C143+ROW()/100000</f>
        <v>0</v>
      </c>
      <c r="E143" s="13">
        <f>INDEX($B$136:$B$143,MATCH(LARGE($D$136:$D$143,8),$D$136:$D$143,0))</f>
        <v>0</v>
      </c>
      <c r="F143" s="22">
        <f>INT(LARGE($D$136:$D$143,8))</f>
        <v>0</v>
      </c>
      <c r="G143" s="25">
        <f>IFERROR(SUM($F$136:F$143)/SUM($C$136:$C$143)*100,0)</f>
        <v>0</v>
      </c>
    </row>
    <row r="145" spans="2:8">
      <c r="B145" s="12" t="s">
        <v>129</v>
      </c>
      <c r="C145" s="12" t="s">
        <v>1992</v>
      </c>
      <c r="D145" s="12" t="s">
        <v>1932</v>
      </c>
      <c r="E145" s="12" t="s">
        <v>310</v>
      </c>
    </row>
    <row r="146" spans="2:8">
      <c r="B146" s="13" t="s">
        <v>27</v>
      </c>
      <c r="C146" s="22">
        <f>MAX(45,MIN(100,ROUND(100-D146*8-E146*1.5,0)))</f>
        <v>0</v>
      </c>
      <c r="D146" s="22">
        <f>COUNTIFS('Incident'!$N$4:$N$100003,"Lost Time Injury",'Incident'!$D$4:$D$100003,mCrit,'Incident'!$H$4:$H$100003,"Operations")+COUNTIFS('Incident'!$N$4:$N$100003,"Medical Treatment",'Incident'!$D$4:$D$100003,mCrit,'Incident'!$H$4:$H$100003,"Operations")+COUNTIFS('Incident'!$N$4:$N$100003,"Restricted Work",'Incident'!$D$4:$D$100003,mCrit,'Incident'!$H$4:$H$100003,"Operations")+COUNTIFS('Incident'!$N$4:$N$100003,"Fatality",'Incident'!$D$4:$D$100003,mCrit,'Incident'!$H$4:$H$100003,"Operations")</f>
        <v>0</v>
      </c>
      <c r="E146" s="22">
        <f>COUNTIFS('Unsafe Acts'!$D$4:$D$100003,mCrit,'Unsafe Acts'!$F$4:$F$100003,"Operations")+COUNTIFS('Unsafe Conditions'!$D$4:$D$100003,mCrit,'Unsafe Conditions'!$F$4:$F$100003,"Operations")</f>
        <v>0</v>
      </c>
    </row>
    <row r="147" spans="2:8">
      <c r="B147" s="13" t="s">
        <v>92</v>
      </c>
      <c r="C147" s="22">
        <f>MAX(45,MIN(100,ROUND(100-D147*8-E147*1.5,0)))</f>
        <v>0</v>
      </c>
      <c r="D147" s="22">
        <f>COUNTIFS('Incident'!$N$4:$N$100003,"Lost Time Injury",'Incident'!$D$4:$D$100003,mCrit,'Incident'!$H$4:$H$100003,"Maintenance")+COUNTIFS('Incident'!$N$4:$N$100003,"Medical Treatment",'Incident'!$D$4:$D$100003,mCrit,'Incident'!$H$4:$H$100003,"Maintenance")+COUNTIFS('Incident'!$N$4:$N$100003,"Restricted Work",'Incident'!$D$4:$D$100003,mCrit,'Incident'!$H$4:$H$100003,"Maintenance")+COUNTIFS('Incident'!$N$4:$N$100003,"Fatality",'Incident'!$D$4:$D$100003,mCrit,'Incident'!$H$4:$H$100003,"Maintenance")</f>
        <v>0</v>
      </c>
      <c r="E147" s="22">
        <f>COUNTIFS('Unsafe Acts'!$D$4:$D$100003,mCrit,'Unsafe Acts'!$F$4:$F$100003,"Maintenance")+COUNTIFS('Unsafe Conditions'!$D$4:$D$100003,mCrit,'Unsafe Conditions'!$F$4:$F$100003,"Maintenance")</f>
        <v>0</v>
      </c>
    </row>
    <row r="148" spans="2:8">
      <c r="B148" s="13" t="s">
        <v>39</v>
      </c>
      <c r="C148" s="22">
        <f>MAX(45,MIN(100,ROUND(100-D148*8-E148*1.5,0)))</f>
        <v>0</v>
      </c>
      <c r="D148" s="22">
        <f>COUNTIFS('Incident'!$N$4:$N$100003,"Lost Time Injury",'Incident'!$D$4:$D$100003,mCrit,'Incident'!$H$4:$H$100003,"Engineering")+COUNTIFS('Incident'!$N$4:$N$100003,"Medical Treatment",'Incident'!$D$4:$D$100003,mCrit,'Incident'!$H$4:$H$100003,"Engineering")+COUNTIFS('Incident'!$N$4:$N$100003,"Restricted Work",'Incident'!$D$4:$D$100003,mCrit,'Incident'!$H$4:$H$100003,"Engineering")+COUNTIFS('Incident'!$N$4:$N$100003,"Fatality",'Incident'!$D$4:$D$100003,mCrit,'Incident'!$H$4:$H$100003,"Engineering")</f>
        <v>0</v>
      </c>
      <c r="E148" s="22">
        <f>COUNTIFS('Unsafe Acts'!$D$4:$D$100003,mCrit,'Unsafe Acts'!$F$4:$F$100003,"Engineering")+COUNTIFS('Unsafe Conditions'!$D$4:$D$100003,mCrit,'Unsafe Conditions'!$F$4:$F$100003,"Engineering")</f>
        <v>0</v>
      </c>
    </row>
    <row r="149" spans="2:8">
      <c r="B149" s="13" t="s">
        <v>89</v>
      </c>
      <c r="C149" s="22">
        <f>MAX(45,MIN(100,ROUND(100-D149*8-E149*1.5,0)))</f>
        <v>0</v>
      </c>
      <c r="D149" s="22">
        <f>COUNTIFS('Incident'!$N$4:$N$100003,"Lost Time Injury",'Incident'!$D$4:$D$100003,mCrit,'Incident'!$H$4:$H$100003,"Construction")+COUNTIFS('Incident'!$N$4:$N$100003,"Medical Treatment",'Incident'!$D$4:$D$100003,mCrit,'Incident'!$H$4:$H$100003,"Construction")+COUNTIFS('Incident'!$N$4:$N$100003,"Restricted Work",'Incident'!$D$4:$D$100003,mCrit,'Incident'!$H$4:$H$100003,"Construction")+COUNTIFS('Incident'!$N$4:$N$100003,"Fatality",'Incident'!$D$4:$D$100003,mCrit,'Incident'!$H$4:$H$100003,"Construction")</f>
        <v>0</v>
      </c>
      <c r="E149" s="22">
        <f>COUNTIFS('Unsafe Acts'!$D$4:$D$100003,mCrit,'Unsafe Acts'!$F$4:$F$100003,"Construction")+COUNTIFS('Unsafe Conditions'!$D$4:$D$100003,mCrit,'Unsafe Conditions'!$F$4:$F$100003,"Construction")</f>
        <v>0</v>
      </c>
    </row>
    <row r="150" spans="2:8">
      <c r="B150" s="13" t="s">
        <v>65</v>
      </c>
      <c r="C150" s="22">
        <f>MAX(45,MIN(100,ROUND(100-D150*8-E150*1.5,0)))</f>
        <v>0</v>
      </c>
      <c r="D150" s="22">
        <f>COUNTIFS('Incident'!$N$4:$N$100003,"Lost Time Injury",'Incident'!$D$4:$D$100003,mCrit,'Incident'!$H$4:$H$100003,"Safety")+COUNTIFS('Incident'!$N$4:$N$100003,"Medical Treatment",'Incident'!$D$4:$D$100003,mCrit,'Incident'!$H$4:$H$100003,"Safety")+COUNTIFS('Incident'!$N$4:$N$100003,"Restricted Work",'Incident'!$D$4:$D$100003,mCrit,'Incident'!$H$4:$H$100003,"Safety")+COUNTIFS('Incident'!$N$4:$N$100003,"Fatality",'Incident'!$D$4:$D$100003,mCrit,'Incident'!$H$4:$H$100003,"Safety")</f>
        <v>0</v>
      </c>
      <c r="E150" s="22">
        <f>COUNTIFS('Unsafe Acts'!$D$4:$D$100003,mCrit,'Unsafe Acts'!$F$4:$F$100003,"Safety")+COUNTIFS('Unsafe Conditions'!$D$4:$D$100003,mCrit,'Unsafe Conditions'!$F$4:$F$100003,"Safety")</f>
        <v>0</v>
      </c>
    </row>
    <row r="151" spans="2:8">
      <c r="B151" s="13" t="s">
        <v>5</v>
      </c>
      <c r="C151" s="22">
        <f>MAX(45,MIN(100,ROUND(100-D151*8-E151*1.5,0)))</f>
        <v>0</v>
      </c>
      <c r="D151" s="22">
        <f>COUNTIFS('Incident'!$N$4:$N$100003,"Lost Time Injury",'Incident'!$D$4:$D$100003,mCrit,'Incident'!$H$4:$H$100003,"Logistics")+COUNTIFS('Incident'!$N$4:$N$100003,"Medical Treatment",'Incident'!$D$4:$D$100003,mCrit,'Incident'!$H$4:$H$100003,"Logistics")+COUNTIFS('Incident'!$N$4:$N$100003,"Restricted Work",'Incident'!$D$4:$D$100003,mCrit,'Incident'!$H$4:$H$100003,"Logistics")+COUNTIFS('Incident'!$N$4:$N$100003,"Fatality",'Incident'!$D$4:$D$100003,mCrit,'Incident'!$H$4:$H$100003,"Logistics")</f>
        <v>0</v>
      </c>
      <c r="E151" s="22">
        <f>COUNTIFS('Unsafe Acts'!$D$4:$D$100003,mCrit,'Unsafe Acts'!$F$4:$F$100003,"Logistics")+COUNTIFS('Unsafe Conditions'!$D$4:$D$100003,mCrit,'Unsafe Conditions'!$F$4:$F$100003,"Logistics")</f>
        <v>0</v>
      </c>
    </row>
    <row r="152" spans="2:8">
      <c r="B152" s="13" t="s">
        <v>50</v>
      </c>
      <c r="C152" s="22">
        <f>MAX(45,MIN(100,ROUND(100-D152*8-E152*1.5,0)))</f>
        <v>0</v>
      </c>
      <c r="D152" s="22">
        <f>COUNTIFS('Incident'!$N$4:$N$100003,"Lost Time Injury",'Incident'!$D$4:$D$100003,mCrit,'Incident'!$H$4:$H$100003,"Quality")+COUNTIFS('Incident'!$N$4:$N$100003,"Medical Treatment",'Incident'!$D$4:$D$100003,mCrit,'Incident'!$H$4:$H$100003,"Quality")+COUNTIFS('Incident'!$N$4:$N$100003,"Restricted Work",'Incident'!$D$4:$D$100003,mCrit,'Incident'!$H$4:$H$100003,"Quality")+COUNTIFS('Incident'!$N$4:$N$100003,"Fatality",'Incident'!$D$4:$D$100003,mCrit,'Incident'!$H$4:$H$100003,"Quality")</f>
        <v>0</v>
      </c>
      <c r="E152" s="22">
        <f>COUNTIFS('Unsafe Acts'!$D$4:$D$100003,mCrit,'Unsafe Acts'!$F$4:$F$100003,"Quality")+COUNTIFS('Unsafe Conditions'!$D$4:$D$100003,mCrit,'Unsafe Conditions'!$F$4:$F$100003,"Quality")</f>
        <v>0</v>
      </c>
    </row>
    <row r="153" spans="2:8">
      <c r="B153" s="13" t="s">
        <v>46</v>
      </c>
      <c r="C153" s="22">
        <f>MAX(45,MIN(100,ROUND(100-D153*8-E153*1.5,0)))</f>
        <v>0</v>
      </c>
      <c r="D153" s="22">
        <f>COUNTIFS('Incident'!$N$4:$N$100003,"Lost Time Injury",'Incident'!$D$4:$D$100003,mCrit,'Incident'!$H$4:$H$100003,"Admin")+COUNTIFS('Incident'!$N$4:$N$100003,"Medical Treatment",'Incident'!$D$4:$D$100003,mCrit,'Incident'!$H$4:$H$100003,"Admin")+COUNTIFS('Incident'!$N$4:$N$100003,"Restricted Work",'Incident'!$D$4:$D$100003,mCrit,'Incident'!$H$4:$H$100003,"Admin")+COUNTIFS('Incident'!$N$4:$N$100003,"Fatality",'Incident'!$D$4:$D$100003,mCrit,'Incident'!$H$4:$H$100003,"Admin")</f>
        <v>0</v>
      </c>
      <c r="E153" s="22">
        <f>COUNTIFS('Unsafe Acts'!$D$4:$D$100003,mCrit,'Unsafe Acts'!$F$4:$F$100003,"Admin")+COUNTIFS('Unsafe Conditions'!$D$4:$D$100003,mCrit,'Unsafe Conditions'!$F$4:$F$100003,"Admin")</f>
        <v>0</v>
      </c>
    </row>
    <row r="154" spans="2:8">
      <c r="B154" s="13" t="s">
        <v>13</v>
      </c>
      <c r="C154" s="22">
        <f>MAX(45,MIN(100,ROUND(100-D154*8-E154*1.5,0)))</f>
        <v>0</v>
      </c>
      <c r="D154" s="22">
        <f>COUNTIFS('Incident'!$N$4:$N$100003,"Lost Time Injury",'Incident'!$D$4:$D$100003,mCrit,'Incident'!$H$4:$H$100003,"Projects")+COUNTIFS('Incident'!$N$4:$N$100003,"Medical Treatment",'Incident'!$D$4:$D$100003,mCrit,'Incident'!$H$4:$H$100003,"Projects")+COUNTIFS('Incident'!$N$4:$N$100003,"Restricted Work",'Incident'!$D$4:$D$100003,mCrit,'Incident'!$H$4:$H$100003,"Projects")+COUNTIFS('Incident'!$N$4:$N$100003,"Fatality",'Incident'!$D$4:$D$100003,mCrit,'Incident'!$H$4:$H$100003,"Projects")</f>
        <v>0</v>
      </c>
      <c r="E154" s="22">
        <f>COUNTIFS('Unsafe Acts'!$D$4:$D$100003,mCrit,'Unsafe Acts'!$F$4:$F$100003,"Projects")+COUNTIFS('Unsafe Conditions'!$D$4:$D$100003,mCrit,'Unsafe Conditions'!$F$4:$F$100003,"Projects")</f>
        <v>0</v>
      </c>
    </row>
    <row r="155" spans="2:8">
      <c r="B155" s="13" t="s">
        <v>58</v>
      </c>
      <c r="C155" s="22">
        <f>MAX(45,MIN(100,ROUND(100-D155*8-E155*1.5,0)))</f>
        <v>0</v>
      </c>
      <c r="D155" s="22">
        <f>COUNTIFS('Incident'!$N$4:$N$100003,"Lost Time Injury",'Incident'!$D$4:$D$100003,mCrit,'Incident'!$H$4:$H$100003,"Contractor")+COUNTIFS('Incident'!$N$4:$N$100003,"Medical Treatment",'Incident'!$D$4:$D$100003,mCrit,'Incident'!$H$4:$H$100003,"Contractor")+COUNTIFS('Incident'!$N$4:$N$100003,"Restricted Work",'Incident'!$D$4:$D$100003,mCrit,'Incident'!$H$4:$H$100003,"Contractor")+COUNTIFS('Incident'!$N$4:$N$100003,"Fatality",'Incident'!$D$4:$D$100003,mCrit,'Incident'!$H$4:$H$100003,"Contractor")</f>
        <v>0</v>
      </c>
      <c r="E155" s="22">
        <f>COUNTIFS('Unsafe Acts'!$D$4:$D$100003,mCrit,'Unsafe Acts'!$F$4:$F$100003,"Contractor")+COUNTIFS('Unsafe Conditions'!$D$4:$D$100003,mCrit,'Unsafe Conditions'!$F$4:$F$100003,"Contractor")</f>
        <v>0</v>
      </c>
    </row>
    <row r="157" spans="2:8">
      <c r="B157" s="12" t="s">
        <v>1993</v>
      </c>
      <c r="C157" s="12" t="s">
        <v>1994</v>
      </c>
      <c r="D157" s="12" t="s">
        <v>1995</v>
      </c>
      <c r="E157" s="12" t="s">
        <v>1996</v>
      </c>
      <c r="F157" s="12" t="s">
        <v>1997</v>
      </c>
      <c r="G157" s="12" t="s">
        <v>65</v>
      </c>
      <c r="H157" s="12" t="s">
        <v>1998</v>
      </c>
    </row>
    <row r="158" spans="2:8">
      <c r="B158" s="12" t="s">
        <v>151</v>
      </c>
      <c r="C158" s="28">
        <f>COUNTIFS('Incident'!$U$4:$U$100003,"Critical",'Incident'!$D$4:$D$100003,mCrit,'Incident'!$H$4:$H$100003,"Operations")</f>
        <v>0</v>
      </c>
      <c r="D158" s="28">
        <f>COUNTIFS('Incident'!$U$4:$U$100003,"Critical",'Incident'!$D$4:$D$100003,mCrit,'Incident'!$H$4:$H$100003,"Maintenance")</f>
        <v>0</v>
      </c>
      <c r="E158" s="28">
        <f>COUNTIFS('Incident'!$U$4:$U$100003,"Critical",'Incident'!$D$4:$D$100003,mCrit,'Incident'!$H$4:$H$100003,"Engineering")</f>
        <v>0</v>
      </c>
      <c r="F158" s="28">
        <f>COUNTIFS('Incident'!$U$4:$U$100003,"Critical",'Incident'!$D$4:$D$100003,mCrit,'Incident'!$H$4:$H$100003,"Construction")</f>
        <v>0</v>
      </c>
      <c r="G158" s="28">
        <f>COUNTIFS('Incident'!$U$4:$U$100003,"Critical",'Incident'!$D$4:$D$100003,mCrit,'Incident'!$H$4:$H$100003,"Safety")</f>
        <v>0</v>
      </c>
      <c r="H158" s="28">
        <f>COUNTIFS('Incident'!$U$4:$U$100003,"Critical",'Incident'!$D$4:$D$100003,mCrit,'Incident'!$H$4:$H$100003,"Logistics")</f>
        <v>0</v>
      </c>
    </row>
    <row r="159" spans="2:8">
      <c r="B159" s="12" t="s">
        <v>164</v>
      </c>
      <c r="C159" s="28">
        <f>COUNTIFS('Incident'!$U$4:$U$100003,"High",'Incident'!$D$4:$D$100003,mCrit,'Incident'!$H$4:$H$100003,"Operations")</f>
        <v>0</v>
      </c>
      <c r="D159" s="28">
        <f>COUNTIFS('Incident'!$U$4:$U$100003,"High",'Incident'!$D$4:$D$100003,mCrit,'Incident'!$H$4:$H$100003,"Maintenance")</f>
        <v>0</v>
      </c>
      <c r="E159" s="28">
        <f>COUNTIFS('Incident'!$U$4:$U$100003,"High",'Incident'!$D$4:$D$100003,mCrit,'Incident'!$H$4:$H$100003,"Engineering")</f>
        <v>0</v>
      </c>
      <c r="F159" s="28">
        <f>COUNTIFS('Incident'!$U$4:$U$100003,"High",'Incident'!$D$4:$D$100003,mCrit,'Incident'!$H$4:$H$100003,"Construction")</f>
        <v>0</v>
      </c>
      <c r="G159" s="28">
        <f>COUNTIFS('Incident'!$U$4:$U$100003,"High",'Incident'!$D$4:$D$100003,mCrit,'Incident'!$H$4:$H$100003,"Safety")</f>
        <v>0</v>
      </c>
      <c r="H159" s="28">
        <f>COUNTIFS('Incident'!$U$4:$U$100003,"High",'Incident'!$D$4:$D$100003,mCrit,'Incident'!$H$4:$H$100003,"Logistics")</f>
        <v>0</v>
      </c>
    </row>
    <row r="160" spans="2:8">
      <c r="B160" s="12" t="s">
        <v>147</v>
      </c>
      <c r="C160" s="28">
        <f>COUNTIFS('Incident'!$U$4:$U$100003,"Medium",'Incident'!$D$4:$D$100003,mCrit,'Incident'!$H$4:$H$100003,"Operations")</f>
        <v>0</v>
      </c>
      <c r="D160" s="28">
        <f>COUNTIFS('Incident'!$U$4:$U$100003,"Medium",'Incident'!$D$4:$D$100003,mCrit,'Incident'!$H$4:$H$100003,"Maintenance")</f>
        <v>0</v>
      </c>
      <c r="E160" s="28">
        <f>COUNTIFS('Incident'!$U$4:$U$100003,"Medium",'Incident'!$D$4:$D$100003,mCrit,'Incident'!$H$4:$H$100003,"Engineering")</f>
        <v>0</v>
      </c>
      <c r="F160" s="28">
        <f>COUNTIFS('Incident'!$U$4:$U$100003,"Medium",'Incident'!$D$4:$D$100003,mCrit,'Incident'!$H$4:$H$100003,"Construction")</f>
        <v>0</v>
      </c>
      <c r="G160" s="28">
        <f>COUNTIFS('Incident'!$U$4:$U$100003,"Medium",'Incident'!$D$4:$D$100003,mCrit,'Incident'!$H$4:$H$100003,"Safety")</f>
        <v>0</v>
      </c>
      <c r="H160" s="28">
        <f>COUNTIFS('Incident'!$U$4:$U$100003,"Medium",'Incident'!$D$4:$D$100003,mCrit,'Incident'!$H$4:$H$100003,"Logistics")</f>
        <v>0</v>
      </c>
    </row>
    <row r="161" spans="2:8">
      <c r="B161" s="12" t="s">
        <v>142</v>
      </c>
      <c r="C161" s="28">
        <f>COUNTIFS('Incident'!$U$4:$U$100003,"Low",'Incident'!$D$4:$D$100003,mCrit,'Incident'!$H$4:$H$100003,"Operations")</f>
        <v>0</v>
      </c>
      <c r="D161" s="28">
        <f>COUNTIFS('Incident'!$U$4:$U$100003,"Low",'Incident'!$D$4:$D$100003,mCrit,'Incident'!$H$4:$H$100003,"Maintenance")</f>
        <v>0</v>
      </c>
      <c r="E161" s="28">
        <f>COUNTIFS('Incident'!$U$4:$U$100003,"Low",'Incident'!$D$4:$D$100003,mCrit,'Incident'!$H$4:$H$100003,"Engineering")</f>
        <v>0</v>
      </c>
      <c r="F161" s="28">
        <f>COUNTIFS('Incident'!$U$4:$U$100003,"Low",'Incident'!$D$4:$D$100003,mCrit,'Incident'!$H$4:$H$100003,"Construction")</f>
        <v>0</v>
      </c>
      <c r="G161" s="28">
        <f>COUNTIFS('Incident'!$U$4:$U$100003,"Low",'Incident'!$D$4:$D$100003,mCrit,'Incident'!$H$4:$H$100003,"Safety")</f>
        <v>0</v>
      </c>
      <c r="H161" s="28">
        <f>COUNTIFS('Incident'!$U$4:$U$100003,"Low",'Incident'!$D$4:$D$100003,mCrit,'Incident'!$H$4:$H$100003,"Logistics")</f>
        <v>0</v>
      </c>
    </row>
    <row r="162" spans="2:8">
      <c r="B162" s="12" t="s">
        <v>1999</v>
      </c>
      <c r="C162" s="12" t="s">
        <v>1965</v>
      </c>
      <c r="D162" s="12" t="s">
        <v>1984</v>
      </c>
      <c r="E162" s="12" t="s">
        <v>2000</v>
      </c>
      <c r="F162" s="12" t="s">
        <v>2001</v>
      </c>
    </row>
    <row r="163" spans="2:8">
      <c r="B163" s="13" t="s">
        <v>1393</v>
      </c>
      <c r="C163" s="22">
        <f>COUNTIFS('Unsafe Acts'!$E$4:$E$100003,"Bypassing Safety Device",'Unsafe Acts'!$D$4:$D$100003,mCrit,'Unsafe Acts'!$F$4:$F$100003,dCrit)</f>
        <v>0</v>
      </c>
      <c r="D163" s="26">
        <f>C163+ROW()/100000</f>
        <v>0</v>
      </c>
      <c r="E163" s="13">
        <f>INDEX($B$163:$B$172,MATCH(LARGE($D$163:$D$172,1),$D$163:$D$172,0))</f>
        <v>0</v>
      </c>
      <c r="F163" s="22">
        <f>INT(LARGE($D$163:$D$172,1))</f>
        <v>0</v>
      </c>
    </row>
    <row r="164" spans="2:8">
      <c r="B164" s="13" t="s">
        <v>1401</v>
      </c>
      <c r="C164" s="22">
        <f>COUNTIFS('Unsafe Acts'!$E$4:$E$100003,"Not Using PPE",'Unsafe Acts'!$D$4:$D$100003,mCrit,'Unsafe Acts'!$F$4:$F$100003,dCrit)</f>
        <v>0</v>
      </c>
      <c r="D164" s="26">
        <f>C164+ROW()/100000</f>
        <v>0</v>
      </c>
      <c r="E164" s="13">
        <f>INDEX($B$163:$B$172,MATCH(LARGE($D$163:$D$172,2),$D$163:$D$172,0))</f>
        <v>0</v>
      </c>
      <c r="F164" s="22">
        <f>INT(LARGE($D$163:$D$172,2))</f>
        <v>0</v>
      </c>
    </row>
    <row r="165" spans="2:8">
      <c r="B165" s="13" t="s">
        <v>1391</v>
      </c>
      <c r="C165" s="22">
        <f>COUNTIFS('Unsafe Acts'!$E$4:$E$100003,"Improper Lifting Technique",'Unsafe Acts'!$D$4:$D$100003,mCrit,'Unsafe Acts'!$F$4:$F$100003,dCrit)</f>
        <v>0</v>
      </c>
      <c r="D165" s="26">
        <f>C165+ROW()/100000</f>
        <v>0</v>
      </c>
      <c r="E165" s="13">
        <f>INDEX($B$163:$B$172,MATCH(LARGE($D$163:$D$172,3),$D$163:$D$172,0))</f>
        <v>0</v>
      </c>
      <c r="F165" s="22">
        <f>INT(LARGE($D$163:$D$172,3))</f>
        <v>0</v>
      </c>
    </row>
    <row r="166" spans="2:8">
      <c r="B166" s="13" t="s">
        <v>1423</v>
      </c>
      <c r="C166" s="22">
        <f>COUNTIFS('Unsafe Acts'!$E$4:$E$100003,"Working Without Permit",'Unsafe Acts'!$D$4:$D$100003,mCrit,'Unsafe Acts'!$F$4:$F$100003,dCrit)</f>
        <v>0</v>
      </c>
      <c r="D166" s="26">
        <f>C166+ROW()/100000</f>
        <v>0</v>
      </c>
      <c r="E166" s="13">
        <f>INDEX($B$163:$B$172,MATCH(LARGE($D$163:$D$172,4),$D$163:$D$172,0))</f>
        <v>0</v>
      </c>
      <c r="F166" s="22">
        <f>INT(LARGE($D$163:$D$172,4))</f>
        <v>0</v>
      </c>
    </row>
    <row r="167" spans="2:8">
      <c r="B167" s="13" t="s">
        <v>1386</v>
      </c>
      <c r="C167" s="22">
        <f>COUNTIFS('Unsafe Acts'!$E$4:$E$100003,"Operating Without Authorization",'Unsafe Acts'!$D$4:$D$100003,mCrit,'Unsafe Acts'!$F$4:$F$100003,dCrit)</f>
        <v>0</v>
      </c>
      <c r="D167" s="26">
        <f>C167+ROW()/100000</f>
        <v>0</v>
      </c>
      <c r="E167" s="13">
        <f>INDEX($B$163:$B$172,MATCH(LARGE($D$163:$D$172,5),$D$163:$D$172,0))</f>
        <v>0</v>
      </c>
      <c r="F167" s="22">
        <f>INT(LARGE($D$163:$D$172,5))</f>
        <v>0</v>
      </c>
    </row>
    <row r="168" spans="2:8">
      <c r="B168" s="13" t="s">
        <v>1395</v>
      </c>
      <c r="C168" s="22">
        <f>COUNTIFS('Unsafe Acts'!$E$4:$E$100003,"Using Defective Equipment",'Unsafe Acts'!$D$4:$D$100003,mCrit,'Unsafe Acts'!$F$4:$F$100003,dCrit)</f>
        <v>0</v>
      </c>
      <c r="D168" s="26">
        <f>C168+ROW()/100000</f>
        <v>0</v>
      </c>
      <c r="E168" s="13">
        <f>INDEX($B$163:$B$172,MATCH(LARGE($D$163:$D$172,6),$D$163:$D$172,0))</f>
        <v>0</v>
      </c>
      <c r="F168" s="22">
        <f>INT(LARGE($D$163:$D$172,6))</f>
        <v>0</v>
      </c>
    </row>
    <row r="169" spans="2:8">
      <c r="B169" s="13" t="s">
        <v>1398</v>
      </c>
      <c r="C169" s="22">
        <f>COUNTIFS('Unsafe Acts'!$E$4:$E$100003,"Horseplay",'Unsafe Acts'!$D$4:$D$100003,mCrit,'Unsafe Acts'!$F$4:$F$100003,dCrit)</f>
        <v>0</v>
      </c>
      <c r="D169" s="26">
        <f>C169+ROW()/100000</f>
        <v>0</v>
      </c>
      <c r="E169" s="13">
        <f>INDEX($B$163:$B$172,MATCH(LARGE($D$163:$D$172,7),$D$163:$D$172,0))</f>
        <v>0</v>
      </c>
      <c r="F169" s="22">
        <f>INT(LARGE($D$163:$D$172,7))</f>
        <v>0</v>
      </c>
    </row>
    <row r="170" spans="2:8">
      <c r="B170" s="13" t="s">
        <v>1388</v>
      </c>
      <c r="C170" s="22">
        <f>COUNTIFS('Unsafe Acts'!$E$4:$E$100003,"Wrong Tool for the Job",'Unsafe Acts'!$D$4:$D$100003,mCrit,'Unsafe Acts'!$F$4:$F$100003,dCrit)</f>
        <v>0</v>
      </c>
      <c r="D170" s="26">
        <f>C170+ROW()/100000</f>
        <v>0</v>
      </c>
      <c r="E170" s="13">
        <f>INDEX($B$163:$B$172,MATCH(LARGE($D$163:$D$172,8),$D$163:$D$172,0))</f>
        <v>0</v>
      </c>
      <c r="F170" s="22">
        <f>INT(LARGE($D$163:$D$172,8))</f>
        <v>0</v>
      </c>
    </row>
    <row r="171" spans="2:8">
      <c r="B171" s="13" t="s">
        <v>1411</v>
      </c>
      <c r="C171" s="22">
        <f>COUNTIFS('Unsafe Acts'!$E$4:$E$100003,"LOTO Not Followed",'Unsafe Acts'!$D$4:$D$100003,mCrit,'Unsafe Acts'!$F$4:$F$100003,dCrit)</f>
        <v>0</v>
      </c>
      <c r="D171" s="26">
        <f>C171+ROW()/100000</f>
        <v>0</v>
      </c>
      <c r="E171" s="13">
        <f>INDEX($B$163:$B$172,MATCH(LARGE($D$163:$D$172,9),$D$163:$D$172,0))</f>
        <v>0</v>
      </c>
      <c r="F171" s="22">
        <f>INT(LARGE($D$163:$D$172,9))</f>
        <v>0</v>
      </c>
    </row>
    <row r="172" spans="2:8">
      <c r="B172" s="13" t="s">
        <v>1418</v>
      </c>
      <c r="C172" s="22">
        <f>COUNTIFS('Unsafe Acts'!$E$4:$E$100003,"Vehicle/Forklift Overspeeding",'Unsafe Acts'!$D$4:$D$100003,mCrit,'Unsafe Acts'!$F$4:$F$100003,dCrit)</f>
        <v>0</v>
      </c>
      <c r="D172" s="26">
        <f>C172+ROW()/100000</f>
        <v>0</v>
      </c>
      <c r="E172" s="13">
        <f>INDEX($B$163:$B$172,MATCH(LARGE($D$163:$D$172,10),$D$163:$D$172,0))</f>
        <v>0</v>
      </c>
      <c r="F172" s="22">
        <f>INT(LARGE($D$163:$D$172,10))</f>
        <v>0</v>
      </c>
    </row>
    <row r="174" spans="2:8">
      <c r="B174" s="12" t="s">
        <v>2002</v>
      </c>
      <c r="C174" s="12" t="s">
        <v>1965</v>
      </c>
      <c r="D174" s="12" t="s">
        <v>1984</v>
      </c>
      <c r="E174" s="12" t="s">
        <v>2000</v>
      </c>
      <c r="F174" s="12" t="s">
        <v>2001</v>
      </c>
    </row>
    <row r="175" spans="2:8">
      <c r="B175" s="13" t="s">
        <v>1455</v>
      </c>
      <c r="C175" s="22">
        <f>COUNTIFS('Unsafe Conditions'!$E$4:$E$100003,"Slippery Floor",'Unsafe Conditions'!$D$4:$D$100003,mCrit,'Unsafe Conditions'!$F$4:$F$100003,dCrit)</f>
        <v>0</v>
      </c>
      <c r="D175" s="26">
        <f>C175+ROW()/100000</f>
        <v>0</v>
      </c>
      <c r="E175" s="13">
        <f>INDEX($B$175:$B$184,MATCH(LARGE($D$175:$D$184,1),$D$175:$D$184,0))</f>
        <v>0</v>
      </c>
      <c r="F175" s="22">
        <f>INT(LARGE($D$175:$D$184,1))</f>
        <v>0</v>
      </c>
    </row>
    <row r="176" spans="2:8">
      <c r="B176" s="13" t="s">
        <v>1334</v>
      </c>
      <c r="C176" s="22">
        <f>COUNTIFS('Unsafe Conditions'!$E$4:$E$100003,"Poor Housekeeping",'Unsafe Conditions'!$D$4:$D$100003,mCrit,'Unsafe Conditions'!$F$4:$F$100003,dCrit)</f>
        <v>0</v>
      </c>
      <c r="D176" s="26">
        <f>C176+ROW()/100000</f>
        <v>0</v>
      </c>
      <c r="E176" s="13">
        <f>INDEX($B$175:$B$184,MATCH(LARGE($D$175:$D$184,2),$D$175:$D$184,0))</f>
        <v>0</v>
      </c>
      <c r="F176" s="22">
        <f>INT(LARGE($D$175:$D$184,2))</f>
        <v>0</v>
      </c>
    </row>
    <row r="177" spans="2:6">
      <c r="B177" s="13" t="s">
        <v>1448</v>
      </c>
      <c r="C177" s="22">
        <f>COUNTIFS('Unsafe Conditions'!$E$4:$E$100003,"Inadequate Lighting",'Unsafe Conditions'!$D$4:$D$100003,mCrit,'Unsafe Conditions'!$F$4:$F$100003,dCrit)</f>
        <v>0</v>
      </c>
      <c r="D177" s="26">
        <f>C177+ROW()/100000</f>
        <v>0</v>
      </c>
      <c r="E177" s="13">
        <f>INDEX($B$175:$B$184,MATCH(LARGE($D$175:$D$184,3),$D$175:$D$184,0))</f>
        <v>0</v>
      </c>
      <c r="F177" s="22">
        <f>INT(LARGE($D$175:$D$184,3))</f>
        <v>0</v>
      </c>
    </row>
    <row r="178" spans="2:6">
      <c r="B178" s="13" t="s">
        <v>1463</v>
      </c>
      <c r="C178" s="22">
        <f>COUNTIFS('Unsafe Conditions'!$E$4:$E$100003,"Damaged Machine Guard",'Unsafe Conditions'!$D$4:$D$100003,mCrit,'Unsafe Conditions'!$F$4:$F$100003,dCrit)</f>
        <v>0</v>
      </c>
      <c r="D178" s="26">
        <f>C178+ROW()/100000</f>
        <v>0</v>
      </c>
      <c r="E178" s="13">
        <f>INDEX($B$175:$B$184,MATCH(LARGE($D$175:$D$184,4),$D$175:$D$184,0))</f>
        <v>0</v>
      </c>
      <c r="F178" s="22">
        <f>INT(LARGE($D$175:$D$184,4))</f>
        <v>0</v>
      </c>
    </row>
    <row r="179" spans="2:6">
      <c r="B179" s="13" t="s">
        <v>1451</v>
      </c>
      <c r="C179" s="22">
        <f>COUNTIFS('Unsafe Conditions'!$E$4:$E$100003,"Exposed Wiring",'Unsafe Conditions'!$D$4:$D$100003,mCrit,'Unsafe Conditions'!$F$4:$F$100003,dCrit)</f>
        <v>0</v>
      </c>
      <c r="D179" s="26">
        <f>C179+ROW()/100000</f>
        <v>0</v>
      </c>
      <c r="E179" s="13">
        <f>INDEX($B$175:$B$184,MATCH(LARGE($D$175:$D$184,5),$D$175:$D$184,0))</f>
        <v>0</v>
      </c>
      <c r="F179" s="22">
        <f>INT(LARGE($D$175:$D$184,5))</f>
        <v>0</v>
      </c>
    </row>
    <row r="180" spans="2:6">
      <c r="B180" s="13" t="s">
        <v>1465</v>
      </c>
      <c r="C180" s="22">
        <f>COUNTIFS('Unsafe Conditions'!$E$4:$E$100003,"Blocked Walkway/Aisle",'Unsafe Conditions'!$D$4:$D$100003,mCrit,'Unsafe Conditions'!$F$4:$F$100003,dCrit)</f>
        <v>0</v>
      </c>
      <c r="D180" s="26">
        <f>C180+ROW()/100000</f>
        <v>0</v>
      </c>
      <c r="E180" s="13">
        <f>INDEX($B$175:$B$184,MATCH(LARGE($D$175:$D$184,6),$D$175:$D$184,0))</f>
        <v>0</v>
      </c>
      <c r="F180" s="22">
        <f>INT(LARGE($D$175:$D$184,6))</f>
        <v>0</v>
      </c>
    </row>
    <row r="181" spans="2:6">
      <c r="B181" s="13" t="s">
        <v>1453</v>
      </c>
      <c r="C181" s="22">
        <f>COUNTIFS('Unsafe Conditions'!$E$4:$E$100003,"Missing Signage",'Unsafe Conditions'!$D$4:$D$100003,mCrit,'Unsafe Conditions'!$F$4:$F$100003,dCrit)</f>
        <v>0</v>
      </c>
      <c r="D181" s="26">
        <f>C181+ROW()/100000</f>
        <v>0</v>
      </c>
      <c r="E181" s="13">
        <f>INDEX($B$175:$B$184,MATCH(LARGE($D$175:$D$184,7),$D$175:$D$184,0))</f>
        <v>0</v>
      </c>
      <c r="F181" s="22">
        <f>INT(LARGE($D$175:$D$184,7))</f>
        <v>0</v>
      </c>
    </row>
    <row r="182" spans="2:6">
      <c r="B182" s="13" t="s">
        <v>1473</v>
      </c>
      <c r="C182" s="22">
        <f>COUNTIFS('Unsafe Conditions'!$E$4:$E$100003,"Chemical Leak",'Unsafe Conditions'!$D$4:$D$100003,mCrit,'Unsafe Conditions'!$F$4:$F$100003,dCrit)</f>
        <v>0</v>
      </c>
      <c r="D182" s="26">
        <f>C182+ROW()/100000</f>
        <v>0</v>
      </c>
      <c r="E182" s="13">
        <f>INDEX($B$175:$B$184,MATCH(LARGE($D$175:$D$184,8),$D$175:$D$184,0))</f>
        <v>0</v>
      </c>
      <c r="F182" s="22">
        <f>INT(LARGE($D$175:$D$184,8))</f>
        <v>0</v>
      </c>
    </row>
    <row r="183" spans="2:6">
      <c r="B183" s="13" t="s">
        <v>1458</v>
      </c>
      <c r="C183" s="22">
        <f>COUNTIFS('Unsafe Conditions'!$E$4:$E$100003,"Faulty Ladder/Scaffold",'Unsafe Conditions'!$D$4:$D$100003,mCrit,'Unsafe Conditions'!$F$4:$F$100003,dCrit)</f>
        <v>0</v>
      </c>
      <c r="D183" s="26">
        <f>C183+ROW()/100000</f>
        <v>0</v>
      </c>
      <c r="E183" s="13">
        <f>INDEX($B$175:$B$184,MATCH(LARGE($D$175:$D$184,9),$D$175:$D$184,0))</f>
        <v>0</v>
      </c>
      <c r="F183" s="22">
        <f>INT(LARGE($D$175:$D$184,9))</f>
        <v>0</v>
      </c>
    </row>
    <row r="184" spans="2:6">
      <c r="B184" s="13" t="s">
        <v>1467</v>
      </c>
      <c r="C184" s="22">
        <f>COUNTIFS('Unsafe Conditions'!$E$4:$E$100003,"Blocked Fire Exit",'Unsafe Conditions'!$D$4:$D$100003,mCrit,'Unsafe Conditions'!$F$4:$F$100003,dCrit)</f>
        <v>0</v>
      </c>
      <c r="D184" s="26">
        <f>C184+ROW()/100000</f>
        <v>0</v>
      </c>
      <c r="E184" s="13">
        <f>INDEX($B$175:$B$184,MATCH(LARGE($D$175:$D$184,10),$D$175:$D$184,0))</f>
        <v>0</v>
      </c>
      <c r="F184" s="22">
        <f>INT(LARGE($D$175:$D$184,10))</f>
        <v>0</v>
      </c>
    </row>
    <row r="186" spans="2:6">
      <c r="B186" s="12" t="s">
        <v>2003</v>
      </c>
      <c r="C186" s="12" t="s">
        <v>1965</v>
      </c>
      <c r="D186" s="12" t="s">
        <v>1984</v>
      </c>
      <c r="E186" s="12" t="s">
        <v>2000</v>
      </c>
      <c r="F186" s="12" t="s">
        <v>2001</v>
      </c>
    </row>
    <row r="187" spans="2:6">
      <c r="B187" s="13" t="s">
        <v>87</v>
      </c>
      <c r="C187" s="22">
        <f>COUNTIFS('Incident'!$I$4:$I$100003,"Plant A",'Incident'!$D$4:$D$100003,mCrit,'Incident'!$H$4:$H$100003,dCrit)</f>
        <v>0</v>
      </c>
      <c r="D187" s="26">
        <f>C187+ROW()/100000</f>
        <v>0</v>
      </c>
      <c r="E187" s="13">
        <f>INDEX($B$187:$B$196,MATCH(LARGE($D$187:$D$196,1),$D$187:$D$196,0))</f>
        <v>0</v>
      </c>
      <c r="F187" s="22">
        <f>INT(LARGE($D$187:$D$196,1))</f>
        <v>0</v>
      </c>
    </row>
    <row r="188" spans="2:6">
      <c r="B188" s="13" t="s">
        <v>77</v>
      </c>
      <c r="C188" s="22">
        <f>COUNTIFS('Incident'!$I$4:$I$100003,"Plant B",'Incident'!$D$4:$D$100003,mCrit,'Incident'!$H$4:$H$100003,dCrit)</f>
        <v>0</v>
      </c>
      <c r="D188" s="26">
        <f>C188+ROW()/100000</f>
        <v>0</v>
      </c>
      <c r="E188" s="13">
        <f>INDEX($B$187:$B$196,MATCH(LARGE($D$187:$D$196,2),$D$187:$D$196,0))</f>
        <v>0</v>
      </c>
      <c r="F188" s="22">
        <f>INT(LARGE($D$187:$D$196,2))</f>
        <v>0</v>
      </c>
    </row>
    <row r="189" spans="2:6">
      <c r="B189" s="13" t="s">
        <v>95</v>
      </c>
      <c r="C189" s="22">
        <f>COUNTIFS('Incident'!$I$4:$I$100003,"Warehouse",'Incident'!$D$4:$D$100003,mCrit,'Incident'!$H$4:$H$100003,dCrit)</f>
        <v>0</v>
      </c>
      <c r="D189" s="26">
        <f>C189+ROW()/100000</f>
        <v>0</v>
      </c>
      <c r="E189" s="13">
        <f>INDEX($B$187:$B$196,MATCH(LARGE($D$187:$D$196,3),$D$187:$D$196,0))</f>
        <v>0</v>
      </c>
      <c r="F189" s="22">
        <f>INT(LARGE($D$187:$D$196,3))</f>
        <v>0</v>
      </c>
    </row>
    <row r="190" spans="2:6">
      <c r="B190" s="13" t="s">
        <v>82</v>
      </c>
      <c r="C190" s="22">
        <f>COUNTIFS('Incident'!$I$4:$I$100003,"Workshop",'Incident'!$D$4:$D$100003,mCrit,'Incident'!$H$4:$H$100003,dCrit)</f>
        <v>0</v>
      </c>
      <c r="D190" s="26">
        <f>C190+ROW()/100000</f>
        <v>0</v>
      </c>
      <c r="E190" s="13">
        <f>INDEX($B$187:$B$196,MATCH(LARGE($D$187:$D$196,4),$D$187:$D$196,0))</f>
        <v>0</v>
      </c>
      <c r="F190" s="22">
        <f>INT(LARGE($D$187:$D$196,4))</f>
        <v>0</v>
      </c>
    </row>
    <row r="191" spans="2:6">
      <c r="B191" s="13" t="s">
        <v>80</v>
      </c>
      <c r="C191" s="22">
        <f>COUNTIFS('Incident'!$I$4:$I$100003,"Field Site",'Incident'!$D$4:$D$100003,mCrit,'Incident'!$H$4:$H$100003,dCrit)</f>
        <v>0</v>
      </c>
      <c r="D191" s="26">
        <f>C191+ROW()/100000</f>
        <v>0</v>
      </c>
      <c r="E191" s="13">
        <f>INDEX($B$187:$B$196,MATCH(LARGE($D$187:$D$196,5),$D$187:$D$196,0))</f>
        <v>0</v>
      </c>
      <c r="F191" s="22">
        <f>INT(LARGE($D$187:$D$196,5))</f>
        <v>0</v>
      </c>
    </row>
    <row r="192" spans="2:6">
      <c r="B192" s="13" t="s">
        <v>31</v>
      </c>
      <c r="C192" s="22">
        <f>COUNTIFS('Incident'!$I$4:$I$100003,"Control Room",'Incident'!$D$4:$D$100003,mCrit,'Incident'!$H$4:$H$100003,dCrit)</f>
        <v>0</v>
      </c>
      <c r="D192" s="26">
        <f>C192+ROW()/100000</f>
        <v>0</v>
      </c>
      <c r="E192" s="13">
        <f>INDEX($B$187:$B$196,MATCH(LARGE($D$187:$D$196,6),$D$187:$D$196,0))</f>
        <v>0</v>
      </c>
      <c r="F192" s="22">
        <f>INT(LARGE($D$187:$D$196,6))</f>
        <v>0</v>
      </c>
    </row>
    <row r="193" spans="2:6">
      <c r="B193" s="13" t="s">
        <v>40</v>
      </c>
      <c r="C193" s="22">
        <f>COUNTIFS('Incident'!$I$4:$I$100003,"Office",'Incident'!$D$4:$D$100003,mCrit,'Incident'!$H$4:$H$100003,dCrit)</f>
        <v>0</v>
      </c>
      <c r="D193" s="26">
        <f>C193+ROW()/100000</f>
        <v>0</v>
      </c>
      <c r="E193" s="13">
        <f>INDEX($B$187:$B$196,MATCH(LARGE($D$187:$D$196,7),$D$187:$D$196,0))</f>
        <v>0</v>
      </c>
      <c r="F193" s="22">
        <f>INT(LARGE($D$187:$D$196,7))</f>
        <v>0</v>
      </c>
    </row>
    <row r="194" spans="2:6">
      <c r="B194" s="13" t="s">
        <v>51</v>
      </c>
      <c r="C194" s="22">
        <f>COUNTIFS('Incident'!$I$4:$I$100003,"Tank Farm",'Incident'!$D$4:$D$100003,mCrit,'Incident'!$H$4:$H$100003,dCrit)</f>
        <v>0</v>
      </c>
      <c r="D194" s="26">
        <f>C194+ROW()/100000</f>
        <v>0</v>
      </c>
      <c r="E194" s="13">
        <f>INDEX($B$187:$B$196,MATCH(LARGE($D$187:$D$196,8),$D$187:$D$196,0))</f>
        <v>0</v>
      </c>
      <c r="F194" s="22">
        <f>INT(LARGE($D$187:$D$196,8))</f>
        <v>0</v>
      </c>
    </row>
    <row r="195" spans="2:6">
      <c r="B195" s="13" t="s">
        <v>6</v>
      </c>
      <c r="C195" s="22">
        <f>COUNTIFS('Incident'!$I$4:$I$100003,"Boiler House",'Incident'!$D$4:$D$100003,mCrit,'Incident'!$H$4:$H$100003,dCrit)</f>
        <v>0</v>
      </c>
      <c r="D195" s="26">
        <f>C195+ROW()/100000</f>
        <v>0</v>
      </c>
      <c r="E195" s="13">
        <f>INDEX($B$187:$B$196,MATCH(LARGE($D$187:$D$196,9),$D$187:$D$196,0))</f>
        <v>0</v>
      </c>
      <c r="F195" s="22">
        <f>INT(LARGE($D$187:$D$196,9))</f>
        <v>0</v>
      </c>
    </row>
    <row r="196" spans="2:6">
      <c r="B196" s="13" t="s">
        <v>14</v>
      </c>
      <c r="C196" s="22">
        <f>COUNTIFS('Incident'!$I$4:$I$100003,"ETP Plant",'Incident'!$D$4:$D$100003,mCrit,'Incident'!$H$4:$H$100003,dCrit)</f>
        <v>0</v>
      </c>
      <c r="D196" s="26">
        <f>C196+ROW()/100000</f>
        <v>0</v>
      </c>
      <c r="E196" s="13">
        <f>INDEX($B$187:$B$196,MATCH(LARGE($D$187:$D$196,10),$D$187:$D$196,0))</f>
        <v>0</v>
      </c>
      <c r="F196" s="22">
        <f>INT(LARGE($D$187:$D$196,10))</f>
        <v>0</v>
      </c>
    </row>
    <row r="198" spans="2:6">
      <c r="B198" s="12" t="s">
        <v>2004</v>
      </c>
      <c r="C198" s="12" t="s">
        <v>1924</v>
      </c>
      <c r="D198" s="12" t="s">
        <v>1923</v>
      </c>
    </row>
    <row r="199" spans="2:6">
      <c r="B199" s="13" t="s">
        <v>1780</v>
      </c>
      <c r="C199" s="25">
        <f>Calculations!$DL$29</f>
        <v>0</v>
      </c>
      <c r="D199" s="25">
        <f>Calculations!$DP$29</f>
        <v>0</v>
      </c>
    </row>
    <row r="200" spans="2:6">
      <c r="B200" s="13" t="s">
        <v>1961</v>
      </c>
      <c r="C200" s="25">
        <f>Calculations!$DL$55</f>
        <v>0</v>
      </c>
      <c r="D200" s="25">
        <f>Calculations!$DP$55</f>
        <v>0</v>
      </c>
    </row>
    <row r="201" spans="2:6">
      <c r="B201" s="13" t="s">
        <v>1781</v>
      </c>
      <c r="C201" s="25">
        <f>Calculations!$DL$31</f>
        <v>0</v>
      </c>
      <c r="D201" s="25">
        <f>Calculations!$DP$31</f>
        <v>0</v>
      </c>
    </row>
    <row r="202" spans="2:6">
      <c r="B202" s="13" t="s">
        <v>2005</v>
      </c>
      <c r="C202" s="25">
        <f>Calculations!$DL$33</f>
        <v>0</v>
      </c>
      <c r="D202" s="25">
        <f>Calculations!$DP$33</f>
        <v>0</v>
      </c>
    </row>
    <row r="203" spans="2:6">
      <c r="B203" s="13" t="s">
        <v>1797</v>
      </c>
      <c r="C203" s="25">
        <f>Calculations!$DL$57</f>
        <v>0</v>
      </c>
      <c r="D203" s="25">
        <f>Calculations!$DP$57</f>
        <v>0</v>
      </c>
    </row>
    <row r="204" spans="2:6">
      <c r="B204" s="13" t="s">
        <v>2006</v>
      </c>
      <c r="C204" s="25">
        <f>Calculations!$DL$22</f>
        <v>0</v>
      </c>
      <c r="D204" s="25">
        <f>Calculations!$DP$22</f>
        <v>0</v>
      </c>
    </row>
    <row r="205" spans="2:6">
      <c r="B205" s="13" t="s">
        <v>1948</v>
      </c>
      <c r="C205" s="25">
        <f>Calculations!$DL$40</f>
        <v>0</v>
      </c>
      <c r="D205" s="25">
        <f>Calculations!$DP$40</f>
        <v>0</v>
      </c>
    </row>
    <row r="206" spans="2:6">
      <c r="B206" s="13" t="s">
        <v>1957</v>
      </c>
      <c r="C206" s="25">
        <f>Calculations!$DL$59</f>
        <v>0</v>
      </c>
      <c r="D206" s="25">
        <f>Calculations!$DP$59</f>
        <v>0</v>
      </c>
    </row>
    <row r="208" spans="2:6">
      <c r="B208" s="12" t="s">
        <v>646</v>
      </c>
      <c r="C208" s="12" t="s">
        <v>2007</v>
      </c>
    </row>
    <row r="209" spans="2:7">
      <c r="B209" s="13" t="s">
        <v>604</v>
      </c>
      <c r="C209" s="25">
        <f>IFERROR(AVERAGEIFS('Safety Bulletins'!$N$4:$N$100003,'Safety Bulletins'!$I$4:$I$100003,"Email",'Safety Bulletins'!$D$4:$D$100003,mCrit),0)</f>
        <v>0</v>
      </c>
    </row>
    <row r="210" spans="2:7">
      <c r="B210" s="13" t="s">
        <v>581</v>
      </c>
      <c r="C210" s="25">
        <f>IFERROR(AVERAGEIFS('Safety Bulletins'!$N$4:$N$100003,'Safety Bulletins'!$I$4:$I$100003,"Notice Board",'Safety Bulletins'!$D$4:$D$100003,mCrit),0)</f>
        <v>0</v>
      </c>
    </row>
    <row r="211" spans="2:7">
      <c r="B211" s="13" t="s">
        <v>585</v>
      </c>
      <c r="C211" s="25">
        <f>IFERROR(AVERAGEIFS('Safety Bulletins'!$N$4:$N$100003,'Safety Bulletins'!$I$4:$I$100003,"App Notification",'Safety Bulletins'!$D$4:$D$100003,mCrit),0)</f>
        <v>0</v>
      </c>
    </row>
    <row r="212" spans="2:7">
      <c r="B212" s="13" t="s">
        <v>589</v>
      </c>
      <c r="C212" s="25">
        <f>IFERROR(AVERAGEIFS('Safety Bulletins'!$N$4:$N$100003,'Safety Bulletins'!$I$4:$I$100003,"All Channels",'Safety Bulletins'!$D$4:$D$100003,mCrit),0)</f>
        <v>0</v>
      </c>
    </row>
    <row r="214" spans="2:7">
      <c r="B214" s="12" t="s">
        <v>2008</v>
      </c>
      <c r="C214" s="12" t="s">
        <v>2009</v>
      </c>
    </row>
    <row r="215" spans="2:7">
      <c r="B215" s="13" t="s">
        <v>30</v>
      </c>
      <c r="C215" s="25">
        <f>IFERROR(AVERAGEIFS('PTW Audits'!$L$4:$L$100003,'PTW Audits'!$E$4:$E$100003,"Hot Work",'PTW Audits'!$D$4:$D$100003,mCrit),0)</f>
        <v>0</v>
      </c>
    </row>
    <row r="216" spans="2:7">
      <c r="B216" s="13" t="s">
        <v>61</v>
      </c>
      <c r="C216" s="25">
        <f>IFERROR(AVERAGEIFS('PTW Audits'!$L$4:$L$100003,'PTW Audits'!$E$4:$E$100003,"Confined Space",'PTW Audits'!$D$4:$D$100003,mCrit),0)</f>
        <v>0</v>
      </c>
    </row>
    <row r="217" spans="2:7">
      <c r="B217" s="13" t="s">
        <v>1208</v>
      </c>
      <c r="C217" s="25">
        <f>IFERROR(AVERAGEIFS('PTW Audits'!$L$4:$L$100003,'PTW Audits'!$E$4:$E$100003,"Working at Height",'PTW Audits'!$D$4:$D$100003,mCrit),0)</f>
        <v>0</v>
      </c>
    </row>
    <row r="218" spans="2:7">
      <c r="B218" s="13" t="s">
        <v>1203</v>
      </c>
      <c r="C218" s="25">
        <f>IFERROR(AVERAGEIFS('PTW Audits'!$L$4:$L$100003,'PTW Audits'!$E$4:$E$100003,"Electrical",'PTW Audits'!$D$4:$D$100003,mCrit),0)</f>
        <v>0</v>
      </c>
    </row>
    <row r="219" spans="2:7">
      <c r="B219" s="13" t="s">
        <v>1218</v>
      </c>
      <c r="C219" s="25">
        <f>IFERROR(AVERAGEIFS('PTW Audits'!$L$4:$L$100003,'PTW Audits'!$E$4:$E$100003,"Cold Work",'PTW Audits'!$D$4:$D$100003,mCrit),0)</f>
        <v>0</v>
      </c>
    </row>
    <row r="220" spans="2:7">
      <c r="B220" s="13" t="s">
        <v>1200</v>
      </c>
      <c r="C220" s="25">
        <f>IFERROR(AVERAGEIFS('PTW Audits'!$L$4:$L$100003,'PTW Audits'!$E$4:$E$100003,"Lifting",'PTW Audits'!$D$4:$D$100003,mCrit),0)</f>
        <v>0</v>
      </c>
    </row>
    <row r="221" spans="2:7">
      <c r="B221" s="13" t="s">
        <v>1212</v>
      </c>
      <c r="C221" s="25">
        <f>IFERROR(AVERAGEIFS('PTW Audits'!$L$4:$L$100003,'PTW Audits'!$E$4:$E$100003,"Excavation",'PTW Audits'!$D$4:$D$100003,mCrit),0)</f>
        <v>0</v>
      </c>
    </row>
    <row r="223" spans="2:7">
      <c r="B223" s="12" t="s">
        <v>2010</v>
      </c>
      <c r="C223" s="12">
        <v>1</v>
      </c>
      <c r="D223" s="12">
        <v>2</v>
      </c>
      <c r="E223" s="12">
        <v>3</v>
      </c>
      <c r="F223" s="12">
        <v>4</v>
      </c>
      <c r="G223" s="12">
        <v>5</v>
      </c>
    </row>
    <row r="224" spans="2:7">
      <c r="B224" s="12">
        <v>5</v>
      </c>
      <c r="C224" s="28">
        <f>COUNTIFS('JSA Risk Assessment'!$P$4:$P$100003,5,'JSA Risk Assessment'!$Q$4:$Q$100003,1,'JSA Risk Assessment'!$D$4:$D$100003,mCrit,'JSA Risk Assessment'!$F$4:$F$100003,dCrit)</f>
        <v>0</v>
      </c>
      <c r="D224" s="28">
        <f>COUNTIFS('JSA Risk Assessment'!$P$4:$P$100003,5,'JSA Risk Assessment'!$Q$4:$Q$100003,2,'JSA Risk Assessment'!$D$4:$D$100003,mCrit,'JSA Risk Assessment'!$F$4:$F$100003,dCrit)</f>
        <v>0</v>
      </c>
      <c r="E224" s="28">
        <f>COUNTIFS('JSA Risk Assessment'!$P$4:$P$100003,5,'JSA Risk Assessment'!$Q$4:$Q$100003,3,'JSA Risk Assessment'!$D$4:$D$100003,mCrit,'JSA Risk Assessment'!$F$4:$F$100003,dCrit)</f>
        <v>0</v>
      </c>
      <c r="F224" s="28">
        <f>COUNTIFS('JSA Risk Assessment'!$P$4:$P$100003,5,'JSA Risk Assessment'!$Q$4:$Q$100003,4,'JSA Risk Assessment'!$D$4:$D$100003,mCrit,'JSA Risk Assessment'!$F$4:$F$100003,dCrit)</f>
        <v>0</v>
      </c>
      <c r="G224" s="28">
        <f>COUNTIFS('JSA Risk Assessment'!$P$4:$P$100003,5,'JSA Risk Assessment'!$Q$4:$Q$100003,5,'JSA Risk Assessment'!$D$4:$D$100003,mCrit,'JSA Risk Assessment'!$F$4:$F$100003,dCrit)</f>
        <v>0</v>
      </c>
    </row>
    <row r="225" spans="2:7">
      <c r="B225" s="12">
        <v>4</v>
      </c>
      <c r="C225" s="28">
        <f>COUNTIFS('JSA Risk Assessment'!$P$4:$P$100003,4,'JSA Risk Assessment'!$Q$4:$Q$100003,1,'JSA Risk Assessment'!$D$4:$D$100003,mCrit,'JSA Risk Assessment'!$F$4:$F$100003,dCrit)</f>
        <v>0</v>
      </c>
      <c r="D225" s="28">
        <f>COUNTIFS('JSA Risk Assessment'!$P$4:$P$100003,4,'JSA Risk Assessment'!$Q$4:$Q$100003,2,'JSA Risk Assessment'!$D$4:$D$100003,mCrit,'JSA Risk Assessment'!$F$4:$F$100003,dCrit)</f>
        <v>0</v>
      </c>
      <c r="E225" s="28">
        <f>COUNTIFS('JSA Risk Assessment'!$P$4:$P$100003,4,'JSA Risk Assessment'!$Q$4:$Q$100003,3,'JSA Risk Assessment'!$D$4:$D$100003,mCrit,'JSA Risk Assessment'!$F$4:$F$100003,dCrit)</f>
        <v>0</v>
      </c>
      <c r="F225" s="28">
        <f>COUNTIFS('JSA Risk Assessment'!$P$4:$P$100003,4,'JSA Risk Assessment'!$Q$4:$Q$100003,4,'JSA Risk Assessment'!$D$4:$D$100003,mCrit,'JSA Risk Assessment'!$F$4:$F$100003,dCrit)</f>
        <v>0</v>
      </c>
      <c r="G225" s="28">
        <f>COUNTIFS('JSA Risk Assessment'!$P$4:$P$100003,4,'JSA Risk Assessment'!$Q$4:$Q$100003,5,'JSA Risk Assessment'!$D$4:$D$100003,mCrit,'JSA Risk Assessment'!$F$4:$F$100003,dCrit)</f>
        <v>0</v>
      </c>
    </row>
    <row r="226" spans="2:7">
      <c r="B226" s="12">
        <v>3</v>
      </c>
      <c r="C226" s="28">
        <f>COUNTIFS('JSA Risk Assessment'!$P$4:$P$100003,3,'JSA Risk Assessment'!$Q$4:$Q$100003,1,'JSA Risk Assessment'!$D$4:$D$100003,mCrit,'JSA Risk Assessment'!$F$4:$F$100003,dCrit)</f>
        <v>0</v>
      </c>
      <c r="D226" s="28">
        <f>COUNTIFS('JSA Risk Assessment'!$P$4:$P$100003,3,'JSA Risk Assessment'!$Q$4:$Q$100003,2,'JSA Risk Assessment'!$D$4:$D$100003,mCrit,'JSA Risk Assessment'!$F$4:$F$100003,dCrit)</f>
        <v>0</v>
      </c>
      <c r="E226" s="28">
        <f>COUNTIFS('JSA Risk Assessment'!$P$4:$P$100003,3,'JSA Risk Assessment'!$Q$4:$Q$100003,3,'JSA Risk Assessment'!$D$4:$D$100003,mCrit,'JSA Risk Assessment'!$F$4:$F$100003,dCrit)</f>
        <v>0</v>
      </c>
      <c r="F226" s="28">
        <f>COUNTIFS('JSA Risk Assessment'!$P$4:$P$100003,3,'JSA Risk Assessment'!$Q$4:$Q$100003,4,'JSA Risk Assessment'!$D$4:$D$100003,mCrit,'JSA Risk Assessment'!$F$4:$F$100003,dCrit)</f>
        <v>0</v>
      </c>
      <c r="G226" s="28">
        <f>COUNTIFS('JSA Risk Assessment'!$P$4:$P$100003,3,'JSA Risk Assessment'!$Q$4:$Q$100003,5,'JSA Risk Assessment'!$D$4:$D$100003,mCrit,'JSA Risk Assessment'!$F$4:$F$100003,dCrit)</f>
        <v>0</v>
      </c>
    </row>
    <row r="227" spans="2:7">
      <c r="B227" s="12">
        <v>2</v>
      </c>
      <c r="C227" s="28">
        <f>COUNTIFS('JSA Risk Assessment'!$P$4:$P$100003,2,'JSA Risk Assessment'!$Q$4:$Q$100003,1,'JSA Risk Assessment'!$D$4:$D$100003,mCrit,'JSA Risk Assessment'!$F$4:$F$100003,dCrit)</f>
        <v>0</v>
      </c>
      <c r="D227" s="28">
        <f>COUNTIFS('JSA Risk Assessment'!$P$4:$P$100003,2,'JSA Risk Assessment'!$Q$4:$Q$100003,2,'JSA Risk Assessment'!$D$4:$D$100003,mCrit,'JSA Risk Assessment'!$F$4:$F$100003,dCrit)</f>
        <v>0</v>
      </c>
      <c r="E227" s="28">
        <f>COUNTIFS('JSA Risk Assessment'!$P$4:$P$100003,2,'JSA Risk Assessment'!$Q$4:$Q$100003,3,'JSA Risk Assessment'!$D$4:$D$100003,mCrit,'JSA Risk Assessment'!$F$4:$F$100003,dCrit)</f>
        <v>0</v>
      </c>
      <c r="F227" s="28">
        <f>COUNTIFS('JSA Risk Assessment'!$P$4:$P$100003,2,'JSA Risk Assessment'!$Q$4:$Q$100003,4,'JSA Risk Assessment'!$D$4:$D$100003,mCrit,'JSA Risk Assessment'!$F$4:$F$100003,dCrit)</f>
        <v>0</v>
      </c>
      <c r="G227" s="28">
        <f>COUNTIFS('JSA Risk Assessment'!$P$4:$P$100003,2,'JSA Risk Assessment'!$Q$4:$Q$100003,5,'JSA Risk Assessment'!$D$4:$D$100003,mCrit,'JSA Risk Assessment'!$F$4:$F$100003,dCrit)</f>
        <v>0</v>
      </c>
    </row>
    <row r="228" spans="2:7">
      <c r="B228" s="12">
        <v>1</v>
      </c>
      <c r="C228" s="28">
        <f>COUNTIFS('JSA Risk Assessment'!$P$4:$P$100003,1,'JSA Risk Assessment'!$Q$4:$Q$100003,1,'JSA Risk Assessment'!$D$4:$D$100003,mCrit,'JSA Risk Assessment'!$F$4:$F$100003,dCrit)</f>
        <v>0</v>
      </c>
      <c r="D228" s="28">
        <f>COUNTIFS('JSA Risk Assessment'!$P$4:$P$100003,1,'JSA Risk Assessment'!$Q$4:$Q$100003,2,'JSA Risk Assessment'!$D$4:$D$100003,mCrit,'JSA Risk Assessment'!$F$4:$F$100003,dCrit)</f>
        <v>0</v>
      </c>
      <c r="E228" s="28">
        <f>COUNTIFS('JSA Risk Assessment'!$P$4:$P$100003,1,'JSA Risk Assessment'!$Q$4:$Q$100003,3,'JSA Risk Assessment'!$D$4:$D$100003,mCrit,'JSA Risk Assessment'!$F$4:$F$100003,dCrit)</f>
        <v>0</v>
      </c>
      <c r="F228" s="28">
        <f>COUNTIFS('JSA Risk Assessment'!$P$4:$P$100003,1,'JSA Risk Assessment'!$Q$4:$Q$100003,4,'JSA Risk Assessment'!$D$4:$D$100003,mCrit,'JSA Risk Assessment'!$F$4:$F$100003,dCrit)</f>
        <v>0</v>
      </c>
      <c r="G228" s="28">
        <f>COUNTIFS('JSA Risk Assessment'!$P$4:$P$100003,1,'JSA Risk Assessment'!$Q$4:$Q$100003,5,'JSA Risk Assessment'!$D$4:$D$100003,mCrit,'JSA Risk Assessment'!$F$4:$F$100003,dCrit)</f>
        <v>0</v>
      </c>
    </row>
    <row r="230" spans="2:7">
      <c r="B230" s="12" t="s">
        <v>284</v>
      </c>
      <c r="C230" s="12" t="s">
        <v>2011</v>
      </c>
    </row>
    <row r="231" spans="2:7">
      <c r="B231" s="13" t="s">
        <v>229</v>
      </c>
      <c r="C231" s="25">
        <f>IFERROR(COUNTIFS('Training'!$F$4:$F$100003,"Induction",'Training'!$O$4:$O$100003,"Pass",'Training'!$D$4:$D$100003,mCrit)/COUNTIFS('Training'!$F$4:$F$100003,"Induction",'Training'!$D$4:$D$100003,mCrit)*100,0)</f>
        <v>0</v>
      </c>
    </row>
    <row r="232" spans="2:7">
      <c r="B232" s="13" t="s">
        <v>240</v>
      </c>
      <c r="C232" s="25">
        <f>IFERROR(COUNTIFS('Training'!$F$4:$F$100003,"Refresher",'Training'!$O$4:$O$100003,"Pass",'Training'!$D$4:$D$100003,mCrit)/COUNTIFS('Training'!$F$4:$F$100003,"Refresher",'Training'!$D$4:$D$100003,mCrit)*100,0)</f>
        <v>0</v>
      </c>
    </row>
    <row r="233" spans="2:7">
      <c r="B233" s="13" t="s">
        <v>235</v>
      </c>
      <c r="C233" s="25">
        <f>IFERROR(COUNTIFS('Training'!$F$4:$F$100003,"Advanced",'Training'!$O$4:$O$100003,"Pass",'Training'!$D$4:$D$100003,mCrit)/COUNTIFS('Training'!$F$4:$F$100003,"Advanced",'Training'!$D$4:$D$100003,mCrit)*100,0)</f>
        <v>0</v>
      </c>
    </row>
    <row r="234" spans="2:7">
      <c r="B234" s="13" t="s">
        <v>225</v>
      </c>
      <c r="C234" s="25">
        <f>IFERROR(COUNTIFS('Training'!$F$4:$F$100003,"On-the-Job",'Training'!$O$4:$O$100003,"Pass",'Training'!$D$4:$D$100003,mCrit)/COUNTIFS('Training'!$F$4:$F$100003,"On-the-Job",'Training'!$D$4:$D$100003,mCrit)*100,0)</f>
        <v>0</v>
      </c>
    </row>
    <row r="235" spans="2:7">
      <c r="B235" s="13" t="s">
        <v>220</v>
      </c>
      <c r="C235" s="25">
        <f>IFERROR(COUNTIFS('Training'!$F$4:$F$100003,"Awareness",'Training'!$O$4:$O$100003,"Pass",'Training'!$D$4:$D$100003,mCrit)/COUNTIFS('Training'!$F$4:$F$100003,"Awareness",'Training'!$D$4:$D$100003,mCrit)*100,0)</f>
        <v>0</v>
      </c>
    </row>
    <row r="236" spans="2:7">
      <c r="B236" s="13" t="s">
        <v>238</v>
      </c>
      <c r="C236" s="25">
        <f>IFERROR(COUNTIFS('Training'!$F$4:$F$100003,"Competency",'Training'!$O$4:$O$100003,"Pass",'Training'!$D$4:$D$100003,mCrit)/COUNTIFS('Training'!$F$4:$F$100003,"Competency",'Training'!$D$4:$D$100003,mCrit)*100,0)</f>
        <v>0</v>
      </c>
    </row>
    <row r="238" spans="2:7">
      <c r="B238" s="12" t="s">
        <v>1134</v>
      </c>
      <c r="C238" s="12" t="s">
        <v>2012</v>
      </c>
    </row>
    <row r="239" spans="2:7">
      <c r="B239" s="13" t="s">
        <v>151</v>
      </c>
      <c r="C239" s="22">
        <f>IFERROR(AVERAGEIFS('Stop Work Authority'!$J$4:$J$100003,'Stop Work Authority'!$K$4:$K$100003,"Critical",'Stop Work Authority'!$D$4:$D$100003,mCrit),0)</f>
        <v>0</v>
      </c>
    </row>
    <row r="240" spans="2:7">
      <c r="B240" s="13" t="s">
        <v>164</v>
      </c>
      <c r="C240" s="22">
        <f>IFERROR(AVERAGEIFS('Stop Work Authority'!$J$4:$J$100003,'Stop Work Authority'!$K$4:$K$100003,"High",'Stop Work Authority'!$D$4:$D$100003,mCrit),0)</f>
        <v>0</v>
      </c>
    </row>
    <row r="241" spans="2:6">
      <c r="B241" s="13" t="s">
        <v>147</v>
      </c>
      <c r="C241" s="22">
        <f>IFERROR(AVERAGEIFS('Stop Work Authority'!$J$4:$J$100003,'Stop Work Authority'!$K$4:$K$100003,"Medium",'Stop Work Authority'!$D$4:$D$100003,mCrit),0)</f>
        <v>0</v>
      </c>
    </row>
    <row r="242" spans="2:6">
      <c r="B242" s="13" t="s">
        <v>142</v>
      </c>
      <c r="C242" s="22">
        <f>IFERROR(AVERAGEIFS('Stop Work Authority'!$J$4:$J$100003,'Stop Work Authority'!$K$4:$K$100003,"Low",'Stop Work Authority'!$D$4:$D$100003,mCrit),0)</f>
        <v>0</v>
      </c>
    </row>
    <row r="244" spans="2:6">
      <c r="B244" s="12" t="s">
        <v>2013</v>
      </c>
      <c r="C244" s="12" t="s">
        <v>1965</v>
      </c>
      <c r="D244" s="12" t="s">
        <v>1984</v>
      </c>
      <c r="E244" s="12" t="s">
        <v>2000</v>
      </c>
      <c r="F244" s="12" t="s">
        <v>2001</v>
      </c>
    </row>
    <row r="245" spans="2:6">
      <c r="B245" s="13" t="s">
        <v>1339</v>
      </c>
      <c r="C245" s="22">
        <f>COUNTIFS('NC Management'!$N$4:$N$100003,"Human Error",'NC Management'!$D$4:$D$100003,mCrit,'NC Management'!$G$4:$G$100003,dCrit)</f>
        <v>0</v>
      </c>
      <c r="D245" s="26">
        <f>C245+ROW()/100000</f>
        <v>0</v>
      </c>
      <c r="E245" s="13">
        <f>INDEX($B$245:$B$252,MATCH(LARGE($D$245:$D$252,1),$D$245:$D$252,0))</f>
        <v>0</v>
      </c>
      <c r="F245" s="22">
        <f>INT(LARGE($D$245:$D$252,1))</f>
        <v>0</v>
      </c>
    </row>
    <row r="246" spans="2:6">
      <c r="B246" s="13" t="s">
        <v>302</v>
      </c>
      <c r="C246" s="22">
        <f>COUNTIFS('NC Management'!$N$4:$N$100003,"Unsafe Act",'NC Management'!$D$4:$D$100003,mCrit,'NC Management'!$G$4:$G$100003,dCrit)</f>
        <v>0</v>
      </c>
      <c r="D246" s="26">
        <f>C246+ROW()/100000</f>
        <v>0</v>
      </c>
      <c r="E246" s="13">
        <f>INDEX($B$245:$B$252,MATCH(LARGE($D$245:$D$252,2),$D$245:$D$252,0))</f>
        <v>0</v>
      </c>
      <c r="F246" s="22">
        <f>INT(LARGE($D$245:$D$252,2))</f>
        <v>0</v>
      </c>
    </row>
    <row r="247" spans="2:6">
      <c r="B247" s="13" t="s">
        <v>297</v>
      </c>
      <c r="C247" s="22">
        <f>COUNTIFS('NC Management'!$N$4:$N$100003,"Unsafe Condition",'NC Management'!$D$4:$D$100003,mCrit,'NC Management'!$G$4:$G$100003,dCrit)</f>
        <v>0</v>
      </c>
      <c r="D247" s="26">
        <f>C247+ROW()/100000</f>
        <v>0</v>
      </c>
      <c r="E247" s="13">
        <f>INDEX($B$245:$B$252,MATCH(LARGE($D$245:$D$252,3),$D$245:$D$252,0))</f>
        <v>0</v>
      </c>
      <c r="F247" s="22">
        <f>INT(LARGE($D$245:$D$252,3))</f>
        <v>0</v>
      </c>
    </row>
    <row r="248" spans="2:6">
      <c r="B248" s="13" t="s">
        <v>1336</v>
      </c>
      <c r="C248" s="22">
        <f>COUNTIFS('NC Management'!$N$4:$N$100003,"Inadequate Procedure",'NC Management'!$D$4:$D$100003,mCrit,'NC Management'!$G$4:$G$100003,dCrit)</f>
        <v>0</v>
      </c>
      <c r="D248" s="26">
        <f>C248+ROW()/100000</f>
        <v>0</v>
      </c>
      <c r="E248" s="13">
        <f>INDEX($B$245:$B$252,MATCH(LARGE($D$245:$D$252,4),$D$245:$D$252,0))</f>
        <v>0</v>
      </c>
      <c r="F248" s="22">
        <f>INT(LARGE($D$245:$D$252,4))</f>
        <v>0</v>
      </c>
    </row>
    <row r="249" spans="2:6">
      <c r="B249" s="13" t="s">
        <v>1357</v>
      </c>
      <c r="C249" s="22">
        <f>COUNTIFS('NC Management'!$N$4:$N$100003,"Lack of Training",'NC Management'!$D$4:$D$100003,mCrit,'NC Management'!$G$4:$G$100003,dCrit)</f>
        <v>0</v>
      </c>
      <c r="D249" s="26">
        <f>C249+ROW()/100000</f>
        <v>0</v>
      </c>
      <c r="E249" s="13">
        <f>INDEX($B$245:$B$252,MATCH(LARGE($D$245:$D$252,5),$D$245:$D$252,0))</f>
        <v>0</v>
      </c>
      <c r="F249" s="22">
        <f>INT(LARGE($D$245:$D$252,5))</f>
        <v>0</v>
      </c>
    </row>
    <row r="250" spans="2:6">
      <c r="B250" s="13" t="s">
        <v>1330</v>
      </c>
      <c r="C250" s="22">
        <f>COUNTIFS('NC Management'!$N$4:$N$100003,"Equipment Failure",'NC Management'!$D$4:$D$100003,mCrit,'NC Management'!$G$4:$G$100003,dCrit)</f>
        <v>0</v>
      </c>
      <c r="D250" s="26">
        <f>C250+ROW()/100000</f>
        <v>0</v>
      </c>
      <c r="E250" s="13">
        <f>INDEX($B$245:$B$252,MATCH(LARGE($D$245:$D$252,6),$D$245:$D$252,0))</f>
        <v>0</v>
      </c>
      <c r="F250" s="22">
        <f>INT(LARGE($D$245:$D$252,6))</f>
        <v>0</v>
      </c>
    </row>
    <row r="251" spans="2:6">
      <c r="B251" s="13" t="s">
        <v>1327</v>
      </c>
      <c r="C251" s="22">
        <f>COUNTIFS('NC Management'!$N$4:$N$100003,"PPE Not Used",'NC Management'!$D$4:$D$100003,mCrit,'NC Management'!$G$4:$G$100003,dCrit)</f>
        <v>0</v>
      </c>
      <c r="D251" s="26">
        <f>C251+ROW()/100000</f>
        <v>0</v>
      </c>
      <c r="E251" s="13">
        <f>INDEX($B$245:$B$252,MATCH(LARGE($D$245:$D$252,7),$D$245:$D$252,0))</f>
        <v>0</v>
      </c>
      <c r="F251" s="22">
        <f>INT(LARGE($D$245:$D$252,7))</f>
        <v>0</v>
      </c>
    </row>
    <row r="252" spans="2:6">
      <c r="B252" s="13" t="s">
        <v>1334</v>
      </c>
      <c r="C252" s="22">
        <f>COUNTIFS('NC Management'!$N$4:$N$100003,"Poor Housekeeping",'NC Management'!$D$4:$D$100003,mCrit,'NC Management'!$G$4:$G$100003,dCrit)</f>
        <v>0</v>
      </c>
      <c r="D252" s="26">
        <f>C252+ROW()/100000</f>
        <v>0</v>
      </c>
      <c r="E252" s="13">
        <f>INDEX($B$245:$B$252,MATCH(LARGE($D$245:$D$252,8),$D$245:$D$252,0))</f>
        <v>0</v>
      </c>
      <c r="F252" s="22">
        <f>INT(LARGE($D$245:$D$252,8))</f>
        <v>0</v>
      </c>
    </row>
    <row r="254" spans="2:6">
      <c r="B254" s="12" t="s">
        <v>2014</v>
      </c>
      <c r="C254" s="12" t="s">
        <v>413</v>
      </c>
      <c r="D254" s="12" t="s">
        <v>1984</v>
      </c>
      <c r="E254" s="12" t="s">
        <v>2015</v>
      </c>
      <c r="F254" s="12" t="s">
        <v>2016</v>
      </c>
    </row>
    <row r="255" spans="2:6">
      <c r="B255" s="13" t="s">
        <v>91</v>
      </c>
      <c r="C255" s="22">
        <f>SUMIFS('Workplace Inspections'!$J$4:$J$100003,'Workplace Inspections'!$E$4:$E$100003,"PPE Usage",'Workplace Inspections'!$D$4:$D$100003,mCrit,'Workplace Inspections'!$F$4:$F$100003,dCrit)</f>
        <v>0</v>
      </c>
      <c r="D255" s="26">
        <f>C255+ROW()/100000</f>
        <v>0</v>
      </c>
      <c r="E255" s="13">
        <f>INDEX($B$255:$B$262,MATCH(LARGE($D$255:$D$262,1),$D$255:$D$262,0))</f>
        <v>0</v>
      </c>
      <c r="F255" s="22">
        <f>INT(LARGE($D$255:$D$262,1))</f>
        <v>0</v>
      </c>
    </row>
    <row r="256" spans="2:6">
      <c r="B256" s="13" t="s">
        <v>45</v>
      </c>
      <c r="C256" s="22">
        <f>SUMIFS('Workplace Inspections'!$J$4:$J$100003,'Workplace Inspections'!$E$4:$E$100003,"Fire Safety",'Workplace Inspections'!$D$4:$D$100003,mCrit,'Workplace Inspections'!$F$4:$F$100003,dCrit)</f>
        <v>0</v>
      </c>
      <c r="D256" s="26">
        <f>C256+ROW()/100000</f>
        <v>0</v>
      </c>
      <c r="E256" s="13">
        <f>INDEX($B$255:$B$262,MATCH(LARGE($D$255:$D$262,2),$D$255:$D$262,0))</f>
        <v>0</v>
      </c>
      <c r="F256" s="22">
        <f>INT(LARGE($D$255:$D$262,2))</f>
        <v>0</v>
      </c>
    </row>
    <row r="257" spans="2:6">
      <c r="B257" s="13" t="s">
        <v>49</v>
      </c>
      <c r="C257" s="22">
        <f>SUMIFS('Workplace Inspections'!$J$4:$J$100003,'Workplace Inspections'!$E$4:$E$100003,"Working at Heights",'Workplace Inspections'!$D$4:$D$100003,mCrit,'Workplace Inspections'!$F$4:$F$100003,dCrit)</f>
        <v>0</v>
      </c>
      <c r="D257" s="26">
        <f>C257+ROW()/100000</f>
        <v>0</v>
      </c>
      <c r="E257" s="13">
        <f>INDEX($B$255:$B$262,MATCH(LARGE($D$255:$D$262,3),$D$255:$D$262,0))</f>
        <v>0</v>
      </c>
      <c r="F257" s="22">
        <f>INT(LARGE($D$255:$D$262,3))</f>
        <v>0</v>
      </c>
    </row>
    <row r="258" spans="2:6">
      <c r="B258" s="13" t="s">
        <v>4</v>
      </c>
      <c r="C258" s="22">
        <f>SUMIFS('Workplace Inspections'!$J$4:$J$100003,'Workplace Inspections'!$E$4:$E$100003,"Manual Handling",'Workplace Inspections'!$D$4:$D$100003,mCrit,'Workplace Inspections'!$F$4:$F$100003,dCrit)</f>
        <v>0</v>
      </c>
      <c r="D258" s="26">
        <f>C258+ROW()/100000</f>
        <v>0</v>
      </c>
      <c r="E258" s="13">
        <f>INDEX($B$255:$B$262,MATCH(LARGE($D$255:$D$262,4),$D$255:$D$262,0))</f>
        <v>0</v>
      </c>
      <c r="F258" s="22">
        <f>INT(LARGE($D$255:$D$262,4))</f>
        <v>0</v>
      </c>
    </row>
    <row r="259" spans="2:6">
      <c r="B259" s="13" t="s">
        <v>57</v>
      </c>
      <c r="C259" s="22">
        <f>SUMIFS('Workplace Inspections'!$J$4:$J$100003,'Workplace Inspections'!$E$4:$E$100003,"Electrical Safety",'Workplace Inspections'!$D$4:$D$100003,mCrit,'Workplace Inspections'!$F$4:$F$100003,dCrit)</f>
        <v>0</v>
      </c>
      <c r="D259" s="26">
        <f>C259+ROW()/100000</f>
        <v>0</v>
      </c>
      <c r="E259" s="13">
        <f>INDEX($B$255:$B$262,MATCH(LARGE($D$255:$D$262,5),$D$255:$D$262,0))</f>
        <v>0</v>
      </c>
      <c r="F259" s="22">
        <f>INT(LARGE($D$255:$D$262,5))</f>
        <v>0</v>
      </c>
    </row>
    <row r="260" spans="2:6">
      <c r="B260" s="13" t="s">
        <v>12</v>
      </c>
      <c r="C260" s="22">
        <f>SUMIFS('Workplace Inspections'!$J$4:$J$100003,'Workplace Inspections'!$E$4:$E$100003,"Chemical Safety",'Workplace Inspections'!$D$4:$D$100003,mCrit,'Workplace Inspections'!$F$4:$F$100003,dCrit)</f>
        <v>0</v>
      </c>
      <c r="D260" s="26">
        <f>C260+ROW()/100000</f>
        <v>0</v>
      </c>
      <c r="E260" s="13">
        <f>INDEX($B$255:$B$262,MATCH(LARGE($D$255:$D$262,6),$D$255:$D$262,0))</f>
        <v>0</v>
      </c>
      <c r="F260" s="22">
        <f>INT(LARGE($D$255:$D$262,6))</f>
        <v>0</v>
      </c>
    </row>
    <row r="261" spans="2:6">
      <c r="B261" s="13" t="s">
        <v>16</v>
      </c>
      <c r="C261" s="22">
        <f>SUMIFS('Workplace Inspections'!$J$4:$J$100003,'Workplace Inspections'!$E$4:$E$100003,"Housekeeping",'Workplace Inspections'!$D$4:$D$100003,mCrit,'Workplace Inspections'!$F$4:$F$100003,dCrit)</f>
        <v>0</v>
      </c>
      <c r="D261" s="26">
        <f>C261+ROW()/100000</f>
        <v>0</v>
      </c>
      <c r="E261" s="13">
        <f>INDEX($B$255:$B$262,MATCH(LARGE($D$255:$D$262,7),$D$255:$D$262,0))</f>
        <v>0</v>
      </c>
      <c r="F261" s="22">
        <f>INT(LARGE($D$255:$D$262,7))</f>
        <v>0</v>
      </c>
    </row>
    <row r="262" spans="2:6">
      <c r="B262" s="13" t="s">
        <v>54</v>
      </c>
      <c r="C262" s="22">
        <f>SUMIFS('Workplace Inspections'!$J$4:$J$100003,'Workplace Inspections'!$E$4:$E$100003,"Heat Stress",'Workplace Inspections'!$D$4:$D$100003,mCrit,'Workplace Inspections'!$F$4:$F$100003,dCrit)</f>
        <v>0</v>
      </c>
      <c r="D262" s="26">
        <f>C262+ROW()/100000</f>
        <v>0</v>
      </c>
      <c r="E262" s="13">
        <f>INDEX($B$255:$B$262,MATCH(LARGE($D$255:$D$262,8),$D$255:$D$262,0))</f>
        <v>0</v>
      </c>
      <c r="F262" s="22">
        <f>INT(LARGE($D$255:$D$262,8))</f>
        <v>0</v>
      </c>
    </row>
    <row r="264" spans="2:6">
      <c r="B264" s="12" t="s">
        <v>2017</v>
      </c>
      <c r="C264" s="12" t="s">
        <v>1965</v>
      </c>
    </row>
    <row r="265" spans="2:6">
      <c r="B265" s="13" t="s">
        <v>2018</v>
      </c>
      <c r="C265" s="22">
        <f>COUNTIFS('Incident'!$AB$4:$AB$100003,"Open",'Incident'!$AC$4:$AC$100003,"&gt;=0",'Incident'!$AC$4:$AC$100003,"&lt;=7",'Incident'!$D$4:$D$100003,mCrit,'Incident'!$H$4:$H$100003,dCrit)</f>
        <v>0</v>
      </c>
    </row>
    <row r="266" spans="2:6">
      <c r="B266" s="13" t="s">
        <v>2019</v>
      </c>
      <c r="C266" s="22">
        <f>COUNTIFS('Incident'!$AB$4:$AB$100003,"Open",'Incident'!$AC$4:$AC$100003,"&gt;=8",'Incident'!$AC$4:$AC$100003,"&lt;=15",'Incident'!$D$4:$D$100003,mCrit,'Incident'!$H$4:$H$100003,dCrit)</f>
        <v>0</v>
      </c>
    </row>
    <row r="267" spans="2:6">
      <c r="B267" s="13" t="s">
        <v>2020</v>
      </c>
      <c r="C267" s="22">
        <f>COUNTIFS('Incident'!$AB$4:$AB$100003,"Open",'Incident'!$AC$4:$AC$100003,"&gt;=16",'Incident'!$AC$4:$AC$100003,"&lt;=30",'Incident'!$D$4:$D$100003,mCrit,'Incident'!$H$4:$H$100003,dCrit)</f>
        <v>0</v>
      </c>
    </row>
    <row r="268" spans="2:6">
      <c r="B268" s="13" t="s">
        <v>2021</v>
      </c>
      <c r="C268" s="22">
        <f>COUNTIFS('Incident'!$AB$4:$AB$100003,"Open",'Incident'!$AC$4:$AC$100003,"&gt;=31",'Incident'!$D$4:$D$100003,mCrit,'Incident'!$H$4:$H$100003,dCrit)</f>
        <v>0</v>
      </c>
    </row>
    <row r="270" spans="2:6">
      <c r="B270" s="12" t="s">
        <v>1601</v>
      </c>
      <c r="C270" s="12" t="s">
        <v>1965</v>
      </c>
    </row>
    <row r="271" spans="2:6">
      <c r="B271" s="13" t="s">
        <v>1512</v>
      </c>
      <c r="C271" s="22">
        <f>COUNTIFS('Incident'!$P$4:$P$100003,"Employee",'Incident'!$D$4:$D$100003,mCrit,'Incident'!$H$4:$H$100003,dCrit)</f>
        <v>0</v>
      </c>
    </row>
    <row r="272" spans="2:6">
      <c r="B272" s="13" t="s">
        <v>58</v>
      </c>
      <c r="C272" s="22">
        <f>COUNTIFS('Incident'!$P$4:$P$100003,"Contractor",'Incident'!$D$4:$D$100003,mCrit,'Incident'!$H$4:$H$100003,dCrit)</f>
        <v>0</v>
      </c>
    </row>
    <row r="273" spans="2:8">
      <c r="B273" s="13" t="s">
        <v>1539</v>
      </c>
      <c r="C273" s="22">
        <f>COUNTIFS('Incident'!$P$4:$P$100003,"Visitor",'Incident'!$D$4:$D$100003,mCrit,'Incident'!$H$4:$H$100003,dCrit)</f>
        <v>0</v>
      </c>
    </row>
    <row r="274" spans="2:8">
      <c r="B274" s="13" t="s">
        <v>1534</v>
      </c>
      <c r="C274" s="22">
        <f>COUNTIFS('Incident'!$P$4:$P$100003,"Third Party",'Incident'!$D$4:$D$100003,mCrit,'Incident'!$H$4:$H$100003,dCrit)</f>
        <v>0</v>
      </c>
    </row>
    <row r="276" spans="2:8">
      <c r="B276" s="12" t="s">
        <v>2022</v>
      </c>
      <c r="C276" s="12" t="s">
        <v>1994</v>
      </c>
      <c r="D276" s="12" t="s">
        <v>1995</v>
      </c>
      <c r="E276" s="12" t="s">
        <v>1996</v>
      </c>
      <c r="F276" s="12" t="s">
        <v>1997</v>
      </c>
      <c r="G276" s="12" t="s">
        <v>65</v>
      </c>
      <c r="H276" s="12" t="s">
        <v>1998</v>
      </c>
    </row>
    <row r="277" spans="2:8">
      <c r="B277" s="13" t="s">
        <v>91</v>
      </c>
      <c r="C277" s="28">
        <f>COUNTIFS('Toolbox Talks'!$E$4:$E$100003,"PPE Usage",'Toolbox Talks'!$F$4:$F$100003,"Operations",'Toolbox Talks'!$D$4:$D$100003,mCrit)</f>
        <v>0</v>
      </c>
      <c r="D277" s="28">
        <f>COUNTIFS('Toolbox Talks'!$E$4:$E$100003,"PPE Usage",'Toolbox Talks'!$F$4:$F$100003,"Maintenance",'Toolbox Talks'!$D$4:$D$100003,mCrit)</f>
        <v>0</v>
      </c>
      <c r="E277" s="28">
        <f>COUNTIFS('Toolbox Talks'!$E$4:$E$100003,"PPE Usage",'Toolbox Talks'!$F$4:$F$100003,"Engineering",'Toolbox Talks'!$D$4:$D$100003,mCrit)</f>
        <v>0</v>
      </c>
      <c r="F277" s="28">
        <f>COUNTIFS('Toolbox Talks'!$E$4:$E$100003,"PPE Usage",'Toolbox Talks'!$F$4:$F$100003,"Construction",'Toolbox Talks'!$D$4:$D$100003,mCrit)</f>
        <v>0</v>
      </c>
      <c r="G277" s="28">
        <f>COUNTIFS('Toolbox Talks'!$E$4:$E$100003,"PPE Usage",'Toolbox Talks'!$F$4:$F$100003,"Safety",'Toolbox Talks'!$D$4:$D$100003,mCrit)</f>
        <v>0</v>
      </c>
      <c r="H277" s="28">
        <f>COUNTIFS('Toolbox Talks'!$E$4:$E$100003,"PPE Usage",'Toolbox Talks'!$F$4:$F$100003,"Logistics",'Toolbox Talks'!$D$4:$D$100003,mCrit)</f>
        <v>0</v>
      </c>
    </row>
    <row r="278" spans="2:8">
      <c r="B278" s="13" t="s">
        <v>45</v>
      </c>
      <c r="C278" s="28">
        <f>COUNTIFS('Toolbox Talks'!$E$4:$E$100003,"Fire Safety",'Toolbox Talks'!$F$4:$F$100003,"Operations",'Toolbox Talks'!$D$4:$D$100003,mCrit)</f>
        <v>0</v>
      </c>
      <c r="D278" s="28">
        <f>COUNTIFS('Toolbox Talks'!$E$4:$E$100003,"Fire Safety",'Toolbox Talks'!$F$4:$F$100003,"Maintenance",'Toolbox Talks'!$D$4:$D$100003,mCrit)</f>
        <v>0</v>
      </c>
      <c r="E278" s="28">
        <f>COUNTIFS('Toolbox Talks'!$E$4:$E$100003,"Fire Safety",'Toolbox Talks'!$F$4:$F$100003,"Engineering",'Toolbox Talks'!$D$4:$D$100003,mCrit)</f>
        <v>0</v>
      </c>
      <c r="F278" s="28">
        <f>COUNTIFS('Toolbox Talks'!$E$4:$E$100003,"Fire Safety",'Toolbox Talks'!$F$4:$F$100003,"Construction",'Toolbox Talks'!$D$4:$D$100003,mCrit)</f>
        <v>0</v>
      </c>
      <c r="G278" s="28">
        <f>COUNTIFS('Toolbox Talks'!$E$4:$E$100003,"Fire Safety",'Toolbox Talks'!$F$4:$F$100003,"Safety",'Toolbox Talks'!$D$4:$D$100003,mCrit)</f>
        <v>0</v>
      </c>
      <c r="H278" s="28">
        <f>COUNTIFS('Toolbox Talks'!$E$4:$E$100003,"Fire Safety",'Toolbox Talks'!$F$4:$F$100003,"Logistics",'Toolbox Talks'!$D$4:$D$100003,mCrit)</f>
        <v>0</v>
      </c>
    </row>
    <row r="279" spans="2:8">
      <c r="B279" s="13" t="s">
        <v>49</v>
      </c>
      <c r="C279" s="28">
        <f>COUNTIFS('Toolbox Talks'!$E$4:$E$100003,"Working at Heights",'Toolbox Talks'!$F$4:$F$100003,"Operations",'Toolbox Talks'!$D$4:$D$100003,mCrit)</f>
        <v>0</v>
      </c>
      <c r="D279" s="28">
        <f>COUNTIFS('Toolbox Talks'!$E$4:$E$100003,"Working at Heights",'Toolbox Talks'!$F$4:$F$100003,"Maintenance",'Toolbox Talks'!$D$4:$D$100003,mCrit)</f>
        <v>0</v>
      </c>
      <c r="E279" s="28">
        <f>COUNTIFS('Toolbox Talks'!$E$4:$E$100003,"Working at Heights",'Toolbox Talks'!$F$4:$F$100003,"Engineering",'Toolbox Talks'!$D$4:$D$100003,mCrit)</f>
        <v>0</v>
      </c>
      <c r="F279" s="28">
        <f>COUNTIFS('Toolbox Talks'!$E$4:$E$100003,"Working at Heights",'Toolbox Talks'!$F$4:$F$100003,"Construction",'Toolbox Talks'!$D$4:$D$100003,mCrit)</f>
        <v>0</v>
      </c>
      <c r="G279" s="28">
        <f>COUNTIFS('Toolbox Talks'!$E$4:$E$100003,"Working at Heights",'Toolbox Talks'!$F$4:$F$100003,"Safety",'Toolbox Talks'!$D$4:$D$100003,mCrit)</f>
        <v>0</v>
      </c>
      <c r="H279" s="28">
        <f>COUNTIFS('Toolbox Talks'!$E$4:$E$100003,"Working at Heights",'Toolbox Talks'!$F$4:$F$100003,"Logistics",'Toolbox Talks'!$D$4:$D$100003,mCrit)</f>
        <v>0</v>
      </c>
    </row>
    <row r="280" spans="2:8">
      <c r="B280" s="13" t="s">
        <v>4</v>
      </c>
      <c r="C280" s="28">
        <f>COUNTIFS('Toolbox Talks'!$E$4:$E$100003,"Manual Handling",'Toolbox Talks'!$F$4:$F$100003,"Operations",'Toolbox Talks'!$D$4:$D$100003,mCrit)</f>
        <v>0</v>
      </c>
      <c r="D280" s="28">
        <f>COUNTIFS('Toolbox Talks'!$E$4:$E$100003,"Manual Handling",'Toolbox Talks'!$F$4:$F$100003,"Maintenance",'Toolbox Talks'!$D$4:$D$100003,mCrit)</f>
        <v>0</v>
      </c>
      <c r="E280" s="28">
        <f>COUNTIFS('Toolbox Talks'!$E$4:$E$100003,"Manual Handling",'Toolbox Talks'!$F$4:$F$100003,"Engineering",'Toolbox Talks'!$D$4:$D$100003,mCrit)</f>
        <v>0</v>
      </c>
      <c r="F280" s="28">
        <f>COUNTIFS('Toolbox Talks'!$E$4:$E$100003,"Manual Handling",'Toolbox Talks'!$F$4:$F$100003,"Construction",'Toolbox Talks'!$D$4:$D$100003,mCrit)</f>
        <v>0</v>
      </c>
      <c r="G280" s="28">
        <f>COUNTIFS('Toolbox Talks'!$E$4:$E$100003,"Manual Handling",'Toolbox Talks'!$F$4:$F$100003,"Safety",'Toolbox Talks'!$D$4:$D$100003,mCrit)</f>
        <v>0</v>
      </c>
      <c r="H280" s="28">
        <f>COUNTIFS('Toolbox Talks'!$E$4:$E$100003,"Manual Handling",'Toolbox Talks'!$F$4:$F$100003,"Logistics",'Toolbox Talks'!$D$4:$D$100003,mCrit)</f>
        <v>0</v>
      </c>
    </row>
    <row r="281" spans="2:8">
      <c r="B281" s="13" t="s">
        <v>57</v>
      </c>
      <c r="C281" s="28">
        <f>COUNTIFS('Toolbox Talks'!$E$4:$E$100003,"Electrical Safety",'Toolbox Talks'!$F$4:$F$100003,"Operations",'Toolbox Talks'!$D$4:$D$100003,mCrit)</f>
        <v>0</v>
      </c>
      <c r="D281" s="28">
        <f>COUNTIFS('Toolbox Talks'!$E$4:$E$100003,"Electrical Safety",'Toolbox Talks'!$F$4:$F$100003,"Maintenance",'Toolbox Talks'!$D$4:$D$100003,mCrit)</f>
        <v>0</v>
      </c>
      <c r="E281" s="28">
        <f>COUNTIFS('Toolbox Talks'!$E$4:$E$100003,"Electrical Safety",'Toolbox Talks'!$F$4:$F$100003,"Engineering",'Toolbox Talks'!$D$4:$D$100003,mCrit)</f>
        <v>0</v>
      </c>
      <c r="F281" s="28">
        <f>COUNTIFS('Toolbox Talks'!$E$4:$E$100003,"Electrical Safety",'Toolbox Talks'!$F$4:$F$100003,"Construction",'Toolbox Talks'!$D$4:$D$100003,mCrit)</f>
        <v>0</v>
      </c>
      <c r="G281" s="28">
        <f>COUNTIFS('Toolbox Talks'!$E$4:$E$100003,"Electrical Safety",'Toolbox Talks'!$F$4:$F$100003,"Safety",'Toolbox Talks'!$D$4:$D$100003,mCrit)</f>
        <v>0</v>
      </c>
      <c r="H281" s="28">
        <f>COUNTIFS('Toolbox Talks'!$E$4:$E$100003,"Electrical Safety",'Toolbox Talks'!$F$4:$F$100003,"Logistics",'Toolbox Talks'!$D$4:$D$100003,mCrit)</f>
        <v>0</v>
      </c>
    </row>
    <row r="282" spans="2:8">
      <c r="B282" s="13" t="s">
        <v>12</v>
      </c>
      <c r="C282" s="28">
        <f>COUNTIFS('Toolbox Talks'!$E$4:$E$100003,"Chemical Safety",'Toolbox Talks'!$F$4:$F$100003,"Operations",'Toolbox Talks'!$D$4:$D$100003,mCrit)</f>
        <v>0</v>
      </c>
      <c r="D282" s="28">
        <f>COUNTIFS('Toolbox Talks'!$E$4:$E$100003,"Chemical Safety",'Toolbox Talks'!$F$4:$F$100003,"Maintenance",'Toolbox Talks'!$D$4:$D$100003,mCrit)</f>
        <v>0</v>
      </c>
      <c r="E282" s="28">
        <f>COUNTIFS('Toolbox Talks'!$E$4:$E$100003,"Chemical Safety",'Toolbox Talks'!$F$4:$F$100003,"Engineering",'Toolbox Talks'!$D$4:$D$100003,mCrit)</f>
        <v>0</v>
      </c>
      <c r="F282" s="28">
        <f>COUNTIFS('Toolbox Talks'!$E$4:$E$100003,"Chemical Safety",'Toolbox Talks'!$F$4:$F$100003,"Construction",'Toolbox Talks'!$D$4:$D$100003,mCrit)</f>
        <v>0</v>
      </c>
      <c r="G282" s="28">
        <f>COUNTIFS('Toolbox Talks'!$E$4:$E$100003,"Chemical Safety",'Toolbox Talks'!$F$4:$F$100003,"Safety",'Toolbox Talks'!$D$4:$D$100003,mCrit)</f>
        <v>0</v>
      </c>
      <c r="H282" s="28">
        <f>COUNTIFS('Toolbox Talks'!$E$4:$E$100003,"Chemical Safety",'Toolbox Talks'!$F$4:$F$100003,"Logistics",'Toolbox Talks'!$D$4:$D$100003,mCrit)</f>
        <v>0</v>
      </c>
    </row>
    <row r="283" spans="2:8">
      <c r="B283" s="13" t="s">
        <v>16</v>
      </c>
      <c r="C283" s="28">
        <f>COUNTIFS('Toolbox Talks'!$E$4:$E$100003,"Housekeeping",'Toolbox Talks'!$F$4:$F$100003,"Operations",'Toolbox Talks'!$D$4:$D$100003,mCrit)</f>
        <v>0</v>
      </c>
      <c r="D283" s="28">
        <f>COUNTIFS('Toolbox Talks'!$E$4:$E$100003,"Housekeeping",'Toolbox Talks'!$F$4:$F$100003,"Maintenance",'Toolbox Talks'!$D$4:$D$100003,mCrit)</f>
        <v>0</v>
      </c>
      <c r="E283" s="28">
        <f>COUNTIFS('Toolbox Talks'!$E$4:$E$100003,"Housekeeping",'Toolbox Talks'!$F$4:$F$100003,"Engineering",'Toolbox Talks'!$D$4:$D$100003,mCrit)</f>
        <v>0</v>
      </c>
      <c r="F283" s="28">
        <f>COUNTIFS('Toolbox Talks'!$E$4:$E$100003,"Housekeeping",'Toolbox Talks'!$F$4:$F$100003,"Construction",'Toolbox Talks'!$D$4:$D$100003,mCrit)</f>
        <v>0</v>
      </c>
      <c r="G283" s="28">
        <f>COUNTIFS('Toolbox Talks'!$E$4:$E$100003,"Housekeeping",'Toolbox Talks'!$F$4:$F$100003,"Safety",'Toolbox Talks'!$D$4:$D$100003,mCrit)</f>
        <v>0</v>
      </c>
      <c r="H283" s="28">
        <f>COUNTIFS('Toolbox Talks'!$E$4:$E$100003,"Housekeeping",'Toolbox Talks'!$F$4:$F$100003,"Logistics",'Toolbox Talks'!$D$4:$D$100003,mCrit)</f>
        <v>0</v>
      </c>
    </row>
    <row r="284" spans="2:8">
      <c r="B284" s="13" t="s">
        <v>54</v>
      </c>
      <c r="C284" s="28">
        <f>COUNTIFS('Toolbox Talks'!$E$4:$E$100003,"Heat Stress",'Toolbox Talks'!$F$4:$F$100003,"Operations",'Toolbox Talks'!$D$4:$D$100003,mCrit)</f>
        <v>0</v>
      </c>
      <c r="D284" s="28">
        <f>COUNTIFS('Toolbox Talks'!$E$4:$E$100003,"Heat Stress",'Toolbox Talks'!$F$4:$F$100003,"Maintenance",'Toolbox Talks'!$D$4:$D$100003,mCrit)</f>
        <v>0</v>
      </c>
      <c r="E284" s="28">
        <f>COUNTIFS('Toolbox Talks'!$E$4:$E$100003,"Heat Stress",'Toolbox Talks'!$F$4:$F$100003,"Engineering",'Toolbox Talks'!$D$4:$D$100003,mCrit)</f>
        <v>0</v>
      </c>
      <c r="F284" s="28">
        <f>COUNTIFS('Toolbox Talks'!$E$4:$E$100003,"Heat Stress",'Toolbox Talks'!$F$4:$F$100003,"Construction",'Toolbox Talks'!$D$4:$D$100003,mCrit)</f>
        <v>0</v>
      </c>
      <c r="G284" s="28">
        <f>COUNTIFS('Toolbox Talks'!$E$4:$E$100003,"Heat Stress",'Toolbox Talks'!$F$4:$F$100003,"Safety",'Toolbox Talks'!$D$4:$D$100003,mCrit)</f>
        <v>0</v>
      </c>
      <c r="H284" s="28">
        <f>COUNTIFS('Toolbox Talks'!$E$4:$E$100003,"Heat Stress",'Toolbox Talks'!$F$4:$F$100003,"Logistics",'Toolbox Talks'!$D$4:$D$100003,mCrit)</f>
        <v>0</v>
      </c>
    </row>
    <row r="286" spans="2:8">
      <c r="B286" s="12" t="s">
        <v>2023</v>
      </c>
      <c r="C286" s="12" t="s">
        <v>1965</v>
      </c>
    </row>
    <row r="287" spans="2:8">
      <c r="B287" s="13" t="s">
        <v>2024</v>
      </c>
      <c r="C287" s="22">
        <f>COUNTIFS('Training'!$Q$4:$Q$100003,"&lt;&gt;",'Training'!$Q$4:$Q$100003,"&lt;="&amp;(TODAY()+30),'Training'!$Q$4:$Q$100003,"&gt;="&amp;TODAY(),'Training'!$G$4:$G$100003,dCrit)</f>
        <v>0</v>
      </c>
    </row>
    <row r="288" spans="2:8">
      <c r="B288" s="13" t="s">
        <v>2025</v>
      </c>
      <c r="C288" s="22">
        <f>COUNTIFS('Training'!$Q$4:$Q$100003,"&lt;&gt;",'Training'!$Q$4:$Q$100003,"&lt;="&amp;(TODAY()+60),'Training'!$Q$4:$Q$100003,"&gt;="&amp;TODAY(),'Training'!$G$4:$G$100003,dCrit)</f>
        <v>0</v>
      </c>
    </row>
    <row r="289" spans="2:3">
      <c r="B289" s="13" t="s">
        <v>2026</v>
      </c>
      <c r="C289" s="22">
        <f>COUNTIFS('Training'!$Q$4:$Q$100003,"&lt;&gt;",'Training'!$Q$4:$Q$100003,"&lt;="&amp;(TODAY()+90),'Training'!$Q$4:$Q$100003,"&gt;="&amp;TODAY(),'Training'!$G$4:$G$100003,dCrit)</f>
        <v>0</v>
      </c>
    </row>
    <row r="291" spans="2:3">
      <c r="B291" s="12" t="s">
        <v>129</v>
      </c>
      <c r="C291" s="12" t="s">
        <v>2027</v>
      </c>
    </row>
    <row r="292" spans="2:3">
      <c r="B292" s="13" t="s">
        <v>27</v>
      </c>
      <c r="C292" s="22">
        <f>COUNTIFS('Training'!$Q$4:$Q$100003,"&lt;&gt;",'Training'!$Q$4:$Q$100003,"&lt;="&amp;(TODAY()+90),'Training'!$Q$4:$Q$100003,"&gt;="&amp;TODAY(),'Training'!$G$4:$G$100003,"Operations")</f>
        <v>0</v>
      </c>
    </row>
    <row r="293" spans="2:3">
      <c r="B293" s="13" t="s">
        <v>92</v>
      </c>
      <c r="C293" s="22">
        <f>COUNTIFS('Training'!$Q$4:$Q$100003,"&lt;&gt;",'Training'!$Q$4:$Q$100003,"&lt;="&amp;(TODAY()+90),'Training'!$Q$4:$Q$100003,"&gt;="&amp;TODAY(),'Training'!$G$4:$G$100003,"Maintenance")</f>
        <v>0</v>
      </c>
    </row>
    <row r="294" spans="2:3">
      <c r="B294" s="13" t="s">
        <v>39</v>
      </c>
      <c r="C294" s="22">
        <f>COUNTIFS('Training'!$Q$4:$Q$100003,"&lt;&gt;",'Training'!$Q$4:$Q$100003,"&lt;="&amp;(TODAY()+90),'Training'!$Q$4:$Q$100003,"&gt;="&amp;TODAY(),'Training'!$G$4:$G$100003,"Engineering")</f>
        <v>0</v>
      </c>
    </row>
    <row r="295" spans="2:3">
      <c r="B295" s="13" t="s">
        <v>89</v>
      </c>
      <c r="C295" s="22">
        <f>COUNTIFS('Training'!$Q$4:$Q$100003,"&lt;&gt;",'Training'!$Q$4:$Q$100003,"&lt;="&amp;(TODAY()+90),'Training'!$Q$4:$Q$100003,"&gt;="&amp;TODAY(),'Training'!$G$4:$G$100003,"Construction")</f>
        <v>0</v>
      </c>
    </row>
    <row r="296" spans="2:3">
      <c r="B296" s="13" t="s">
        <v>65</v>
      </c>
      <c r="C296" s="22">
        <f>COUNTIFS('Training'!$Q$4:$Q$100003,"&lt;&gt;",'Training'!$Q$4:$Q$100003,"&lt;="&amp;(TODAY()+90),'Training'!$Q$4:$Q$100003,"&gt;="&amp;TODAY(),'Training'!$G$4:$G$100003,"Safety")</f>
        <v>0</v>
      </c>
    </row>
    <row r="297" spans="2:3">
      <c r="B297" s="13" t="s">
        <v>5</v>
      </c>
      <c r="C297" s="22">
        <f>COUNTIFS('Training'!$Q$4:$Q$100003,"&lt;&gt;",'Training'!$Q$4:$Q$100003,"&lt;="&amp;(TODAY()+90),'Training'!$Q$4:$Q$100003,"&gt;="&amp;TODAY(),'Training'!$G$4:$G$100003,"Logistics")</f>
        <v>0</v>
      </c>
    </row>
    <row r="298" spans="2:3">
      <c r="B298" s="13" t="s">
        <v>50</v>
      </c>
      <c r="C298" s="22">
        <f>COUNTIFS('Training'!$Q$4:$Q$100003,"&lt;&gt;",'Training'!$Q$4:$Q$100003,"&lt;="&amp;(TODAY()+90),'Training'!$Q$4:$Q$100003,"&gt;="&amp;TODAY(),'Training'!$G$4:$G$100003,"Quality")</f>
        <v>0</v>
      </c>
    </row>
    <row r="299" spans="2:3">
      <c r="B299" s="13" t="s">
        <v>46</v>
      </c>
      <c r="C299" s="22">
        <f>COUNTIFS('Training'!$Q$4:$Q$100003,"&lt;&gt;",'Training'!$Q$4:$Q$100003,"&lt;="&amp;(TODAY()+90),'Training'!$Q$4:$Q$100003,"&gt;="&amp;TODAY(),'Training'!$G$4:$G$100003,"Admin")</f>
        <v>0</v>
      </c>
    </row>
    <row r="300" spans="2:3">
      <c r="B300" s="13" t="s">
        <v>13</v>
      </c>
      <c r="C300" s="22">
        <f>COUNTIFS('Training'!$Q$4:$Q$100003,"&lt;&gt;",'Training'!$Q$4:$Q$100003,"&lt;="&amp;(TODAY()+90),'Training'!$Q$4:$Q$100003,"&gt;="&amp;TODAY(),'Training'!$G$4:$G$100003,"Projects")</f>
        <v>0</v>
      </c>
    </row>
    <row r="301" spans="2:3">
      <c r="B301" s="13" t="s">
        <v>58</v>
      </c>
      <c r="C301" s="22">
        <f>COUNTIFS('Training'!$Q$4:$Q$100003,"&lt;&gt;",'Training'!$Q$4:$Q$100003,"&lt;="&amp;(TODAY()+90),'Training'!$Q$4:$Q$100003,"&gt;="&amp;TODAY(),'Training'!$G$4:$G$100003,"Contractor")</f>
        <v>0</v>
      </c>
    </row>
    <row r="303" spans="2:3">
      <c r="B303" s="12" t="s">
        <v>2028</v>
      </c>
      <c r="C303" s="12" t="s">
        <v>1965</v>
      </c>
    </row>
    <row r="304" spans="2:3">
      <c r="B304" s="13" t="s">
        <v>2018</v>
      </c>
      <c r="C304" s="22">
        <f>COUNTIFS('Corrective Actions'!$N$4:$N$100003,"Overdue",'Corrective Actions'!$L$4:$L$100003,"&lt;="&amp;(TODAY()-0),'Corrective Actions'!$L$4:$L$100003,"&gt;="&amp;(TODAY()-7),'Corrective Actions'!$D$4:$D$100003,mCrit,'Corrective Actions'!$F$4:$F$100003,dCrit)</f>
        <v>0</v>
      </c>
    </row>
    <row r="305" spans="2:3">
      <c r="B305" s="13" t="s">
        <v>2019</v>
      </c>
      <c r="C305" s="22">
        <f>COUNTIFS('Corrective Actions'!$N$4:$N$100003,"Overdue",'Corrective Actions'!$L$4:$L$100003,"&lt;="&amp;(TODAY()-8),'Corrective Actions'!$L$4:$L$100003,"&gt;="&amp;(TODAY()-15),'Corrective Actions'!$D$4:$D$100003,mCrit,'Corrective Actions'!$F$4:$F$100003,dCrit)</f>
        <v>0</v>
      </c>
    </row>
    <row r="306" spans="2:3">
      <c r="B306" s="13" t="s">
        <v>2020</v>
      </c>
      <c r="C306" s="22">
        <f>COUNTIFS('Corrective Actions'!$N$4:$N$100003,"Overdue",'Corrective Actions'!$L$4:$L$100003,"&lt;="&amp;(TODAY()-16),'Corrective Actions'!$L$4:$L$100003,"&gt;="&amp;(TODAY()-30),'Corrective Actions'!$D$4:$D$100003,mCrit,'Corrective Actions'!$F$4:$F$100003,dCrit)</f>
        <v>0</v>
      </c>
    </row>
    <row r="307" spans="2:3">
      <c r="B307" s="13" t="s">
        <v>2021</v>
      </c>
      <c r="C307" s="22">
        <f>COUNTIFS('Corrective Actions'!$N$4:$N$100003,"Overdue",'Corrective Actions'!$L$4:$L$100003,"&lt;="&amp;(TODAY()-31),'Corrective Actions'!$D$4:$D$100003,mCrit,'Corrective Actions'!$F$4:$F$100003,dCrit)</f>
        <v>0</v>
      </c>
    </row>
    <row r="309" spans="2:3">
      <c r="B309" s="12" t="s">
        <v>2028</v>
      </c>
      <c r="C309" s="12" t="s">
        <v>1965</v>
      </c>
    </row>
    <row r="310" spans="2:3">
      <c r="B310" s="13" t="s">
        <v>2018</v>
      </c>
      <c r="C310" s="22">
        <f>COUNTIFS('NC Management'!$M$4:$M$100003,"Overdue",'NC Management'!$K$4:$K$100003,"&lt;="&amp;(TODAY()-0),'NC Management'!$K$4:$K$100003,"&gt;="&amp;(TODAY()-7),'NC Management'!$D$4:$D$100003,mCrit,'NC Management'!$G$4:$G$100003,dCrit)</f>
        <v>0</v>
      </c>
    </row>
    <row r="311" spans="2:3">
      <c r="B311" s="13" t="s">
        <v>2019</v>
      </c>
      <c r="C311" s="22">
        <f>COUNTIFS('NC Management'!$M$4:$M$100003,"Overdue",'NC Management'!$K$4:$K$100003,"&lt;="&amp;(TODAY()-8),'NC Management'!$K$4:$K$100003,"&gt;="&amp;(TODAY()-15),'NC Management'!$D$4:$D$100003,mCrit,'NC Management'!$G$4:$G$100003,dCrit)</f>
        <v>0</v>
      </c>
    </row>
    <row r="312" spans="2:3">
      <c r="B312" s="13" t="s">
        <v>2020</v>
      </c>
      <c r="C312" s="22">
        <f>COUNTIFS('NC Management'!$M$4:$M$100003,"Overdue",'NC Management'!$K$4:$K$100003,"&lt;="&amp;(TODAY()-16),'NC Management'!$K$4:$K$100003,"&gt;="&amp;(TODAY()-30),'NC Management'!$D$4:$D$100003,mCrit,'NC Management'!$G$4:$G$100003,dCrit)</f>
        <v>0</v>
      </c>
    </row>
    <row r="313" spans="2:3">
      <c r="B313" s="13" t="s">
        <v>2021</v>
      </c>
      <c r="C313" s="22">
        <f>COUNTIFS('NC Management'!$M$4:$M$100003,"Overdue",'NC Management'!$K$4:$K$100003,"&lt;="&amp;(TODAY()-31),'NC Management'!$D$4:$D$100003,mCrit,'NC Management'!$G$4:$G$100003,dCrit)</f>
        <v>0</v>
      </c>
    </row>
    <row r="315" spans="2:3">
      <c r="B315" s="12" t="s">
        <v>2028</v>
      </c>
      <c r="C315" s="12" t="s">
        <v>1965</v>
      </c>
    </row>
    <row r="316" spans="2:3">
      <c r="B316" s="13" t="s">
        <v>2018</v>
      </c>
      <c r="C316" s="22">
        <f>COUNTIFS('HSE Observations'!$M$4:$M$100003,"Overdue",'HSE Observations'!$O$4:$O$100003,"&lt;="&amp;(TODAY()-0),'HSE Observations'!$O$4:$O$100003,"&gt;="&amp;(TODAY()-7),'HSE Observations'!$D$4:$D$100003,mCrit,'HSE Observations'!$G$4:$G$100003,dCrit)</f>
        <v>0</v>
      </c>
    </row>
    <row r="317" spans="2:3">
      <c r="B317" s="13" t="s">
        <v>2019</v>
      </c>
      <c r="C317" s="22">
        <f>COUNTIFS('HSE Observations'!$M$4:$M$100003,"Overdue",'HSE Observations'!$O$4:$O$100003,"&lt;="&amp;(TODAY()-8),'HSE Observations'!$O$4:$O$100003,"&gt;="&amp;(TODAY()-15),'HSE Observations'!$D$4:$D$100003,mCrit,'HSE Observations'!$G$4:$G$100003,dCrit)</f>
        <v>0</v>
      </c>
    </row>
    <row r="318" spans="2:3">
      <c r="B318" s="13" t="s">
        <v>2020</v>
      </c>
      <c r="C318" s="22">
        <f>COUNTIFS('HSE Observations'!$M$4:$M$100003,"Overdue",'HSE Observations'!$O$4:$O$100003,"&lt;="&amp;(TODAY()-16),'HSE Observations'!$O$4:$O$100003,"&gt;="&amp;(TODAY()-30),'HSE Observations'!$D$4:$D$100003,mCrit,'HSE Observations'!$G$4:$G$100003,dCrit)</f>
        <v>0</v>
      </c>
    </row>
    <row r="319" spans="2:3">
      <c r="B319" s="13" t="s">
        <v>2021</v>
      </c>
      <c r="C319" s="22">
        <f>COUNTIFS('HSE Observations'!$M$4:$M$100003,"Overdue",'HSE Observations'!$O$4:$O$100003,"&lt;="&amp;(TODAY()-31),'HSE Observations'!$D$4:$D$100003,mCrit,'HSE Observations'!$G$4:$G$100003,dCrit)</f>
        <v>0</v>
      </c>
    </row>
    <row r="321" spans="2:3">
      <c r="B321" s="12" t="s">
        <v>2028</v>
      </c>
      <c r="C321" s="12" t="s">
        <v>1965</v>
      </c>
    </row>
    <row r="322" spans="2:3">
      <c r="B322" s="13" t="s">
        <v>2018</v>
      </c>
      <c r="C322" s="22">
        <f>COUNTIFS('Workplace Inspections'!$M$4:$M$100003,"Overdue",'Workplace Inspections'!$O$4:$O$100003,"&lt;="&amp;(TODAY()-0),'Workplace Inspections'!$O$4:$O$100003,"&gt;="&amp;(TODAY()-7),'Workplace Inspections'!$D$4:$D$100003,mCrit,'Workplace Inspections'!$F$4:$F$100003,dCrit)</f>
        <v>0</v>
      </c>
    </row>
    <row r="323" spans="2:3">
      <c r="B323" s="13" t="s">
        <v>2019</v>
      </c>
      <c r="C323" s="22">
        <f>COUNTIFS('Workplace Inspections'!$M$4:$M$100003,"Overdue",'Workplace Inspections'!$O$4:$O$100003,"&lt;="&amp;(TODAY()-8),'Workplace Inspections'!$O$4:$O$100003,"&gt;="&amp;(TODAY()-15),'Workplace Inspections'!$D$4:$D$100003,mCrit,'Workplace Inspections'!$F$4:$F$100003,dCrit)</f>
        <v>0</v>
      </c>
    </row>
    <row r="324" spans="2:3">
      <c r="B324" s="13" t="s">
        <v>2020</v>
      </c>
      <c r="C324" s="22">
        <f>COUNTIFS('Workplace Inspections'!$M$4:$M$100003,"Overdue",'Workplace Inspections'!$O$4:$O$100003,"&lt;="&amp;(TODAY()-16),'Workplace Inspections'!$O$4:$O$100003,"&gt;="&amp;(TODAY()-30),'Workplace Inspections'!$D$4:$D$100003,mCrit,'Workplace Inspections'!$F$4:$F$100003,dCrit)</f>
        <v>0</v>
      </c>
    </row>
    <row r="325" spans="2:3">
      <c r="B325" s="13" t="s">
        <v>2021</v>
      </c>
      <c r="C325" s="22">
        <f>COUNTIFS('Workplace Inspections'!$M$4:$M$100003,"Overdue",'Workplace Inspections'!$O$4:$O$100003,"&lt;="&amp;(TODAY()-31),'Workplace Inspections'!$D$4:$D$100003,mCrit,'Workplace Inspections'!$F$4:$F$100003,dCrit)</f>
        <v>0</v>
      </c>
    </row>
    <row r="327" spans="2:3">
      <c r="B327" s="12" t="s">
        <v>2028</v>
      </c>
      <c r="C327" s="12" t="s">
        <v>1965</v>
      </c>
    </row>
    <row r="328" spans="2:3">
      <c r="B328" s="13" t="s">
        <v>2018</v>
      </c>
      <c r="C328" s="22">
        <f>COUNTIFS('Equipment Inspections'!$M$4:$M$100003,"Overdue",'Equipment Inspections'!$O$4:$O$100003,"&lt;="&amp;(TODAY()-0),'Equipment Inspections'!$O$4:$O$100003,"&gt;="&amp;(TODAY()-7),'Equipment Inspections'!$D$4:$D$100003,mCrit,'Equipment Inspections'!$F$4:$F$100003,dCrit)</f>
        <v>0</v>
      </c>
    </row>
    <row r="329" spans="2:3">
      <c r="B329" s="13" t="s">
        <v>2019</v>
      </c>
      <c r="C329" s="22">
        <f>COUNTIFS('Equipment Inspections'!$M$4:$M$100003,"Overdue",'Equipment Inspections'!$O$4:$O$100003,"&lt;="&amp;(TODAY()-8),'Equipment Inspections'!$O$4:$O$100003,"&gt;="&amp;(TODAY()-15),'Equipment Inspections'!$D$4:$D$100003,mCrit,'Equipment Inspections'!$F$4:$F$100003,dCrit)</f>
        <v>0</v>
      </c>
    </row>
    <row r="330" spans="2:3">
      <c r="B330" s="13" t="s">
        <v>2020</v>
      </c>
      <c r="C330" s="22">
        <f>COUNTIFS('Equipment Inspections'!$M$4:$M$100003,"Overdue",'Equipment Inspections'!$O$4:$O$100003,"&lt;="&amp;(TODAY()-16),'Equipment Inspections'!$O$4:$O$100003,"&gt;="&amp;(TODAY()-30),'Equipment Inspections'!$D$4:$D$100003,mCrit,'Equipment Inspections'!$F$4:$F$100003,dCrit)</f>
        <v>0</v>
      </c>
    </row>
    <row r="331" spans="2:3">
      <c r="B331" s="13" t="s">
        <v>2021</v>
      </c>
      <c r="C331" s="22">
        <f>COUNTIFS('Equipment Inspections'!$M$4:$M$100003,"Overdue",'Equipment Inspections'!$O$4:$O$100003,"&lt;="&amp;(TODAY()-31),'Equipment Inspections'!$D$4:$D$100003,mCrit,'Equipment Inspections'!$F$4:$F$100003,dCrit)</f>
        <v>0</v>
      </c>
    </row>
    <row r="333" spans="2:3">
      <c r="B333" s="12" t="s">
        <v>2028</v>
      </c>
      <c r="C333" s="12" t="s">
        <v>1965</v>
      </c>
    </row>
    <row r="334" spans="2:3">
      <c r="B334" s="13" t="s">
        <v>2018</v>
      </c>
      <c r="C334" s="22">
        <f>COUNTIFS('Safety Walkthroughs'!$M$4:$M$100003,"Overdue",'Safety Walkthroughs'!$O$4:$O$100003,"&lt;="&amp;(TODAY()-0),'Safety Walkthroughs'!$O$4:$O$100003,"&gt;="&amp;(TODAY()-7),'Safety Walkthroughs'!$D$4:$D$100003,mCrit,'Safety Walkthroughs'!$F$4:$F$100003,dCrit)</f>
        <v>0</v>
      </c>
    </row>
    <row r="335" spans="2:3">
      <c r="B335" s="13" t="s">
        <v>2019</v>
      </c>
      <c r="C335" s="22">
        <f>COUNTIFS('Safety Walkthroughs'!$M$4:$M$100003,"Overdue",'Safety Walkthroughs'!$O$4:$O$100003,"&lt;="&amp;(TODAY()-8),'Safety Walkthroughs'!$O$4:$O$100003,"&gt;="&amp;(TODAY()-15),'Safety Walkthroughs'!$D$4:$D$100003,mCrit,'Safety Walkthroughs'!$F$4:$F$100003,dCrit)</f>
        <v>0</v>
      </c>
    </row>
    <row r="336" spans="2:3">
      <c r="B336" s="13" t="s">
        <v>2020</v>
      </c>
      <c r="C336" s="22">
        <f>COUNTIFS('Safety Walkthroughs'!$M$4:$M$100003,"Overdue",'Safety Walkthroughs'!$O$4:$O$100003,"&lt;="&amp;(TODAY()-16),'Safety Walkthroughs'!$O$4:$O$100003,"&gt;="&amp;(TODAY()-30),'Safety Walkthroughs'!$D$4:$D$100003,mCrit,'Safety Walkthroughs'!$F$4:$F$100003,dCrit)</f>
        <v>0</v>
      </c>
    </row>
    <row r="337" spans="2:3">
      <c r="B337" s="13" t="s">
        <v>2021</v>
      </c>
      <c r="C337" s="22">
        <f>COUNTIFS('Safety Walkthroughs'!$M$4:$M$100003,"Overdue",'Safety Walkthroughs'!$O$4:$O$100003,"&lt;="&amp;(TODAY()-31),'Safety Walkthroughs'!$D$4:$D$100003,mCrit,'Safety Walkthroughs'!$F$4:$F$100003,dCrit)</f>
        <v>0</v>
      </c>
    </row>
    <row r="339" spans="2:3">
      <c r="B339" s="12" t="s">
        <v>2028</v>
      </c>
      <c r="C339" s="12" t="s">
        <v>1965</v>
      </c>
    </row>
    <row r="340" spans="2:3">
      <c r="B340" s="13" t="s">
        <v>2018</v>
      </c>
      <c r="C340" s="22">
        <f>COUNTIFS('Unsafe Acts'!$M$4:$M$100003,"Overdue",'Unsafe Acts'!$L$4:$L$100003,"&lt;="&amp;(TODAY()-0),'Unsafe Acts'!$L$4:$L$100003,"&gt;="&amp;(TODAY()-7),'Unsafe Acts'!$D$4:$D$100003,mCrit,'Unsafe Acts'!$F$4:$F$100003,dCrit)</f>
        <v>0</v>
      </c>
    </row>
    <row r="341" spans="2:3">
      <c r="B341" s="13" t="s">
        <v>2019</v>
      </c>
      <c r="C341" s="22">
        <f>COUNTIFS('Unsafe Acts'!$M$4:$M$100003,"Overdue",'Unsafe Acts'!$L$4:$L$100003,"&lt;="&amp;(TODAY()-8),'Unsafe Acts'!$L$4:$L$100003,"&gt;="&amp;(TODAY()-15),'Unsafe Acts'!$D$4:$D$100003,mCrit,'Unsafe Acts'!$F$4:$F$100003,dCrit)</f>
        <v>0</v>
      </c>
    </row>
    <row r="342" spans="2:3">
      <c r="B342" s="13" t="s">
        <v>2020</v>
      </c>
      <c r="C342" s="22">
        <f>COUNTIFS('Unsafe Acts'!$M$4:$M$100003,"Overdue",'Unsafe Acts'!$L$4:$L$100003,"&lt;="&amp;(TODAY()-16),'Unsafe Acts'!$L$4:$L$100003,"&gt;="&amp;(TODAY()-30),'Unsafe Acts'!$D$4:$D$100003,mCrit,'Unsafe Acts'!$F$4:$F$100003,dCrit)</f>
        <v>0</v>
      </c>
    </row>
    <row r="343" spans="2:3">
      <c r="B343" s="13" t="s">
        <v>2021</v>
      </c>
      <c r="C343" s="22">
        <f>COUNTIFS('Unsafe Acts'!$M$4:$M$100003,"Overdue",'Unsafe Acts'!$L$4:$L$100003,"&lt;="&amp;(TODAY()-31),'Unsafe Acts'!$D$4:$D$100003,mCrit,'Unsafe Acts'!$F$4:$F$100003,dCrit)</f>
        <v>0</v>
      </c>
    </row>
    <row r="345" spans="2:3">
      <c r="B345" s="12" t="s">
        <v>2028</v>
      </c>
      <c r="C345" s="12" t="s">
        <v>1965</v>
      </c>
    </row>
    <row r="346" spans="2:3">
      <c r="B346" s="13" t="s">
        <v>2018</v>
      </c>
      <c r="C346" s="22">
        <f>COUNTIFS('Unsafe Conditions'!$M$4:$M$100003,"Overdue",'Unsafe Conditions'!$L$4:$L$100003,"&lt;="&amp;(TODAY()-0),'Unsafe Conditions'!$L$4:$L$100003,"&gt;="&amp;(TODAY()-7),'Unsafe Conditions'!$D$4:$D$100003,mCrit,'Unsafe Conditions'!$F$4:$F$100003,dCrit)</f>
        <v>0</v>
      </c>
    </row>
    <row r="347" spans="2:3">
      <c r="B347" s="13" t="s">
        <v>2019</v>
      </c>
      <c r="C347" s="22">
        <f>COUNTIFS('Unsafe Conditions'!$M$4:$M$100003,"Overdue",'Unsafe Conditions'!$L$4:$L$100003,"&lt;="&amp;(TODAY()-8),'Unsafe Conditions'!$L$4:$L$100003,"&gt;="&amp;(TODAY()-15),'Unsafe Conditions'!$D$4:$D$100003,mCrit,'Unsafe Conditions'!$F$4:$F$100003,dCrit)</f>
        <v>0</v>
      </c>
    </row>
    <row r="348" spans="2:3">
      <c r="B348" s="13" t="s">
        <v>2020</v>
      </c>
      <c r="C348" s="22">
        <f>COUNTIFS('Unsafe Conditions'!$M$4:$M$100003,"Overdue",'Unsafe Conditions'!$L$4:$L$100003,"&lt;="&amp;(TODAY()-16),'Unsafe Conditions'!$L$4:$L$100003,"&gt;="&amp;(TODAY()-30),'Unsafe Conditions'!$D$4:$D$100003,mCrit,'Unsafe Conditions'!$F$4:$F$100003,dCrit)</f>
        <v>0</v>
      </c>
    </row>
    <row r="349" spans="2:3">
      <c r="B349" s="13" t="s">
        <v>2021</v>
      </c>
      <c r="C349" s="22">
        <f>COUNTIFS('Unsafe Conditions'!$M$4:$M$100003,"Overdue",'Unsafe Conditions'!$L$4:$L$100003,"&lt;="&amp;(TODAY()-31),'Unsafe Conditions'!$D$4:$D$100003,mCrit,'Unsafe Conditions'!$F$4:$F$100003,dCrit)</f>
        <v>0</v>
      </c>
    </row>
    <row r="351" spans="2:3">
      <c r="B351" s="12" t="s">
        <v>2029</v>
      </c>
      <c r="C351" s="12" t="s">
        <v>2030</v>
      </c>
    </row>
    <row r="352" spans="2:3">
      <c r="B352" s="13" t="s">
        <v>1797</v>
      </c>
      <c r="C352" s="22">
        <f>SUM($C$304:$C$307)</f>
        <v>0</v>
      </c>
    </row>
    <row r="353" spans="2:3">
      <c r="B353" s="13" t="s">
        <v>1798</v>
      </c>
      <c r="C353" s="22">
        <f>SUM($C$310:$C$313)</f>
        <v>0</v>
      </c>
    </row>
    <row r="354" spans="2:3">
      <c r="B354" s="13" t="s">
        <v>1781</v>
      </c>
      <c r="C354" s="22">
        <f>SUM($C$316:$C$319)</f>
        <v>0</v>
      </c>
    </row>
    <row r="355" spans="2:3">
      <c r="B355" s="13" t="s">
        <v>1782</v>
      </c>
      <c r="C355" s="22">
        <f>SUM($C$322:$C$325)</f>
        <v>0</v>
      </c>
    </row>
    <row r="356" spans="2:3">
      <c r="B356" s="13" t="s">
        <v>1783</v>
      </c>
      <c r="C356" s="22">
        <f>SUM($C$328:$C$331)</f>
        <v>0</v>
      </c>
    </row>
    <row r="357" spans="2:3">
      <c r="B357" s="13" t="s">
        <v>1784</v>
      </c>
      <c r="C357" s="22">
        <f>SUM($C$334:$C$337)</f>
        <v>0</v>
      </c>
    </row>
    <row r="358" spans="2:3">
      <c r="B358" s="13" t="s">
        <v>1799</v>
      </c>
      <c r="C358" s="22">
        <f>SUM($C$340:$C$343)</f>
        <v>0</v>
      </c>
    </row>
    <row r="359" spans="2:3">
      <c r="B359" s="13" t="s">
        <v>1800</v>
      </c>
      <c r="C359" s="22">
        <f>SUM($C$346:$C$349)</f>
        <v>0</v>
      </c>
    </row>
    <row r="361" spans="2:3">
      <c r="B361" s="12" t="s">
        <v>2031</v>
      </c>
      <c r="C361" s="12" t="s">
        <v>1965</v>
      </c>
    </row>
    <row r="362" spans="2:3">
      <c r="B362" s="13" t="s">
        <v>2018</v>
      </c>
      <c r="C362" s="22">
        <f>$C$304+$C$310+$C$316+$C$322+$C$328+$C$334+$C$340+$C$346</f>
        <v>0</v>
      </c>
    </row>
    <row r="363" spans="2:3">
      <c r="B363" s="13" t="s">
        <v>2019</v>
      </c>
      <c r="C363" s="22">
        <f>$C$305+$C$311+$C$317+$C$323+$C$329+$C$335+$C$341+$C$347</f>
        <v>0</v>
      </c>
    </row>
    <row r="364" spans="2:3">
      <c r="B364" s="13" t="s">
        <v>2020</v>
      </c>
      <c r="C364" s="22">
        <f>$C$306+$C$312+$C$318+$C$324+$C$330+$C$336+$C$342+$C$348</f>
        <v>0</v>
      </c>
    </row>
    <row r="365" spans="2:3">
      <c r="B365" s="13" t="s">
        <v>2021</v>
      </c>
      <c r="C365" s="22">
        <f>$C$307+$C$313+$C$319+$C$325+$C$331+$C$337+$C$343+$C$349</f>
        <v>0</v>
      </c>
    </row>
    <row r="367" spans="2:3">
      <c r="B367" s="12" t="s">
        <v>2032</v>
      </c>
      <c r="C367" s="22">
        <f>SUM($C$362:$C$365)</f>
        <v>0</v>
      </c>
    </row>
    <row r="369" spans="2:11">
      <c r="B369" s="12" t="s">
        <v>129</v>
      </c>
      <c r="C369" s="12" t="s">
        <v>1932</v>
      </c>
      <c r="D369" s="12" t="s">
        <v>2033</v>
      </c>
      <c r="E369" s="12" t="s">
        <v>2034</v>
      </c>
      <c r="F369" s="12" t="s">
        <v>2035</v>
      </c>
      <c r="G369" s="12" t="s">
        <v>1992</v>
      </c>
      <c r="H369" s="12" t="s">
        <v>1984</v>
      </c>
      <c r="J369" s="12" t="s">
        <v>2036</v>
      </c>
      <c r="K369" s="12" t="s">
        <v>2037</v>
      </c>
    </row>
    <row r="370" spans="2:11">
      <c r="B370" s="13" t="s">
        <v>27</v>
      </c>
      <c r="C370" s="22">
        <f>COUNTIFS('Incident'!$N$4:$N$100003,"Lost Time Injury",'Incident'!$D$4:$D$100003,mCrit,'Incident'!$H$4:$H$100003,"Operations")+COUNTIFS('Incident'!$N$4:$N$100003,"Medical Treatment",'Incident'!$D$4:$D$100003,mCrit,'Incident'!$H$4:$H$100003,"Operations")+COUNTIFS('Incident'!$N$4:$N$100003,"Restricted Work",'Incident'!$D$4:$D$100003,mCrit,'Incident'!$H$4:$H$100003,"Operations")+COUNTIFS('Incident'!$N$4:$N$100003,"Fatality",'Incident'!$D$4:$D$100003,mCrit,'Incident'!$H$4:$H$100003,"Operations")</f>
        <v>0</v>
      </c>
      <c r="D370" s="25">
        <f>IFERROR(COUNTIFS('Training'!$N$4:$N$100003,"Completed",'Training'!$D$4:$D$100003,mCrit,'Training'!$G$4:$G$100003,"Operations")/COUNTIFS('Training'!$D$4:$D$100003,mCrit,'Training'!$G$4:$G$100003,"Operations")*100,0)</f>
        <v>0</v>
      </c>
      <c r="E370" s="25">
        <f>IFERROR(COUNTIFS('HSE Observations'!$M$4:$M$100003,"Completed",'HSE Observations'!$D$4:$D$100003,mCrit,'HSE Observations'!$G$4:$G$100003,"Operations")/COUNTIFS('HSE Observations'!$D$4:$D$100003,mCrit,'HSE Observations'!$G$4:$G$100003,"Operations")*100,0)</f>
        <v>0</v>
      </c>
      <c r="F370" s="25">
        <f>IFERROR(COUNTIFS('Corrective Actions'!$N$4:$N$100003,"Completed",'Corrective Actions'!$D$4:$D$100003,mCrit,'Corrective Actions'!$F$4:$F$100003,"Operations")/COUNTIFS('Corrective Actions'!$D$4:$D$100003,mCrit,'Corrective Actions'!$F$4:$F$100003,"Operations")*100,0)</f>
        <v>0</v>
      </c>
      <c r="G370" s="22">
        <f>MAX(0,MIN(100,ROUND(AVERAGE(D370,E370,F370)-C370*5,0)))</f>
        <v>0</v>
      </c>
      <c r="H370" s="26">
        <f>G370+ROW()/100000</f>
        <v>0</v>
      </c>
      <c r="J370" s="13">
        <f>INDEX($B$370:$B$379,MATCH(LARGE($H$370:$H$379,1),$H$370:$H$379,0))</f>
        <v>0</v>
      </c>
      <c r="K370" s="22">
        <f>INT(LARGE($H$370:$H$379,1))</f>
        <v>0</v>
      </c>
    </row>
    <row r="371" spans="2:11">
      <c r="B371" s="13" t="s">
        <v>92</v>
      </c>
      <c r="C371" s="22">
        <f>COUNTIFS('Incident'!$N$4:$N$100003,"Lost Time Injury",'Incident'!$D$4:$D$100003,mCrit,'Incident'!$H$4:$H$100003,"Maintenance")+COUNTIFS('Incident'!$N$4:$N$100003,"Medical Treatment",'Incident'!$D$4:$D$100003,mCrit,'Incident'!$H$4:$H$100003,"Maintenance")+COUNTIFS('Incident'!$N$4:$N$100003,"Restricted Work",'Incident'!$D$4:$D$100003,mCrit,'Incident'!$H$4:$H$100003,"Maintenance")+COUNTIFS('Incident'!$N$4:$N$100003,"Fatality",'Incident'!$D$4:$D$100003,mCrit,'Incident'!$H$4:$H$100003,"Maintenance")</f>
        <v>0</v>
      </c>
      <c r="D371" s="25">
        <f>IFERROR(COUNTIFS('Training'!$N$4:$N$100003,"Completed",'Training'!$D$4:$D$100003,mCrit,'Training'!$G$4:$G$100003,"Maintenance")/COUNTIFS('Training'!$D$4:$D$100003,mCrit,'Training'!$G$4:$G$100003,"Maintenance")*100,0)</f>
        <v>0</v>
      </c>
      <c r="E371" s="25">
        <f>IFERROR(COUNTIFS('HSE Observations'!$M$4:$M$100003,"Completed",'HSE Observations'!$D$4:$D$100003,mCrit,'HSE Observations'!$G$4:$G$100003,"Maintenance")/COUNTIFS('HSE Observations'!$D$4:$D$100003,mCrit,'HSE Observations'!$G$4:$G$100003,"Maintenance")*100,0)</f>
        <v>0</v>
      </c>
      <c r="F371" s="25">
        <f>IFERROR(COUNTIFS('Corrective Actions'!$N$4:$N$100003,"Completed",'Corrective Actions'!$D$4:$D$100003,mCrit,'Corrective Actions'!$F$4:$F$100003,"Maintenance")/COUNTIFS('Corrective Actions'!$D$4:$D$100003,mCrit,'Corrective Actions'!$F$4:$F$100003,"Maintenance")*100,0)</f>
        <v>0</v>
      </c>
      <c r="G371" s="22">
        <f>MAX(0,MIN(100,ROUND(AVERAGE(D371,E371,F371)-C371*5,0)))</f>
        <v>0</v>
      </c>
      <c r="H371" s="26">
        <f>G371+ROW()/100000</f>
        <v>0</v>
      </c>
      <c r="J371" s="13">
        <f>INDEX($B$370:$B$379,MATCH(LARGE($H$370:$H$379,2),$H$370:$H$379,0))</f>
        <v>0</v>
      </c>
      <c r="K371" s="22">
        <f>INT(LARGE($H$370:$H$379,2))</f>
        <v>0</v>
      </c>
    </row>
    <row r="372" spans="2:11">
      <c r="B372" s="13" t="s">
        <v>39</v>
      </c>
      <c r="C372" s="22">
        <f>COUNTIFS('Incident'!$N$4:$N$100003,"Lost Time Injury",'Incident'!$D$4:$D$100003,mCrit,'Incident'!$H$4:$H$100003,"Engineering")+COUNTIFS('Incident'!$N$4:$N$100003,"Medical Treatment",'Incident'!$D$4:$D$100003,mCrit,'Incident'!$H$4:$H$100003,"Engineering")+COUNTIFS('Incident'!$N$4:$N$100003,"Restricted Work",'Incident'!$D$4:$D$100003,mCrit,'Incident'!$H$4:$H$100003,"Engineering")+COUNTIFS('Incident'!$N$4:$N$100003,"Fatality",'Incident'!$D$4:$D$100003,mCrit,'Incident'!$H$4:$H$100003,"Engineering")</f>
        <v>0</v>
      </c>
      <c r="D372" s="25">
        <f>IFERROR(COUNTIFS('Training'!$N$4:$N$100003,"Completed",'Training'!$D$4:$D$100003,mCrit,'Training'!$G$4:$G$100003,"Engineering")/COUNTIFS('Training'!$D$4:$D$100003,mCrit,'Training'!$G$4:$G$100003,"Engineering")*100,0)</f>
        <v>0</v>
      </c>
      <c r="E372" s="25">
        <f>IFERROR(COUNTIFS('HSE Observations'!$M$4:$M$100003,"Completed",'HSE Observations'!$D$4:$D$100003,mCrit,'HSE Observations'!$G$4:$G$100003,"Engineering")/COUNTIFS('HSE Observations'!$D$4:$D$100003,mCrit,'HSE Observations'!$G$4:$G$100003,"Engineering")*100,0)</f>
        <v>0</v>
      </c>
      <c r="F372" s="25">
        <f>IFERROR(COUNTIFS('Corrective Actions'!$N$4:$N$100003,"Completed",'Corrective Actions'!$D$4:$D$100003,mCrit,'Corrective Actions'!$F$4:$F$100003,"Engineering")/COUNTIFS('Corrective Actions'!$D$4:$D$100003,mCrit,'Corrective Actions'!$F$4:$F$100003,"Engineering")*100,0)</f>
        <v>0</v>
      </c>
      <c r="G372" s="22">
        <f>MAX(0,MIN(100,ROUND(AVERAGE(D372,E372,F372)-C372*5,0)))</f>
        <v>0</v>
      </c>
      <c r="H372" s="26">
        <f>G372+ROW()/100000</f>
        <v>0</v>
      </c>
      <c r="J372" s="13">
        <f>INDEX($B$370:$B$379,MATCH(LARGE($H$370:$H$379,3),$H$370:$H$379,0))</f>
        <v>0</v>
      </c>
      <c r="K372" s="22">
        <f>INT(LARGE($H$370:$H$379,3))</f>
        <v>0</v>
      </c>
    </row>
    <row r="373" spans="2:11">
      <c r="B373" s="13" t="s">
        <v>89</v>
      </c>
      <c r="C373" s="22">
        <f>COUNTIFS('Incident'!$N$4:$N$100003,"Lost Time Injury",'Incident'!$D$4:$D$100003,mCrit,'Incident'!$H$4:$H$100003,"Construction")+COUNTIFS('Incident'!$N$4:$N$100003,"Medical Treatment",'Incident'!$D$4:$D$100003,mCrit,'Incident'!$H$4:$H$100003,"Construction")+COUNTIFS('Incident'!$N$4:$N$100003,"Restricted Work",'Incident'!$D$4:$D$100003,mCrit,'Incident'!$H$4:$H$100003,"Construction")+COUNTIFS('Incident'!$N$4:$N$100003,"Fatality",'Incident'!$D$4:$D$100003,mCrit,'Incident'!$H$4:$H$100003,"Construction")</f>
        <v>0</v>
      </c>
      <c r="D373" s="25">
        <f>IFERROR(COUNTIFS('Training'!$N$4:$N$100003,"Completed",'Training'!$D$4:$D$100003,mCrit,'Training'!$G$4:$G$100003,"Construction")/COUNTIFS('Training'!$D$4:$D$100003,mCrit,'Training'!$G$4:$G$100003,"Construction")*100,0)</f>
        <v>0</v>
      </c>
      <c r="E373" s="25">
        <f>IFERROR(COUNTIFS('HSE Observations'!$M$4:$M$100003,"Completed",'HSE Observations'!$D$4:$D$100003,mCrit,'HSE Observations'!$G$4:$G$100003,"Construction")/COUNTIFS('HSE Observations'!$D$4:$D$100003,mCrit,'HSE Observations'!$G$4:$G$100003,"Construction")*100,0)</f>
        <v>0</v>
      </c>
      <c r="F373" s="25">
        <f>IFERROR(COUNTIFS('Corrective Actions'!$N$4:$N$100003,"Completed",'Corrective Actions'!$D$4:$D$100003,mCrit,'Corrective Actions'!$F$4:$F$100003,"Construction")/COUNTIFS('Corrective Actions'!$D$4:$D$100003,mCrit,'Corrective Actions'!$F$4:$F$100003,"Construction")*100,0)</f>
        <v>0</v>
      </c>
      <c r="G373" s="22">
        <f>MAX(0,MIN(100,ROUND(AVERAGE(D373,E373,F373)-C373*5,0)))</f>
        <v>0</v>
      </c>
      <c r="H373" s="26">
        <f>G373+ROW()/100000</f>
        <v>0</v>
      </c>
      <c r="J373" s="13">
        <f>INDEX($B$370:$B$379,MATCH(LARGE($H$370:$H$379,4),$H$370:$H$379,0))</f>
        <v>0</v>
      </c>
      <c r="K373" s="22">
        <f>INT(LARGE($H$370:$H$379,4))</f>
        <v>0</v>
      </c>
    </row>
    <row r="374" spans="2:11">
      <c r="B374" s="13" t="s">
        <v>65</v>
      </c>
      <c r="C374" s="22">
        <f>COUNTIFS('Incident'!$N$4:$N$100003,"Lost Time Injury",'Incident'!$D$4:$D$100003,mCrit,'Incident'!$H$4:$H$100003,"Safety")+COUNTIFS('Incident'!$N$4:$N$100003,"Medical Treatment",'Incident'!$D$4:$D$100003,mCrit,'Incident'!$H$4:$H$100003,"Safety")+COUNTIFS('Incident'!$N$4:$N$100003,"Restricted Work",'Incident'!$D$4:$D$100003,mCrit,'Incident'!$H$4:$H$100003,"Safety")+COUNTIFS('Incident'!$N$4:$N$100003,"Fatality",'Incident'!$D$4:$D$100003,mCrit,'Incident'!$H$4:$H$100003,"Safety")</f>
        <v>0</v>
      </c>
      <c r="D374" s="25">
        <f>IFERROR(COUNTIFS('Training'!$N$4:$N$100003,"Completed",'Training'!$D$4:$D$100003,mCrit,'Training'!$G$4:$G$100003,"Safety")/COUNTIFS('Training'!$D$4:$D$100003,mCrit,'Training'!$G$4:$G$100003,"Safety")*100,0)</f>
        <v>0</v>
      </c>
      <c r="E374" s="25">
        <f>IFERROR(COUNTIFS('HSE Observations'!$M$4:$M$100003,"Completed",'HSE Observations'!$D$4:$D$100003,mCrit,'HSE Observations'!$G$4:$G$100003,"Safety")/COUNTIFS('HSE Observations'!$D$4:$D$100003,mCrit,'HSE Observations'!$G$4:$G$100003,"Safety")*100,0)</f>
        <v>0</v>
      </c>
      <c r="F374" s="25">
        <f>IFERROR(COUNTIFS('Corrective Actions'!$N$4:$N$100003,"Completed",'Corrective Actions'!$D$4:$D$100003,mCrit,'Corrective Actions'!$F$4:$F$100003,"Safety")/COUNTIFS('Corrective Actions'!$D$4:$D$100003,mCrit,'Corrective Actions'!$F$4:$F$100003,"Safety")*100,0)</f>
        <v>0</v>
      </c>
      <c r="G374" s="22">
        <f>MAX(0,MIN(100,ROUND(AVERAGE(D374,E374,F374)-C374*5,0)))</f>
        <v>0</v>
      </c>
      <c r="H374" s="26">
        <f>G374+ROW()/100000</f>
        <v>0</v>
      </c>
      <c r="J374" s="13">
        <f>INDEX($B$370:$B$379,MATCH(LARGE($H$370:$H$379,5),$H$370:$H$379,0))</f>
        <v>0</v>
      </c>
      <c r="K374" s="22">
        <f>INT(LARGE($H$370:$H$379,5))</f>
        <v>0</v>
      </c>
    </row>
    <row r="375" spans="2:11">
      <c r="B375" s="13" t="s">
        <v>5</v>
      </c>
      <c r="C375" s="22">
        <f>COUNTIFS('Incident'!$N$4:$N$100003,"Lost Time Injury",'Incident'!$D$4:$D$100003,mCrit,'Incident'!$H$4:$H$100003,"Logistics")+COUNTIFS('Incident'!$N$4:$N$100003,"Medical Treatment",'Incident'!$D$4:$D$100003,mCrit,'Incident'!$H$4:$H$100003,"Logistics")+COUNTIFS('Incident'!$N$4:$N$100003,"Restricted Work",'Incident'!$D$4:$D$100003,mCrit,'Incident'!$H$4:$H$100003,"Logistics")+COUNTIFS('Incident'!$N$4:$N$100003,"Fatality",'Incident'!$D$4:$D$100003,mCrit,'Incident'!$H$4:$H$100003,"Logistics")</f>
        <v>0</v>
      </c>
      <c r="D375" s="25">
        <f>IFERROR(COUNTIFS('Training'!$N$4:$N$100003,"Completed",'Training'!$D$4:$D$100003,mCrit,'Training'!$G$4:$G$100003,"Logistics")/COUNTIFS('Training'!$D$4:$D$100003,mCrit,'Training'!$G$4:$G$100003,"Logistics")*100,0)</f>
        <v>0</v>
      </c>
      <c r="E375" s="25">
        <f>IFERROR(COUNTIFS('HSE Observations'!$M$4:$M$100003,"Completed",'HSE Observations'!$D$4:$D$100003,mCrit,'HSE Observations'!$G$4:$G$100003,"Logistics")/COUNTIFS('HSE Observations'!$D$4:$D$100003,mCrit,'HSE Observations'!$G$4:$G$100003,"Logistics")*100,0)</f>
        <v>0</v>
      </c>
      <c r="F375" s="25">
        <f>IFERROR(COUNTIFS('Corrective Actions'!$N$4:$N$100003,"Completed",'Corrective Actions'!$D$4:$D$100003,mCrit,'Corrective Actions'!$F$4:$F$100003,"Logistics")/COUNTIFS('Corrective Actions'!$D$4:$D$100003,mCrit,'Corrective Actions'!$F$4:$F$100003,"Logistics")*100,0)</f>
        <v>0</v>
      </c>
      <c r="G375" s="22">
        <f>MAX(0,MIN(100,ROUND(AVERAGE(D375,E375,F375)-C375*5,0)))</f>
        <v>0</v>
      </c>
      <c r="H375" s="26">
        <f>G375+ROW()/100000</f>
        <v>0</v>
      </c>
      <c r="J375" s="13">
        <f>INDEX($B$370:$B$379,MATCH(LARGE($H$370:$H$379,6),$H$370:$H$379,0))</f>
        <v>0</v>
      </c>
      <c r="K375" s="22">
        <f>INT(LARGE($H$370:$H$379,6))</f>
        <v>0</v>
      </c>
    </row>
    <row r="376" spans="2:11">
      <c r="B376" s="13" t="s">
        <v>50</v>
      </c>
      <c r="C376" s="22">
        <f>COUNTIFS('Incident'!$N$4:$N$100003,"Lost Time Injury",'Incident'!$D$4:$D$100003,mCrit,'Incident'!$H$4:$H$100003,"Quality")+COUNTIFS('Incident'!$N$4:$N$100003,"Medical Treatment",'Incident'!$D$4:$D$100003,mCrit,'Incident'!$H$4:$H$100003,"Quality")+COUNTIFS('Incident'!$N$4:$N$100003,"Restricted Work",'Incident'!$D$4:$D$100003,mCrit,'Incident'!$H$4:$H$100003,"Quality")+COUNTIFS('Incident'!$N$4:$N$100003,"Fatality",'Incident'!$D$4:$D$100003,mCrit,'Incident'!$H$4:$H$100003,"Quality")</f>
        <v>0</v>
      </c>
      <c r="D376" s="25">
        <f>IFERROR(COUNTIFS('Training'!$N$4:$N$100003,"Completed",'Training'!$D$4:$D$100003,mCrit,'Training'!$G$4:$G$100003,"Quality")/COUNTIFS('Training'!$D$4:$D$100003,mCrit,'Training'!$G$4:$G$100003,"Quality")*100,0)</f>
        <v>0</v>
      </c>
      <c r="E376" s="25">
        <f>IFERROR(COUNTIFS('HSE Observations'!$M$4:$M$100003,"Completed",'HSE Observations'!$D$4:$D$100003,mCrit,'HSE Observations'!$G$4:$G$100003,"Quality")/COUNTIFS('HSE Observations'!$D$4:$D$100003,mCrit,'HSE Observations'!$G$4:$G$100003,"Quality")*100,0)</f>
        <v>0</v>
      </c>
      <c r="F376" s="25">
        <f>IFERROR(COUNTIFS('Corrective Actions'!$N$4:$N$100003,"Completed",'Corrective Actions'!$D$4:$D$100003,mCrit,'Corrective Actions'!$F$4:$F$100003,"Quality")/COUNTIFS('Corrective Actions'!$D$4:$D$100003,mCrit,'Corrective Actions'!$F$4:$F$100003,"Quality")*100,0)</f>
        <v>0</v>
      </c>
      <c r="G376" s="22">
        <f>MAX(0,MIN(100,ROUND(AVERAGE(D376,E376,F376)-C376*5,0)))</f>
        <v>0</v>
      </c>
      <c r="H376" s="26">
        <f>G376+ROW()/100000</f>
        <v>0</v>
      </c>
      <c r="J376" s="13">
        <f>INDEX($B$370:$B$379,MATCH(LARGE($H$370:$H$379,7),$H$370:$H$379,0))</f>
        <v>0</v>
      </c>
      <c r="K376" s="22">
        <f>INT(LARGE($H$370:$H$379,7))</f>
        <v>0</v>
      </c>
    </row>
    <row r="377" spans="2:11">
      <c r="B377" s="13" t="s">
        <v>46</v>
      </c>
      <c r="C377" s="22">
        <f>COUNTIFS('Incident'!$N$4:$N$100003,"Lost Time Injury",'Incident'!$D$4:$D$100003,mCrit,'Incident'!$H$4:$H$100003,"Admin")+COUNTIFS('Incident'!$N$4:$N$100003,"Medical Treatment",'Incident'!$D$4:$D$100003,mCrit,'Incident'!$H$4:$H$100003,"Admin")+COUNTIFS('Incident'!$N$4:$N$100003,"Restricted Work",'Incident'!$D$4:$D$100003,mCrit,'Incident'!$H$4:$H$100003,"Admin")+COUNTIFS('Incident'!$N$4:$N$100003,"Fatality",'Incident'!$D$4:$D$100003,mCrit,'Incident'!$H$4:$H$100003,"Admin")</f>
        <v>0</v>
      </c>
      <c r="D377" s="25">
        <f>IFERROR(COUNTIFS('Training'!$N$4:$N$100003,"Completed",'Training'!$D$4:$D$100003,mCrit,'Training'!$G$4:$G$100003,"Admin")/COUNTIFS('Training'!$D$4:$D$100003,mCrit,'Training'!$G$4:$G$100003,"Admin")*100,0)</f>
        <v>0</v>
      </c>
      <c r="E377" s="25">
        <f>IFERROR(COUNTIFS('HSE Observations'!$M$4:$M$100003,"Completed",'HSE Observations'!$D$4:$D$100003,mCrit,'HSE Observations'!$G$4:$G$100003,"Admin")/COUNTIFS('HSE Observations'!$D$4:$D$100003,mCrit,'HSE Observations'!$G$4:$G$100003,"Admin")*100,0)</f>
        <v>0</v>
      </c>
      <c r="F377" s="25">
        <f>IFERROR(COUNTIFS('Corrective Actions'!$N$4:$N$100003,"Completed",'Corrective Actions'!$D$4:$D$100003,mCrit,'Corrective Actions'!$F$4:$F$100003,"Admin")/COUNTIFS('Corrective Actions'!$D$4:$D$100003,mCrit,'Corrective Actions'!$F$4:$F$100003,"Admin")*100,0)</f>
        <v>0</v>
      </c>
      <c r="G377" s="22">
        <f>MAX(0,MIN(100,ROUND(AVERAGE(D377,E377,F377)-C377*5,0)))</f>
        <v>0</v>
      </c>
      <c r="H377" s="26">
        <f>G377+ROW()/100000</f>
        <v>0</v>
      </c>
      <c r="J377" s="13">
        <f>INDEX($B$370:$B$379,MATCH(LARGE($H$370:$H$379,8),$H$370:$H$379,0))</f>
        <v>0</v>
      </c>
      <c r="K377" s="22">
        <f>INT(LARGE($H$370:$H$379,8))</f>
        <v>0</v>
      </c>
    </row>
    <row r="378" spans="2:11">
      <c r="B378" s="13" t="s">
        <v>13</v>
      </c>
      <c r="C378" s="22">
        <f>COUNTIFS('Incident'!$N$4:$N$100003,"Lost Time Injury",'Incident'!$D$4:$D$100003,mCrit,'Incident'!$H$4:$H$100003,"Projects")+COUNTIFS('Incident'!$N$4:$N$100003,"Medical Treatment",'Incident'!$D$4:$D$100003,mCrit,'Incident'!$H$4:$H$100003,"Projects")+COUNTIFS('Incident'!$N$4:$N$100003,"Restricted Work",'Incident'!$D$4:$D$100003,mCrit,'Incident'!$H$4:$H$100003,"Projects")+COUNTIFS('Incident'!$N$4:$N$100003,"Fatality",'Incident'!$D$4:$D$100003,mCrit,'Incident'!$H$4:$H$100003,"Projects")</f>
        <v>0</v>
      </c>
      <c r="D378" s="25">
        <f>IFERROR(COUNTIFS('Training'!$N$4:$N$100003,"Completed",'Training'!$D$4:$D$100003,mCrit,'Training'!$G$4:$G$100003,"Projects")/COUNTIFS('Training'!$D$4:$D$100003,mCrit,'Training'!$G$4:$G$100003,"Projects")*100,0)</f>
        <v>0</v>
      </c>
      <c r="E378" s="25">
        <f>IFERROR(COUNTIFS('HSE Observations'!$M$4:$M$100003,"Completed",'HSE Observations'!$D$4:$D$100003,mCrit,'HSE Observations'!$G$4:$G$100003,"Projects")/COUNTIFS('HSE Observations'!$D$4:$D$100003,mCrit,'HSE Observations'!$G$4:$G$100003,"Projects")*100,0)</f>
        <v>0</v>
      </c>
      <c r="F378" s="25">
        <f>IFERROR(COUNTIFS('Corrective Actions'!$N$4:$N$100003,"Completed",'Corrective Actions'!$D$4:$D$100003,mCrit,'Corrective Actions'!$F$4:$F$100003,"Projects")/COUNTIFS('Corrective Actions'!$D$4:$D$100003,mCrit,'Corrective Actions'!$F$4:$F$100003,"Projects")*100,0)</f>
        <v>0</v>
      </c>
      <c r="G378" s="22">
        <f>MAX(0,MIN(100,ROUND(AVERAGE(D378,E378,F378)-C378*5,0)))</f>
        <v>0</v>
      </c>
      <c r="H378" s="26">
        <f>G378+ROW()/100000</f>
        <v>0</v>
      </c>
      <c r="J378" s="13">
        <f>INDEX($B$370:$B$379,MATCH(LARGE($H$370:$H$379,9),$H$370:$H$379,0))</f>
        <v>0</v>
      </c>
      <c r="K378" s="22">
        <f>INT(LARGE($H$370:$H$379,9))</f>
        <v>0</v>
      </c>
    </row>
    <row r="379" spans="2:11">
      <c r="B379" s="13" t="s">
        <v>58</v>
      </c>
      <c r="C379" s="22">
        <f>COUNTIFS('Incident'!$N$4:$N$100003,"Lost Time Injury",'Incident'!$D$4:$D$100003,mCrit,'Incident'!$H$4:$H$100003,"Contractor")+COUNTIFS('Incident'!$N$4:$N$100003,"Medical Treatment",'Incident'!$D$4:$D$100003,mCrit,'Incident'!$H$4:$H$100003,"Contractor")+COUNTIFS('Incident'!$N$4:$N$100003,"Restricted Work",'Incident'!$D$4:$D$100003,mCrit,'Incident'!$H$4:$H$100003,"Contractor")+COUNTIFS('Incident'!$N$4:$N$100003,"Fatality",'Incident'!$D$4:$D$100003,mCrit,'Incident'!$H$4:$H$100003,"Contractor")</f>
        <v>0</v>
      </c>
      <c r="D379" s="25">
        <f>IFERROR(COUNTIFS('Training'!$N$4:$N$100003,"Completed",'Training'!$D$4:$D$100003,mCrit,'Training'!$G$4:$G$100003,"Contractor")/COUNTIFS('Training'!$D$4:$D$100003,mCrit,'Training'!$G$4:$G$100003,"Contractor")*100,0)</f>
        <v>0</v>
      </c>
      <c r="E379" s="25">
        <f>IFERROR(COUNTIFS('HSE Observations'!$M$4:$M$100003,"Completed",'HSE Observations'!$D$4:$D$100003,mCrit,'HSE Observations'!$G$4:$G$100003,"Contractor")/COUNTIFS('HSE Observations'!$D$4:$D$100003,mCrit,'HSE Observations'!$G$4:$G$100003,"Contractor")*100,0)</f>
        <v>0</v>
      </c>
      <c r="F379" s="25">
        <f>IFERROR(COUNTIFS('Corrective Actions'!$N$4:$N$100003,"Completed",'Corrective Actions'!$D$4:$D$100003,mCrit,'Corrective Actions'!$F$4:$F$100003,"Contractor")/COUNTIFS('Corrective Actions'!$D$4:$D$100003,mCrit,'Corrective Actions'!$F$4:$F$100003,"Contractor")*100,0)</f>
        <v>0</v>
      </c>
      <c r="G379" s="22">
        <f>MAX(0,MIN(100,ROUND(AVERAGE(D379,E379,F379)-C379*5,0)))</f>
        <v>0</v>
      </c>
      <c r="H379" s="26">
        <f>G379+ROW()/100000</f>
        <v>0</v>
      </c>
      <c r="J379" s="13">
        <f>INDEX($B$370:$B$379,MATCH(LARGE($H$370:$H$379,10),$H$370:$H$379,0))</f>
        <v>0</v>
      </c>
      <c r="K379" s="22">
        <f>INT(LARGE($H$370:$H$379,10))</f>
        <v>0</v>
      </c>
    </row>
    <row r="381" spans="2:11">
      <c r="B381" s="12" t="s">
        <v>129</v>
      </c>
      <c r="C381" s="12" t="s">
        <v>1965</v>
      </c>
      <c r="D381" s="12" t="s">
        <v>1984</v>
      </c>
      <c r="F381" s="12" t="s">
        <v>2036</v>
      </c>
      <c r="G381" s="12" t="s">
        <v>2001</v>
      </c>
    </row>
    <row r="382" spans="2:11">
      <c r="B382" s="13" t="s">
        <v>27</v>
      </c>
      <c r="C382" s="22">
        <f>COUNTIFS('JSA Risk Assessment'!$J$4:$J$100003,"Critical",'JSA Risk Assessment'!$D$4:$D$100003,mCrit,'JSA Risk Assessment'!$F$4:$F$100003,"Operations")+COUNTIFS('JSA Risk Assessment'!$J$4:$J$100003,"High",'JSA Risk Assessment'!$D$4:$D$100003,mCrit,'JSA Risk Assessment'!$F$4:$F$100003,"Operations")</f>
        <v>0</v>
      </c>
      <c r="D382" s="26">
        <f>C382+ROW()/100000</f>
        <v>0</v>
      </c>
      <c r="F382" s="13">
        <f>INDEX($B$382:$B$391,MATCH(LARGE($D$382:$D$391,1),$D$382:$D$391,0))</f>
        <v>0</v>
      </c>
      <c r="G382" s="22">
        <f>INT(LARGE($D$382:$D$391,1))</f>
        <v>0</v>
      </c>
    </row>
    <row r="383" spans="2:11">
      <c r="B383" s="13" t="s">
        <v>92</v>
      </c>
      <c r="C383" s="22">
        <f>COUNTIFS('JSA Risk Assessment'!$J$4:$J$100003,"Critical",'JSA Risk Assessment'!$D$4:$D$100003,mCrit,'JSA Risk Assessment'!$F$4:$F$100003,"Maintenance")+COUNTIFS('JSA Risk Assessment'!$J$4:$J$100003,"High",'JSA Risk Assessment'!$D$4:$D$100003,mCrit,'JSA Risk Assessment'!$F$4:$F$100003,"Maintenance")</f>
        <v>0</v>
      </c>
      <c r="D383" s="26">
        <f>C383+ROW()/100000</f>
        <v>0</v>
      </c>
      <c r="F383" s="13">
        <f>INDEX($B$382:$B$391,MATCH(LARGE($D$382:$D$391,2),$D$382:$D$391,0))</f>
        <v>0</v>
      </c>
      <c r="G383" s="22">
        <f>INT(LARGE($D$382:$D$391,2))</f>
        <v>0</v>
      </c>
    </row>
    <row r="384" spans="2:11">
      <c r="B384" s="13" t="s">
        <v>39</v>
      </c>
      <c r="C384" s="22">
        <f>COUNTIFS('JSA Risk Assessment'!$J$4:$J$100003,"Critical",'JSA Risk Assessment'!$D$4:$D$100003,mCrit,'JSA Risk Assessment'!$F$4:$F$100003,"Engineering")+COUNTIFS('JSA Risk Assessment'!$J$4:$J$100003,"High",'JSA Risk Assessment'!$D$4:$D$100003,mCrit,'JSA Risk Assessment'!$F$4:$F$100003,"Engineering")</f>
        <v>0</v>
      </c>
      <c r="D384" s="26">
        <f>C384+ROW()/100000</f>
        <v>0</v>
      </c>
      <c r="F384" s="13">
        <f>INDEX($B$382:$B$391,MATCH(LARGE($D$382:$D$391,3),$D$382:$D$391,0))</f>
        <v>0</v>
      </c>
      <c r="G384" s="22">
        <f>INT(LARGE($D$382:$D$391,3))</f>
        <v>0</v>
      </c>
    </row>
    <row r="385" spans="2:7">
      <c r="B385" s="13" t="s">
        <v>89</v>
      </c>
      <c r="C385" s="22">
        <f>COUNTIFS('JSA Risk Assessment'!$J$4:$J$100003,"Critical",'JSA Risk Assessment'!$D$4:$D$100003,mCrit,'JSA Risk Assessment'!$F$4:$F$100003,"Construction")+COUNTIFS('JSA Risk Assessment'!$J$4:$J$100003,"High",'JSA Risk Assessment'!$D$4:$D$100003,mCrit,'JSA Risk Assessment'!$F$4:$F$100003,"Construction")</f>
        <v>0</v>
      </c>
      <c r="D385" s="26">
        <f>C385+ROW()/100000</f>
        <v>0</v>
      </c>
      <c r="F385" s="13">
        <f>INDEX($B$382:$B$391,MATCH(LARGE($D$382:$D$391,4),$D$382:$D$391,0))</f>
        <v>0</v>
      </c>
      <c r="G385" s="22">
        <f>INT(LARGE($D$382:$D$391,4))</f>
        <v>0</v>
      </c>
    </row>
    <row r="386" spans="2:7">
      <c r="B386" s="13" t="s">
        <v>65</v>
      </c>
      <c r="C386" s="22">
        <f>COUNTIFS('JSA Risk Assessment'!$J$4:$J$100003,"Critical",'JSA Risk Assessment'!$D$4:$D$100003,mCrit,'JSA Risk Assessment'!$F$4:$F$100003,"Safety")+COUNTIFS('JSA Risk Assessment'!$J$4:$J$100003,"High",'JSA Risk Assessment'!$D$4:$D$100003,mCrit,'JSA Risk Assessment'!$F$4:$F$100003,"Safety")</f>
        <v>0</v>
      </c>
      <c r="D386" s="26">
        <f>C386+ROW()/100000</f>
        <v>0</v>
      </c>
      <c r="F386" s="13">
        <f>INDEX($B$382:$B$391,MATCH(LARGE($D$382:$D$391,5),$D$382:$D$391,0))</f>
        <v>0</v>
      </c>
      <c r="G386" s="22">
        <f>INT(LARGE($D$382:$D$391,5))</f>
        <v>0</v>
      </c>
    </row>
    <row r="387" spans="2:7">
      <c r="B387" s="13" t="s">
        <v>5</v>
      </c>
      <c r="C387" s="22">
        <f>COUNTIFS('JSA Risk Assessment'!$J$4:$J$100003,"Critical",'JSA Risk Assessment'!$D$4:$D$100003,mCrit,'JSA Risk Assessment'!$F$4:$F$100003,"Logistics")+COUNTIFS('JSA Risk Assessment'!$J$4:$J$100003,"High",'JSA Risk Assessment'!$D$4:$D$100003,mCrit,'JSA Risk Assessment'!$F$4:$F$100003,"Logistics")</f>
        <v>0</v>
      </c>
      <c r="D387" s="26">
        <f>C387+ROW()/100000</f>
        <v>0</v>
      </c>
    </row>
    <row r="388" spans="2:7">
      <c r="B388" s="13" t="s">
        <v>50</v>
      </c>
      <c r="C388" s="22">
        <f>COUNTIFS('JSA Risk Assessment'!$J$4:$J$100003,"Critical",'JSA Risk Assessment'!$D$4:$D$100003,mCrit,'JSA Risk Assessment'!$F$4:$F$100003,"Quality")+COUNTIFS('JSA Risk Assessment'!$J$4:$J$100003,"High",'JSA Risk Assessment'!$D$4:$D$100003,mCrit,'JSA Risk Assessment'!$F$4:$F$100003,"Quality")</f>
        <v>0</v>
      </c>
      <c r="D388" s="26">
        <f>C388+ROW()/100000</f>
        <v>0</v>
      </c>
    </row>
    <row r="389" spans="2:7">
      <c r="B389" s="13" t="s">
        <v>46</v>
      </c>
      <c r="C389" s="22">
        <f>COUNTIFS('JSA Risk Assessment'!$J$4:$J$100003,"Critical",'JSA Risk Assessment'!$D$4:$D$100003,mCrit,'JSA Risk Assessment'!$F$4:$F$100003,"Admin")+COUNTIFS('JSA Risk Assessment'!$J$4:$J$100003,"High",'JSA Risk Assessment'!$D$4:$D$100003,mCrit,'JSA Risk Assessment'!$F$4:$F$100003,"Admin")</f>
        <v>0</v>
      </c>
      <c r="D389" s="26">
        <f>C389+ROW()/100000</f>
        <v>0</v>
      </c>
    </row>
    <row r="390" spans="2:7">
      <c r="B390" s="13" t="s">
        <v>13</v>
      </c>
      <c r="C390" s="22">
        <f>COUNTIFS('JSA Risk Assessment'!$J$4:$J$100003,"Critical",'JSA Risk Assessment'!$D$4:$D$100003,mCrit,'JSA Risk Assessment'!$F$4:$F$100003,"Projects")+COUNTIFS('JSA Risk Assessment'!$J$4:$J$100003,"High",'JSA Risk Assessment'!$D$4:$D$100003,mCrit,'JSA Risk Assessment'!$F$4:$F$100003,"Projects")</f>
        <v>0</v>
      </c>
      <c r="D390" s="26">
        <f>C390+ROW()/100000</f>
        <v>0</v>
      </c>
    </row>
    <row r="391" spans="2:7">
      <c r="B391" s="13" t="s">
        <v>58</v>
      </c>
      <c r="C391" s="22">
        <f>COUNTIFS('JSA Risk Assessment'!$J$4:$J$100003,"Critical",'JSA Risk Assessment'!$D$4:$D$100003,mCrit,'JSA Risk Assessment'!$F$4:$F$100003,"Contractor")+COUNTIFS('JSA Risk Assessment'!$J$4:$J$100003,"High",'JSA Risk Assessment'!$D$4:$D$100003,mCrit,'JSA Risk Assessment'!$F$4:$F$100003,"Contractor")</f>
        <v>0</v>
      </c>
      <c r="D391" s="26">
        <f>C391+ROW()/100000</f>
        <v>0</v>
      </c>
    </row>
    <row r="393" spans="2:7">
      <c r="B393" s="12" t="s">
        <v>129</v>
      </c>
      <c r="C393" s="12" t="s">
        <v>1965</v>
      </c>
      <c r="D393" s="12" t="s">
        <v>1984</v>
      </c>
      <c r="F393" s="12" t="s">
        <v>2036</v>
      </c>
      <c r="G393" s="12" t="s">
        <v>2001</v>
      </c>
    </row>
    <row r="394" spans="2:7">
      <c r="B394" s="13" t="s">
        <v>27</v>
      </c>
      <c r="C394" s="22">
        <f>COUNTIFS('HSE Observations'!$L$4:$L$100003,"Critical",'HSE Observations'!$D$4:$D$100003,mCrit,'HSE Observations'!$G$4:$G$100003,"Operations")+COUNTIFS('HSE Observations'!$L$4:$L$100003,"High",'HSE Observations'!$D$4:$D$100003,mCrit,'HSE Observations'!$G$4:$G$100003,"Operations")</f>
        <v>0</v>
      </c>
      <c r="D394" s="26">
        <f>C394+ROW()/100000</f>
        <v>0</v>
      </c>
      <c r="F394" s="13">
        <f>INDEX($B$394:$B$403,MATCH(LARGE($D$394:$D$403,1),$D$394:$D$403,0))</f>
        <v>0</v>
      </c>
      <c r="G394" s="22">
        <f>INT(LARGE($D$394:$D$403,1))</f>
        <v>0</v>
      </c>
    </row>
    <row r="395" spans="2:7">
      <c r="B395" s="13" t="s">
        <v>92</v>
      </c>
      <c r="C395" s="22">
        <f>COUNTIFS('HSE Observations'!$L$4:$L$100003,"Critical",'HSE Observations'!$D$4:$D$100003,mCrit,'HSE Observations'!$G$4:$G$100003,"Maintenance")+COUNTIFS('HSE Observations'!$L$4:$L$100003,"High",'HSE Observations'!$D$4:$D$100003,mCrit,'HSE Observations'!$G$4:$G$100003,"Maintenance")</f>
        <v>0</v>
      </c>
      <c r="D395" s="26">
        <f>C395+ROW()/100000</f>
        <v>0</v>
      </c>
      <c r="F395" s="13">
        <f>INDEX($B$394:$B$403,MATCH(LARGE($D$394:$D$403,2),$D$394:$D$403,0))</f>
        <v>0</v>
      </c>
      <c r="G395" s="22">
        <f>INT(LARGE($D$394:$D$403,2))</f>
        <v>0</v>
      </c>
    </row>
    <row r="396" spans="2:7">
      <c r="B396" s="13" t="s">
        <v>39</v>
      </c>
      <c r="C396" s="22">
        <f>COUNTIFS('HSE Observations'!$L$4:$L$100003,"Critical",'HSE Observations'!$D$4:$D$100003,mCrit,'HSE Observations'!$G$4:$G$100003,"Engineering")+COUNTIFS('HSE Observations'!$L$4:$L$100003,"High",'HSE Observations'!$D$4:$D$100003,mCrit,'HSE Observations'!$G$4:$G$100003,"Engineering")</f>
        <v>0</v>
      </c>
      <c r="D396" s="26">
        <f>C396+ROW()/100000</f>
        <v>0</v>
      </c>
      <c r="F396" s="13">
        <f>INDEX($B$394:$B$403,MATCH(LARGE($D$394:$D$403,3),$D$394:$D$403,0))</f>
        <v>0</v>
      </c>
      <c r="G396" s="22">
        <f>INT(LARGE($D$394:$D$403,3))</f>
        <v>0</v>
      </c>
    </row>
    <row r="397" spans="2:7">
      <c r="B397" s="13" t="s">
        <v>89</v>
      </c>
      <c r="C397" s="22">
        <f>COUNTIFS('HSE Observations'!$L$4:$L$100003,"Critical",'HSE Observations'!$D$4:$D$100003,mCrit,'HSE Observations'!$G$4:$G$100003,"Construction")+COUNTIFS('HSE Observations'!$L$4:$L$100003,"High",'HSE Observations'!$D$4:$D$100003,mCrit,'HSE Observations'!$G$4:$G$100003,"Construction")</f>
        <v>0</v>
      </c>
      <c r="D397" s="26">
        <f>C397+ROW()/100000</f>
        <v>0</v>
      </c>
      <c r="F397" s="13">
        <f>INDEX($B$394:$B$403,MATCH(LARGE($D$394:$D$403,4),$D$394:$D$403,0))</f>
        <v>0</v>
      </c>
      <c r="G397" s="22">
        <f>INT(LARGE($D$394:$D$403,4))</f>
        <v>0</v>
      </c>
    </row>
    <row r="398" spans="2:7">
      <c r="B398" s="13" t="s">
        <v>65</v>
      </c>
      <c r="C398" s="22">
        <f>COUNTIFS('HSE Observations'!$L$4:$L$100003,"Critical",'HSE Observations'!$D$4:$D$100003,mCrit,'HSE Observations'!$G$4:$G$100003,"Safety")+COUNTIFS('HSE Observations'!$L$4:$L$100003,"High",'HSE Observations'!$D$4:$D$100003,mCrit,'HSE Observations'!$G$4:$G$100003,"Safety")</f>
        <v>0</v>
      </c>
      <c r="D398" s="26">
        <f>C398+ROW()/100000</f>
        <v>0</v>
      </c>
      <c r="F398" s="13">
        <f>INDEX($B$394:$B$403,MATCH(LARGE($D$394:$D$403,5),$D$394:$D$403,0))</f>
        <v>0</v>
      </c>
      <c r="G398" s="22">
        <f>INT(LARGE($D$394:$D$403,5))</f>
        <v>0</v>
      </c>
    </row>
    <row r="399" spans="2:7">
      <c r="B399" s="13" t="s">
        <v>5</v>
      </c>
      <c r="C399" s="22">
        <f>COUNTIFS('HSE Observations'!$L$4:$L$100003,"Critical",'HSE Observations'!$D$4:$D$100003,mCrit,'HSE Observations'!$G$4:$G$100003,"Logistics")+COUNTIFS('HSE Observations'!$L$4:$L$100003,"High",'HSE Observations'!$D$4:$D$100003,mCrit,'HSE Observations'!$G$4:$G$100003,"Logistics")</f>
        <v>0</v>
      </c>
      <c r="D399" s="26">
        <f>C399+ROW()/100000</f>
        <v>0</v>
      </c>
    </row>
    <row r="400" spans="2:7">
      <c r="B400" s="13" t="s">
        <v>50</v>
      </c>
      <c r="C400" s="22">
        <f>COUNTIFS('HSE Observations'!$L$4:$L$100003,"Critical",'HSE Observations'!$D$4:$D$100003,mCrit,'HSE Observations'!$G$4:$G$100003,"Quality")+COUNTIFS('HSE Observations'!$L$4:$L$100003,"High",'HSE Observations'!$D$4:$D$100003,mCrit,'HSE Observations'!$G$4:$G$100003,"Quality")</f>
        <v>0</v>
      </c>
      <c r="D400" s="26">
        <f>C400+ROW()/100000</f>
        <v>0</v>
      </c>
    </row>
    <row r="401" spans="2:7">
      <c r="B401" s="13" t="s">
        <v>46</v>
      </c>
      <c r="C401" s="22">
        <f>COUNTIFS('HSE Observations'!$L$4:$L$100003,"Critical",'HSE Observations'!$D$4:$D$100003,mCrit,'HSE Observations'!$G$4:$G$100003,"Admin")+COUNTIFS('HSE Observations'!$L$4:$L$100003,"High",'HSE Observations'!$D$4:$D$100003,mCrit,'HSE Observations'!$G$4:$G$100003,"Admin")</f>
        <v>0</v>
      </c>
      <c r="D401" s="26">
        <f>C401+ROW()/100000</f>
        <v>0</v>
      </c>
    </row>
    <row r="402" spans="2:7">
      <c r="B402" s="13" t="s">
        <v>13</v>
      </c>
      <c r="C402" s="22">
        <f>COUNTIFS('HSE Observations'!$L$4:$L$100003,"Critical",'HSE Observations'!$D$4:$D$100003,mCrit,'HSE Observations'!$G$4:$G$100003,"Projects")+COUNTIFS('HSE Observations'!$L$4:$L$100003,"High",'HSE Observations'!$D$4:$D$100003,mCrit,'HSE Observations'!$G$4:$G$100003,"Projects")</f>
        <v>0</v>
      </c>
      <c r="D402" s="26">
        <f>C402+ROW()/100000</f>
        <v>0</v>
      </c>
    </row>
    <row r="403" spans="2:7">
      <c r="B403" s="13" t="s">
        <v>58</v>
      </c>
      <c r="C403" s="22">
        <f>COUNTIFS('HSE Observations'!$L$4:$L$100003,"Critical",'HSE Observations'!$D$4:$D$100003,mCrit,'HSE Observations'!$G$4:$G$100003,"Contractor")+COUNTIFS('HSE Observations'!$L$4:$L$100003,"High",'HSE Observations'!$D$4:$D$100003,mCrit,'HSE Observations'!$G$4:$G$100003,"Contractor")</f>
        <v>0</v>
      </c>
      <c r="D403" s="26">
        <f>C403+ROW()/100000</f>
        <v>0</v>
      </c>
    </row>
    <row r="405" spans="2:7">
      <c r="B405" s="12" t="s">
        <v>129</v>
      </c>
      <c r="C405" s="12" t="s">
        <v>1965</v>
      </c>
      <c r="D405" s="12" t="s">
        <v>1984</v>
      </c>
      <c r="F405" s="12" t="s">
        <v>2036</v>
      </c>
      <c r="G405" s="12" t="s">
        <v>2001</v>
      </c>
    </row>
    <row r="406" spans="2:7">
      <c r="B406" s="13" t="s">
        <v>27</v>
      </c>
      <c r="C406" s="22">
        <f>SUMIFS('Workplace Inspections'!$K$4:$K$100003,'Workplace Inspections'!$D$4:$D$100003,mCrit,'Workplace Inspections'!$F$4:$F$100003,"Operations")</f>
        <v>0</v>
      </c>
      <c r="D406" s="26">
        <f>C406+ROW()/100000</f>
        <v>0</v>
      </c>
      <c r="F406" s="13">
        <f>INDEX($B$406:$B$415,MATCH(LARGE($D$406:$D$415,1),$D$406:$D$415,0))</f>
        <v>0</v>
      </c>
      <c r="G406" s="22">
        <f>INT(LARGE($D$406:$D$415,1))</f>
        <v>0</v>
      </c>
    </row>
    <row r="407" spans="2:7">
      <c r="B407" s="13" t="s">
        <v>92</v>
      </c>
      <c r="C407" s="22">
        <f>SUMIFS('Workplace Inspections'!$K$4:$K$100003,'Workplace Inspections'!$D$4:$D$100003,mCrit,'Workplace Inspections'!$F$4:$F$100003,"Maintenance")</f>
        <v>0</v>
      </c>
      <c r="D407" s="26">
        <f>C407+ROW()/100000</f>
        <v>0</v>
      </c>
      <c r="F407" s="13">
        <f>INDEX($B$406:$B$415,MATCH(LARGE($D$406:$D$415,2),$D$406:$D$415,0))</f>
        <v>0</v>
      </c>
      <c r="G407" s="22">
        <f>INT(LARGE($D$406:$D$415,2))</f>
        <v>0</v>
      </c>
    </row>
    <row r="408" spans="2:7">
      <c r="B408" s="13" t="s">
        <v>39</v>
      </c>
      <c r="C408" s="22">
        <f>SUMIFS('Workplace Inspections'!$K$4:$K$100003,'Workplace Inspections'!$D$4:$D$100003,mCrit,'Workplace Inspections'!$F$4:$F$100003,"Engineering")</f>
        <v>0</v>
      </c>
      <c r="D408" s="26">
        <f>C408+ROW()/100000</f>
        <v>0</v>
      </c>
      <c r="F408" s="13">
        <f>INDEX($B$406:$B$415,MATCH(LARGE($D$406:$D$415,3),$D$406:$D$415,0))</f>
        <v>0</v>
      </c>
      <c r="G408" s="22">
        <f>INT(LARGE($D$406:$D$415,3))</f>
        <v>0</v>
      </c>
    </row>
    <row r="409" spans="2:7">
      <c r="B409" s="13" t="s">
        <v>89</v>
      </c>
      <c r="C409" s="22">
        <f>SUMIFS('Workplace Inspections'!$K$4:$K$100003,'Workplace Inspections'!$D$4:$D$100003,mCrit,'Workplace Inspections'!$F$4:$F$100003,"Construction")</f>
        <v>0</v>
      </c>
      <c r="D409" s="26">
        <f>C409+ROW()/100000</f>
        <v>0</v>
      </c>
      <c r="F409" s="13">
        <f>INDEX($B$406:$B$415,MATCH(LARGE($D$406:$D$415,4),$D$406:$D$415,0))</f>
        <v>0</v>
      </c>
      <c r="G409" s="22">
        <f>INT(LARGE($D$406:$D$415,4))</f>
        <v>0</v>
      </c>
    </row>
    <row r="410" spans="2:7">
      <c r="B410" s="13" t="s">
        <v>65</v>
      </c>
      <c r="C410" s="22">
        <f>SUMIFS('Workplace Inspections'!$K$4:$K$100003,'Workplace Inspections'!$D$4:$D$100003,mCrit,'Workplace Inspections'!$F$4:$F$100003,"Safety")</f>
        <v>0</v>
      </c>
      <c r="D410" s="26">
        <f>C410+ROW()/100000</f>
        <v>0</v>
      </c>
      <c r="F410" s="13">
        <f>INDEX($B$406:$B$415,MATCH(LARGE($D$406:$D$415,5),$D$406:$D$415,0))</f>
        <v>0</v>
      </c>
      <c r="G410" s="22">
        <f>INT(LARGE($D$406:$D$415,5))</f>
        <v>0</v>
      </c>
    </row>
    <row r="411" spans="2:7">
      <c r="B411" s="13" t="s">
        <v>5</v>
      </c>
      <c r="C411" s="22">
        <f>SUMIFS('Workplace Inspections'!$K$4:$K$100003,'Workplace Inspections'!$D$4:$D$100003,mCrit,'Workplace Inspections'!$F$4:$F$100003,"Logistics")</f>
        <v>0</v>
      </c>
      <c r="D411" s="26">
        <f>C411+ROW()/100000</f>
        <v>0</v>
      </c>
    </row>
    <row r="412" spans="2:7">
      <c r="B412" s="13" t="s">
        <v>50</v>
      </c>
      <c r="C412" s="22">
        <f>SUMIFS('Workplace Inspections'!$K$4:$K$100003,'Workplace Inspections'!$D$4:$D$100003,mCrit,'Workplace Inspections'!$F$4:$F$100003,"Quality")</f>
        <v>0</v>
      </c>
      <c r="D412" s="26">
        <f>C412+ROW()/100000</f>
        <v>0</v>
      </c>
    </row>
    <row r="413" spans="2:7">
      <c r="B413" s="13" t="s">
        <v>46</v>
      </c>
      <c r="C413" s="22">
        <f>SUMIFS('Workplace Inspections'!$K$4:$K$100003,'Workplace Inspections'!$D$4:$D$100003,mCrit,'Workplace Inspections'!$F$4:$F$100003,"Admin")</f>
        <v>0</v>
      </c>
      <c r="D413" s="26">
        <f>C413+ROW()/100000</f>
        <v>0</v>
      </c>
    </row>
    <row r="414" spans="2:7">
      <c r="B414" s="13" t="s">
        <v>13</v>
      </c>
      <c r="C414" s="22">
        <f>SUMIFS('Workplace Inspections'!$K$4:$K$100003,'Workplace Inspections'!$D$4:$D$100003,mCrit,'Workplace Inspections'!$F$4:$F$100003,"Projects")</f>
        <v>0</v>
      </c>
      <c r="D414" s="26">
        <f>C414+ROW()/100000</f>
        <v>0</v>
      </c>
    </row>
    <row r="415" spans="2:7">
      <c r="B415" s="13" t="s">
        <v>58</v>
      </c>
      <c r="C415" s="22">
        <f>SUMIFS('Workplace Inspections'!$K$4:$K$100003,'Workplace Inspections'!$D$4:$D$100003,mCrit,'Workplace Inspections'!$F$4:$F$100003,"Contractor")</f>
        <v>0</v>
      </c>
      <c r="D415" s="26">
        <f>C415+ROW()/100000</f>
        <v>0</v>
      </c>
    </row>
    <row r="417" spans="2:7">
      <c r="B417" s="12" t="s">
        <v>129</v>
      </c>
      <c r="C417" s="12" t="s">
        <v>1965</v>
      </c>
      <c r="D417" s="12" t="s">
        <v>1984</v>
      </c>
      <c r="F417" s="12" t="s">
        <v>2036</v>
      </c>
      <c r="G417" s="12" t="s">
        <v>2001</v>
      </c>
    </row>
    <row r="418" spans="2:7">
      <c r="B418" s="13" t="s">
        <v>27</v>
      </c>
      <c r="C418" s="22">
        <f>SUMIFS('Equipment Inspections'!$K$4:$K$100003,'Equipment Inspections'!$D$4:$D$100003,mCrit,'Equipment Inspections'!$F$4:$F$100003,"Operations")</f>
        <v>0</v>
      </c>
      <c r="D418" s="26">
        <f>C418+ROW()/100000</f>
        <v>0</v>
      </c>
      <c r="F418" s="13">
        <f>INDEX($B$418:$B$427,MATCH(LARGE($D$418:$D$427,1),$D$418:$D$427,0))</f>
        <v>0</v>
      </c>
      <c r="G418" s="22">
        <f>INT(LARGE($D$418:$D$427,1))</f>
        <v>0</v>
      </c>
    </row>
    <row r="419" spans="2:7">
      <c r="B419" s="13" t="s">
        <v>92</v>
      </c>
      <c r="C419" s="22">
        <f>SUMIFS('Equipment Inspections'!$K$4:$K$100003,'Equipment Inspections'!$D$4:$D$100003,mCrit,'Equipment Inspections'!$F$4:$F$100003,"Maintenance")</f>
        <v>0</v>
      </c>
      <c r="D419" s="26">
        <f>C419+ROW()/100000</f>
        <v>0</v>
      </c>
      <c r="F419" s="13">
        <f>INDEX($B$418:$B$427,MATCH(LARGE($D$418:$D$427,2),$D$418:$D$427,0))</f>
        <v>0</v>
      </c>
      <c r="G419" s="22">
        <f>INT(LARGE($D$418:$D$427,2))</f>
        <v>0</v>
      </c>
    </row>
    <row r="420" spans="2:7">
      <c r="B420" s="13" t="s">
        <v>39</v>
      </c>
      <c r="C420" s="22">
        <f>SUMIFS('Equipment Inspections'!$K$4:$K$100003,'Equipment Inspections'!$D$4:$D$100003,mCrit,'Equipment Inspections'!$F$4:$F$100003,"Engineering")</f>
        <v>0</v>
      </c>
      <c r="D420" s="26">
        <f>C420+ROW()/100000</f>
        <v>0</v>
      </c>
      <c r="F420" s="13">
        <f>INDEX($B$418:$B$427,MATCH(LARGE($D$418:$D$427,3),$D$418:$D$427,0))</f>
        <v>0</v>
      </c>
      <c r="G420" s="22">
        <f>INT(LARGE($D$418:$D$427,3))</f>
        <v>0</v>
      </c>
    </row>
    <row r="421" spans="2:7">
      <c r="B421" s="13" t="s">
        <v>89</v>
      </c>
      <c r="C421" s="22">
        <f>SUMIFS('Equipment Inspections'!$K$4:$K$100003,'Equipment Inspections'!$D$4:$D$100003,mCrit,'Equipment Inspections'!$F$4:$F$100003,"Construction")</f>
        <v>0</v>
      </c>
      <c r="D421" s="26">
        <f>C421+ROW()/100000</f>
        <v>0</v>
      </c>
      <c r="F421" s="13">
        <f>INDEX($B$418:$B$427,MATCH(LARGE($D$418:$D$427,4),$D$418:$D$427,0))</f>
        <v>0</v>
      </c>
      <c r="G421" s="22">
        <f>INT(LARGE($D$418:$D$427,4))</f>
        <v>0</v>
      </c>
    </row>
    <row r="422" spans="2:7">
      <c r="B422" s="13" t="s">
        <v>65</v>
      </c>
      <c r="C422" s="22">
        <f>SUMIFS('Equipment Inspections'!$K$4:$K$100003,'Equipment Inspections'!$D$4:$D$100003,mCrit,'Equipment Inspections'!$F$4:$F$100003,"Safety")</f>
        <v>0</v>
      </c>
      <c r="D422" s="26">
        <f>C422+ROW()/100000</f>
        <v>0</v>
      </c>
      <c r="F422" s="13">
        <f>INDEX($B$418:$B$427,MATCH(LARGE($D$418:$D$427,5),$D$418:$D$427,0))</f>
        <v>0</v>
      </c>
      <c r="G422" s="22">
        <f>INT(LARGE($D$418:$D$427,5))</f>
        <v>0</v>
      </c>
    </row>
    <row r="423" spans="2:7">
      <c r="B423" s="13" t="s">
        <v>5</v>
      </c>
      <c r="C423" s="22">
        <f>SUMIFS('Equipment Inspections'!$K$4:$K$100003,'Equipment Inspections'!$D$4:$D$100003,mCrit,'Equipment Inspections'!$F$4:$F$100003,"Logistics")</f>
        <v>0</v>
      </c>
      <c r="D423" s="26">
        <f>C423+ROW()/100000</f>
        <v>0</v>
      </c>
    </row>
    <row r="424" spans="2:7">
      <c r="B424" s="13" t="s">
        <v>50</v>
      </c>
      <c r="C424" s="22">
        <f>SUMIFS('Equipment Inspections'!$K$4:$K$100003,'Equipment Inspections'!$D$4:$D$100003,mCrit,'Equipment Inspections'!$F$4:$F$100003,"Quality")</f>
        <v>0</v>
      </c>
      <c r="D424" s="26">
        <f>C424+ROW()/100000</f>
        <v>0</v>
      </c>
    </row>
    <row r="425" spans="2:7">
      <c r="B425" s="13" t="s">
        <v>46</v>
      </c>
      <c r="C425" s="22">
        <f>SUMIFS('Equipment Inspections'!$K$4:$K$100003,'Equipment Inspections'!$D$4:$D$100003,mCrit,'Equipment Inspections'!$F$4:$F$100003,"Admin")</f>
        <v>0</v>
      </c>
      <c r="D425" s="26">
        <f>C425+ROW()/100000</f>
        <v>0</v>
      </c>
    </row>
    <row r="426" spans="2:7">
      <c r="B426" s="13" t="s">
        <v>13</v>
      </c>
      <c r="C426" s="22">
        <f>SUMIFS('Equipment Inspections'!$K$4:$K$100003,'Equipment Inspections'!$D$4:$D$100003,mCrit,'Equipment Inspections'!$F$4:$F$100003,"Projects")</f>
        <v>0</v>
      </c>
      <c r="D426" s="26">
        <f>C426+ROW()/100000</f>
        <v>0</v>
      </c>
    </row>
    <row r="427" spans="2:7">
      <c r="B427" s="13" t="s">
        <v>58</v>
      </c>
      <c r="C427" s="22">
        <f>SUMIFS('Equipment Inspections'!$K$4:$K$100003,'Equipment Inspections'!$D$4:$D$100003,mCrit,'Equipment Inspections'!$F$4:$F$100003,"Contractor")</f>
        <v>0</v>
      </c>
      <c r="D427" s="26">
        <f>C427+ROW()/100000</f>
        <v>0</v>
      </c>
    </row>
    <row r="429" spans="2:7">
      <c r="B429" s="12" t="s">
        <v>129</v>
      </c>
      <c r="C429" s="12" t="s">
        <v>1965</v>
      </c>
      <c r="D429" s="12" t="s">
        <v>1984</v>
      </c>
      <c r="F429" s="12" t="s">
        <v>2036</v>
      </c>
      <c r="G429" s="12" t="s">
        <v>2001</v>
      </c>
    </row>
    <row r="430" spans="2:7">
      <c r="B430" s="13" t="s">
        <v>27</v>
      </c>
      <c r="C430" s="22">
        <f>SUMIFS('Safety Walkthroughs'!$K$4:$K$100003,'Safety Walkthroughs'!$D$4:$D$100003,mCrit,'Safety Walkthroughs'!$F$4:$F$100003,"Operations")</f>
        <v>0</v>
      </c>
      <c r="D430" s="26">
        <f>C430+ROW()/100000</f>
        <v>0</v>
      </c>
      <c r="F430" s="13">
        <f>INDEX($B$430:$B$439,MATCH(LARGE($D$430:$D$439,1),$D$430:$D$439,0))</f>
        <v>0</v>
      </c>
      <c r="G430" s="22">
        <f>INT(LARGE($D$430:$D$439,1))</f>
        <v>0</v>
      </c>
    </row>
    <row r="431" spans="2:7">
      <c r="B431" s="13" t="s">
        <v>92</v>
      </c>
      <c r="C431" s="22">
        <f>SUMIFS('Safety Walkthroughs'!$K$4:$K$100003,'Safety Walkthroughs'!$D$4:$D$100003,mCrit,'Safety Walkthroughs'!$F$4:$F$100003,"Maintenance")</f>
        <v>0</v>
      </c>
      <c r="D431" s="26">
        <f>C431+ROW()/100000</f>
        <v>0</v>
      </c>
      <c r="F431" s="13">
        <f>INDEX($B$430:$B$439,MATCH(LARGE($D$430:$D$439,2),$D$430:$D$439,0))</f>
        <v>0</v>
      </c>
      <c r="G431" s="22">
        <f>INT(LARGE($D$430:$D$439,2))</f>
        <v>0</v>
      </c>
    </row>
    <row r="432" spans="2:7">
      <c r="B432" s="13" t="s">
        <v>39</v>
      </c>
      <c r="C432" s="22">
        <f>SUMIFS('Safety Walkthroughs'!$K$4:$K$100003,'Safety Walkthroughs'!$D$4:$D$100003,mCrit,'Safety Walkthroughs'!$F$4:$F$100003,"Engineering")</f>
        <v>0</v>
      </c>
      <c r="D432" s="26">
        <f>C432+ROW()/100000</f>
        <v>0</v>
      </c>
      <c r="F432" s="13">
        <f>INDEX($B$430:$B$439,MATCH(LARGE($D$430:$D$439,3),$D$430:$D$439,0))</f>
        <v>0</v>
      </c>
      <c r="G432" s="22">
        <f>INT(LARGE($D$430:$D$439,3))</f>
        <v>0</v>
      </c>
    </row>
    <row r="433" spans="2:7">
      <c r="B433" s="13" t="s">
        <v>89</v>
      </c>
      <c r="C433" s="22">
        <f>SUMIFS('Safety Walkthroughs'!$K$4:$K$100003,'Safety Walkthroughs'!$D$4:$D$100003,mCrit,'Safety Walkthroughs'!$F$4:$F$100003,"Construction")</f>
        <v>0</v>
      </c>
      <c r="D433" s="26">
        <f>C433+ROW()/100000</f>
        <v>0</v>
      </c>
      <c r="F433" s="13">
        <f>INDEX($B$430:$B$439,MATCH(LARGE($D$430:$D$439,4),$D$430:$D$439,0))</f>
        <v>0</v>
      </c>
      <c r="G433" s="22">
        <f>INT(LARGE($D$430:$D$439,4))</f>
        <v>0</v>
      </c>
    </row>
    <row r="434" spans="2:7">
      <c r="B434" s="13" t="s">
        <v>65</v>
      </c>
      <c r="C434" s="22">
        <f>SUMIFS('Safety Walkthroughs'!$K$4:$K$100003,'Safety Walkthroughs'!$D$4:$D$100003,mCrit,'Safety Walkthroughs'!$F$4:$F$100003,"Safety")</f>
        <v>0</v>
      </c>
      <c r="D434" s="26">
        <f>C434+ROW()/100000</f>
        <v>0</v>
      </c>
      <c r="F434" s="13">
        <f>INDEX($B$430:$B$439,MATCH(LARGE($D$430:$D$439,5),$D$430:$D$439,0))</f>
        <v>0</v>
      </c>
      <c r="G434" s="22">
        <f>INT(LARGE($D$430:$D$439,5))</f>
        <v>0</v>
      </c>
    </row>
    <row r="435" spans="2:7">
      <c r="B435" s="13" t="s">
        <v>5</v>
      </c>
      <c r="C435" s="22">
        <f>SUMIFS('Safety Walkthroughs'!$K$4:$K$100003,'Safety Walkthroughs'!$D$4:$D$100003,mCrit,'Safety Walkthroughs'!$F$4:$F$100003,"Logistics")</f>
        <v>0</v>
      </c>
      <c r="D435" s="26">
        <f>C435+ROW()/100000</f>
        <v>0</v>
      </c>
    </row>
    <row r="436" spans="2:7">
      <c r="B436" s="13" t="s">
        <v>50</v>
      </c>
      <c r="C436" s="22">
        <f>SUMIFS('Safety Walkthroughs'!$K$4:$K$100003,'Safety Walkthroughs'!$D$4:$D$100003,mCrit,'Safety Walkthroughs'!$F$4:$F$100003,"Quality")</f>
        <v>0</v>
      </c>
      <c r="D436" s="26">
        <f>C436+ROW()/100000</f>
        <v>0</v>
      </c>
    </row>
    <row r="437" spans="2:7">
      <c r="B437" s="13" t="s">
        <v>46</v>
      </c>
      <c r="C437" s="22">
        <f>SUMIFS('Safety Walkthroughs'!$K$4:$K$100003,'Safety Walkthroughs'!$D$4:$D$100003,mCrit,'Safety Walkthroughs'!$F$4:$F$100003,"Admin")</f>
        <v>0</v>
      </c>
      <c r="D437" s="26">
        <f>C437+ROW()/100000</f>
        <v>0</v>
      </c>
    </row>
    <row r="438" spans="2:7">
      <c r="B438" s="13" t="s">
        <v>13</v>
      </c>
      <c r="C438" s="22">
        <f>SUMIFS('Safety Walkthroughs'!$K$4:$K$100003,'Safety Walkthroughs'!$D$4:$D$100003,mCrit,'Safety Walkthroughs'!$F$4:$F$100003,"Projects")</f>
        <v>0</v>
      </c>
      <c r="D438" s="26">
        <f>C438+ROW()/100000</f>
        <v>0</v>
      </c>
    </row>
    <row r="439" spans="2:7">
      <c r="B439" s="13" t="s">
        <v>58</v>
      </c>
      <c r="C439" s="22">
        <f>SUMIFS('Safety Walkthroughs'!$K$4:$K$100003,'Safety Walkthroughs'!$D$4:$D$100003,mCrit,'Safety Walkthroughs'!$F$4:$F$100003,"Contractor")</f>
        <v>0</v>
      </c>
      <c r="D439" s="26">
        <f>C439+ROW()/100000</f>
        <v>0</v>
      </c>
    </row>
    <row r="441" spans="2:7">
      <c r="B441" s="12" t="s">
        <v>129</v>
      </c>
      <c r="C441" s="12" t="s">
        <v>1965</v>
      </c>
      <c r="D441" s="12" t="s">
        <v>1984</v>
      </c>
      <c r="F441" s="12" t="s">
        <v>2036</v>
      </c>
      <c r="G441" s="12" t="s">
        <v>2001</v>
      </c>
    </row>
    <row r="442" spans="2:7">
      <c r="B442" s="13" t="s">
        <v>27</v>
      </c>
      <c r="C442" s="22">
        <f>COUNTIFS('Unsafe Acts'!$I$4:$I$100003,"Critical",'Unsafe Acts'!$D$4:$D$100003,mCrit,'Unsafe Acts'!$F$4:$F$100003,"Operations")+COUNTIFS('Unsafe Acts'!$I$4:$I$100003,"High",'Unsafe Acts'!$D$4:$D$100003,mCrit,'Unsafe Acts'!$F$4:$F$100003,"Operations")</f>
        <v>0</v>
      </c>
      <c r="D442" s="26">
        <f>C442+ROW()/100000</f>
        <v>0</v>
      </c>
      <c r="F442" s="13">
        <f>INDEX($B$442:$B$451,MATCH(LARGE($D$442:$D$451,1),$D$442:$D$451,0))</f>
        <v>0</v>
      </c>
      <c r="G442" s="22">
        <f>INT(LARGE($D$442:$D$451,1))</f>
        <v>0</v>
      </c>
    </row>
    <row r="443" spans="2:7">
      <c r="B443" s="13" t="s">
        <v>92</v>
      </c>
      <c r="C443" s="22">
        <f>COUNTIFS('Unsafe Acts'!$I$4:$I$100003,"Critical",'Unsafe Acts'!$D$4:$D$100003,mCrit,'Unsafe Acts'!$F$4:$F$100003,"Maintenance")+COUNTIFS('Unsafe Acts'!$I$4:$I$100003,"High",'Unsafe Acts'!$D$4:$D$100003,mCrit,'Unsafe Acts'!$F$4:$F$100003,"Maintenance")</f>
        <v>0</v>
      </c>
      <c r="D443" s="26">
        <f>C443+ROW()/100000</f>
        <v>0</v>
      </c>
      <c r="F443" s="13">
        <f>INDEX($B$442:$B$451,MATCH(LARGE($D$442:$D$451,2),$D$442:$D$451,0))</f>
        <v>0</v>
      </c>
      <c r="G443" s="22">
        <f>INT(LARGE($D$442:$D$451,2))</f>
        <v>0</v>
      </c>
    </row>
    <row r="444" spans="2:7">
      <c r="B444" s="13" t="s">
        <v>39</v>
      </c>
      <c r="C444" s="22">
        <f>COUNTIFS('Unsafe Acts'!$I$4:$I$100003,"Critical",'Unsafe Acts'!$D$4:$D$100003,mCrit,'Unsafe Acts'!$F$4:$F$100003,"Engineering")+COUNTIFS('Unsafe Acts'!$I$4:$I$100003,"High",'Unsafe Acts'!$D$4:$D$100003,mCrit,'Unsafe Acts'!$F$4:$F$100003,"Engineering")</f>
        <v>0</v>
      </c>
      <c r="D444" s="26">
        <f>C444+ROW()/100000</f>
        <v>0</v>
      </c>
      <c r="F444" s="13">
        <f>INDEX($B$442:$B$451,MATCH(LARGE($D$442:$D$451,3),$D$442:$D$451,0))</f>
        <v>0</v>
      </c>
      <c r="G444" s="22">
        <f>INT(LARGE($D$442:$D$451,3))</f>
        <v>0</v>
      </c>
    </row>
    <row r="445" spans="2:7">
      <c r="B445" s="13" t="s">
        <v>89</v>
      </c>
      <c r="C445" s="22">
        <f>COUNTIFS('Unsafe Acts'!$I$4:$I$100003,"Critical",'Unsafe Acts'!$D$4:$D$100003,mCrit,'Unsafe Acts'!$F$4:$F$100003,"Construction")+COUNTIFS('Unsafe Acts'!$I$4:$I$100003,"High",'Unsafe Acts'!$D$4:$D$100003,mCrit,'Unsafe Acts'!$F$4:$F$100003,"Construction")</f>
        <v>0</v>
      </c>
      <c r="D445" s="26">
        <f>C445+ROW()/100000</f>
        <v>0</v>
      </c>
      <c r="F445" s="13">
        <f>INDEX($B$442:$B$451,MATCH(LARGE($D$442:$D$451,4),$D$442:$D$451,0))</f>
        <v>0</v>
      </c>
      <c r="G445" s="22">
        <f>INT(LARGE($D$442:$D$451,4))</f>
        <v>0</v>
      </c>
    </row>
    <row r="446" spans="2:7">
      <c r="B446" s="13" t="s">
        <v>65</v>
      </c>
      <c r="C446" s="22">
        <f>COUNTIFS('Unsafe Acts'!$I$4:$I$100003,"Critical",'Unsafe Acts'!$D$4:$D$100003,mCrit,'Unsafe Acts'!$F$4:$F$100003,"Safety")+COUNTIFS('Unsafe Acts'!$I$4:$I$100003,"High",'Unsafe Acts'!$D$4:$D$100003,mCrit,'Unsafe Acts'!$F$4:$F$100003,"Safety")</f>
        <v>0</v>
      </c>
      <c r="D446" s="26">
        <f>C446+ROW()/100000</f>
        <v>0</v>
      </c>
      <c r="F446" s="13">
        <f>INDEX($B$442:$B$451,MATCH(LARGE($D$442:$D$451,5),$D$442:$D$451,0))</f>
        <v>0</v>
      </c>
      <c r="G446" s="22">
        <f>INT(LARGE($D$442:$D$451,5))</f>
        <v>0</v>
      </c>
    </row>
    <row r="447" spans="2:7">
      <c r="B447" s="13" t="s">
        <v>5</v>
      </c>
      <c r="C447" s="22">
        <f>COUNTIFS('Unsafe Acts'!$I$4:$I$100003,"Critical",'Unsafe Acts'!$D$4:$D$100003,mCrit,'Unsafe Acts'!$F$4:$F$100003,"Logistics")+COUNTIFS('Unsafe Acts'!$I$4:$I$100003,"High",'Unsafe Acts'!$D$4:$D$100003,mCrit,'Unsafe Acts'!$F$4:$F$100003,"Logistics")</f>
        <v>0</v>
      </c>
      <c r="D447" s="26">
        <f>C447+ROW()/100000</f>
        <v>0</v>
      </c>
    </row>
    <row r="448" spans="2:7">
      <c r="B448" s="13" t="s">
        <v>50</v>
      </c>
      <c r="C448" s="22">
        <f>COUNTIFS('Unsafe Acts'!$I$4:$I$100003,"Critical",'Unsafe Acts'!$D$4:$D$100003,mCrit,'Unsafe Acts'!$F$4:$F$100003,"Quality")+COUNTIFS('Unsafe Acts'!$I$4:$I$100003,"High",'Unsafe Acts'!$D$4:$D$100003,mCrit,'Unsafe Acts'!$F$4:$F$100003,"Quality")</f>
        <v>0</v>
      </c>
      <c r="D448" s="26">
        <f>C448+ROW()/100000</f>
        <v>0</v>
      </c>
    </row>
    <row r="449" spans="2:7">
      <c r="B449" s="13" t="s">
        <v>46</v>
      </c>
      <c r="C449" s="22">
        <f>COUNTIFS('Unsafe Acts'!$I$4:$I$100003,"Critical",'Unsafe Acts'!$D$4:$D$100003,mCrit,'Unsafe Acts'!$F$4:$F$100003,"Admin")+COUNTIFS('Unsafe Acts'!$I$4:$I$100003,"High",'Unsafe Acts'!$D$4:$D$100003,mCrit,'Unsafe Acts'!$F$4:$F$100003,"Admin")</f>
        <v>0</v>
      </c>
      <c r="D449" s="26">
        <f>C449+ROW()/100000</f>
        <v>0</v>
      </c>
    </row>
    <row r="450" spans="2:7">
      <c r="B450" s="13" t="s">
        <v>13</v>
      </c>
      <c r="C450" s="22">
        <f>COUNTIFS('Unsafe Acts'!$I$4:$I$100003,"Critical",'Unsafe Acts'!$D$4:$D$100003,mCrit,'Unsafe Acts'!$F$4:$F$100003,"Projects")+COUNTIFS('Unsafe Acts'!$I$4:$I$100003,"High",'Unsafe Acts'!$D$4:$D$100003,mCrit,'Unsafe Acts'!$F$4:$F$100003,"Projects")</f>
        <v>0</v>
      </c>
      <c r="D450" s="26">
        <f>C450+ROW()/100000</f>
        <v>0</v>
      </c>
    </row>
    <row r="451" spans="2:7">
      <c r="B451" s="13" t="s">
        <v>58</v>
      </c>
      <c r="C451" s="22">
        <f>COUNTIFS('Unsafe Acts'!$I$4:$I$100003,"Critical",'Unsafe Acts'!$D$4:$D$100003,mCrit,'Unsafe Acts'!$F$4:$F$100003,"Contractor")+COUNTIFS('Unsafe Acts'!$I$4:$I$100003,"High",'Unsafe Acts'!$D$4:$D$100003,mCrit,'Unsafe Acts'!$F$4:$F$100003,"Contractor")</f>
        <v>0</v>
      </c>
      <c r="D451" s="26">
        <f>C451+ROW()/100000</f>
        <v>0</v>
      </c>
    </row>
    <row r="453" spans="2:7">
      <c r="B453" s="12" t="s">
        <v>129</v>
      </c>
      <c r="C453" s="12" t="s">
        <v>1965</v>
      </c>
      <c r="D453" s="12" t="s">
        <v>1984</v>
      </c>
      <c r="F453" s="12" t="s">
        <v>2036</v>
      </c>
      <c r="G453" s="12" t="s">
        <v>2001</v>
      </c>
    </row>
    <row r="454" spans="2:7">
      <c r="B454" s="13" t="s">
        <v>27</v>
      </c>
      <c r="C454" s="22">
        <f>COUNTIFS('Unsafe Conditions'!$I$4:$I$100003,"Critical",'Unsafe Conditions'!$D$4:$D$100003,mCrit,'Unsafe Conditions'!$F$4:$F$100003,"Operations")+COUNTIFS('Unsafe Conditions'!$I$4:$I$100003,"High",'Unsafe Conditions'!$D$4:$D$100003,mCrit,'Unsafe Conditions'!$F$4:$F$100003,"Operations")</f>
        <v>0</v>
      </c>
      <c r="D454" s="26">
        <f>C454+ROW()/100000</f>
        <v>0</v>
      </c>
      <c r="F454" s="13">
        <f>INDEX($B$454:$B$463,MATCH(LARGE($D$454:$D$463,1),$D$454:$D$463,0))</f>
        <v>0</v>
      </c>
      <c r="G454" s="22">
        <f>INT(LARGE($D$454:$D$463,1))</f>
        <v>0</v>
      </c>
    </row>
    <row r="455" spans="2:7">
      <c r="B455" s="13" t="s">
        <v>92</v>
      </c>
      <c r="C455" s="22">
        <f>COUNTIFS('Unsafe Conditions'!$I$4:$I$100003,"Critical",'Unsafe Conditions'!$D$4:$D$100003,mCrit,'Unsafe Conditions'!$F$4:$F$100003,"Maintenance")+COUNTIFS('Unsafe Conditions'!$I$4:$I$100003,"High",'Unsafe Conditions'!$D$4:$D$100003,mCrit,'Unsafe Conditions'!$F$4:$F$100003,"Maintenance")</f>
        <v>0</v>
      </c>
      <c r="D455" s="26">
        <f>C455+ROW()/100000</f>
        <v>0</v>
      </c>
      <c r="F455" s="13">
        <f>INDEX($B$454:$B$463,MATCH(LARGE($D$454:$D$463,2),$D$454:$D$463,0))</f>
        <v>0</v>
      </c>
      <c r="G455" s="22">
        <f>INT(LARGE($D$454:$D$463,2))</f>
        <v>0</v>
      </c>
    </row>
    <row r="456" spans="2:7">
      <c r="B456" s="13" t="s">
        <v>39</v>
      </c>
      <c r="C456" s="22">
        <f>COUNTIFS('Unsafe Conditions'!$I$4:$I$100003,"Critical",'Unsafe Conditions'!$D$4:$D$100003,mCrit,'Unsafe Conditions'!$F$4:$F$100003,"Engineering")+COUNTIFS('Unsafe Conditions'!$I$4:$I$100003,"High",'Unsafe Conditions'!$D$4:$D$100003,mCrit,'Unsafe Conditions'!$F$4:$F$100003,"Engineering")</f>
        <v>0</v>
      </c>
      <c r="D456" s="26">
        <f>C456+ROW()/100000</f>
        <v>0</v>
      </c>
      <c r="F456" s="13">
        <f>INDEX($B$454:$B$463,MATCH(LARGE($D$454:$D$463,3),$D$454:$D$463,0))</f>
        <v>0</v>
      </c>
      <c r="G456" s="22">
        <f>INT(LARGE($D$454:$D$463,3))</f>
        <v>0</v>
      </c>
    </row>
    <row r="457" spans="2:7">
      <c r="B457" s="13" t="s">
        <v>89</v>
      </c>
      <c r="C457" s="22">
        <f>COUNTIFS('Unsafe Conditions'!$I$4:$I$100003,"Critical",'Unsafe Conditions'!$D$4:$D$100003,mCrit,'Unsafe Conditions'!$F$4:$F$100003,"Construction")+COUNTIFS('Unsafe Conditions'!$I$4:$I$100003,"High",'Unsafe Conditions'!$D$4:$D$100003,mCrit,'Unsafe Conditions'!$F$4:$F$100003,"Construction")</f>
        <v>0</v>
      </c>
      <c r="D457" s="26">
        <f>C457+ROW()/100000</f>
        <v>0</v>
      </c>
      <c r="F457" s="13">
        <f>INDEX($B$454:$B$463,MATCH(LARGE($D$454:$D$463,4),$D$454:$D$463,0))</f>
        <v>0</v>
      </c>
      <c r="G457" s="22">
        <f>INT(LARGE($D$454:$D$463,4))</f>
        <v>0</v>
      </c>
    </row>
    <row r="458" spans="2:7">
      <c r="B458" s="13" t="s">
        <v>65</v>
      </c>
      <c r="C458" s="22">
        <f>COUNTIFS('Unsafe Conditions'!$I$4:$I$100003,"Critical",'Unsafe Conditions'!$D$4:$D$100003,mCrit,'Unsafe Conditions'!$F$4:$F$100003,"Safety")+COUNTIFS('Unsafe Conditions'!$I$4:$I$100003,"High",'Unsafe Conditions'!$D$4:$D$100003,mCrit,'Unsafe Conditions'!$F$4:$F$100003,"Safety")</f>
        <v>0</v>
      </c>
      <c r="D458" s="26">
        <f>C458+ROW()/100000</f>
        <v>0</v>
      </c>
      <c r="F458" s="13">
        <f>INDEX($B$454:$B$463,MATCH(LARGE($D$454:$D$463,5),$D$454:$D$463,0))</f>
        <v>0</v>
      </c>
      <c r="G458" s="22">
        <f>INT(LARGE($D$454:$D$463,5))</f>
        <v>0</v>
      </c>
    </row>
    <row r="459" spans="2:7">
      <c r="B459" s="13" t="s">
        <v>5</v>
      </c>
      <c r="C459" s="22">
        <f>COUNTIFS('Unsafe Conditions'!$I$4:$I$100003,"Critical",'Unsafe Conditions'!$D$4:$D$100003,mCrit,'Unsafe Conditions'!$F$4:$F$100003,"Logistics")+COUNTIFS('Unsafe Conditions'!$I$4:$I$100003,"High",'Unsafe Conditions'!$D$4:$D$100003,mCrit,'Unsafe Conditions'!$F$4:$F$100003,"Logistics")</f>
        <v>0</v>
      </c>
      <c r="D459" s="26">
        <f>C459+ROW()/100000</f>
        <v>0</v>
      </c>
    </row>
    <row r="460" spans="2:7">
      <c r="B460" s="13" t="s">
        <v>50</v>
      </c>
      <c r="C460" s="22">
        <f>COUNTIFS('Unsafe Conditions'!$I$4:$I$100003,"Critical",'Unsafe Conditions'!$D$4:$D$100003,mCrit,'Unsafe Conditions'!$F$4:$F$100003,"Quality")+COUNTIFS('Unsafe Conditions'!$I$4:$I$100003,"High",'Unsafe Conditions'!$D$4:$D$100003,mCrit,'Unsafe Conditions'!$F$4:$F$100003,"Quality")</f>
        <v>0</v>
      </c>
      <c r="D460" s="26">
        <f>C460+ROW()/100000</f>
        <v>0</v>
      </c>
    </row>
    <row r="461" spans="2:7">
      <c r="B461" s="13" t="s">
        <v>46</v>
      </c>
      <c r="C461" s="22">
        <f>COUNTIFS('Unsafe Conditions'!$I$4:$I$100003,"Critical",'Unsafe Conditions'!$D$4:$D$100003,mCrit,'Unsafe Conditions'!$F$4:$F$100003,"Admin")+COUNTIFS('Unsafe Conditions'!$I$4:$I$100003,"High",'Unsafe Conditions'!$D$4:$D$100003,mCrit,'Unsafe Conditions'!$F$4:$F$100003,"Admin")</f>
        <v>0</v>
      </c>
      <c r="D461" s="26">
        <f>C461+ROW()/100000</f>
        <v>0</v>
      </c>
    </row>
    <row r="462" spans="2:7">
      <c r="B462" s="13" t="s">
        <v>13</v>
      </c>
      <c r="C462" s="22">
        <f>COUNTIFS('Unsafe Conditions'!$I$4:$I$100003,"Critical",'Unsafe Conditions'!$D$4:$D$100003,mCrit,'Unsafe Conditions'!$F$4:$F$100003,"Projects")+COUNTIFS('Unsafe Conditions'!$I$4:$I$100003,"High",'Unsafe Conditions'!$D$4:$D$100003,mCrit,'Unsafe Conditions'!$F$4:$F$100003,"Projects")</f>
        <v>0</v>
      </c>
      <c r="D462" s="26">
        <f>C462+ROW()/100000</f>
        <v>0</v>
      </c>
    </row>
    <row r="463" spans="2:7">
      <c r="B463" s="13" t="s">
        <v>58</v>
      </c>
      <c r="C463" s="22">
        <f>COUNTIFS('Unsafe Conditions'!$I$4:$I$100003,"Critical",'Unsafe Conditions'!$D$4:$D$100003,mCrit,'Unsafe Conditions'!$F$4:$F$100003,"Contractor")+COUNTIFS('Unsafe Conditions'!$I$4:$I$100003,"High",'Unsafe Conditions'!$D$4:$D$100003,mCrit,'Unsafe Conditions'!$F$4:$F$100003,"Contractor")</f>
        <v>0</v>
      </c>
      <c r="D463" s="26">
        <f>C463+ROW()/100000</f>
        <v>0</v>
      </c>
    </row>
    <row r="465" spans="2:7">
      <c r="B465" s="12" t="s">
        <v>129</v>
      </c>
      <c r="C465" s="12" t="s">
        <v>1965</v>
      </c>
      <c r="D465" s="12" t="s">
        <v>1984</v>
      </c>
      <c r="F465" s="12" t="s">
        <v>2036</v>
      </c>
      <c r="G465" s="12" t="s">
        <v>2001</v>
      </c>
    </row>
    <row r="466" spans="2:7">
      <c r="B466" s="13" t="s">
        <v>27</v>
      </c>
      <c r="C466" s="22">
        <f>COUNTIFS('NC Management'!$F$4:$F$100003,"Major",'NC Management'!$D$4:$D$100003,mCrit,'NC Management'!$G$4:$G$100003,"Operations")</f>
        <v>0</v>
      </c>
      <c r="D466" s="26">
        <f>C466+ROW()/100000</f>
        <v>0</v>
      </c>
      <c r="F466" s="13">
        <f>INDEX($B$466:$B$475,MATCH(LARGE($D$466:$D$475,1),$D$466:$D$475,0))</f>
        <v>0</v>
      </c>
      <c r="G466" s="22">
        <f>INT(LARGE($D$466:$D$475,1))</f>
        <v>0</v>
      </c>
    </row>
    <row r="467" spans="2:7">
      <c r="B467" s="13" t="s">
        <v>92</v>
      </c>
      <c r="C467" s="22">
        <f>COUNTIFS('NC Management'!$F$4:$F$100003,"Major",'NC Management'!$D$4:$D$100003,mCrit,'NC Management'!$G$4:$G$100003,"Maintenance")</f>
        <v>0</v>
      </c>
      <c r="D467" s="26">
        <f>C467+ROW()/100000</f>
        <v>0</v>
      </c>
      <c r="F467" s="13">
        <f>INDEX($B$466:$B$475,MATCH(LARGE($D$466:$D$475,2),$D$466:$D$475,0))</f>
        <v>0</v>
      </c>
      <c r="G467" s="22">
        <f>INT(LARGE($D$466:$D$475,2))</f>
        <v>0</v>
      </c>
    </row>
    <row r="468" spans="2:7">
      <c r="B468" s="13" t="s">
        <v>39</v>
      </c>
      <c r="C468" s="22">
        <f>COUNTIFS('NC Management'!$F$4:$F$100003,"Major",'NC Management'!$D$4:$D$100003,mCrit,'NC Management'!$G$4:$G$100003,"Engineering")</f>
        <v>0</v>
      </c>
      <c r="D468" s="26">
        <f>C468+ROW()/100000</f>
        <v>0</v>
      </c>
      <c r="F468" s="13">
        <f>INDEX($B$466:$B$475,MATCH(LARGE($D$466:$D$475,3),$D$466:$D$475,0))</f>
        <v>0</v>
      </c>
      <c r="G468" s="22">
        <f>INT(LARGE($D$466:$D$475,3))</f>
        <v>0</v>
      </c>
    </row>
    <row r="469" spans="2:7">
      <c r="B469" s="13" t="s">
        <v>89</v>
      </c>
      <c r="C469" s="22">
        <f>COUNTIFS('NC Management'!$F$4:$F$100003,"Major",'NC Management'!$D$4:$D$100003,mCrit,'NC Management'!$G$4:$G$100003,"Construction")</f>
        <v>0</v>
      </c>
      <c r="D469" s="26">
        <f>C469+ROW()/100000</f>
        <v>0</v>
      </c>
      <c r="F469" s="13">
        <f>INDEX($B$466:$B$475,MATCH(LARGE($D$466:$D$475,4),$D$466:$D$475,0))</f>
        <v>0</v>
      </c>
      <c r="G469" s="22">
        <f>INT(LARGE($D$466:$D$475,4))</f>
        <v>0</v>
      </c>
    </row>
    <row r="470" spans="2:7">
      <c r="B470" s="13" t="s">
        <v>65</v>
      </c>
      <c r="C470" s="22">
        <f>COUNTIFS('NC Management'!$F$4:$F$100003,"Major",'NC Management'!$D$4:$D$100003,mCrit,'NC Management'!$G$4:$G$100003,"Safety")</f>
        <v>0</v>
      </c>
      <c r="D470" s="26">
        <f>C470+ROW()/100000</f>
        <v>0</v>
      </c>
      <c r="F470" s="13">
        <f>INDEX($B$466:$B$475,MATCH(LARGE($D$466:$D$475,5),$D$466:$D$475,0))</f>
        <v>0</v>
      </c>
      <c r="G470" s="22">
        <f>INT(LARGE($D$466:$D$475,5))</f>
        <v>0</v>
      </c>
    </row>
    <row r="471" spans="2:7">
      <c r="B471" s="13" t="s">
        <v>5</v>
      </c>
      <c r="C471" s="22">
        <f>COUNTIFS('NC Management'!$F$4:$F$100003,"Major",'NC Management'!$D$4:$D$100003,mCrit,'NC Management'!$G$4:$G$100003,"Logistics")</f>
        <v>0</v>
      </c>
      <c r="D471" s="26">
        <f>C471+ROW()/100000</f>
        <v>0</v>
      </c>
    </row>
    <row r="472" spans="2:7">
      <c r="B472" s="13" t="s">
        <v>50</v>
      </c>
      <c r="C472" s="22">
        <f>COUNTIFS('NC Management'!$F$4:$F$100003,"Major",'NC Management'!$D$4:$D$100003,mCrit,'NC Management'!$G$4:$G$100003,"Quality")</f>
        <v>0</v>
      </c>
      <c r="D472" s="26">
        <f>C472+ROW()/100000</f>
        <v>0</v>
      </c>
    </row>
    <row r="473" spans="2:7">
      <c r="B473" s="13" t="s">
        <v>46</v>
      </c>
      <c r="C473" s="22">
        <f>COUNTIFS('NC Management'!$F$4:$F$100003,"Major",'NC Management'!$D$4:$D$100003,mCrit,'NC Management'!$G$4:$G$100003,"Admin")</f>
        <v>0</v>
      </c>
      <c r="D473" s="26">
        <f>C473+ROW()/100000</f>
        <v>0</v>
      </c>
    </row>
    <row r="474" spans="2:7">
      <c r="B474" s="13" t="s">
        <v>13</v>
      </c>
      <c r="C474" s="22">
        <f>COUNTIFS('NC Management'!$F$4:$F$100003,"Major",'NC Management'!$D$4:$D$100003,mCrit,'NC Management'!$G$4:$G$100003,"Projects")</f>
        <v>0</v>
      </c>
      <c r="D474" s="26">
        <f>C474+ROW()/100000</f>
        <v>0</v>
      </c>
    </row>
    <row r="475" spans="2:7">
      <c r="B475" s="13" t="s">
        <v>58</v>
      </c>
      <c r="C475" s="22">
        <f>COUNTIFS('NC Management'!$F$4:$F$100003,"Major",'NC Management'!$D$4:$D$100003,mCrit,'NC Management'!$G$4:$G$100003,"Contractor")</f>
        <v>0</v>
      </c>
      <c r="D475" s="26">
        <f>C475+ROW()/100000</f>
        <v>0</v>
      </c>
    </row>
    <row r="477" spans="2:7">
      <c r="B477" s="12" t="s">
        <v>129</v>
      </c>
      <c r="C477" s="12" t="s">
        <v>1965</v>
      </c>
      <c r="D477" s="12" t="s">
        <v>1984</v>
      </c>
      <c r="F477" s="12" t="s">
        <v>2036</v>
      </c>
      <c r="G477" s="12" t="s">
        <v>2001</v>
      </c>
    </row>
    <row r="478" spans="2:7">
      <c r="B478" s="13" t="s">
        <v>27</v>
      </c>
      <c r="C478" s="22">
        <f>COUNTIFS('Stop Work Authority'!$K$4:$K$100003,"Critical",'Stop Work Authority'!$D$4:$D$100003,mCrit,'Stop Work Authority'!$F$4:$F$100003,"Operations")+COUNTIFS('Stop Work Authority'!$K$4:$K$100003,"High",'Stop Work Authority'!$D$4:$D$100003,mCrit,'Stop Work Authority'!$F$4:$F$100003,"Operations")</f>
        <v>0</v>
      </c>
      <c r="D478" s="26">
        <f>C478+ROW()/100000</f>
        <v>0</v>
      </c>
      <c r="F478" s="13">
        <f>INDEX($B$478:$B$487,MATCH(LARGE($D$478:$D$487,1),$D$478:$D$487,0))</f>
        <v>0</v>
      </c>
      <c r="G478" s="22">
        <f>INT(LARGE($D$478:$D$487,1))</f>
        <v>0</v>
      </c>
    </row>
    <row r="479" spans="2:7">
      <c r="B479" s="13" t="s">
        <v>92</v>
      </c>
      <c r="C479" s="22">
        <f>COUNTIFS('Stop Work Authority'!$K$4:$K$100003,"Critical",'Stop Work Authority'!$D$4:$D$100003,mCrit,'Stop Work Authority'!$F$4:$F$100003,"Maintenance")+COUNTIFS('Stop Work Authority'!$K$4:$K$100003,"High",'Stop Work Authority'!$D$4:$D$100003,mCrit,'Stop Work Authority'!$F$4:$F$100003,"Maintenance")</f>
        <v>0</v>
      </c>
      <c r="D479" s="26">
        <f>C479+ROW()/100000</f>
        <v>0</v>
      </c>
      <c r="F479" s="13">
        <f>INDEX($B$478:$B$487,MATCH(LARGE($D$478:$D$487,2),$D$478:$D$487,0))</f>
        <v>0</v>
      </c>
      <c r="G479" s="22">
        <f>INT(LARGE($D$478:$D$487,2))</f>
        <v>0</v>
      </c>
    </row>
    <row r="480" spans="2:7">
      <c r="B480" s="13" t="s">
        <v>39</v>
      </c>
      <c r="C480" s="22">
        <f>COUNTIFS('Stop Work Authority'!$K$4:$K$100003,"Critical",'Stop Work Authority'!$D$4:$D$100003,mCrit,'Stop Work Authority'!$F$4:$F$100003,"Engineering")+COUNTIFS('Stop Work Authority'!$K$4:$K$100003,"High",'Stop Work Authority'!$D$4:$D$100003,mCrit,'Stop Work Authority'!$F$4:$F$100003,"Engineering")</f>
        <v>0</v>
      </c>
      <c r="D480" s="26">
        <f>C480+ROW()/100000</f>
        <v>0</v>
      </c>
      <c r="F480" s="13">
        <f>INDEX($B$478:$B$487,MATCH(LARGE($D$478:$D$487,3),$D$478:$D$487,0))</f>
        <v>0</v>
      </c>
      <c r="G480" s="22">
        <f>INT(LARGE($D$478:$D$487,3))</f>
        <v>0</v>
      </c>
    </row>
    <row r="481" spans="2:7">
      <c r="B481" s="13" t="s">
        <v>89</v>
      </c>
      <c r="C481" s="22">
        <f>COUNTIFS('Stop Work Authority'!$K$4:$K$100003,"Critical",'Stop Work Authority'!$D$4:$D$100003,mCrit,'Stop Work Authority'!$F$4:$F$100003,"Construction")+COUNTIFS('Stop Work Authority'!$K$4:$K$100003,"High",'Stop Work Authority'!$D$4:$D$100003,mCrit,'Stop Work Authority'!$F$4:$F$100003,"Construction")</f>
        <v>0</v>
      </c>
      <c r="D481" s="26">
        <f>C481+ROW()/100000</f>
        <v>0</v>
      </c>
      <c r="F481" s="13">
        <f>INDEX($B$478:$B$487,MATCH(LARGE($D$478:$D$487,4),$D$478:$D$487,0))</f>
        <v>0</v>
      </c>
      <c r="G481" s="22">
        <f>INT(LARGE($D$478:$D$487,4))</f>
        <v>0</v>
      </c>
    </row>
    <row r="482" spans="2:7">
      <c r="B482" s="13" t="s">
        <v>65</v>
      </c>
      <c r="C482" s="22">
        <f>COUNTIFS('Stop Work Authority'!$K$4:$K$100003,"Critical",'Stop Work Authority'!$D$4:$D$100003,mCrit,'Stop Work Authority'!$F$4:$F$100003,"Safety")+COUNTIFS('Stop Work Authority'!$K$4:$K$100003,"High",'Stop Work Authority'!$D$4:$D$100003,mCrit,'Stop Work Authority'!$F$4:$F$100003,"Safety")</f>
        <v>0</v>
      </c>
      <c r="D482" s="26">
        <f>C482+ROW()/100000</f>
        <v>0</v>
      </c>
      <c r="F482" s="13">
        <f>INDEX($B$478:$B$487,MATCH(LARGE($D$478:$D$487,5),$D$478:$D$487,0))</f>
        <v>0</v>
      </c>
      <c r="G482" s="22">
        <f>INT(LARGE($D$478:$D$487,5))</f>
        <v>0</v>
      </c>
    </row>
    <row r="483" spans="2:7">
      <c r="B483" s="13" t="s">
        <v>5</v>
      </c>
      <c r="C483" s="22">
        <f>COUNTIFS('Stop Work Authority'!$K$4:$K$100003,"Critical",'Stop Work Authority'!$D$4:$D$100003,mCrit,'Stop Work Authority'!$F$4:$F$100003,"Logistics")+COUNTIFS('Stop Work Authority'!$K$4:$K$100003,"High",'Stop Work Authority'!$D$4:$D$100003,mCrit,'Stop Work Authority'!$F$4:$F$100003,"Logistics")</f>
        <v>0</v>
      </c>
      <c r="D483" s="26">
        <f>C483+ROW()/100000</f>
        <v>0</v>
      </c>
    </row>
    <row r="484" spans="2:7">
      <c r="B484" s="13" t="s">
        <v>50</v>
      </c>
      <c r="C484" s="22">
        <f>COUNTIFS('Stop Work Authority'!$K$4:$K$100003,"Critical",'Stop Work Authority'!$D$4:$D$100003,mCrit,'Stop Work Authority'!$F$4:$F$100003,"Quality")+COUNTIFS('Stop Work Authority'!$K$4:$K$100003,"High",'Stop Work Authority'!$D$4:$D$100003,mCrit,'Stop Work Authority'!$F$4:$F$100003,"Quality")</f>
        <v>0</v>
      </c>
      <c r="D484" s="26">
        <f>C484+ROW()/100000</f>
        <v>0</v>
      </c>
    </row>
    <row r="485" spans="2:7">
      <c r="B485" s="13" t="s">
        <v>46</v>
      </c>
      <c r="C485" s="22">
        <f>COUNTIFS('Stop Work Authority'!$K$4:$K$100003,"Critical",'Stop Work Authority'!$D$4:$D$100003,mCrit,'Stop Work Authority'!$F$4:$F$100003,"Admin")+COUNTIFS('Stop Work Authority'!$K$4:$K$100003,"High",'Stop Work Authority'!$D$4:$D$100003,mCrit,'Stop Work Authority'!$F$4:$F$100003,"Admin")</f>
        <v>0</v>
      </c>
      <c r="D485" s="26">
        <f>C485+ROW()/100000</f>
        <v>0</v>
      </c>
    </row>
    <row r="486" spans="2:7">
      <c r="B486" s="13" t="s">
        <v>13</v>
      </c>
      <c r="C486" s="22">
        <f>COUNTIFS('Stop Work Authority'!$K$4:$K$100003,"Critical",'Stop Work Authority'!$D$4:$D$100003,mCrit,'Stop Work Authority'!$F$4:$F$100003,"Projects")+COUNTIFS('Stop Work Authority'!$K$4:$K$100003,"High",'Stop Work Authority'!$D$4:$D$100003,mCrit,'Stop Work Authority'!$F$4:$F$100003,"Projects")</f>
        <v>0</v>
      </c>
      <c r="D486" s="26">
        <f>C486+ROW()/100000</f>
        <v>0</v>
      </c>
    </row>
    <row r="487" spans="2:7">
      <c r="B487" s="13" t="s">
        <v>58</v>
      </c>
      <c r="C487" s="22">
        <f>COUNTIFS('Stop Work Authority'!$K$4:$K$100003,"Critical",'Stop Work Authority'!$D$4:$D$100003,mCrit,'Stop Work Authority'!$F$4:$F$100003,"Contractor")+COUNTIFS('Stop Work Authority'!$K$4:$K$100003,"High",'Stop Work Authority'!$D$4:$D$100003,mCrit,'Stop Work Authority'!$F$4:$F$100003,"Contractor")</f>
        <v>0</v>
      </c>
      <c r="D487" s="26">
        <f>C487+ROW()/100000</f>
        <v>0</v>
      </c>
    </row>
    <row r="490" spans="2:7">
      <c r="B490" s="12" t="s">
        <v>2038</v>
      </c>
      <c r="C490" s="12" t="s">
        <v>2039</v>
      </c>
    </row>
    <row r="491" spans="2:7">
      <c r="B491" s="13" t="s">
        <v>2040</v>
      </c>
      <c r="C491" s="22">
        <f>COUNTIFS('Training'!$F$4:$F$100003,"Induction",'Training'!$D$4:$D$100003,mCrit,'Training'!$G$4:$G$100003,dCrit)</f>
        <v>0</v>
      </c>
    </row>
    <row r="492" spans="2:7">
      <c r="B492" s="13" t="s">
        <v>2041</v>
      </c>
      <c r="C492" s="22">
        <f>SUMIFS('PTW Audits'!$I$4:$I$100003,'PTW Audits'!$D$4:$D$100003,mCrit,'PTW Audits'!$F$4:$F$100003,dCrit)</f>
        <v>0</v>
      </c>
    </row>
    <row r="493" spans="2:7">
      <c r="B493" s="13" t="s">
        <v>2042</v>
      </c>
      <c r="C493" s="22">
        <f>SUMIFS('PTW Audits'!$J$4:$J$100003,'PTW Audits'!$D$4:$D$100003,mCrit,'PTW Audits'!$F$4:$F$100003,dCrit)</f>
        <v>0</v>
      </c>
    </row>
    <row r="494" spans="2:7">
      <c r="B494" s="13" t="s">
        <v>2043</v>
      </c>
      <c r="C494" s="22">
        <f>SUMIFS('Incident'!$V$4:$V$100003,'Incident'!$D$4:$D$100003,mCrit,'Incident'!$H$4:$H$100003,dCrit)*CostPerLostDay</f>
        <v>0</v>
      </c>
    </row>
    <row r="495" spans="2:7">
      <c r="B495" s="13" t="s">
        <v>2044</v>
      </c>
      <c r="C495" s="22">
        <f>SUMIFS('Stop Work Authority'!$J$4:$J$100003,'Stop Work Authority'!$D$4:$D$100003,mCrit,'Stop Work Authority'!$F$4:$F$100003,dCrit)*CostPerDowntimeMin</f>
        <v>0</v>
      </c>
    </row>
    <row r="498" spans="2:3">
      <c r="B498" s="12" t="s">
        <v>2045</v>
      </c>
      <c r="C498" s="12" t="s">
        <v>1965</v>
      </c>
    </row>
    <row r="499" spans="2:3">
      <c r="B499" s="13" t="s">
        <v>1530</v>
      </c>
      <c r="C499" s="22">
        <f>Calculations!$DL$18</f>
        <v>0</v>
      </c>
    </row>
    <row r="500" spans="2:3">
      <c r="B500" s="13" t="s">
        <v>2046</v>
      </c>
      <c r="C500" s="22">
        <f>Calculations!$DL$15</f>
        <v>0</v>
      </c>
    </row>
    <row r="501" spans="2:3">
      <c r="B501" s="13" t="s">
        <v>310</v>
      </c>
      <c r="C501" s="22">
        <f>Calculations!$DL$17</f>
        <v>0</v>
      </c>
    </row>
    <row r="503" spans="2:3">
      <c r="B503" s="12" t="s">
        <v>2047</v>
      </c>
      <c r="C503" s="12" t="s">
        <v>2048</v>
      </c>
    </row>
    <row r="504" spans="2:3">
      <c r="B504" s="13" t="s">
        <v>2049</v>
      </c>
      <c r="C504" s="22">
        <f>Calculations!$C$494</f>
        <v>0</v>
      </c>
    </row>
    <row r="505" spans="2:3">
      <c r="B505" s="13" t="s">
        <v>2050</v>
      </c>
      <c r="C505" s="22">
        <f>Calculations!$C$495</f>
        <v>0</v>
      </c>
    </row>
    <row r="507" spans="2:3">
      <c r="B507" s="12" t="s">
        <v>774</v>
      </c>
      <c r="C507" s="12" t="s">
        <v>1965</v>
      </c>
    </row>
    <row r="508" spans="2:3">
      <c r="B508" s="13" t="s">
        <v>1788</v>
      </c>
      <c r="C508" s="22">
        <f>Calculations!$DL$43</f>
        <v>0</v>
      </c>
    </row>
    <row r="509" spans="2:3">
      <c r="B509" s="13" t="s">
        <v>1789</v>
      </c>
      <c r="C509" s="22">
        <f>Calculations!$DL$45</f>
        <v>0</v>
      </c>
    </row>
    <row r="511" spans="2:3">
      <c r="B511" s="12" t="s">
        <v>2051</v>
      </c>
      <c r="C511" s="12" t="s">
        <v>1965</v>
      </c>
    </row>
    <row r="512" spans="2:3">
      <c r="B512" s="13" t="s">
        <v>594</v>
      </c>
      <c r="C512" s="22">
        <f>Calculations!$C$492</f>
        <v>0</v>
      </c>
    </row>
    <row r="513" spans="2:34">
      <c r="B513" s="13" t="s">
        <v>2052</v>
      </c>
      <c r="C513" s="22">
        <f>Calculations!$C$493</f>
        <v>0</v>
      </c>
    </row>
    <row r="514" spans="2:34">
      <c r="B514" s="17" t="s">
        <v>2053</v>
      </c>
    </row>
    <row r="515" spans="2:34">
      <c r="B515" s="12" t="s">
        <v>127</v>
      </c>
      <c r="C515" s="12" t="s">
        <v>1965</v>
      </c>
      <c r="E515" s="12" t="s">
        <v>136</v>
      </c>
      <c r="F515" s="12" t="s">
        <v>1965</v>
      </c>
      <c r="G515" s="12" t="s">
        <v>138</v>
      </c>
      <c r="H515" s="12" t="s">
        <v>1965</v>
      </c>
      <c r="M515" s="12" t="s">
        <v>1927</v>
      </c>
      <c r="N515" s="12" t="s">
        <v>2039</v>
      </c>
      <c r="P515" s="12" t="s">
        <v>129</v>
      </c>
      <c r="Q515" s="12" t="s">
        <v>1965</v>
      </c>
      <c r="R515" s="12" t="s">
        <v>1770</v>
      </c>
      <c r="S515" s="12" t="s">
        <v>2062</v>
      </c>
      <c r="U515" s="12" t="s">
        <v>2038</v>
      </c>
      <c r="V515" s="12" t="s">
        <v>3</v>
      </c>
      <c r="W515" s="12" t="s">
        <v>19</v>
      </c>
      <c r="X515" s="12" t="s">
        <v>44</v>
      </c>
      <c r="Y515" s="12" t="s">
        <v>53</v>
      </c>
      <c r="Z515" s="12" t="s">
        <v>60</v>
      </c>
      <c r="AA515" s="12" t="s">
        <v>73</v>
      </c>
      <c r="AB515" s="12" t="s">
        <v>76</v>
      </c>
      <c r="AC515" s="12" t="s">
        <v>86</v>
      </c>
      <c r="AD515" s="12" t="s">
        <v>102</v>
      </c>
      <c r="AE515" s="12" t="s">
        <v>106</v>
      </c>
      <c r="AF515" s="12" t="s">
        <v>111</v>
      </c>
      <c r="AG515" s="12" t="s">
        <v>122</v>
      </c>
      <c r="AH515" s="12" t="s">
        <v>2063</v>
      </c>
    </row>
    <row r="516" spans="2:34">
      <c r="B516" s="23" t="s">
        <v>3</v>
      </c>
      <c r="C516" s="22">
        <f>COUNTIFS('Toolbox Talks'!$D$4:$D$100003,"Jan",'Toolbox Talks'!$F$4:$F$100003,dCrit)</f>
        <v>0</v>
      </c>
      <c r="E516" s="13" t="s">
        <v>8</v>
      </c>
      <c r="F516" s="22">
        <f>COUNTIFS('Toolbox Talks'!$M$4:$M$100003,"Ergonomics",'Toolbox Talks'!$D$4:$D$100003,mCrit,'Toolbox Talks'!$F$4:$F$100003,dCrit)</f>
        <v>0</v>
      </c>
      <c r="G516" s="13" t="s">
        <v>10</v>
      </c>
      <c r="H516" s="22">
        <f>COUNTIFS('Toolbox Talks'!$O$4:$O$100003,"Excellent",'Toolbox Talks'!$D$4:$D$100003,mCrit,'Toolbox Talks'!$F$4:$F$100003,dCrit)</f>
        <v>0</v>
      </c>
      <c r="M516" s="13" t="s">
        <v>2054</v>
      </c>
      <c r="N516" s="22">
        <f>COUNTIFS('Toolbox Talks'!$D$4:$D$100003,mCrit,'Toolbox Talks'!$F$4:$F$100003,dCrit)</f>
        <v>0</v>
      </c>
      <c r="P516" s="13" t="s">
        <v>27</v>
      </c>
      <c r="Q516" s="22">
        <f>COUNTIFS('Toolbox Talks'!$D$4:$D$100003,mCrit,'Toolbox Talks'!$F$4:$F$100003,"Operations")</f>
        <v>0</v>
      </c>
      <c r="R516" s="22">
        <f>COUNTIFS('Toolbox Talks'!$D$4:$D$100003,mCrit,'Toolbox Talks'!$F$4:$F$100003,"Operations")</f>
        <v>0</v>
      </c>
      <c r="S516" s="25">
        <f>IFERROR(AVERAGEIFS('Toolbox Talks'!$K$4:$K$100003,'Toolbox Talks'!$D$4:$D$100003,mCrit,'Toolbox Talks'!$F$4:$F$100003,"Operations"),0)</f>
        <v>0</v>
      </c>
      <c r="U516" s="13" t="s">
        <v>1770</v>
      </c>
      <c r="V516" s="22">
        <f>COUNTIFS('Toolbox Talks'!$D$4:$D$100003,"Jan",'Toolbox Talks'!$F$4:$F$100003,dCrit)</f>
        <v>0</v>
      </c>
      <c r="W516" s="22">
        <f>COUNTIFS('Toolbox Talks'!$D$4:$D$100003,"Feb",'Toolbox Talks'!$F$4:$F$100003,dCrit)</f>
        <v>0</v>
      </c>
      <c r="X516" s="22">
        <f>COUNTIFS('Toolbox Talks'!$D$4:$D$100003,"Mar",'Toolbox Talks'!$F$4:$F$100003,dCrit)</f>
        <v>0</v>
      </c>
      <c r="Y516" s="22">
        <f>COUNTIFS('Toolbox Talks'!$D$4:$D$100003,"Apr",'Toolbox Talks'!$F$4:$F$100003,dCrit)</f>
        <v>0</v>
      </c>
      <c r="Z516" s="22">
        <f>COUNTIFS('Toolbox Talks'!$D$4:$D$100003,"May",'Toolbox Talks'!$F$4:$F$100003,dCrit)</f>
        <v>0</v>
      </c>
      <c r="AA516" s="22">
        <f>COUNTIFS('Toolbox Talks'!$D$4:$D$100003,"Jun",'Toolbox Talks'!$F$4:$F$100003,dCrit)</f>
        <v>0</v>
      </c>
      <c r="AB516" s="22">
        <f>COUNTIFS('Toolbox Talks'!$D$4:$D$100003,"Jul",'Toolbox Talks'!$F$4:$F$100003,dCrit)</f>
        <v>0</v>
      </c>
      <c r="AC516" s="22">
        <f>COUNTIFS('Toolbox Talks'!$D$4:$D$100003,"Aug",'Toolbox Talks'!$F$4:$F$100003,dCrit)</f>
        <v>0</v>
      </c>
      <c r="AD516" s="22">
        <f>COUNTIFS('Toolbox Talks'!$D$4:$D$100003,"Sep",'Toolbox Talks'!$F$4:$F$100003,dCrit)</f>
        <v>0</v>
      </c>
      <c r="AE516" s="22">
        <f>COUNTIFS('Toolbox Talks'!$D$4:$D$100003,"Oct",'Toolbox Talks'!$F$4:$F$100003,dCrit)</f>
        <v>0</v>
      </c>
      <c r="AF516" s="22">
        <f>COUNTIFS('Toolbox Talks'!$D$4:$D$100003,"Nov",'Toolbox Talks'!$F$4:$F$100003,dCrit)</f>
        <v>0</v>
      </c>
      <c r="AG516" s="22">
        <f>COUNTIFS('Toolbox Talks'!$D$4:$D$100003,"Dec",'Toolbox Talks'!$F$4:$F$100003,dCrit)</f>
        <v>0</v>
      </c>
      <c r="AH516" s="22">
        <f>SUM(V516:AG516)</f>
        <v>0</v>
      </c>
    </row>
    <row r="517" spans="2:34">
      <c r="B517" s="23" t="s">
        <v>19</v>
      </c>
      <c r="C517" s="22">
        <f>COUNTIFS('Toolbox Talks'!$D$4:$D$100003,"Feb",'Toolbox Talks'!$F$4:$F$100003,dCrit)</f>
        <v>0</v>
      </c>
      <c r="E517" s="13" t="s">
        <v>16</v>
      </c>
      <c r="F517" s="22">
        <f>COUNTIFS('Toolbox Talks'!$M$4:$M$100003,"Housekeeping",'Toolbox Talks'!$D$4:$D$100003,mCrit,'Toolbox Talks'!$F$4:$F$100003,dCrit)</f>
        <v>0</v>
      </c>
      <c r="G517" s="13" t="s">
        <v>42</v>
      </c>
      <c r="H517" s="22">
        <f>COUNTIFS('Toolbox Talks'!$O$4:$O$100003,"Good",'Toolbox Talks'!$D$4:$D$100003,mCrit,'Toolbox Talks'!$F$4:$F$100003,dCrit)</f>
        <v>0</v>
      </c>
      <c r="M517" s="13" t="s">
        <v>2055</v>
      </c>
      <c r="N517" s="22">
        <f>COUNTIFS('Toolbox Talks'!$N$4:$N$100003,"Yes",'Toolbox Talks'!$D$4:$D$100003,mCrit,'Toolbox Talks'!$F$4:$F$100003,dCrit)</f>
        <v>0</v>
      </c>
      <c r="P517" s="13" t="s">
        <v>92</v>
      </c>
      <c r="Q517" s="22">
        <f>COUNTIFS('Toolbox Talks'!$D$4:$D$100003,mCrit,'Toolbox Talks'!$F$4:$F$100003,"Maintenance")</f>
        <v>0</v>
      </c>
      <c r="R517" s="22">
        <f>COUNTIFS('Toolbox Talks'!$D$4:$D$100003,mCrit,'Toolbox Talks'!$F$4:$F$100003,"Maintenance")</f>
        <v>0</v>
      </c>
      <c r="S517" s="25">
        <f>IFERROR(AVERAGEIFS('Toolbox Talks'!$K$4:$K$100003,'Toolbox Talks'!$D$4:$D$100003,mCrit,'Toolbox Talks'!$F$4:$F$100003,"Maintenance"),0)</f>
        <v>0</v>
      </c>
      <c r="U517" s="13" t="s">
        <v>2062</v>
      </c>
      <c r="V517" s="25">
        <f>IFERROR(AVERAGEIFS('Toolbox Talks'!$K$4:$K$100003,'Toolbox Talks'!$D$4:$D$100003,"Jan",'Toolbox Talks'!$F$4:$F$100003,dCrit),0)</f>
        <v>0</v>
      </c>
      <c r="W517" s="25">
        <f>IFERROR(AVERAGEIFS('Toolbox Talks'!$K$4:$K$100003,'Toolbox Talks'!$D$4:$D$100003,"Feb",'Toolbox Talks'!$F$4:$F$100003,dCrit),0)</f>
        <v>0</v>
      </c>
      <c r="X517" s="25">
        <f>IFERROR(AVERAGEIFS('Toolbox Talks'!$K$4:$K$100003,'Toolbox Talks'!$D$4:$D$100003,"Mar",'Toolbox Talks'!$F$4:$F$100003,dCrit),0)</f>
        <v>0</v>
      </c>
      <c r="Y517" s="25">
        <f>IFERROR(AVERAGEIFS('Toolbox Talks'!$K$4:$K$100003,'Toolbox Talks'!$D$4:$D$100003,"Apr",'Toolbox Talks'!$F$4:$F$100003,dCrit),0)</f>
        <v>0</v>
      </c>
      <c r="Z517" s="25">
        <f>IFERROR(AVERAGEIFS('Toolbox Talks'!$K$4:$K$100003,'Toolbox Talks'!$D$4:$D$100003,"May",'Toolbox Talks'!$F$4:$F$100003,dCrit),0)</f>
        <v>0</v>
      </c>
      <c r="AA517" s="25">
        <f>IFERROR(AVERAGEIFS('Toolbox Talks'!$K$4:$K$100003,'Toolbox Talks'!$D$4:$D$100003,"Jun",'Toolbox Talks'!$F$4:$F$100003,dCrit),0)</f>
        <v>0</v>
      </c>
      <c r="AB517" s="25">
        <f>IFERROR(AVERAGEIFS('Toolbox Talks'!$K$4:$K$100003,'Toolbox Talks'!$D$4:$D$100003,"Jul",'Toolbox Talks'!$F$4:$F$100003,dCrit),0)</f>
        <v>0</v>
      </c>
      <c r="AC517" s="25">
        <f>IFERROR(AVERAGEIFS('Toolbox Talks'!$K$4:$K$100003,'Toolbox Talks'!$D$4:$D$100003,"Aug",'Toolbox Talks'!$F$4:$F$100003,dCrit),0)</f>
        <v>0</v>
      </c>
      <c r="AD517" s="25">
        <f>IFERROR(AVERAGEIFS('Toolbox Talks'!$K$4:$K$100003,'Toolbox Talks'!$D$4:$D$100003,"Sep",'Toolbox Talks'!$F$4:$F$100003,dCrit),0)</f>
        <v>0</v>
      </c>
      <c r="AE517" s="25">
        <f>IFERROR(AVERAGEIFS('Toolbox Talks'!$K$4:$K$100003,'Toolbox Talks'!$D$4:$D$100003,"Oct",'Toolbox Talks'!$F$4:$F$100003,dCrit),0)</f>
        <v>0</v>
      </c>
      <c r="AF517" s="25">
        <f>IFERROR(AVERAGEIFS('Toolbox Talks'!$K$4:$K$100003,'Toolbox Talks'!$D$4:$D$100003,"Nov",'Toolbox Talks'!$F$4:$F$100003,dCrit),0)</f>
        <v>0</v>
      </c>
      <c r="AG517" s="25">
        <f>IFERROR(AVERAGEIFS('Toolbox Talks'!$K$4:$K$100003,'Toolbox Talks'!$D$4:$D$100003,"Dec",'Toolbox Talks'!$F$4:$F$100003,dCrit),0)</f>
        <v>0</v>
      </c>
      <c r="AH517" s="25">
        <f>IFERROR(AVERAGE(V517:AG517),0)</f>
        <v>0</v>
      </c>
    </row>
    <row r="518" spans="2:34">
      <c r="B518" s="23" t="s">
        <v>44</v>
      </c>
      <c r="C518" s="22">
        <f>COUNTIFS('Toolbox Talks'!$D$4:$D$100003,"Mar",'Toolbox Talks'!$F$4:$F$100003,dCrit)</f>
        <v>0</v>
      </c>
      <c r="E518" s="13" t="s">
        <v>33</v>
      </c>
      <c r="F518" s="22">
        <f>COUNTIFS('Toolbox Talks'!$M$4:$M$100003,"BBS",'Toolbox Talks'!$D$4:$D$100003,mCrit,'Toolbox Talks'!$F$4:$F$100003,dCrit)</f>
        <v>0</v>
      </c>
      <c r="G518" s="13" t="s">
        <v>17</v>
      </c>
      <c r="H518" s="22">
        <f>COUNTIFS('Toolbox Talks'!$O$4:$O$100003,"Satisfactory",'Toolbox Talks'!$D$4:$D$100003,mCrit,'Toolbox Talks'!$F$4:$F$100003,dCrit)</f>
        <v>0</v>
      </c>
      <c r="M518" s="13" t="s">
        <v>2056</v>
      </c>
      <c r="N518" s="22">
        <f>COUNTIFS('Toolbox Talks'!$N$4:$N$100003,"No",'Toolbox Talks'!$D$4:$D$100003,mCrit,'Toolbox Talks'!$F$4:$F$100003,dCrit)</f>
        <v>0</v>
      </c>
      <c r="P518" s="13" t="s">
        <v>39</v>
      </c>
      <c r="Q518" s="22">
        <f>COUNTIFS('Toolbox Talks'!$D$4:$D$100003,mCrit,'Toolbox Talks'!$F$4:$F$100003,"Engineering")</f>
        <v>0</v>
      </c>
      <c r="R518" s="22">
        <f>COUNTIFS('Toolbox Talks'!$D$4:$D$100003,mCrit,'Toolbox Talks'!$F$4:$F$100003,"Engineering")</f>
        <v>0</v>
      </c>
      <c r="S518" s="25">
        <f>IFERROR(AVERAGEIFS('Toolbox Talks'!$K$4:$K$100003,'Toolbox Talks'!$D$4:$D$100003,mCrit,'Toolbox Talks'!$F$4:$F$100003,"Engineering"),0)</f>
        <v>0</v>
      </c>
    </row>
    <row r="519" spans="2:34">
      <c r="B519" s="23" t="s">
        <v>53</v>
      </c>
      <c r="C519" s="22">
        <f>COUNTIFS('Toolbox Talks'!$D$4:$D$100003,"Apr",'Toolbox Talks'!$F$4:$F$100003,dCrit)</f>
        <v>0</v>
      </c>
      <c r="E519" s="13" t="s">
        <v>47</v>
      </c>
      <c r="F519" s="22">
        <f>COUNTIFS('Toolbox Talks'!$M$4:$M$100003,"General",'Toolbox Talks'!$D$4:$D$100003,mCrit,'Toolbox Talks'!$F$4:$F$100003,dCrit)</f>
        <v>0</v>
      </c>
      <c r="G519" s="13" t="s">
        <v>96</v>
      </c>
      <c r="H519" s="22">
        <f>COUNTIFS('Toolbox Talks'!$O$4:$O$100003,"Needs Improvement",'Toolbox Talks'!$D$4:$D$100003,mCrit,'Toolbox Talks'!$F$4:$F$100003,dCrit)</f>
        <v>0</v>
      </c>
      <c r="M519" s="13" t="s">
        <v>2057</v>
      </c>
      <c r="N519" s="25">
        <f>IFERROR(AVERAGEIFS('Toolbox Talks'!$K$4:$K$100003,'Toolbox Talks'!$D$4:$D$100003,mCrit,'Toolbox Talks'!$F$4:$F$100003,dCrit),0)</f>
        <v>0</v>
      </c>
      <c r="P519" s="13" t="s">
        <v>89</v>
      </c>
      <c r="Q519" s="22">
        <f>COUNTIFS('Toolbox Talks'!$D$4:$D$100003,mCrit,'Toolbox Talks'!$F$4:$F$100003,"Construction")</f>
        <v>0</v>
      </c>
      <c r="R519" s="22">
        <f>COUNTIFS('Toolbox Talks'!$D$4:$D$100003,mCrit,'Toolbox Talks'!$F$4:$F$100003,"Construction")</f>
        <v>0</v>
      </c>
      <c r="S519" s="25">
        <f>IFERROR(AVERAGEIFS('Toolbox Talks'!$K$4:$K$100003,'Toolbox Talks'!$D$4:$D$100003,mCrit,'Toolbox Talks'!$F$4:$F$100003,"Construction"),0)</f>
        <v>0</v>
      </c>
    </row>
    <row r="520" spans="2:34">
      <c r="B520" s="23" t="s">
        <v>60</v>
      </c>
      <c r="C520" s="22">
        <f>COUNTIFS('Toolbox Talks'!$D$4:$D$100003,"May",'Toolbox Talks'!$F$4:$F$100003,dCrit)</f>
        <v>0</v>
      </c>
      <c r="E520" s="13" t="s">
        <v>55</v>
      </c>
      <c r="F520" s="22">
        <f>COUNTIFS('Toolbox Talks'!$M$4:$M$100003,"Process Safety",'Toolbox Talks'!$D$4:$D$100003,mCrit,'Toolbox Talks'!$F$4:$F$100003,dCrit)</f>
        <v>0</v>
      </c>
      <c r="G520" s="13" t="s">
        <v>24</v>
      </c>
      <c r="H520" s="22">
        <f>COUNTIFS('Toolbox Talks'!$O$4:$O$100003,"Unsatisfactory",'Toolbox Talks'!$D$4:$D$100003,mCrit,'Toolbox Talks'!$F$4:$F$100003,dCrit)</f>
        <v>0</v>
      </c>
      <c r="M520" s="13" t="s">
        <v>2058</v>
      </c>
      <c r="N520" s="22">
        <f>SUMIFS('Toolbox Talks'!$I$4:$I$100003,'Toolbox Talks'!$D$4:$D$100003,mCrit,'Toolbox Talks'!$F$4:$F$100003,dCrit)</f>
        <v>0</v>
      </c>
      <c r="P520" s="13" t="s">
        <v>65</v>
      </c>
      <c r="Q520" s="22">
        <f>COUNTIFS('Toolbox Talks'!$D$4:$D$100003,mCrit,'Toolbox Talks'!$F$4:$F$100003,"Safety")</f>
        <v>0</v>
      </c>
      <c r="R520" s="22">
        <f>COUNTIFS('Toolbox Talks'!$D$4:$D$100003,mCrit,'Toolbox Talks'!$F$4:$F$100003,"Safety")</f>
        <v>0</v>
      </c>
      <c r="S520" s="25">
        <f>IFERROR(AVERAGEIFS('Toolbox Talks'!$K$4:$K$100003,'Toolbox Talks'!$D$4:$D$100003,mCrit,'Toolbox Talks'!$F$4:$F$100003,"Safety"),0)</f>
        <v>0</v>
      </c>
    </row>
    <row r="521" spans="2:34">
      <c r="B521" s="23" t="s">
        <v>73</v>
      </c>
      <c r="C521" s="22">
        <f>COUNTIFS('Toolbox Talks'!$D$4:$D$100003,"Jun",'Toolbox Talks'!$F$4:$F$100003,dCrit)</f>
        <v>0</v>
      </c>
      <c r="E521" s="13" t="s">
        <v>99</v>
      </c>
      <c r="F521" s="22">
        <f>COUNTIFS('Toolbox Talks'!$M$4:$M$100003,"PPE",'Toolbox Talks'!$D$4:$D$100003,mCrit,'Toolbox Talks'!$F$4:$F$100003,dCrit)</f>
        <v>0</v>
      </c>
      <c r="M521" s="13" t="s">
        <v>2059</v>
      </c>
      <c r="N521" s="22">
        <f>SUMIFS('Toolbox Talks'!$J$4:$J$100003,'Toolbox Talks'!$D$4:$D$100003,mCrit,'Toolbox Talks'!$F$4:$F$100003,dCrit)</f>
        <v>0</v>
      </c>
      <c r="P521" s="13" t="s">
        <v>5</v>
      </c>
      <c r="Q521" s="22">
        <f>COUNTIFS('Toolbox Talks'!$D$4:$D$100003,mCrit,'Toolbox Talks'!$F$4:$F$100003,"Logistics")</f>
        <v>0</v>
      </c>
      <c r="R521" s="22">
        <f>COUNTIFS('Toolbox Talks'!$D$4:$D$100003,mCrit,'Toolbox Talks'!$F$4:$F$100003,"Logistics")</f>
        <v>0</v>
      </c>
      <c r="S521" s="25">
        <f>IFERROR(AVERAGEIFS('Toolbox Talks'!$K$4:$K$100003,'Toolbox Talks'!$D$4:$D$100003,mCrit,'Toolbox Talks'!$F$4:$F$100003,"Logistics"),0)</f>
        <v>0</v>
      </c>
    </row>
    <row r="522" spans="2:34">
      <c r="B522" s="23" t="s">
        <v>76</v>
      </c>
      <c r="C522" s="22">
        <f>COUNTIFS('Toolbox Talks'!$D$4:$D$100003,"Jul",'Toolbox Talks'!$F$4:$F$100003,dCrit)</f>
        <v>0</v>
      </c>
      <c r="M522" s="13" t="s">
        <v>2060</v>
      </c>
      <c r="N522" s="22">
        <f>IFERROR(AVERAGEIFS('Toolbox Talks'!$L$4:$L$100003,'Toolbox Talks'!$D$4:$D$100003,mCrit,'Toolbox Talks'!$F$4:$F$100003,dCrit),0)</f>
        <v>0</v>
      </c>
      <c r="P522" s="13" t="s">
        <v>50</v>
      </c>
      <c r="Q522" s="22">
        <f>COUNTIFS('Toolbox Talks'!$D$4:$D$100003,mCrit,'Toolbox Talks'!$F$4:$F$100003,"Quality")</f>
        <v>0</v>
      </c>
      <c r="R522" s="22">
        <f>COUNTIFS('Toolbox Talks'!$D$4:$D$100003,mCrit,'Toolbox Talks'!$F$4:$F$100003,"Quality")</f>
        <v>0</v>
      </c>
      <c r="S522" s="25">
        <f>IFERROR(AVERAGEIFS('Toolbox Talks'!$K$4:$K$100003,'Toolbox Talks'!$D$4:$D$100003,mCrit,'Toolbox Talks'!$F$4:$F$100003,"Quality"),0)</f>
        <v>0</v>
      </c>
    </row>
    <row r="523" spans="2:34">
      <c r="B523" s="23" t="s">
        <v>86</v>
      </c>
      <c r="C523" s="22">
        <f>COUNTIFS('Toolbox Talks'!$D$4:$D$100003,"Aug",'Toolbox Talks'!$F$4:$F$100003,dCrit)</f>
        <v>0</v>
      </c>
      <c r="M523" s="13" t="s">
        <v>2061</v>
      </c>
      <c r="N523" s="22">
        <f>--(COUNTIFS('Toolbox Talks'!$E$4:$E$100003,"PPE Usage",'Toolbox Talks'!$D$4:$D$100003,mCrit,'Toolbox Talks'!$F$4:$F$100003,dCrit)&gt;0)+--(COUNTIFS('Toolbox Talks'!$E$4:$E$100003,"Fire Safety",'Toolbox Talks'!$D$4:$D$100003,mCrit,'Toolbox Talks'!$F$4:$F$100003,dCrit)&gt;0)+--(COUNTIFS('Toolbox Talks'!$E$4:$E$100003,"Working at Heights",'Toolbox Talks'!$D$4:$D$100003,mCrit,'Toolbox Talks'!$F$4:$F$100003,dCrit)&gt;0)+--(COUNTIFS('Toolbox Talks'!$E$4:$E$100003,"Manual Handling",'Toolbox Talks'!$D$4:$D$100003,mCrit,'Toolbox Talks'!$F$4:$F$100003,dCrit)&gt;0)+--(COUNTIFS('Toolbox Talks'!$E$4:$E$100003,"Electrical Safety",'Toolbox Talks'!$D$4:$D$100003,mCrit,'Toolbox Talks'!$F$4:$F$100003,dCrit)&gt;0)+--(COUNTIFS('Toolbox Talks'!$E$4:$E$100003,"Chemical Safety",'Toolbox Talks'!$D$4:$D$100003,mCrit,'Toolbox Talks'!$F$4:$F$100003,dCrit)&gt;0)+--(COUNTIFS('Toolbox Talks'!$E$4:$E$100003,"Housekeeping",'Toolbox Talks'!$D$4:$D$100003,mCrit,'Toolbox Talks'!$F$4:$F$100003,dCrit)&gt;0)+--(COUNTIFS('Toolbox Talks'!$E$4:$E$100003,"Heat Stress",'Toolbox Talks'!$D$4:$D$100003,mCrit,'Toolbox Talks'!$F$4:$F$100003,dCrit)&gt;0)+--(COUNTIFS('Toolbox Talks'!$E$4:$E$100003,"Slip Trip Fall",'Toolbox Talks'!$D$4:$D$100003,mCrit,'Toolbox Talks'!$F$4:$F$100003,dCrit)&gt;0)+--(COUNTIFS('Toolbox Talks'!$E$4:$E$100003,"Confined Space",'Toolbox Talks'!$D$4:$D$100003,mCrit,'Toolbox Talks'!$F$4:$F$100003,dCrit)&gt;0)+--(COUNTIFS('Toolbox Talks'!$E$4:$E$100003,"LOTO",'Toolbox Talks'!$D$4:$D$100003,mCrit,'Toolbox Talks'!$F$4:$F$100003,dCrit)&gt;0)+--(COUNTIFS('Toolbox Talks'!$E$4:$E$100003,"Emergency Procedures",'Toolbox Talks'!$D$4:$D$100003,mCrit,'Toolbox Talks'!$F$4:$F$100003,dCrit)&gt;0)+--(COUNTIFS('Toolbox Talks'!$E$4:$E$100003,"Hot Work",'Toolbox Talks'!$D$4:$D$100003,mCrit,'Toolbox Talks'!$F$4:$F$100003,dCrit)&gt;0)+--(COUNTIFS('Toolbox Talks'!$E$4:$E$100003,"Machine Guarding",'Toolbox Talks'!$D$4:$D$100003,mCrit,'Toolbox Talks'!$F$4:$F$100003,dCrit)&gt;0)</f>
        <v>0</v>
      </c>
      <c r="P523" s="13" t="s">
        <v>46</v>
      </c>
      <c r="Q523" s="22">
        <f>COUNTIFS('Toolbox Talks'!$D$4:$D$100003,mCrit,'Toolbox Talks'!$F$4:$F$100003,"Admin")</f>
        <v>0</v>
      </c>
      <c r="R523" s="22">
        <f>COUNTIFS('Toolbox Talks'!$D$4:$D$100003,mCrit,'Toolbox Talks'!$F$4:$F$100003,"Admin")</f>
        <v>0</v>
      </c>
      <c r="S523" s="25">
        <f>IFERROR(AVERAGEIFS('Toolbox Talks'!$K$4:$K$100003,'Toolbox Talks'!$D$4:$D$100003,mCrit,'Toolbox Talks'!$F$4:$F$100003,"Admin"),0)</f>
        <v>0</v>
      </c>
    </row>
    <row r="524" spans="2:34">
      <c r="B524" s="23" t="s">
        <v>102</v>
      </c>
      <c r="C524" s="22">
        <f>COUNTIFS('Toolbox Talks'!$D$4:$D$100003,"Sep",'Toolbox Talks'!$F$4:$F$100003,dCrit)</f>
        <v>0</v>
      </c>
      <c r="P524" s="13" t="s">
        <v>13</v>
      </c>
      <c r="Q524" s="22">
        <f>COUNTIFS('Toolbox Talks'!$D$4:$D$100003,mCrit,'Toolbox Talks'!$F$4:$F$100003,"Projects")</f>
        <v>0</v>
      </c>
      <c r="R524" s="22">
        <f>COUNTIFS('Toolbox Talks'!$D$4:$D$100003,mCrit,'Toolbox Talks'!$F$4:$F$100003,"Projects")</f>
        <v>0</v>
      </c>
      <c r="S524" s="25">
        <f>IFERROR(AVERAGEIFS('Toolbox Talks'!$K$4:$K$100003,'Toolbox Talks'!$D$4:$D$100003,mCrit,'Toolbox Talks'!$F$4:$F$100003,"Projects"),0)</f>
        <v>0</v>
      </c>
    </row>
    <row r="525" spans="2:34">
      <c r="B525" s="23" t="s">
        <v>106</v>
      </c>
      <c r="C525" s="22">
        <f>COUNTIFS('Toolbox Talks'!$D$4:$D$100003,"Oct",'Toolbox Talks'!$F$4:$F$100003,dCrit)</f>
        <v>0</v>
      </c>
      <c r="P525" s="13" t="s">
        <v>58</v>
      </c>
      <c r="Q525" s="22">
        <f>COUNTIFS('Toolbox Talks'!$D$4:$D$100003,mCrit,'Toolbox Talks'!$F$4:$F$100003,"Contractor")</f>
        <v>0</v>
      </c>
      <c r="R525" s="22">
        <f>COUNTIFS('Toolbox Talks'!$D$4:$D$100003,mCrit,'Toolbox Talks'!$F$4:$F$100003,"Contractor")</f>
        <v>0</v>
      </c>
      <c r="S525" s="25">
        <f>IFERROR(AVERAGEIFS('Toolbox Talks'!$K$4:$K$100003,'Toolbox Talks'!$D$4:$D$100003,mCrit,'Toolbox Talks'!$F$4:$F$100003,"Contractor"),0)</f>
        <v>0</v>
      </c>
    </row>
    <row r="526" spans="2:34">
      <c r="B526" s="23" t="s">
        <v>111</v>
      </c>
      <c r="C526" s="22">
        <f>COUNTIFS('Toolbox Talks'!$D$4:$D$100003,"Nov",'Toolbox Talks'!$F$4:$F$100003,dCrit)</f>
        <v>0</v>
      </c>
    </row>
    <row r="527" spans="2:34">
      <c r="B527" s="23" t="s">
        <v>122</v>
      </c>
      <c r="C527" s="22">
        <f>COUNTIFS('Toolbox Talks'!$D$4:$D$100003,"Dec",'Toolbox Talks'!$F$4:$F$100003,dCrit)</f>
        <v>0</v>
      </c>
    </row>
    <row r="540" spans="2:34">
      <c r="B540" s="17" t="s">
        <v>2064</v>
      </c>
    </row>
    <row r="541" spans="2:34">
      <c r="B541" s="12" t="s">
        <v>127</v>
      </c>
      <c r="C541" s="12" t="s">
        <v>1965</v>
      </c>
      <c r="E541" s="12" t="s">
        <v>210</v>
      </c>
      <c r="F541" s="12" t="s">
        <v>1965</v>
      </c>
      <c r="G541" s="12" t="s">
        <v>212</v>
      </c>
      <c r="H541" s="12" t="s">
        <v>1965</v>
      </c>
      <c r="J541" s="12" t="s">
        <v>213</v>
      </c>
      <c r="K541" s="12" t="s">
        <v>1965</v>
      </c>
      <c r="M541" s="12" t="s">
        <v>1927</v>
      </c>
      <c r="N541" s="12" t="s">
        <v>2039</v>
      </c>
      <c r="P541" s="12" t="s">
        <v>129</v>
      </c>
      <c r="Q541" s="12" t="s">
        <v>1965</v>
      </c>
      <c r="R541" s="12" t="s">
        <v>2071</v>
      </c>
      <c r="S541" s="12" t="s">
        <v>1770</v>
      </c>
      <c r="U541" s="12" t="s">
        <v>2038</v>
      </c>
      <c r="V541" s="12" t="s">
        <v>3</v>
      </c>
      <c r="W541" s="12" t="s">
        <v>19</v>
      </c>
      <c r="X541" s="12" t="s">
        <v>44</v>
      </c>
      <c r="Y541" s="12" t="s">
        <v>53</v>
      </c>
      <c r="Z541" s="12" t="s">
        <v>60</v>
      </c>
      <c r="AA541" s="12" t="s">
        <v>73</v>
      </c>
      <c r="AB541" s="12" t="s">
        <v>76</v>
      </c>
      <c r="AC541" s="12" t="s">
        <v>86</v>
      </c>
      <c r="AD541" s="12" t="s">
        <v>102</v>
      </c>
      <c r="AE541" s="12" t="s">
        <v>106</v>
      </c>
      <c r="AF541" s="12" t="s">
        <v>111</v>
      </c>
      <c r="AG541" s="12" t="s">
        <v>122</v>
      </c>
      <c r="AH541" s="12" t="s">
        <v>2063</v>
      </c>
    </row>
    <row r="542" spans="2:34">
      <c r="B542" s="23" t="s">
        <v>3</v>
      </c>
      <c r="C542" s="22">
        <f>COUNTIFS('JSA Risk Assessment'!$D$4:$D$100003,"Jan",'JSA Risk Assessment'!$F$4:$F$100003,dCrit)</f>
        <v>0</v>
      </c>
      <c r="E542" s="13" t="s">
        <v>151</v>
      </c>
      <c r="F542" s="22">
        <f>COUNTIFS('JSA Risk Assessment'!$J$4:$J$100003,"Critical",'JSA Risk Assessment'!$D$4:$D$100003,mCrit,'JSA Risk Assessment'!$F$4:$F$100003,dCrit)</f>
        <v>0</v>
      </c>
      <c r="G542" s="13" t="s">
        <v>155</v>
      </c>
      <c r="H542" s="22">
        <f>COUNTIFS('JSA Risk Assessment'!$L$4:$L$100003,"HIRA",'JSA Risk Assessment'!$D$4:$D$100003,mCrit,'JSA Risk Assessment'!$F$4:$F$100003,dCrit)</f>
        <v>0</v>
      </c>
      <c r="J542" s="13" t="s">
        <v>144</v>
      </c>
      <c r="K542" s="22">
        <f>COUNTIFS('JSA Risk Assessment'!$M$4:$M$100003,"Approved",'JSA Risk Assessment'!$D$4:$D$100003,mCrit,'JSA Risk Assessment'!$F$4:$F$100003,dCrit)</f>
        <v>0</v>
      </c>
      <c r="M542" s="13" t="s">
        <v>2065</v>
      </c>
      <c r="N542" s="22">
        <f>COUNTIFS('JSA Risk Assessment'!$D$4:$D$100003,mCrit,'JSA Risk Assessment'!$F$4:$F$100003,dCrit)</f>
        <v>0</v>
      </c>
      <c r="P542" s="13" t="s">
        <v>27</v>
      </c>
      <c r="Q542" s="22">
        <f>COUNTIFS('JSA Risk Assessment'!$D$4:$D$100003,mCrit,'JSA Risk Assessment'!$F$4:$F$100003,"Operations")</f>
        <v>0</v>
      </c>
      <c r="R542" s="25">
        <f>IFERROR((COUNTIFS('JSA Risk Assessment'!$M$4:$M$100003,"Approved",'JSA Risk Assessment'!$D$4:$D$100003,mCrit,'JSA Risk Assessment'!$F$4:$F$100003,"Operations"))/COUNTIFS('JSA Risk Assessment'!$D$4:$D$100003,mCrit,'JSA Risk Assessment'!$F$4:$F$100003,"Operations")*100,0)</f>
        <v>0</v>
      </c>
      <c r="S542" s="22">
        <f>COUNTIFS('JSA Risk Assessment'!$D$4:$D$100003,mCrit,'JSA Risk Assessment'!$F$4:$F$100003,"Operations")</f>
        <v>0</v>
      </c>
      <c r="U542" s="13" t="s">
        <v>1770</v>
      </c>
      <c r="V542" s="22">
        <f>COUNTIFS('JSA Risk Assessment'!$D$4:$D$100003,"Jan",'JSA Risk Assessment'!$F$4:$F$100003,dCrit)</f>
        <v>0</v>
      </c>
      <c r="W542" s="22">
        <f>COUNTIFS('JSA Risk Assessment'!$D$4:$D$100003,"Feb",'JSA Risk Assessment'!$F$4:$F$100003,dCrit)</f>
        <v>0</v>
      </c>
      <c r="X542" s="22">
        <f>COUNTIFS('JSA Risk Assessment'!$D$4:$D$100003,"Mar",'JSA Risk Assessment'!$F$4:$F$100003,dCrit)</f>
        <v>0</v>
      </c>
      <c r="Y542" s="22">
        <f>COUNTIFS('JSA Risk Assessment'!$D$4:$D$100003,"Apr",'JSA Risk Assessment'!$F$4:$F$100003,dCrit)</f>
        <v>0</v>
      </c>
      <c r="Z542" s="22">
        <f>COUNTIFS('JSA Risk Assessment'!$D$4:$D$100003,"May",'JSA Risk Assessment'!$F$4:$F$100003,dCrit)</f>
        <v>0</v>
      </c>
      <c r="AA542" s="22">
        <f>COUNTIFS('JSA Risk Assessment'!$D$4:$D$100003,"Jun",'JSA Risk Assessment'!$F$4:$F$100003,dCrit)</f>
        <v>0</v>
      </c>
      <c r="AB542" s="22">
        <f>COUNTIFS('JSA Risk Assessment'!$D$4:$D$100003,"Jul",'JSA Risk Assessment'!$F$4:$F$100003,dCrit)</f>
        <v>0</v>
      </c>
      <c r="AC542" s="22">
        <f>COUNTIFS('JSA Risk Assessment'!$D$4:$D$100003,"Aug",'JSA Risk Assessment'!$F$4:$F$100003,dCrit)</f>
        <v>0</v>
      </c>
      <c r="AD542" s="22">
        <f>COUNTIFS('JSA Risk Assessment'!$D$4:$D$100003,"Sep",'JSA Risk Assessment'!$F$4:$F$100003,dCrit)</f>
        <v>0</v>
      </c>
      <c r="AE542" s="22">
        <f>COUNTIFS('JSA Risk Assessment'!$D$4:$D$100003,"Oct",'JSA Risk Assessment'!$F$4:$F$100003,dCrit)</f>
        <v>0</v>
      </c>
      <c r="AF542" s="22">
        <f>COUNTIFS('JSA Risk Assessment'!$D$4:$D$100003,"Nov",'JSA Risk Assessment'!$F$4:$F$100003,dCrit)</f>
        <v>0</v>
      </c>
      <c r="AG542" s="22">
        <f>COUNTIFS('JSA Risk Assessment'!$D$4:$D$100003,"Dec",'JSA Risk Assessment'!$F$4:$F$100003,dCrit)</f>
        <v>0</v>
      </c>
      <c r="AH542" s="22">
        <f>SUM(V542:AG542)</f>
        <v>0</v>
      </c>
    </row>
    <row r="543" spans="2:34">
      <c r="B543" s="23" t="s">
        <v>19</v>
      </c>
      <c r="C543" s="22">
        <f>COUNTIFS('JSA Risk Assessment'!$D$4:$D$100003,"Feb",'JSA Risk Assessment'!$F$4:$F$100003,dCrit)</f>
        <v>0</v>
      </c>
      <c r="E543" s="13" t="s">
        <v>164</v>
      </c>
      <c r="F543" s="22">
        <f>COUNTIFS('JSA Risk Assessment'!$J$4:$J$100003,"High",'JSA Risk Assessment'!$D$4:$D$100003,mCrit,'JSA Risk Assessment'!$F$4:$F$100003,dCrit)</f>
        <v>0</v>
      </c>
      <c r="G543" s="13" t="s">
        <v>143</v>
      </c>
      <c r="H543" s="22">
        <f>COUNTIFS('JSA Risk Assessment'!$L$4:$L$100003,"Task RA",'JSA Risk Assessment'!$D$4:$D$100003,mCrit,'JSA Risk Assessment'!$F$4:$F$100003,dCrit)</f>
        <v>0</v>
      </c>
      <c r="J543" s="13" t="s">
        <v>153</v>
      </c>
      <c r="K543" s="22">
        <f>COUNTIFS('JSA Risk Assessment'!$M$4:$M$100003,"Pending Review",'JSA Risk Assessment'!$D$4:$D$100003,mCrit,'JSA Risk Assessment'!$F$4:$F$100003,dCrit)</f>
        <v>0</v>
      </c>
      <c r="M543" s="13" t="s">
        <v>144</v>
      </c>
      <c r="N543" s="22">
        <f>COUNTIFS('JSA Risk Assessment'!$M$4:$M$100003,"Approved",'JSA Risk Assessment'!$D$4:$D$100003,mCrit,'JSA Risk Assessment'!$F$4:$F$100003,dCrit)</f>
        <v>0</v>
      </c>
      <c r="P543" s="13" t="s">
        <v>92</v>
      </c>
      <c r="Q543" s="22">
        <f>COUNTIFS('JSA Risk Assessment'!$D$4:$D$100003,mCrit,'JSA Risk Assessment'!$F$4:$F$100003,"Maintenance")</f>
        <v>0</v>
      </c>
      <c r="R543" s="25">
        <f>IFERROR((COUNTIFS('JSA Risk Assessment'!$M$4:$M$100003,"Approved",'JSA Risk Assessment'!$D$4:$D$100003,mCrit,'JSA Risk Assessment'!$F$4:$F$100003,"Maintenance"))/COUNTIFS('JSA Risk Assessment'!$D$4:$D$100003,mCrit,'JSA Risk Assessment'!$F$4:$F$100003,"Maintenance")*100,0)</f>
        <v>0</v>
      </c>
      <c r="S543" s="22">
        <f>COUNTIFS('JSA Risk Assessment'!$D$4:$D$100003,mCrit,'JSA Risk Assessment'!$F$4:$F$100003,"Maintenance")</f>
        <v>0</v>
      </c>
      <c r="U543" s="13" t="s">
        <v>2072</v>
      </c>
      <c r="V543" s="25">
        <f>IFERROR((COUNTIFS('JSA Risk Assessment'!$M$4:$M$100003,"Approved",'JSA Risk Assessment'!$D$4:$D$100003,"Jan",'JSA Risk Assessment'!$F$4:$F$100003,dCrit))/COUNTIFS('JSA Risk Assessment'!$D$4:$D$100003,"Jan",'JSA Risk Assessment'!$F$4:$F$100003,dCrit)*100,0)</f>
        <v>0</v>
      </c>
      <c r="W543" s="25">
        <f>IFERROR((COUNTIFS('JSA Risk Assessment'!$M$4:$M$100003,"Approved",'JSA Risk Assessment'!$D$4:$D$100003,"Feb",'JSA Risk Assessment'!$F$4:$F$100003,dCrit))/COUNTIFS('JSA Risk Assessment'!$D$4:$D$100003,"Feb",'JSA Risk Assessment'!$F$4:$F$100003,dCrit)*100,0)</f>
        <v>0</v>
      </c>
      <c r="X543" s="25">
        <f>IFERROR((COUNTIFS('JSA Risk Assessment'!$M$4:$M$100003,"Approved",'JSA Risk Assessment'!$D$4:$D$100003,"Mar",'JSA Risk Assessment'!$F$4:$F$100003,dCrit))/COUNTIFS('JSA Risk Assessment'!$D$4:$D$100003,"Mar",'JSA Risk Assessment'!$F$4:$F$100003,dCrit)*100,0)</f>
        <v>0</v>
      </c>
      <c r="Y543" s="25">
        <f>IFERROR((COUNTIFS('JSA Risk Assessment'!$M$4:$M$100003,"Approved",'JSA Risk Assessment'!$D$4:$D$100003,"Apr",'JSA Risk Assessment'!$F$4:$F$100003,dCrit))/COUNTIFS('JSA Risk Assessment'!$D$4:$D$100003,"Apr",'JSA Risk Assessment'!$F$4:$F$100003,dCrit)*100,0)</f>
        <v>0</v>
      </c>
      <c r="Z543" s="25">
        <f>IFERROR((COUNTIFS('JSA Risk Assessment'!$M$4:$M$100003,"Approved",'JSA Risk Assessment'!$D$4:$D$100003,"May",'JSA Risk Assessment'!$F$4:$F$100003,dCrit))/COUNTIFS('JSA Risk Assessment'!$D$4:$D$100003,"May",'JSA Risk Assessment'!$F$4:$F$100003,dCrit)*100,0)</f>
        <v>0</v>
      </c>
      <c r="AA543" s="25">
        <f>IFERROR((COUNTIFS('JSA Risk Assessment'!$M$4:$M$100003,"Approved",'JSA Risk Assessment'!$D$4:$D$100003,"Jun",'JSA Risk Assessment'!$F$4:$F$100003,dCrit))/COUNTIFS('JSA Risk Assessment'!$D$4:$D$100003,"Jun",'JSA Risk Assessment'!$F$4:$F$100003,dCrit)*100,0)</f>
        <v>0</v>
      </c>
      <c r="AB543" s="25">
        <f>IFERROR((COUNTIFS('JSA Risk Assessment'!$M$4:$M$100003,"Approved",'JSA Risk Assessment'!$D$4:$D$100003,"Jul",'JSA Risk Assessment'!$F$4:$F$100003,dCrit))/COUNTIFS('JSA Risk Assessment'!$D$4:$D$100003,"Jul",'JSA Risk Assessment'!$F$4:$F$100003,dCrit)*100,0)</f>
        <v>0</v>
      </c>
      <c r="AC543" s="25">
        <f>IFERROR((COUNTIFS('JSA Risk Assessment'!$M$4:$M$100003,"Approved",'JSA Risk Assessment'!$D$4:$D$100003,"Aug",'JSA Risk Assessment'!$F$4:$F$100003,dCrit))/COUNTIFS('JSA Risk Assessment'!$D$4:$D$100003,"Aug",'JSA Risk Assessment'!$F$4:$F$100003,dCrit)*100,0)</f>
        <v>0</v>
      </c>
      <c r="AD543" s="25">
        <f>IFERROR((COUNTIFS('JSA Risk Assessment'!$M$4:$M$100003,"Approved",'JSA Risk Assessment'!$D$4:$D$100003,"Sep",'JSA Risk Assessment'!$F$4:$F$100003,dCrit))/COUNTIFS('JSA Risk Assessment'!$D$4:$D$100003,"Sep",'JSA Risk Assessment'!$F$4:$F$100003,dCrit)*100,0)</f>
        <v>0</v>
      </c>
      <c r="AE543" s="25">
        <f>IFERROR((COUNTIFS('JSA Risk Assessment'!$M$4:$M$100003,"Approved",'JSA Risk Assessment'!$D$4:$D$100003,"Oct",'JSA Risk Assessment'!$F$4:$F$100003,dCrit))/COUNTIFS('JSA Risk Assessment'!$D$4:$D$100003,"Oct",'JSA Risk Assessment'!$F$4:$F$100003,dCrit)*100,0)</f>
        <v>0</v>
      </c>
      <c r="AF543" s="25">
        <f>IFERROR((COUNTIFS('JSA Risk Assessment'!$M$4:$M$100003,"Approved",'JSA Risk Assessment'!$D$4:$D$100003,"Nov",'JSA Risk Assessment'!$F$4:$F$100003,dCrit))/COUNTIFS('JSA Risk Assessment'!$D$4:$D$100003,"Nov",'JSA Risk Assessment'!$F$4:$F$100003,dCrit)*100,0)</f>
        <v>0</v>
      </c>
      <c r="AG543" s="25">
        <f>IFERROR((COUNTIFS('JSA Risk Assessment'!$M$4:$M$100003,"Approved",'JSA Risk Assessment'!$D$4:$D$100003,"Dec",'JSA Risk Assessment'!$F$4:$F$100003,dCrit))/COUNTIFS('JSA Risk Assessment'!$D$4:$D$100003,"Dec",'JSA Risk Assessment'!$F$4:$F$100003,dCrit)*100,0)</f>
        <v>0</v>
      </c>
      <c r="AH543" s="25">
        <f>IFERROR(AVERAGE(V543:AG543),0)</f>
        <v>0</v>
      </c>
    </row>
    <row r="544" spans="2:34">
      <c r="B544" s="23" t="s">
        <v>44</v>
      </c>
      <c r="C544" s="22">
        <f>COUNTIFS('JSA Risk Assessment'!$D$4:$D$100003,"Mar",'JSA Risk Assessment'!$F$4:$F$100003,dCrit)</f>
        <v>0</v>
      </c>
      <c r="E544" s="13" t="s">
        <v>147</v>
      </c>
      <c r="F544" s="22">
        <f>COUNTIFS('JSA Risk Assessment'!$J$4:$J$100003,"Medium",'JSA Risk Assessment'!$D$4:$D$100003,mCrit,'JSA Risk Assessment'!$F$4:$F$100003,dCrit)</f>
        <v>0</v>
      </c>
      <c r="G544" s="13" t="s">
        <v>158</v>
      </c>
      <c r="H544" s="22">
        <f>COUNTIFS('JSA Risk Assessment'!$L$4:$L$100003,"HAZOP",'JSA Risk Assessment'!$D$4:$D$100003,mCrit,'JSA Risk Assessment'!$F$4:$F$100003,dCrit)</f>
        <v>0</v>
      </c>
      <c r="J544" s="13" t="s">
        <v>156</v>
      </c>
      <c r="K544" s="22">
        <f>COUNTIFS('JSA Risk Assessment'!$M$4:$M$100003,"Revision Required",'JSA Risk Assessment'!$D$4:$D$100003,mCrit,'JSA Risk Assessment'!$F$4:$F$100003,dCrit)</f>
        <v>0</v>
      </c>
      <c r="M544" s="13" t="s">
        <v>303</v>
      </c>
      <c r="N544" s="22">
        <f>COUNTIFS('JSA Risk Assessment'!$M$4:$M$100003,"Pending Review",'JSA Risk Assessment'!$D$4:$D$100003,mCrit,'JSA Risk Assessment'!$F$4:$F$100003,dCrit)</f>
        <v>0</v>
      </c>
      <c r="P544" s="13" t="s">
        <v>39</v>
      </c>
      <c r="Q544" s="22">
        <f>COUNTIFS('JSA Risk Assessment'!$D$4:$D$100003,mCrit,'JSA Risk Assessment'!$F$4:$F$100003,"Engineering")</f>
        <v>0</v>
      </c>
      <c r="R544" s="25">
        <f>IFERROR((COUNTIFS('JSA Risk Assessment'!$M$4:$M$100003,"Approved",'JSA Risk Assessment'!$D$4:$D$100003,mCrit,'JSA Risk Assessment'!$F$4:$F$100003,"Engineering"))/COUNTIFS('JSA Risk Assessment'!$D$4:$D$100003,mCrit,'JSA Risk Assessment'!$F$4:$F$100003,"Engineering")*100,0)</f>
        <v>0</v>
      </c>
      <c r="S544" s="22">
        <f>COUNTIFS('JSA Risk Assessment'!$D$4:$D$100003,mCrit,'JSA Risk Assessment'!$F$4:$F$100003,"Engineering")</f>
        <v>0</v>
      </c>
    </row>
    <row r="545" spans="2:19">
      <c r="B545" s="23" t="s">
        <v>53</v>
      </c>
      <c r="C545" s="22">
        <f>COUNTIFS('JSA Risk Assessment'!$D$4:$D$100003,"Apr",'JSA Risk Assessment'!$F$4:$F$100003,dCrit)</f>
        <v>0</v>
      </c>
      <c r="E545" s="13" t="s">
        <v>142</v>
      </c>
      <c r="F545" s="22">
        <f>COUNTIFS('JSA Risk Assessment'!$J$4:$J$100003,"Low",'JSA Risk Assessment'!$D$4:$D$100003,mCrit,'JSA Risk Assessment'!$F$4:$F$100003,dCrit)</f>
        <v>0</v>
      </c>
      <c r="G545" s="13" t="s">
        <v>152</v>
      </c>
      <c r="H545" s="22">
        <f>COUNTIFS('JSA Risk Assessment'!$L$4:$L$100003,"What-If",'JSA Risk Assessment'!$D$4:$D$100003,mCrit,'JSA Risk Assessment'!$F$4:$F$100003,dCrit)</f>
        <v>0</v>
      </c>
      <c r="J545" s="13" t="s">
        <v>162</v>
      </c>
      <c r="K545" s="22">
        <f>COUNTIFS('JSA Risk Assessment'!$M$4:$M$100003,"Rejected",'JSA Risk Assessment'!$D$4:$D$100003,mCrit,'JSA Risk Assessment'!$F$4:$F$100003,dCrit)</f>
        <v>0</v>
      </c>
      <c r="M545" s="13" t="s">
        <v>2066</v>
      </c>
      <c r="N545" s="22">
        <f>COUNTIFS('JSA Risk Assessment'!$J$4:$J$100003,"High",'JSA Risk Assessment'!$D$4:$D$100003,mCrit,'JSA Risk Assessment'!$F$4:$F$100003,dCrit)</f>
        <v>0</v>
      </c>
      <c r="P545" s="13" t="s">
        <v>89</v>
      </c>
      <c r="Q545" s="22">
        <f>COUNTIFS('JSA Risk Assessment'!$D$4:$D$100003,mCrit,'JSA Risk Assessment'!$F$4:$F$100003,"Construction")</f>
        <v>0</v>
      </c>
      <c r="R545" s="25">
        <f>IFERROR((COUNTIFS('JSA Risk Assessment'!$M$4:$M$100003,"Approved",'JSA Risk Assessment'!$D$4:$D$100003,mCrit,'JSA Risk Assessment'!$F$4:$F$100003,"Construction"))/COUNTIFS('JSA Risk Assessment'!$D$4:$D$100003,mCrit,'JSA Risk Assessment'!$F$4:$F$100003,"Construction")*100,0)</f>
        <v>0</v>
      </c>
      <c r="S545" s="22">
        <f>COUNTIFS('JSA Risk Assessment'!$D$4:$D$100003,mCrit,'JSA Risk Assessment'!$F$4:$F$100003,"Construction")</f>
        <v>0</v>
      </c>
    </row>
    <row r="546" spans="2:19">
      <c r="B546" s="23" t="s">
        <v>60</v>
      </c>
      <c r="C546" s="22">
        <f>COUNTIFS('JSA Risk Assessment'!$D$4:$D$100003,"May",'JSA Risk Assessment'!$F$4:$F$100003,dCrit)</f>
        <v>0</v>
      </c>
      <c r="G546" s="13" t="s">
        <v>161</v>
      </c>
      <c r="H546" s="22">
        <f>COUNTIFS('JSA Risk Assessment'!$L$4:$L$100003,"Bow Tie",'JSA Risk Assessment'!$D$4:$D$100003,mCrit,'JSA Risk Assessment'!$F$4:$F$100003,dCrit)</f>
        <v>0</v>
      </c>
      <c r="M546" s="13" t="s">
        <v>2067</v>
      </c>
      <c r="N546" s="22">
        <f>COUNTIFS('JSA Risk Assessment'!$J$4:$J$100003,"Medium",'JSA Risk Assessment'!$D$4:$D$100003,mCrit,'JSA Risk Assessment'!$F$4:$F$100003,dCrit)</f>
        <v>0</v>
      </c>
      <c r="P546" s="13" t="s">
        <v>65</v>
      </c>
      <c r="Q546" s="22">
        <f>COUNTIFS('JSA Risk Assessment'!$D$4:$D$100003,mCrit,'JSA Risk Assessment'!$F$4:$F$100003,"Safety")</f>
        <v>0</v>
      </c>
      <c r="R546" s="25">
        <f>IFERROR((COUNTIFS('JSA Risk Assessment'!$M$4:$M$100003,"Approved",'JSA Risk Assessment'!$D$4:$D$100003,mCrit,'JSA Risk Assessment'!$F$4:$F$100003,"Safety"))/COUNTIFS('JSA Risk Assessment'!$D$4:$D$100003,mCrit,'JSA Risk Assessment'!$F$4:$F$100003,"Safety")*100,0)</f>
        <v>0</v>
      </c>
      <c r="S546" s="22">
        <f>COUNTIFS('JSA Risk Assessment'!$D$4:$D$100003,mCrit,'JSA Risk Assessment'!$F$4:$F$100003,"Safety")</f>
        <v>0</v>
      </c>
    </row>
    <row r="547" spans="2:19">
      <c r="B547" s="23" t="s">
        <v>73</v>
      </c>
      <c r="C547" s="22">
        <f>COUNTIFS('JSA Risk Assessment'!$D$4:$D$100003,"Jun",'JSA Risk Assessment'!$F$4:$F$100003,dCrit)</f>
        <v>0</v>
      </c>
      <c r="G547" s="13" t="s">
        <v>148</v>
      </c>
      <c r="H547" s="22">
        <f>COUNTIFS('JSA Risk Assessment'!$L$4:$L$100003,"JSA",'JSA Risk Assessment'!$D$4:$D$100003,mCrit,'JSA Risk Assessment'!$F$4:$F$100003,dCrit)</f>
        <v>0</v>
      </c>
      <c r="M547" s="13" t="s">
        <v>2068</v>
      </c>
      <c r="N547" s="22">
        <f>COUNTIFS('JSA Risk Assessment'!$J$4:$J$100003,"Low",'JSA Risk Assessment'!$D$4:$D$100003,mCrit,'JSA Risk Assessment'!$F$4:$F$100003,dCrit)</f>
        <v>0</v>
      </c>
      <c r="P547" s="13" t="s">
        <v>5</v>
      </c>
      <c r="Q547" s="22">
        <f>COUNTIFS('JSA Risk Assessment'!$D$4:$D$100003,mCrit,'JSA Risk Assessment'!$F$4:$F$100003,"Logistics")</f>
        <v>0</v>
      </c>
      <c r="R547" s="25">
        <f>IFERROR((COUNTIFS('JSA Risk Assessment'!$M$4:$M$100003,"Approved",'JSA Risk Assessment'!$D$4:$D$100003,mCrit,'JSA Risk Assessment'!$F$4:$F$100003,"Logistics"))/COUNTIFS('JSA Risk Assessment'!$D$4:$D$100003,mCrit,'JSA Risk Assessment'!$F$4:$F$100003,"Logistics")*100,0)</f>
        <v>0</v>
      </c>
      <c r="S547" s="22">
        <f>COUNTIFS('JSA Risk Assessment'!$D$4:$D$100003,mCrit,'JSA Risk Assessment'!$F$4:$F$100003,"Logistics")</f>
        <v>0</v>
      </c>
    </row>
    <row r="548" spans="2:19">
      <c r="B548" s="23" t="s">
        <v>76</v>
      </c>
      <c r="C548" s="22">
        <f>COUNTIFS('JSA Risk Assessment'!$D$4:$D$100003,"Jul",'JSA Risk Assessment'!$F$4:$F$100003,dCrit)</f>
        <v>0</v>
      </c>
      <c r="M548" s="13" t="s">
        <v>2069</v>
      </c>
      <c r="N548" s="22">
        <f>SUMIFS('JSA Risk Assessment'!$K$4:$K$100003,'JSA Risk Assessment'!$D$4:$D$100003,mCrit,'JSA Risk Assessment'!$F$4:$F$100003,dCrit)</f>
        <v>0</v>
      </c>
      <c r="P548" s="13" t="s">
        <v>50</v>
      </c>
      <c r="Q548" s="22">
        <f>COUNTIFS('JSA Risk Assessment'!$D$4:$D$100003,mCrit,'JSA Risk Assessment'!$F$4:$F$100003,"Quality")</f>
        <v>0</v>
      </c>
      <c r="R548" s="25">
        <f>IFERROR((COUNTIFS('JSA Risk Assessment'!$M$4:$M$100003,"Approved",'JSA Risk Assessment'!$D$4:$D$100003,mCrit,'JSA Risk Assessment'!$F$4:$F$100003,"Quality"))/COUNTIFS('JSA Risk Assessment'!$D$4:$D$100003,mCrit,'JSA Risk Assessment'!$F$4:$F$100003,"Quality")*100,0)</f>
        <v>0</v>
      </c>
      <c r="S548" s="22">
        <f>COUNTIFS('JSA Risk Assessment'!$D$4:$D$100003,mCrit,'JSA Risk Assessment'!$F$4:$F$100003,"Quality")</f>
        <v>0</v>
      </c>
    </row>
    <row r="549" spans="2:19">
      <c r="B549" s="23" t="s">
        <v>86</v>
      </c>
      <c r="C549" s="22">
        <f>COUNTIFS('JSA Risk Assessment'!$D$4:$D$100003,"Aug",'JSA Risk Assessment'!$F$4:$F$100003,dCrit)</f>
        <v>0</v>
      </c>
      <c r="M549" s="13" t="s">
        <v>2070</v>
      </c>
      <c r="N549" s="22">
        <f>COUNTIFS('JSA Risk Assessment'!$O$4:$O$100003,"Compliant",'JSA Risk Assessment'!$D$4:$D$100003,mCrit,'JSA Risk Assessment'!$F$4:$F$100003,dCrit)</f>
        <v>0</v>
      </c>
      <c r="P549" s="13" t="s">
        <v>46</v>
      </c>
      <c r="Q549" s="22">
        <f>COUNTIFS('JSA Risk Assessment'!$D$4:$D$100003,mCrit,'JSA Risk Assessment'!$F$4:$F$100003,"Admin")</f>
        <v>0</v>
      </c>
      <c r="R549" s="25">
        <f>IFERROR((COUNTIFS('JSA Risk Assessment'!$M$4:$M$100003,"Approved",'JSA Risk Assessment'!$D$4:$D$100003,mCrit,'JSA Risk Assessment'!$F$4:$F$100003,"Admin"))/COUNTIFS('JSA Risk Assessment'!$D$4:$D$100003,mCrit,'JSA Risk Assessment'!$F$4:$F$100003,"Admin")*100,0)</f>
        <v>0</v>
      </c>
      <c r="S549" s="22">
        <f>COUNTIFS('JSA Risk Assessment'!$D$4:$D$100003,mCrit,'JSA Risk Assessment'!$F$4:$F$100003,"Admin")</f>
        <v>0</v>
      </c>
    </row>
    <row r="550" spans="2:19">
      <c r="B550" s="23" t="s">
        <v>102</v>
      </c>
      <c r="C550" s="22">
        <f>COUNTIFS('JSA Risk Assessment'!$D$4:$D$100003,"Sep",'JSA Risk Assessment'!$F$4:$F$100003,dCrit)</f>
        <v>0</v>
      </c>
      <c r="P550" s="13" t="s">
        <v>13</v>
      </c>
      <c r="Q550" s="22">
        <f>COUNTIFS('JSA Risk Assessment'!$D$4:$D$100003,mCrit,'JSA Risk Assessment'!$F$4:$F$100003,"Projects")</f>
        <v>0</v>
      </c>
      <c r="R550" s="25">
        <f>IFERROR((COUNTIFS('JSA Risk Assessment'!$M$4:$M$100003,"Approved",'JSA Risk Assessment'!$D$4:$D$100003,mCrit,'JSA Risk Assessment'!$F$4:$F$100003,"Projects"))/COUNTIFS('JSA Risk Assessment'!$D$4:$D$100003,mCrit,'JSA Risk Assessment'!$F$4:$F$100003,"Projects")*100,0)</f>
        <v>0</v>
      </c>
      <c r="S550" s="22">
        <f>COUNTIFS('JSA Risk Assessment'!$D$4:$D$100003,mCrit,'JSA Risk Assessment'!$F$4:$F$100003,"Projects")</f>
        <v>0</v>
      </c>
    </row>
    <row r="551" spans="2:19">
      <c r="B551" s="23" t="s">
        <v>106</v>
      </c>
      <c r="C551" s="22">
        <f>COUNTIFS('JSA Risk Assessment'!$D$4:$D$100003,"Oct",'JSA Risk Assessment'!$F$4:$F$100003,dCrit)</f>
        <v>0</v>
      </c>
      <c r="P551" s="13" t="s">
        <v>58</v>
      </c>
      <c r="Q551" s="22">
        <f>COUNTIFS('JSA Risk Assessment'!$D$4:$D$100003,mCrit,'JSA Risk Assessment'!$F$4:$F$100003,"Contractor")</f>
        <v>0</v>
      </c>
      <c r="R551" s="25">
        <f>IFERROR((COUNTIFS('JSA Risk Assessment'!$M$4:$M$100003,"Approved",'JSA Risk Assessment'!$D$4:$D$100003,mCrit,'JSA Risk Assessment'!$F$4:$F$100003,"Contractor"))/COUNTIFS('JSA Risk Assessment'!$D$4:$D$100003,mCrit,'JSA Risk Assessment'!$F$4:$F$100003,"Contractor")*100,0)</f>
        <v>0</v>
      </c>
      <c r="S551" s="22">
        <f>COUNTIFS('JSA Risk Assessment'!$D$4:$D$100003,mCrit,'JSA Risk Assessment'!$F$4:$F$100003,"Contractor")</f>
        <v>0</v>
      </c>
    </row>
    <row r="552" spans="2:19">
      <c r="B552" s="23" t="s">
        <v>111</v>
      </c>
      <c r="C552" s="22">
        <f>COUNTIFS('JSA Risk Assessment'!$D$4:$D$100003,"Nov",'JSA Risk Assessment'!$F$4:$F$100003,dCrit)</f>
        <v>0</v>
      </c>
    </row>
    <row r="553" spans="2:19">
      <c r="B553" s="23" t="s">
        <v>122</v>
      </c>
      <c r="C553" s="22">
        <f>COUNTIFS('JSA Risk Assessment'!$D$4:$D$100003,"Dec",'JSA Risk Assessment'!$F$4:$F$100003,dCrit)</f>
        <v>0</v>
      </c>
    </row>
    <row r="566" spans="2:34">
      <c r="B566" s="17" t="s">
        <v>2073</v>
      </c>
    </row>
    <row r="567" spans="2:34">
      <c r="B567" s="12" t="s">
        <v>127</v>
      </c>
      <c r="C567" s="12" t="s">
        <v>1965</v>
      </c>
      <c r="E567" s="12" t="s">
        <v>284</v>
      </c>
      <c r="F567" s="12" t="s">
        <v>1965</v>
      </c>
      <c r="G567" s="12" t="s">
        <v>286</v>
      </c>
      <c r="H567" s="12" t="s">
        <v>1965</v>
      </c>
      <c r="J567" s="12" t="s">
        <v>288</v>
      </c>
      <c r="K567" s="12" t="s">
        <v>1965</v>
      </c>
      <c r="M567" s="12" t="s">
        <v>1927</v>
      </c>
      <c r="N567" s="12" t="s">
        <v>2039</v>
      </c>
      <c r="P567" s="12" t="s">
        <v>129</v>
      </c>
      <c r="Q567" s="12" t="s">
        <v>1965</v>
      </c>
      <c r="R567" s="12" t="s">
        <v>2071</v>
      </c>
      <c r="S567" s="12" t="s">
        <v>2062</v>
      </c>
      <c r="U567" s="12" t="s">
        <v>2038</v>
      </c>
      <c r="V567" s="12" t="s">
        <v>3</v>
      </c>
      <c r="W567" s="12" t="s">
        <v>19</v>
      </c>
      <c r="X567" s="12" t="s">
        <v>44</v>
      </c>
      <c r="Y567" s="12" t="s">
        <v>53</v>
      </c>
      <c r="Z567" s="12" t="s">
        <v>60</v>
      </c>
      <c r="AA567" s="12" t="s">
        <v>73</v>
      </c>
      <c r="AB567" s="12" t="s">
        <v>76</v>
      </c>
      <c r="AC567" s="12" t="s">
        <v>86</v>
      </c>
      <c r="AD567" s="12" t="s">
        <v>102</v>
      </c>
      <c r="AE567" s="12" t="s">
        <v>106</v>
      </c>
      <c r="AF567" s="12" t="s">
        <v>111</v>
      </c>
      <c r="AG567" s="12" t="s">
        <v>122</v>
      </c>
      <c r="AH567" s="12" t="s">
        <v>2063</v>
      </c>
    </row>
    <row r="568" spans="2:34">
      <c r="B568" s="23" t="s">
        <v>3</v>
      </c>
      <c r="C568" s="22">
        <f>COUNTIFS('Training'!$D$4:$D$100003,"Jan",'Training'!$G$4:$G$100003,dCrit)</f>
        <v>0</v>
      </c>
      <c r="E568" s="13" t="s">
        <v>229</v>
      </c>
      <c r="F568" s="22">
        <f>COUNTIFS('Training'!$F$4:$F$100003,"Induction",'Training'!$D$4:$D$100003,mCrit,'Training'!$G$4:$G$100003,dCrit)</f>
        <v>0</v>
      </c>
      <c r="G568" s="13" t="s">
        <v>232</v>
      </c>
      <c r="H568" s="22">
        <f>COUNTIFS('Training'!$I$4:$I$100003,"Internal",'Training'!$D$4:$D$100003,mCrit,'Training'!$G$4:$G$100003,dCrit)</f>
        <v>0</v>
      </c>
      <c r="J568" s="13" t="s">
        <v>222</v>
      </c>
      <c r="K568" s="22">
        <f>COUNTIFS('Training'!$N$4:$N$100003,"Completed",'Training'!$D$4:$D$100003,mCrit,'Training'!$G$4:$G$100003,dCrit)</f>
        <v>0</v>
      </c>
      <c r="M568" s="13" t="s">
        <v>2074</v>
      </c>
      <c r="N568" s="22">
        <f>COUNTIFS('Training'!$D$4:$D$100003,mCrit,'Training'!$G$4:$G$100003,dCrit)</f>
        <v>0</v>
      </c>
      <c r="P568" s="13" t="s">
        <v>27</v>
      </c>
      <c r="Q568" s="22">
        <f>COUNTIFS('Training'!$D$4:$D$100003,mCrit,'Training'!$G$4:$G$100003,"Operations")</f>
        <v>0</v>
      </c>
      <c r="R568" s="25">
        <f>IFERROR((COUNTIFS('Training'!$N$4:$N$100003,"Completed",'Training'!$D$4:$D$100003,mCrit,'Training'!$G$4:$G$100003,"Operations"))/COUNTIFS('Training'!$D$4:$D$100003,mCrit,'Training'!$G$4:$G$100003,"Operations")*100,0)</f>
        <v>0</v>
      </c>
      <c r="S568" s="25">
        <f>IFERROR(AVERAGEIFS('Training'!$L$4:$L$100003,'Training'!$D$4:$D$100003,mCrit,'Training'!$G$4:$G$100003,"Operations"),0)</f>
        <v>0</v>
      </c>
      <c r="U568" s="13" t="s">
        <v>1770</v>
      </c>
      <c r="V568" s="22">
        <f>COUNTIFS('Training'!$D$4:$D$100003,"Jan",'Training'!$G$4:$G$100003,dCrit)</f>
        <v>0</v>
      </c>
      <c r="W568" s="22">
        <f>COUNTIFS('Training'!$D$4:$D$100003,"Feb",'Training'!$G$4:$G$100003,dCrit)</f>
        <v>0</v>
      </c>
      <c r="X568" s="22">
        <f>COUNTIFS('Training'!$D$4:$D$100003,"Mar",'Training'!$G$4:$G$100003,dCrit)</f>
        <v>0</v>
      </c>
      <c r="Y568" s="22">
        <f>COUNTIFS('Training'!$D$4:$D$100003,"Apr",'Training'!$G$4:$G$100003,dCrit)</f>
        <v>0</v>
      </c>
      <c r="Z568" s="22">
        <f>COUNTIFS('Training'!$D$4:$D$100003,"May",'Training'!$G$4:$G$100003,dCrit)</f>
        <v>0</v>
      </c>
      <c r="AA568" s="22">
        <f>COUNTIFS('Training'!$D$4:$D$100003,"Jun",'Training'!$G$4:$G$100003,dCrit)</f>
        <v>0</v>
      </c>
      <c r="AB568" s="22">
        <f>COUNTIFS('Training'!$D$4:$D$100003,"Jul",'Training'!$G$4:$G$100003,dCrit)</f>
        <v>0</v>
      </c>
      <c r="AC568" s="22">
        <f>COUNTIFS('Training'!$D$4:$D$100003,"Aug",'Training'!$G$4:$G$100003,dCrit)</f>
        <v>0</v>
      </c>
      <c r="AD568" s="22">
        <f>COUNTIFS('Training'!$D$4:$D$100003,"Sep",'Training'!$G$4:$G$100003,dCrit)</f>
        <v>0</v>
      </c>
      <c r="AE568" s="22">
        <f>COUNTIFS('Training'!$D$4:$D$100003,"Oct",'Training'!$G$4:$G$100003,dCrit)</f>
        <v>0</v>
      </c>
      <c r="AF568" s="22">
        <f>COUNTIFS('Training'!$D$4:$D$100003,"Nov",'Training'!$G$4:$G$100003,dCrit)</f>
        <v>0</v>
      </c>
      <c r="AG568" s="22">
        <f>COUNTIFS('Training'!$D$4:$D$100003,"Dec",'Training'!$G$4:$G$100003,dCrit)</f>
        <v>0</v>
      </c>
      <c r="AH568" s="22">
        <f>SUM(V568:AG568)</f>
        <v>0</v>
      </c>
    </row>
    <row r="569" spans="2:34">
      <c r="B569" s="23" t="s">
        <v>19</v>
      </c>
      <c r="C569" s="22">
        <f>COUNTIFS('Training'!$D$4:$D$100003,"Feb",'Training'!$G$4:$G$100003,dCrit)</f>
        <v>0</v>
      </c>
      <c r="E569" s="13" t="s">
        <v>240</v>
      </c>
      <c r="F569" s="22">
        <f>COUNTIFS('Training'!$F$4:$F$100003,"Refresher",'Training'!$D$4:$D$100003,mCrit,'Training'!$G$4:$G$100003,dCrit)</f>
        <v>0</v>
      </c>
      <c r="G569" s="13" t="s">
        <v>230</v>
      </c>
      <c r="H569" s="22">
        <f>COUNTIFS('Training'!$I$4:$I$100003,"External",'Training'!$D$4:$D$100003,mCrit,'Training'!$G$4:$G$100003,dCrit)</f>
        <v>0</v>
      </c>
      <c r="J569" s="13" t="s">
        <v>226</v>
      </c>
      <c r="K569" s="22">
        <f>COUNTIFS('Training'!$N$4:$N$100003,"In Progress",'Training'!$D$4:$D$100003,mCrit,'Training'!$G$4:$G$100003,dCrit)</f>
        <v>0</v>
      </c>
      <c r="M569" s="13" t="s">
        <v>222</v>
      </c>
      <c r="N569" s="22">
        <f>COUNTIFS('Training'!$N$4:$N$100003,"Completed",'Training'!$D$4:$D$100003,mCrit,'Training'!$G$4:$G$100003,dCrit)</f>
        <v>0</v>
      </c>
      <c r="P569" s="13" t="s">
        <v>92</v>
      </c>
      <c r="Q569" s="22">
        <f>COUNTIFS('Training'!$D$4:$D$100003,mCrit,'Training'!$G$4:$G$100003,"Maintenance")</f>
        <v>0</v>
      </c>
      <c r="R569" s="25">
        <f>IFERROR((COUNTIFS('Training'!$N$4:$N$100003,"Completed",'Training'!$D$4:$D$100003,mCrit,'Training'!$G$4:$G$100003,"Maintenance"))/COUNTIFS('Training'!$D$4:$D$100003,mCrit,'Training'!$G$4:$G$100003,"Maintenance")*100,0)</f>
        <v>0</v>
      </c>
      <c r="S569" s="25">
        <f>IFERROR(AVERAGEIFS('Training'!$L$4:$L$100003,'Training'!$D$4:$D$100003,mCrit,'Training'!$G$4:$G$100003,"Maintenance"),0)</f>
        <v>0</v>
      </c>
      <c r="U569" s="13" t="s">
        <v>2072</v>
      </c>
      <c r="V569" s="25">
        <f>IFERROR((COUNTIFS('Training'!$N$4:$N$100003,"Completed",'Training'!$D$4:$D$100003,"Jan",'Training'!$G$4:$G$100003,dCrit))/COUNTIFS('Training'!$D$4:$D$100003,"Jan",'Training'!$G$4:$G$100003,dCrit)*100,0)</f>
        <v>0</v>
      </c>
      <c r="W569" s="25">
        <f>IFERROR((COUNTIFS('Training'!$N$4:$N$100003,"Completed",'Training'!$D$4:$D$100003,"Feb",'Training'!$G$4:$G$100003,dCrit))/COUNTIFS('Training'!$D$4:$D$100003,"Feb",'Training'!$G$4:$G$100003,dCrit)*100,0)</f>
        <v>0</v>
      </c>
      <c r="X569" s="25">
        <f>IFERROR((COUNTIFS('Training'!$N$4:$N$100003,"Completed",'Training'!$D$4:$D$100003,"Mar",'Training'!$G$4:$G$100003,dCrit))/COUNTIFS('Training'!$D$4:$D$100003,"Mar",'Training'!$G$4:$G$100003,dCrit)*100,0)</f>
        <v>0</v>
      </c>
      <c r="Y569" s="25">
        <f>IFERROR((COUNTIFS('Training'!$N$4:$N$100003,"Completed",'Training'!$D$4:$D$100003,"Apr",'Training'!$G$4:$G$100003,dCrit))/COUNTIFS('Training'!$D$4:$D$100003,"Apr",'Training'!$G$4:$G$100003,dCrit)*100,0)</f>
        <v>0</v>
      </c>
      <c r="Z569" s="25">
        <f>IFERROR((COUNTIFS('Training'!$N$4:$N$100003,"Completed",'Training'!$D$4:$D$100003,"May",'Training'!$G$4:$G$100003,dCrit))/COUNTIFS('Training'!$D$4:$D$100003,"May",'Training'!$G$4:$G$100003,dCrit)*100,0)</f>
        <v>0</v>
      </c>
      <c r="AA569" s="25">
        <f>IFERROR((COUNTIFS('Training'!$N$4:$N$100003,"Completed",'Training'!$D$4:$D$100003,"Jun",'Training'!$G$4:$G$100003,dCrit))/COUNTIFS('Training'!$D$4:$D$100003,"Jun",'Training'!$G$4:$G$100003,dCrit)*100,0)</f>
        <v>0</v>
      </c>
      <c r="AB569" s="25">
        <f>IFERROR((COUNTIFS('Training'!$N$4:$N$100003,"Completed",'Training'!$D$4:$D$100003,"Jul",'Training'!$G$4:$G$100003,dCrit))/COUNTIFS('Training'!$D$4:$D$100003,"Jul",'Training'!$G$4:$G$100003,dCrit)*100,0)</f>
        <v>0</v>
      </c>
      <c r="AC569" s="25">
        <f>IFERROR((COUNTIFS('Training'!$N$4:$N$100003,"Completed",'Training'!$D$4:$D$100003,"Aug",'Training'!$G$4:$G$100003,dCrit))/COUNTIFS('Training'!$D$4:$D$100003,"Aug",'Training'!$G$4:$G$100003,dCrit)*100,0)</f>
        <v>0</v>
      </c>
      <c r="AD569" s="25">
        <f>IFERROR((COUNTIFS('Training'!$N$4:$N$100003,"Completed",'Training'!$D$4:$D$100003,"Sep",'Training'!$G$4:$G$100003,dCrit))/COUNTIFS('Training'!$D$4:$D$100003,"Sep",'Training'!$G$4:$G$100003,dCrit)*100,0)</f>
        <v>0</v>
      </c>
      <c r="AE569" s="25">
        <f>IFERROR((COUNTIFS('Training'!$N$4:$N$100003,"Completed",'Training'!$D$4:$D$100003,"Oct",'Training'!$G$4:$G$100003,dCrit))/COUNTIFS('Training'!$D$4:$D$100003,"Oct",'Training'!$G$4:$G$100003,dCrit)*100,0)</f>
        <v>0</v>
      </c>
      <c r="AF569" s="25">
        <f>IFERROR((COUNTIFS('Training'!$N$4:$N$100003,"Completed",'Training'!$D$4:$D$100003,"Nov",'Training'!$G$4:$G$100003,dCrit))/COUNTIFS('Training'!$D$4:$D$100003,"Nov",'Training'!$G$4:$G$100003,dCrit)*100,0)</f>
        <v>0</v>
      </c>
      <c r="AG569" s="25">
        <f>IFERROR((COUNTIFS('Training'!$N$4:$N$100003,"Completed",'Training'!$D$4:$D$100003,"Dec",'Training'!$G$4:$G$100003,dCrit))/COUNTIFS('Training'!$D$4:$D$100003,"Dec",'Training'!$G$4:$G$100003,dCrit)*100,0)</f>
        <v>0</v>
      </c>
      <c r="AH569" s="25">
        <f>IFERROR(AVERAGE(V569:AG569),0)</f>
        <v>0</v>
      </c>
    </row>
    <row r="570" spans="2:34">
      <c r="B570" s="23" t="s">
        <v>44</v>
      </c>
      <c r="C570" s="22">
        <f>COUNTIFS('Training'!$D$4:$D$100003,"Mar",'Training'!$G$4:$G$100003,dCrit)</f>
        <v>0</v>
      </c>
      <c r="E570" s="13" t="s">
        <v>235</v>
      </c>
      <c r="F570" s="22">
        <f>COUNTIFS('Training'!$F$4:$F$100003,"Advanced",'Training'!$D$4:$D$100003,mCrit,'Training'!$G$4:$G$100003,dCrit)</f>
        <v>0</v>
      </c>
      <c r="G570" s="13" t="s">
        <v>221</v>
      </c>
      <c r="H570" s="22">
        <f>COUNTIFS('Training'!$I$4:$I$100003,"Online",'Training'!$D$4:$D$100003,mCrit,'Training'!$G$4:$G$100003,dCrit)</f>
        <v>0</v>
      </c>
      <c r="J570" s="13" t="s">
        <v>236</v>
      </c>
      <c r="K570" s="22">
        <f>COUNTIFS('Training'!$N$4:$N$100003,"Scheduled",'Training'!$D$4:$D$100003,mCrit,'Training'!$G$4:$G$100003,dCrit)</f>
        <v>0</v>
      </c>
      <c r="M570" s="13" t="s">
        <v>226</v>
      </c>
      <c r="N570" s="22">
        <f>COUNTIFS('Training'!$N$4:$N$100003,"In Progress",'Training'!$D$4:$D$100003,mCrit,'Training'!$G$4:$G$100003,dCrit)</f>
        <v>0</v>
      </c>
      <c r="P570" s="13" t="s">
        <v>39</v>
      </c>
      <c r="Q570" s="22">
        <f>COUNTIFS('Training'!$D$4:$D$100003,mCrit,'Training'!$G$4:$G$100003,"Engineering")</f>
        <v>0</v>
      </c>
      <c r="R570" s="25">
        <f>IFERROR((COUNTIFS('Training'!$N$4:$N$100003,"Completed",'Training'!$D$4:$D$100003,mCrit,'Training'!$G$4:$G$100003,"Engineering"))/COUNTIFS('Training'!$D$4:$D$100003,mCrit,'Training'!$G$4:$G$100003,"Engineering")*100,0)</f>
        <v>0</v>
      </c>
      <c r="S570" s="25">
        <f>IFERROR(AVERAGEIFS('Training'!$L$4:$L$100003,'Training'!$D$4:$D$100003,mCrit,'Training'!$G$4:$G$100003,"Engineering"),0)</f>
        <v>0</v>
      </c>
      <c r="U570" s="13" t="s">
        <v>2062</v>
      </c>
      <c r="V570" s="25">
        <f>IFERROR(AVERAGEIFS('Training'!$L$4:$L$100003,'Training'!$D$4:$D$100003,"Jan",'Training'!$G$4:$G$100003,dCrit),0)</f>
        <v>0</v>
      </c>
      <c r="W570" s="25">
        <f>IFERROR(AVERAGEIFS('Training'!$L$4:$L$100003,'Training'!$D$4:$D$100003,"Feb",'Training'!$G$4:$G$100003,dCrit),0)</f>
        <v>0</v>
      </c>
      <c r="X570" s="25">
        <f>IFERROR(AVERAGEIFS('Training'!$L$4:$L$100003,'Training'!$D$4:$D$100003,"Mar",'Training'!$G$4:$G$100003,dCrit),0)</f>
        <v>0</v>
      </c>
      <c r="Y570" s="25">
        <f>IFERROR(AVERAGEIFS('Training'!$L$4:$L$100003,'Training'!$D$4:$D$100003,"Apr",'Training'!$G$4:$G$100003,dCrit),0)</f>
        <v>0</v>
      </c>
      <c r="Z570" s="25">
        <f>IFERROR(AVERAGEIFS('Training'!$L$4:$L$100003,'Training'!$D$4:$D$100003,"May",'Training'!$G$4:$G$100003,dCrit),0)</f>
        <v>0</v>
      </c>
      <c r="AA570" s="25">
        <f>IFERROR(AVERAGEIFS('Training'!$L$4:$L$100003,'Training'!$D$4:$D$100003,"Jun",'Training'!$G$4:$G$100003,dCrit),0)</f>
        <v>0</v>
      </c>
      <c r="AB570" s="25">
        <f>IFERROR(AVERAGEIFS('Training'!$L$4:$L$100003,'Training'!$D$4:$D$100003,"Jul",'Training'!$G$4:$G$100003,dCrit),0)</f>
        <v>0</v>
      </c>
      <c r="AC570" s="25">
        <f>IFERROR(AVERAGEIFS('Training'!$L$4:$L$100003,'Training'!$D$4:$D$100003,"Aug",'Training'!$G$4:$G$100003,dCrit),0)</f>
        <v>0</v>
      </c>
      <c r="AD570" s="25">
        <f>IFERROR(AVERAGEIFS('Training'!$L$4:$L$100003,'Training'!$D$4:$D$100003,"Sep",'Training'!$G$4:$G$100003,dCrit),0)</f>
        <v>0</v>
      </c>
      <c r="AE570" s="25">
        <f>IFERROR(AVERAGEIFS('Training'!$L$4:$L$100003,'Training'!$D$4:$D$100003,"Oct",'Training'!$G$4:$G$100003,dCrit),0)</f>
        <v>0</v>
      </c>
      <c r="AF570" s="25">
        <f>IFERROR(AVERAGEIFS('Training'!$L$4:$L$100003,'Training'!$D$4:$D$100003,"Nov",'Training'!$G$4:$G$100003,dCrit),0)</f>
        <v>0</v>
      </c>
      <c r="AG570" s="25">
        <f>IFERROR(AVERAGEIFS('Training'!$L$4:$L$100003,'Training'!$D$4:$D$100003,"Dec",'Training'!$G$4:$G$100003,dCrit),0)</f>
        <v>0</v>
      </c>
      <c r="AH570" s="25">
        <f>IFERROR(AVERAGE(V570:AG570),0)</f>
        <v>0</v>
      </c>
    </row>
    <row r="571" spans="2:34">
      <c r="B571" s="23" t="s">
        <v>53</v>
      </c>
      <c r="C571" s="22">
        <f>COUNTIFS('Training'!$D$4:$D$100003,"Apr",'Training'!$G$4:$G$100003,dCrit)</f>
        <v>0</v>
      </c>
      <c r="E571" s="13" t="s">
        <v>225</v>
      </c>
      <c r="F571" s="22">
        <f>COUNTIFS('Training'!$F$4:$F$100003,"On-the-Job",'Training'!$D$4:$D$100003,mCrit,'Training'!$G$4:$G$100003,dCrit)</f>
        <v>0</v>
      </c>
      <c r="G571" s="13" t="s">
        <v>225</v>
      </c>
      <c r="H571" s="22">
        <f>COUNTIFS('Training'!$I$4:$I$100003,"On-the-Job",'Training'!$D$4:$D$100003,mCrit,'Training'!$G$4:$G$100003,dCrit)</f>
        <v>0</v>
      </c>
      <c r="M571" s="13" t="s">
        <v>236</v>
      </c>
      <c r="N571" s="22">
        <f>COUNTIFS('Training'!$N$4:$N$100003,"Scheduled",'Training'!$D$4:$D$100003,mCrit,'Training'!$G$4:$G$100003,dCrit)</f>
        <v>0</v>
      </c>
      <c r="P571" s="13" t="s">
        <v>89</v>
      </c>
      <c r="Q571" s="22">
        <f>COUNTIFS('Training'!$D$4:$D$100003,mCrit,'Training'!$G$4:$G$100003,"Construction")</f>
        <v>0</v>
      </c>
      <c r="R571" s="25">
        <f>IFERROR((COUNTIFS('Training'!$N$4:$N$100003,"Completed",'Training'!$D$4:$D$100003,mCrit,'Training'!$G$4:$G$100003,"Construction"))/COUNTIFS('Training'!$D$4:$D$100003,mCrit,'Training'!$G$4:$G$100003,"Construction")*100,0)</f>
        <v>0</v>
      </c>
      <c r="S571" s="25">
        <f>IFERROR(AVERAGEIFS('Training'!$L$4:$L$100003,'Training'!$D$4:$D$100003,mCrit,'Training'!$G$4:$G$100003,"Construction"),0)</f>
        <v>0</v>
      </c>
    </row>
    <row r="572" spans="2:34">
      <c r="B572" s="23" t="s">
        <v>60</v>
      </c>
      <c r="C572" s="22">
        <f>COUNTIFS('Training'!$D$4:$D$100003,"May",'Training'!$G$4:$G$100003,dCrit)</f>
        <v>0</v>
      </c>
      <c r="E572" s="13" t="s">
        <v>220</v>
      </c>
      <c r="F572" s="22">
        <f>COUNTIFS('Training'!$F$4:$F$100003,"Awareness",'Training'!$D$4:$D$100003,mCrit,'Training'!$G$4:$G$100003,dCrit)</f>
        <v>0</v>
      </c>
      <c r="M572" s="13" t="s">
        <v>2062</v>
      </c>
      <c r="N572" s="25">
        <f>IFERROR(AVERAGEIFS('Training'!$L$4:$L$100003,'Training'!$D$4:$D$100003,mCrit,'Training'!$G$4:$G$100003,dCrit),0)</f>
        <v>0</v>
      </c>
      <c r="P572" s="13" t="s">
        <v>65</v>
      </c>
      <c r="Q572" s="22">
        <f>COUNTIFS('Training'!$D$4:$D$100003,mCrit,'Training'!$G$4:$G$100003,"Safety")</f>
        <v>0</v>
      </c>
      <c r="R572" s="25">
        <f>IFERROR((COUNTIFS('Training'!$N$4:$N$100003,"Completed",'Training'!$D$4:$D$100003,mCrit,'Training'!$G$4:$G$100003,"Safety"))/COUNTIFS('Training'!$D$4:$D$100003,mCrit,'Training'!$G$4:$G$100003,"Safety")*100,0)</f>
        <v>0</v>
      </c>
      <c r="S572" s="25">
        <f>IFERROR(AVERAGEIFS('Training'!$L$4:$L$100003,'Training'!$D$4:$D$100003,mCrit,'Training'!$G$4:$G$100003,"Safety"),0)</f>
        <v>0</v>
      </c>
    </row>
    <row r="573" spans="2:34">
      <c r="B573" s="23" t="s">
        <v>73</v>
      </c>
      <c r="C573" s="22">
        <f>COUNTIFS('Training'!$D$4:$D$100003,"Jun",'Training'!$G$4:$G$100003,dCrit)</f>
        <v>0</v>
      </c>
      <c r="E573" s="13" t="s">
        <v>238</v>
      </c>
      <c r="F573" s="22">
        <f>COUNTIFS('Training'!$F$4:$F$100003,"Competency",'Training'!$D$4:$D$100003,mCrit,'Training'!$G$4:$G$100003,dCrit)</f>
        <v>0</v>
      </c>
      <c r="M573" s="13" t="s">
        <v>2075</v>
      </c>
      <c r="N573" s="22">
        <f>SUMIFS('Training'!$M$4:$M$100003,'Training'!$D$4:$D$100003,mCrit,'Training'!$G$4:$G$100003,dCrit)</f>
        <v>0</v>
      </c>
      <c r="P573" s="13" t="s">
        <v>5</v>
      </c>
      <c r="Q573" s="22">
        <f>COUNTIFS('Training'!$D$4:$D$100003,mCrit,'Training'!$G$4:$G$100003,"Logistics")</f>
        <v>0</v>
      </c>
      <c r="R573" s="25">
        <f>IFERROR((COUNTIFS('Training'!$N$4:$N$100003,"Completed",'Training'!$D$4:$D$100003,mCrit,'Training'!$G$4:$G$100003,"Logistics"))/COUNTIFS('Training'!$D$4:$D$100003,mCrit,'Training'!$G$4:$G$100003,"Logistics")*100,0)</f>
        <v>0</v>
      </c>
      <c r="S573" s="25">
        <f>IFERROR(AVERAGEIFS('Training'!$L$4:$L$100003,'Training'!$D$4:$D$100003,mCrit,'Training'!$G$4:$G$100003,"Logistics"),0)</f>
        <v>0</v>
      </c>
    </row>
    <row r="574" spans="2:34">
      <c r="B574" s="23" t="s">
        <v>76</v>
      </c>
      <c r="C574" s="22">
        <f>COUNTIFS('Training'!$D$4:$D$100003,"Jul",'Training'!$G$4:$G$100003,dCrit)</f>
        <v>0</v>
      </c>
      <c r="M574" s="13" t="s">
        <v>2076</v>
      </c>
      <c r="N574" s="25">
        <f>IFERROR((COUNTIFS('Training'!$O$4:$O$100003,"Pass",'Training'!$D$4:$D$100003,mCrit,'Training'!$G$4:$G$100003,dCrit))/(COUNTIFS('Training'!$D$4:$D$100003,mCrit,'Training'!$G$4:$G$100003,dCrit))*100,0)</f>
        <v>0</v>
      </c>
      <c r="P574" s="13" t="s">
        <v>50</v>
      </c>
      <c r="Q574" s="22">
        <f>COUNTIFS('Training'!$D$4:$D$100003,mCrit,'Training'!$G$4:$G$100003,"Quality")</f>
        <v>0</v>
      </c>
      <c r="R574" s="25">
        <f>IFERROR((COUNTIFS('Training'!$N$4:$N$100003,"Completed",'Training'!$D$4:$D$100003,mCrit,'Training'!$G$4:$G$100003,"Quality"))/COUNTIFS('Training'!$D$4:$D$100003,mCrit,'Training'!$G$4:$G$100003,"Quality")*100,0)</f>
        <v>0</v>
      </c>
      <c r="S574" s="25">
        <f>IFERROR(AVERAGEIFS('Training'!$L$4:$L$100003,'Training'!$D$4:$D$100003,mCrit,'Training'!$G$4:$G$100003,"Quality"),0)</f>
        <v>0</v>
      </c>
    </row>
    <row r="575" spans="2:34">
      <c r="B575" s="23" t="s">
        <v>86</v>
      </c>
      <c r="C575" s="22">
        <f>COUNTIFS('Training'!$D$4:$D$100003,"Aug",'Training'!$G$4:$G$100003,dCrit)</f>
        <v>0</v>
      </c>
      <c r="M575" s="13" t="s">
        <v>2077</v>
      </c>
      <c r="N575" s="22">
        <f>COUNTIFS('Training'!$P$4:$P$100003,"Yes",'Training'!$D$4:$D$100003,mCrit,'Training'!$G$4:$G$100003,dCrit)</f>
        <v>0</v>
      </c>
      <c r="P575" s="13" t="s">
        <v>46</v>
      </c>
      <c r="Q575" s="22">
        <f>COUNTIFS('Training'!$D$4:$D$100003,mCrit,'Training'!$G$4:$G$100003,"Admin")</f>
        <v>0</v>
      </c>
      <c r="R575" s="25">
        <f>IFERROR((COUNTIFS('Training'!$N$4:$N$100003,"Completed",'Training'!$D$4:$D$100003,mCrit,'Training'!$G$4:$G$100003,"Admin"))/COUNTIFS('Training'!$D$4:$D$100003,mCrit,'Training'!$G$4:$G$100003,"Admin")*100,0)</f>
        <v>0</v>
      </c>
      <c r="S575" s="25">
        <f>IFERROR(AVERAGEIFS('Training'!$L$4:$L$100003,'Training'!$D$4:$D$100003,mCrit,'Training'!$G$4:$G$100003,"Admin"),0)</f>
        <v>0</v>
      </c>
    </row>
    <row r="576" spans="2:34">
      <c r="B576" s="23" t="s">
        <v>102</v>
      </c>
      <c r="C576" s="22">
        <f>COUNTIFS('Training'!$D$4:$D$100003,"Sep",'Training'!$G$4:$G$100003,dCrit)</f>
        <v>0</v>
      </c>
      <c r="P576" s="13" t="s">
        <v>13</v>
      </c>
      <c r="Q576" s="22">
        <f>COUNTIFS('Training'!$D$4:$D$100003,mCrit,'Training'!$G$4:$G$100003,"Projects")</f>
        <v>0</v>
      </c>
      <c r="R576" s="25">
        <f>IFERROR((COUNTIFS('Training'!$N$4:$N$100003,"Completed",'Training'!$D$4:$D$100003,mCrit,'Training'!$G$4:$G$100003,"Projects"))/COUNTIFS('Training'!$D$4:$D$100003,mCrit,'Training'!$G$4:$G$100003,"Projects")*100,0)</f>
        <v>0</v>
      </c>
      <c r="S576" s="25">
        <f>IFERROR(AVERAGEIFS('Training'!$L$4:$L$100003,'Training'!$D$4:$D$100003,mCrit,'Training'!$G$4:$G$100003,"Projects"),0)</f>
        <v>0</v>
      </c>
    </row>
    <row r="577" spans="2:19">
      <c r="B577" s="23" t="s">
        <v>106</v>
      </c>
      <c r="C577" s="22">
        <f>COUNTIFS('Training'!$D$4:$D$100003,"Oct",'Training'!$G$4:$G$100003,dCrit)</f>
        <v>0</v>
      </c>
      <c r="P577" s="13" t="s">
        <v>58</v>
      </c>
      <c r="Q577" s="22">
        <f>COUNTIFS('Training'!$D$4:$D$100003,mCrit,'Training'!$G$4:$G$100003,"Contractor")</f>
        <v>0</v>
      </c>
      <c r="R577" s="25">
        <f>IFERROR((COUNTIFS('Training'!$N$4:$N$100003,"Completed",'Training'!$D$4:$D$100003,mCrit,'Training'!$G$4:$G$100003,"Contractor"))/COUNTIFS('Training'!$D$4:$D$100003,mCrit,'Training'!$G$4:$G$100003,"Contractor")*100,0)</f>
        <v>0</v>
      </c>
      <c r="S577" s="25">
        <f>IFERROR(AVERAGEIFS('Training'!$L$4:$L$100003,'Training'!$D$4:$D$100003,mCrit,'Training'!$G$4:$G$100003,"Contractor"),0)</f>
        <v>0</v>
      </c>
    </row>
    <row r="578" spans="2:19">
      <c r="B578" s="23" t="s">
        <v>111</v>
      </c>
      <c r="C578" s="22">
        <f>COUNTIFS('Training'!$D$4:$D$100003,"Nov",'Training'!$G$4:$G$100003,dCrit)</f>
        <v>0</v>
      </c>
    </row>
    <row r="579" spans="2:19">
      <c r="B579" s="23" t="s">
        <v>122</v>
      </c>
      <c r="C579" s="22">
        <f>COUNTIFS('Training'!$D$4:$D$100003,"Dec",'Training'!$G$4:$G$100003,dCrit)</f>
        <v>0</v>
      </c>
    </row>
    <row r="592" spans="2:19">
      <c r="B592" s="17" t="s">
        <v>2078</v>
      </c>
    </row>
    <row r="593" spans="2:34">
      <c r="B593" s="12" t="s">
        <v>127</v>
      </c>
      <c r="C593" s="12" t="s">
        <v>1965</v>
      </c>
      <c r="E593" s="12" t="s">
        <v>354</v>
      </c>
      <c r="F593" s="12" t="s">
        <v>1965</v>
      </c>
      <c r="G593" s="12" t="s">
        <v>358</v>
      </c>
      <c r="H593" s="12" t="s">
        <v>1965</v>
      </c>
      <c r="J593" s="12" t="s">
        <v>288</v>
      </c>
      <c r="K593" s="12" t="s">
        <v>1965</v>
      </c>
      <c r="M593" s="12" t="s">
        <v>1927</v>
      </c>
      <c r="N593" s="12" t="s">
        <v>2039</v>
      </c>
      <c r="P593" s="12" t="s">
        <v>129</v>
      </c>
      <c r="Q593" s="12" t="s">
        <v>1965</v>
      </c>
      <c r="R593" s="12" t="s">
        <v>2071</v>
      </c>
      <c r="S593" s="12" t="s">
        <v>1770</v>
      </c>
      <c r="U593" s="12" t="s">
        <v>2038</v>
      </c>
      <c r="V593" s="12" t="s">
        <v>3</v>
      </c>
      <c r="W593" s="12" t="s">
        <v>19</v>
      </c>
      <c r="X593" s="12" t="s">
        <v>44</v>
      </c>
      <c r="Y593" s="12" t="s">
        <v>53</v>
      </c>
      <c r="Z593" s="12" t="s">
        <v>60</v>
      </c>
      <c r="AA593" s="12" t="s">
        <v>73</v>
      </c>
      <c r="AB593" s="12" t="s">
        <v>76</v>
      </c>
      <c r="AC593" s="12" t="s">
        <v>86</v>
      </c>
      <c r="AD593" s="12" t="s">
        <v>102</v>
      </c>
      <c r="AE593" s="12" t="s">
        <v>106</v>
      </c>
      <c r="AF593" s="12" t="s">
        <v>111</v>
      </c>
      <c r="AG593" s="12" t="s">
        <v>122</v>
      </c>
      <c r="AH593" s="12" t="s">
        <v>2063</v>
      </c>
    </row>
    <row r="594" spans="2:34">
      <c r="B594" s="23" t="s">
        <v>3</v>
      </c>
      <c r="C594" s="22">
        <f>COUNTIFS('HSE Observations'!$D$4:$D$100003,"Jan",'HSE Observations'!$G$4:$G$100003,dCrit)</f>
        <v>0</v>
      </c>
      <c r="E594" s="13" t="s">
        <v>294</v>
      </c>
      <c r="F594" s="22">
        <f>COUNTIFS('HSE Observations'!$E$4:$E$100003,"Safe Act",'HSE Observations'!$D$4:$D$100003,mCrit,'HSE Observations'!$G$4:$G$100003,dCrit)</f>
        <v>0</v>
      </c>
      <c r="G594" s="13" t="s">
        <v>33</v>
      </c>
      <c r="H594" s="22">
        <f>COUNTIFS('HSE Observations'!$K$4:$K$100003,"BBS",'HSE Observations'!$D$4:$D$100003,mCrit,'HSE Observations'!$G$4:$G$100003,dCrit)</f>
        <v>0</v>
      </c>
      <c r="J594" s="13" t="s">
        <v>222</v>
      </c>
      <c r="K594" s="22">
        <f>COUNTIFS('HSE Observations'!$M$4:$M$100003,"Completed",'HSE Observations'!$D$4:$D$100003,mCrit,'HSE Observations'!$G$4:$G$100003,dCrit)</f>
        <v>0</v>
      </c>
      <c r="M594" s="13" t="s">
        <v>2079</v>
      </c>
      <c r="N594" s="22">
        <f>COUNTIFS('HSE Observations'!$D$4:$D$100003,mCrit,'HSE Observations'!$G$4:$G$100003,dCrit)</f>
        <v>0</v>
      </c>
      <c r="P594" s="13" t="s">
        <v>27</v>
      </c>
      <c r="Q594" s="22">
        <f>COUNTIFS('HSE Observations'!$D$4:$D$100003,mCrit,'HSE Observations'!$G$4:$G$100003,"Operations")</f>
        <v>0</v>
      </c>
      <c r="R594" s="25">
        <f>IFERROR((COUNTIFS('HSE Observations'!$M$4:$M$100003,"Completed",'HSE Observations'!$D$4:$D$100003,mCrit,'HSE Observations'!$G$4:$G$100003,"Operations"))/COUNTIFS('HSE Observations'!$D$4:$D$100003,mCrit,'HSE Observations'!$G$4:$G$100003,"Operations")*100,0)</f>
        <v>0</v>
      </c>
      <c r="S594" s="22">
        <f>COUNTIFS('HSE Observations'!$D$4:$D$100003,mCrit,'HSE Observations'!$G$4:$G$100003,"Operations")</f>
        <v>0</v>
      </c>
      <c r="U594" s="13" t="s">
        <v>1770</v>
      </c>
      <c r="V594" s="22">
        <f>COUNTIFS('HSE Observations'!$D$4:$D$100003,"Jan",'HSE Observations'!$G$4:$G$100003,dCrit)</f>
        <v>0</v>
      </c>
      <c r="W594" s="22">
        <f>COUNTIFS('HSE Observations'!$D$4:$D$100003,"Feb",'HSE Observations'!$G$4:$G$100003,dCrit)</f>
        <v>0</v>
      </c>
      <c r="X594" s="22">
        <f>COUNTIFS('HSE Observations'!$D$4:$D$100003,"Mar",'HSE Observations'!$G$4:$G$100003,dCrit)</f>
        <v>0</v>
      </c>
      <c r="Y594" s="22">
        <f>COUNTIFS('HSE Observations'!$D$4:$D$100003,"Apr",'HSE Observations'!$G$4:$G$100003,dCrit)</f>
        <v>0</v>
      </c>
      <c r="Z594" s="22">
        <f>COUNTIFS('HSE Observations'!$D$4:$D$100003,"May",'HSE Observations'!$G$4:$G$100003,dCrit)</f>
        <v>0</v>
      </c>
      <c r="AA594" s="22">
        <f>COUNTIFS('HSE Observations'!$D$4:$D$100003,"Jun",'HSE Observations'!$G$4:$G$100003,dCrit)</f>
        <v>0</v>
      </c>
      <c r="AB594" s="22">
        <f>COUNTIFS('HSE Observations'!$D$4:$D$100003,"Jul",'HSE Observations'!$G$4:$G$100003,dCrit)</f>
        <v>0</v>
      </c>
      <c r="AC594" s="22">
        <f>COUNTIFS('HSE Observations'!$D$4:$D$100003,"Aug",'HSE Observations'!$G$4:$G$100003,dCrit)</f>
        <v>0</v>
      </c>
      <c r="AD594" s="22">
        <f>COUNTIFS('HSE Observations'!$D$4:$D$100003,"Sep",'HSE Observations'!$G$4:$G$100003,dCrit)</f>
        <v>0</v>
      </c>
      <c r="AE594" s="22">
        <f>COUNTIFS('HSE Observations'!$D$4:$D$100003,"Oct",'HSE Observations'!$G$4:$G$100003,dCrit)</f>
        <v>0</v>
      </c>
      <c r="AF594" s="22">
        <f>COUNTIFS('HSE Observations'!$D$4:$D$100003,"Nov",'HSE Observations'!$G$4:$G$100003,dCrit)</f>
        <v>0</v>
      </c>
      <c r="AG594" s="22">
        <f>COUNTIFS('HSE Observations'!$D$4:$D$100003,"Dec",'HSE Observations'!$G$4:$G$100003,dCrit)</f>
        <v>0</v>
      </c>
      <c r="AH594" s="22">
        <f>SUM(V594:AG594)</f>
        <v>0</v>
      </c>
    </row>
    <row r="595" spans="2:34">
      <c r="B595" s="23" t="s">
        <v>19</v>
      </c>
      <c r="C595" s="22">
        <f>COUNTIFS('HSE Observations'!$D$4:$D$100003,"Feb",'HSE Observations'!$G$4:$G$100003,dCrit)</f>
        <v>0</v>
      </c>
      <c r="E595" s="13" t="s">
        <v>302</v>
      </c>
      <c r="F595" s="22">
        <f>COUNTIFS('HSE Observations'!$E$4:$E$100003,"Unsafe Act",'HSE Observations'!$D$4:$D$100003,mCrit,'HSE Observations'!$G$4:$G$100003,dCrit)</f>
        <v>0</v>
      </c>
      <c r="G595" s="13" t="s">
        <v>47</v>
      </c>
      <c r="H595" s="22">
        <f>COUNTIFS('HSE Observations'!$K$4:$K$100003,"General",'HSE Observations'!$D$4:$D$100003,mCrit,'HSE Observations'!$G$4:$G$100003,dCrit)</f>
        <v>0</v>
      </c>
      <c r="J595" s="13" t="s">
        <v>226</v>
      </c>
      <c r="K595" s="22">
        <f>COUNTIFS('HSE Observations'!$M$4:$M$100003,"In Progress",'HSE Observations'!$D$4:$D$100003,mCrit,'HSE Observations'!$G$4:$G$100003,dCrit)</f>
        <v>0</v>
      </c>
      <c r="M595" s="13" t="s">
        <v>222</v>
      </c>
      <c r="N595" s="22">
        <f>COUNTIFS('HSE Observations'!$M$4:$M$100003,"Completed",'HSE Observations'!$D$4:$D$100003,mCrit,'HSE Observations'!$G$4:$G$100003,dCrit)</f>
        <v>0</v>
      </c>
      <c r="P595" s="13" t="s">
        <v>92</v>
      </c>
      <c r="Q595" s="22">
        <f>COUNTIFS('HSE Observations'!$D$4:$D$100003,mCrit,'HSE Observations'!$G$4:$G$100003,"Maintenance")</f>
        <v>0</v>
      </c>
      <c r="R595" s="25">
        <f>IFERROR((COUNTIFS('HSE Observations'!$M$4:$M$100003,"Completed",'HSE Observations'!$D$4:$D$100003,mCrit,'HSE Observations'!$G$4:$G$100003,"Maintenance"))/COUNTIFS('HSE Observations'!$D$4:$D$100003,mCrit,'HSE Observations'!$G$4:$G$100003,"Maintenance")*100,0)</f>
        <v>0</v>
      </c>
      <c r="S595" s="22">
        <f>COUNTIFS('HSE Observations'!$D$4:$D$100003,mCrit,'HSE Observations'!$G$4:$G$100003,"Maintenance")</f>
        <v>0</v>
      </c>
      <c r="U595" s="13" t="s">
        <v>2072</v>
      </c>
      <c r="V595" s="25">
        <f>IFERROR((COUNTIFS('HSE Observations'!$M$4:$M$100003,"Completed",'HSE Observations'!$D$4:$D$100003,"Jan",'HSE Observations'!$G$4:$G$100003,dCrit))/COUNTIFS('HSE Observations'!$D$4:$D$100003,"Jan",'HSE Observations'!$G$4:$G$100003,dCrit)*100,0)</f>
        <v>0</v>
      </c>
      <c r="W595" s="25">
        <f>IFERROR((COUNTIFS('HSE Observations'!$M$4:$M$100003,"Completed",'HSE Observations'!$D$4:$D$100003,"Feb",'HSE Observations'!$G$4:$G$100003,dCrit))/COUNTIFS('HSE Observations'!$D$4:$D$100003,"Feb",'HSE Observations'!$G$4:$G$100003,dCrit)*100,0)</f>
        <v>0</v>
      </c>
      <c r="X595" s="25">
        <f>IFERROR((COUNTIFS('HSE Observations'!$M$4:$M$100003,"Completed",'HSE Observations'!$D$4:$D$100003,"Mar",'HSE Observations'!$G$4:$G$100003,dCrit))/COUNTIFS('HSE Observations'!$D$4:$D$100003,"Mar",'HSE Observations'!$G$4:$G$100003,dCrit)*100,0)</f>
        <v>0</v>
      </c>
      <c r="Y595" s="25">
        <f>IFERROR((COUNTIFS('HSE Observations'!$M$4:$M$100003,"Completed",'HSE Observations'!$D$4:$D$100003,"Apr",'HSE Observations'!$G$4:$G$100003,dCrit))/COUNTIFS('HSE Observations'!$D$4:$D$100003,"Apr",'HSE Observations'!$G$4:$G$100003,dCrit)*100,0)</f>
        <v>0</v>
      </c>
      <c r="Z595" s="25">
        <f>IFERROR((COUNTIFS('HSE Observations'!$M$4:$M$100003,"Completed",'HSE Observations'!$D$4:$D$100003,"May",'HSE Observations'!$G$4:$G$100003,dCrit))/COUNTIFS('HSE Observations'!$D$4:$D$100003,"May",'HSE Observations'!$G$4:$G$100003,dCrit)*100,0)</f>
        <v>0</v>
      </c>
      <c r="AA595" s="25">
        <f>IFERROR((COUNTIFS('HSE Observations'!$M$4:$M$100003,"Completed",'HSE Observations'!$D$4:$D$100003,"Jun",'HSE Observations'!$G$4:$G$100003,dCrit))/COUNTIFS('HSE Observations'!$D$4:$D$100003,"Jun",'HSE Observations'!$G$4:$G$100003,dCrit)*100,0)</f>
        <v>0</v>
      </c>
      <c r="AB595" s="25">
        <f>IFERROR((COUNTIFS('HSE Observations'!$M$4:$M$100003,"Completed",'HSE Observations'!$D$4:$D$100003,"Jul",'HSE Observations'!$G$4:$G$100003,dCrit))/COUNTIFS('HSE Observations'!$D$4:$D$100003,"Jul",'HSE Observations'!$G$4:$G$100003,dCrit)*100,0)</f>
        <v>0</v>
      </c>
      <c r="AC595" s="25">
        <f>IFERROR((COUNTIFS('HSE Observations'!$M$4:$M$100003,"Completed",'HSE Observations'!$D$4:$D$100003,"Aug",'HSE Observations'!$G$4:$G$100003,dCrit))/COUNTIFS('HSE Observations'!$D$4:$D$100003,"Aug",'HSE Observations'!$G$4:$G$100003,dCrit)*100,0)</f>
        <v>0</v>
      </c>
      <c r="AD595" s="25">
        <f>IFERROR((COUNTIFS('HSE Observations'!$M$4:$M$100003,"Completed",'HSE Observations'!$D$4:$D$100003,"Sep",'HSE Observations'!$G$4:$G$100003,dCrit))/COUNTIFS('HSE Observations'!$D$4:$D$100003,"Sep",'HSE Observations'!$G$4:$G$100003,dCrit)*100,0)</f>
        <v>0</v>
      </c>
      <c r="AE595" s="25">
        <f>IFERROR((COUNTIFS('HSE Observations'!$M$4:$M$100003,"Completed",'HSE Observations'!$D$4:$D$100003,"Oct",'HSE Observations'!$G$4:$G$100003,dCrit))/COUNTIFS('HSE Observations'!$D$4:$D$100003,"Oct",'HSE Observations'!$G$4:$G$100003,dCrit)*100,0)</f>
        <v>0</v>
      </c>
      <c r="AF595" s="25">
        <f>IFERROR((COUNTIFS('HSE Observations'!$M$4:$M$100003,"Completed",'HSE Observations'!$D$4:$D$100003,"Nov",'HSE Observations'!$G$4:$G$100003,dCrit))/COUNTIFS('HSE Observations'!$D$4:$D$100003,"Nov",'HSE Observations'!$G$4:$G$100003,dCrit)*100,0)</f>
        <v>0</v>
      </c>
      <c r="AG595" s="25">
        <f>IFERROR((COUNTIFS('HSE Observations'!$M$4:$M$100003,"Completed",'HSE Observations'!$D$4:$D$100003,"Dec",'HSE Observations'!$G$4:$G$100003,dCrit))/COUNTIFS('HSE Observations'!$D$4:$D$100003,"Dec",'HSE Observations'!$G$4:$G$100003,dCrit)*100,0)</f>
        <v>0</v>
      </c>
      <c r="AH595" s="25">
        <f>IFERROR(AVERAGE(V595:AG595),0)</f>
        <v>0</v>
      </c>
    </row>
    <row r="596" spans="2:34">
      <c r="B596" s="23" t="s">
        <v>44</v>
      </c>
      <c r="C596" s="22">
        <f>COUNTIFS('HSE Observations'!$D$4:$D$100003,"Mar",'HSE Observations'!$G$4:$G$100003,dCrit)</f>
        <v>0</v>
      </c>
      <c r="E596" s="13" t="s">
        <v>315</v>
      </c>
      <c r="F596" s="22">
        <f>COUNTIFS('HSE Observations'!$E$4:$E$100003,"Safe Condition",'HSE Observations'!$D$4:$D$100003,mCrit,'HSE Observations'!$G$4:$G$100003,dCrit)</f>
        <v>0</v>
      </c>
      <c r="G596" s="13" t="s">
        <v>99</v>
      </c>
      <c r="H596" s="22">
        <f>COUNTIFS('HSE Observations'!$K$4:$K$100003,"PPE",'HSE Observations'!$D$4:$D$100003,mCrit,'HSE Observations'!$G$4:$G$100003,dCrit)</f>
        <v>0</v>
      </c>
      <c r="J596" s="13" t="s">
        <v>303</v>
      </c>
      <c r="K596" s="22">
        <f>COUNTIFS('HSE Observations'!$M$4:$M$100003,"Pending",'HSE Observations'!$D$4:$D$100003,mCrit,'HSE Observations'!$G$4:$G$100003,dCrit)</f>
        <v>0</v>
      </c>
      <c r="M596" s="13" t="s">
        <v>226</v>
      </c>
      <c r="N596" s="22">
        <f>COUNTIFS('HSE Observations'!$M$4:$M$100003,"In Progress",'HSE Observations'!$D$4:$D$100003,mCrit,'HSE Observations'!$G$4:$G$100003,dCrit)</f>
        <v>0</v>
      </c>
      <c r="P596" s="13" t="s">
        <v>39</v>
      </c>
      <c r="Q596" s="22">
        <f>COUNTIFS('HSE Observations'!$D$4:$D$100003,mCrit,'HSE Observations'!$G$4:$G$100003,"Engineering")</f>
        <v>0</v>
      </c>
      <c r="R596" s="25">
        <f>IFERROR((COUNTIFS('HSE Observations'!$M$4:$M$100003,"Completed",'HSE Observations'!$D$4:$D$100003,mCrit,'HSE Observations'!$G$4:$G$100003,"Engineering"))/COUNTIFS('HSE Observations'!$D$4:$D$100003,mCrit,'HSE Observations'!$G$4:$G$100003,"Engineering")*100,0)</f>
        <v>0</v>
      </c>
      <c r="S596" s="22">
        <f>COUNTIFS('HSE Observations'!$D$4:$D$100003,mCrit,'HSE Observations'!$G$4:$G$100003,"Engineering")</f>
        <v>0</v>
      </c>
    </row>
    <row r="597" spans="2:34">
      <c r="B597" s="23" t="s">
        <v>53</v>
      </c>
      <c r="C597" s="22">
        <f>COUNTIFS('HSE Observations'!$D$4:$D$100003,"Apr",'HSE Observations'!$G$4:$G$100003,dCrit)</f>
        <v>0</v>
      </c>
      <c r="E597" s="13" t="s">
        <v>297</v>
      </c>
      <c r="F597" s="22">
        <f>COUNTIFS('HSE Observations'!$E$4:$E$100003,"Unsafe Condition",'HSE Observations'!$D$4:$D$100003,mCrit,'HSE Observations'!$G$4:$G$100003,dCrit)</f>
        <v>0</v>
      </c>
      <c r="G597" s="13" t="s">
        <v>16</v>
      </c>
      <c r="H597" s="22">
        <f>COUNTIFS('HSE Observations'!$K$4:$K$100003,"Housekeeping",'HSE Observations'!$D$4:$D$100003,mCrit,'HSE Observations'!$G$4:$G$100003,dCrit)</f>
        <v>0</v>
      </c>
      <c r="J597" s="13" t="s">
        <v>331</v>
      </c>
      <c r="K597" s="22">
        <f>COUNTIFS('HSE Observations'!$M$4:$M$100003,"Overdue",'HSE Observations'!$D$4:$D$100003,mCrit,'HSE Observations'!$G$4:$G$100003,dCrit)</f>
        <v>0</v>
      </c>
      <c r="M597" s="13" t="s">
        <v>331</v>
      </c>
      <c r="N597" s="22">
        <f>COUNTIFS('HSE Observations'!$M$4:$M$100003,"Overdue",'HSE Observations'!$D$4:$D$100003,mCrit,'HSE Observations'!$G$4:$G$100003,dCrit)</f>
        <v>0</v>
      </c>
      <c r="P597" s="13" t="s">
        <v>89</v>
      </c>
      <c r="Q597" s="22">
        <f>COUNTIFS('HSE Observations'!$D$4:$D$100003,mCrit,'HSE Observations'!$G$4:$G$100003,"Construction")</f>
        <v>0</v>
      </c>
      <c r="R597" s="25">
        <f>IFERROR((COUNTIFS('HSE Observations'!$M$4:$M$100003,"Completed",'HSE Observations'!$D$4:$D$100003,mCrit,'HSE Observations'!$G$4:$G$100003,"Construction"))/COUNTIFS('HSE Observations'!$D$4:$D$100003,mCrit,'HSE Observations'!$G$4:$G$100003,"Construction")*100,0)</f>
        <v>0</v>
      </c>
      <c r="S597" s="22">
        <f>COUNTIFS('HSE Observations'!$D$4:$D$100003,mCrit,'HSE Observations'!$G$4:$G$100003,"Construction")</f>
        <v>0</v>
      </c>
    </row>
    <row r="598" spans="2:34">
      <c r="B598" s="23" t="s">
        <v>60</v>
      </c>
      <c r="C598" s="22">
        <f>COUNTIFS('HSE Observations'!$D$4:$D$100003,"May",'HSE Observations'!$G$4:$G$100003,dCrit)</f>
        <v>0</v>
      </c>
      <c r="G598" s="13" t="s">
        <v>8</v>
      </c>
      <c r="H598" s="22">
        <f>COUNTIFS('HSE Observations'!$K$4:$K$100003,"Ergonomics",'HSE Observations'!$D$4:$D$100003,mCrit,'HSE Observations'!$G$4:$G$100003,dCrit)</f>
        <v>0</v>
      </c>
      <c r="M598" s="13" t="s">
        <v>2080</v>
      </c>
      <c r="N598" s="22">
        <f>COUNTIFS('HSE Observations'!$E$4:$E$100003,"Safe Act",'HSE Observations'!$D$4:$D$100003,mCrit,'HSE Observations'!$G$4:$G$100003,dCrit)+COUNTIFS('HSE Observations'!$E$4:$E$100003,"Safe Condition",'HSE Observations'!$D$4:$D$100003,mCrit,'HSE Observations'!$G$4:$G$100003,dCrit)</f>
        <v>0</v>
      </c>
      <c r="P598" s="13" t="s">
        <v>65</v>
      </c>
      <c r="Q598" s="22">
        <f>COUNTIFS('HSE Observations'!$D$4:$D$100003,mCrit,'HSE Observations'!$G$4:$G$100003,"Safety")</f>
        <v>0</v>
      </c>
      <c r="R598" s="25">
        <f>IFERROR((COUNTIFS('HSE Observations'!$M$4:$M$100003,"Completed",'HSE Observations'!$D$4:$D$100003,mCrit,'HSE Observations'!$G$4:$G$100003,"Safety"))/COUNTIFS('HSE Observations'!$D$4:$D$100003,mCrit,'HSE Observations'!$G$4:$G$100003,"Safety")*100,0)</f>
        <v>0</v>
      </c>
      <c r="S598" s="22">
        <f>COUNTIFS('HSE Observations'!$D$4:$D$100003,mCrit,'HSE Observations'!$G$4:$G$100003,"Safety")</f>
        <v>0</v>
      </c>
    </row>
    <row r="599" spans="2:34">
      <c r="B599" s="23" t="s">
        <v>73</v>
      </c>
      <c r="C599" s="22">
        <f>COUNTIFS('HSE Observations'!$D$4:$D$100003,"Jun",'HSE Observations'!$G$4:$G$100003,dCrit)</f>
        <v>0</v>
      </c>
      <c r="G599" s="13" t="s">
        <v>55</v>
      </c>
      <c r="H599" s="22">
        <f>COUNTIFS('HSE Observations'!$K$4:$K$100003,"Process Safety",'HSE Observations'!$D$4:$D$100003,mCrit,'HSE Observations'!$G$4:$G$100003,dCrit)</f>
        <v>0</v>
      </c>
      <c r="M599" s="13" t="s">
        <v>1799</v>
      </c>
      <c r="N599" s="22">
        <f>COUNTIFS('HSE Observations'!$E$4:$E$100003,"Unsafe Act",'HSE Observations'!$D$4:$D$100003,mCrit,'HSE Observations'!$G$4:$G$100003,dCrit)+COUNTIFS('HSE Observations'!$E$4:$E$100003,"Unsafe Condition",'HSE Observations'!$D$4:$D$100003,mCrit,'HSE Observations'!$G$4:$G$100003,dCrit)</f>
        <v>0</v>
      </c>
      <c r="P599" s="13" t="s">
        <v>5</v>
      </c>
      <c r="Q599" s="22">
        <f>COUNTIFS('HSE Observations'!$D$4:$D$100003,mCrit,'HSE Observations'!$G$4:$G$100003,"Logistics")</f>
        <v>0</v>
      </c>
      <c r="R599" s="25">
        <f>IFERROR((COUNTIFS('HSE Observations'!$M$4:$M$100003,"Completed",'HSE Observations'!$D$4:$D$100003,mCrit,'HSE Observations'!$G$4:$G$100003,"Logistics"))/COUNTIFS('HSE Observations'!$D$4:$D$100003,mCrit,'HSE Observations'!$G$4:$G$100003,"Logistics")*100,0)</f>
        <v>0</v>
      </c>
      <c r="S599" s="22">
        <f>COUNTIFS('HSE Observations'!$D$4:$D$100003,mCrit,'HSE Observations'!$G$4:$G$100003,"Logistics")</f>
        <v>0</v>
      </c>
    </row>
    <row r="600" spans="2:34">
      <c r="B600" s="23" t="s">
        <v>76</v>
      </c>
      <c r="C600" s="22">
        <f>COUNTIFS('HSE Observations'!$D$4:$D$100003,"Jul",'HSE Observations'!$G$4:$G$100003,dCrit)</f>
        <v>0</v>
      </c>
      <c r="M600" s="13" t="s">
        <v>2066</v>
      </c>
      <c r="N600" s="22">
        <f>COUNTIFS('HSE Observations'!$L$4:$L$100003,"High",'HSE Observations'!$D$4:$D$100003,mCrit,'HSE Observations'!$G$4:$G$100003,dCrit)</f>
        <v>0</v>
      </c>
      <c r="P600" s="13" t="s">
        <v>50</v>
      </c>
      <c r="Q600" s="22">
        <f>COUNTIFS('HSE Observations'!$D$4:$D$100003,mCrit,'HSE Observations'!$G$4:$G$100003,"Quality")</f>
        <v>0</v>
      </c>
      <c r="R600" s="25">
        <f>IFERROR((COUNTIFS('HSE Observations'!$M$4:$M$100003,"Completed",'HSE Observations'!$D$4:$D$100003,mCrit,'HSE Observations'!$G$4:$G$100003,"Quality"))/COUNTIFS('HSE Observations'!$D$4:$D$100003,mCrit,'HSE Observations'!$G$4:$G$100003,"Quality")*100,0)</f>
        <v>0</v>
      </c>
      <c r="S600" s="22">
        <f>COUNTIFS('HSE Observations'!$D$4:$D$100003,mCrit,'HSE Observations'!$G$4:$G$100003,"Quality")</f>
        <v>0</v>
      </c>
    </row>
    <row r="601" spans="2:34">
      <c r="B601" s="23" t="s">
        <v>86</v>
      </c>
      <c r="C601" s="22">
        <f>COUNTIFS('HSE Observations'!$D$4:$D$100003,"Aug",'HSE Observations'!$G$4:$G$100003,dCrit)</f>
        <v>0</v>
      </c>
      <c r="M601" s="13" t="s">
        <v>2081</v>
      </c>
      <c r="N601" s="25">
        <f>IFERROR((COUNTIFS('HSE Observations'!$M$4:$M$100003,"Completed",'HSE Observations'!$D$4:$D$100003,mCrit,'HSE Observations'!$G$4:$G$100003,dCrit))/(COUNTIFS('HSE Observations'!$D$4:$D$100003,mCrit,'HSE Observations'!$G$4:$G$100003,dCrit))*100,0)</f>
        <v>0</v>
      </c>
      <c r="P601" s="13" t="s">
        <v>46</v>
      </c>
      <c r="Q601" s="22">
        <f>COUNTIFS('HSE Observations'!$D$4:$D$100003,mCrit,'HSE Observations'!$G$4:$G$100003,"Admin")</f>
        <v>0</v>
      </c>
      <c r="R601" s="25">
        <f>IFERROR((COUNTIFS('HSE Observations'!$M$4:$M$100003,"Completed",'HSE Observations'!$D$4:$D$100003,mCrit,'HSE Observations'!$G$4:$G$100003,"Admin"))/COUNTIFS('HSE Observations'!$D$4:$D$100003,mCrit,'HSE Observations'!$G$4:$G$100003,"Admin")*100,0)</f>
        <v>0</v>
      </c>
      <c r="S601" s="22">
        <f>COUNTIFS('HSE Observations'!$D$4:$D$100003,mCrit,'HSE Observations'!$G$4:$G$100003,"Admin")</f>
        <v>0</v>
      </c>
    </row>
    <row r="602" spans="2:34">
      <c r="B602" s="23" t="s">
        <v>102</v>
      </c>
      <c r="C602" s="22">
        <f>COUNTIFS('HSE Observations'!$D$4:$D$100003,"Sep",'HSE Observations'!$G$4:$G$100003,dCrit)</f>
        <v>0</v>
      </c>
      <c r="P602" s="13" t="s">
        <v>13</v>
      </c>
      <c r="Q602" s="22">
        <f>COUNTIFS('HSE Observations'!$D$4:$D$100003,mCrit,'HSE Observations'!$G$4:$G$100003,"Projects")</f>
        <v>0</v>
      </c>
      <c r="R602" s="25">
        <f>IFERROR((COUNTIFS('HSE Observations'!$M$4:$M$100003,"Completed",'HSE Observations'!$D$4:$D$100003,mCrit,'HSE Observations'!$G$4:$G$100003,"Projects"))/COUNTIFS('HSE Observations'!$D$4:$D$100003,mCrit,'HSE Observations'!$G$4:$G$100003,"Projects")*100,0)</f>
        <v>0</v>
      </c>
      <c r="S602" s="22">
        <f>COUNTIFS('HSE Observations'!$D$4:$D$100003,mCrit,'HSE Observations'!$G$4:$G$100003,"Projects")</f>
        <v>0</v>
      </c>
    </row>
    <row r="603" spans="2:34">
      <c r="B603" s="23" t="s">
        <v>106</v>
      </c>
      <c r="C603" s="22">
        <f>COUNTIFS('HSE Observations'!$D$4:$D$100003,"Oct",'HSE Observations'!$G$4:$G$100003,dCrit)</f>
        <v>0</v>
      </c>
      <c r="P603" s="13" t="s">
        <v>58</v>
      </c>
      <c r="Q603" s="22">
        <f>COUNTIFS('HSE Observations'!$D$4:$D$100003,mCrit,'HSE Observations'!$G$4:$G$100003,"Contractor")</f>
        <v>0</v>
      </c>
      <c r="R603" s="25">
        <f>IFERROR((COUNTIFS('HSE Observations'!$M$4:$M$100003,"Completed",'HSE Observations'!$D$4:$D$100003,mCrit,'HSE Observations'!$G$4:$G$100003,"Contractor"))/COUNTIFS('HSE Observations'!$D$4:$D$100003,mCrit,'HSE Observations'!$G$4:$G$100003,"Contractor")*100,0)</f>
        <v>0</v>
      </c>
      <c r="S603" s="22">
        <f>COUNTIFS('HSE Observations'!$D$4:$D$100003,mCrit,'HSE Observations'!$G$4:$G$100003,"Contractor")</f>
        <v>0</v>
      </c>
    </row>
    <row r="604" spans="2:34">
      <c r="B604" s="23" t="s">
        <v>111</v>
      </c>
      <c r="C604" s="22">
        <f>COUNTIFS('HSE Observations'!$D$4:$D$100003,"Nov",'HSE Observations'!$G$4:$G$100003,dCrit)</f>
        <v>0</v>
      </c>
    </row>
    <row r="605" spans="2:34">
      <c r="B605" s="23" t="s">
        <v>122</v>
      </c>
      <c r="C605" s="22">
        <f>COUNTIFS('HSE Observations'!$D$4:$D$100003,"Dec",'HSE Observations'!$G$4:$G$100003,dCrit)</f>
        <v>0</v>
      </c>
    </row>
    <row r="618" spans="2:34">
      <c r="B618" s="17" t="s">
        <v>2082</v>
      </c>
    </row>
    <row r="619" spans="2:34">
      <c r="B619" s="12" t="s">
        <v>127</v>
      </c>
      <c r="C619" s="12" t="s">
        <v>1965</v>
      </c>
      <c r="E619" s="12" t="s">
        <v>415</v>
      </c>
      <c r="F619" s="12" t="s">
        <v>1965</v>
      </c>
      <c r="J619" s="12" t="s">
        <v>288</v>
      </c>
      <c r="K619" s="12" t="s">
        <v>1965</v>
      </c>
      <c r="M619" s="12" t="s">
        <v>1927</v>
      </c>
      <c r="N619" s="12" t="s">
        <v>2039</v>
      </c>
      <c r="P619" s="12" t="s">
        <v>129</v>
      </c>
      <c r="Q619" s="12" t="s">
        <v>1965</v>
      </c>
      <c r="R619" s="12" t="s">
        <v>2071</v>
      </c>
      <c r="S619" s="12" t="s">
        <v>1770</v>
      </c>
      <c r="U619" s="12" t="s">
        <v>2038</v>
      </c>
      <c r="V619" s="12" t="s">
        <v>3</v>
      </c>
      <c r="W619" s="12" t="s">
        <v>19</v>
      </c>
      <c r="X619" s="12" t="s">
        <v>44</v>
      </c>
      <c r="Y619" s="12" t="s">
        <v>53</v>
      </c>
      <c r="Z619" s="12" t="s">
        <v>60</v>
      </c>
      <c r="AA619" s="12" t="s">
        <v>73</v>
      </c>
      <c r="AB619" s="12" t="s">
        <v>76</v>
      </c>
      <c r="AC619" s="12" t="s">
        <v>86</v>
      </c>
      <c r="AD619" s="12" t="s">
        <v>102</v>
      </c>
      <c r="AE619" s="12" t="s">
        <v>106</v>
      </c>
      <c r="AF619" s="12" t="s">
        <v>111</v>
      </c>
      <c r="AG619" s="12" t="s">
        <v>122</v>
      </c>
      <c r="AH619" s="12" t="s">
        <v>2063</v>
      </c>
    </row>
    <row r="620" spans="2:34">
      <c r="B620" s="23" t="s">
        <v>3</v>
      </c>
      <c r="C620" s="22">
        <f>COUNTIFS('Workplace Inspections'!$D$4:$D$100003,"Jan",'Workplace Inspections'!$F$4:$F$100003,dCrit)</f>
        <v>0</v>
      </c>
      <c r="E620" s="13" t="s">
        <v>10</v>
      </c>
      <c r="F620" s="22">
        <f>COUNTIFS('Workplace Inspections'!$L$4:$L$100003,"Excellent",'Workplace Inspections'!$D$4:$D$100003,mCrit,'Workplace Inspections'!$F$4:$F$100003,dCrit)</f>
        <v>0</v>
      </c>
      <c r="J620" s="13" t="s">
        <v>303</v>
      </c>
      <c r="K620" s="22">
        <f>COUNTIFS('Workplace Inspections'!$M$4:$M$100003,"Pending",'Workplace Inspections'!$D$4:$D$100003,mCrit,'Workplace Inspections'!$F$4:$F$100003,dCrit)</f>
        <v>0</v>
      </c>
      <c r="M620" s="13" t="s">
        <v>2054</v>
      </c>
      <c r="N620" s="22">
        <f>COUNTIFS('Workplace Inspections'!$D$4:$D$100003,mCrit,'Workplace Inspections'!$F$4:$F$100003,dCrit)</f>
        <v>0</v>
      </c>
      <c r="P620" s="13" t="s">
        <v>27</v>
      </c>
      <c r="Q620" s="22">
        <f>COUNTIFS('Workplace Inspections'!$D$4:$D$100003,mCrit,'Workplace Inspections'!$F$4:$F$100003,"Operations")</f>
        <v>0</v>
      </c>
      <c r="R620" s="25">
        <f>IFERROR((COUNTIFS('Workplace Inspections'!$M$4:$M$100003,"Completed",'Workplace Inspections'!$D$4:$D$100003,mCrit,'Workplace Inspections'!$F$4:$F$100003,"Operations"))/COUNTIFS('Workplace Inspections'!$D$4:$D$100003,mCrit,'Workplace Inspections'!$F$4:$F$100003,"Operations")*100,0)</f>
        <v>0</v>
      </c>
      <c r="S620" s="22">
        <f>COUNTIFS('Workplace Inspections'!$D$4:$D$100003,mCrit,'Workplace Inspections'!$F$4:$F$100003,"Operations")</f>
        <v>0</v>
      </c>
      <c r="U620" s="13" t="s">
        <v>1770</v>
      </c>
      <c r="V620" s="22">
        <f>COUNTIFS('Workplace Inspections'!$D$4:$D$100003,"Jan",'Workplace Inspections'!$F$4:$F$100003,dCrit)</f>
        <v>0</v>
      </c>
      <c r="W620" s="22">
        <f>COUNTIFS('Workplace Inspections'!$D$4:$D$100003,"Feb",'Workplace Inspections'!$F$4:$F$100003,dCrit)</f>
        <v>0</v>
      </c>
      <c r="X620" s="22">
        <f>COUNTIFS('Workplace Inspections'!$D$4:$D$100003,"Mar",'Workplace Inspections'!$F$4:$F$100003,dCrit)</f>
        <v>0</v>
      </c>
      <c r="Y620" s="22">
        <f>COUNTIFS('Workplace Inspections'!$D$4:$D$100003,"Apr",'Workplace Inspections'!$F$4:$F$100003,dCrit)</f>
        <v>0</v>
      </c>
      <c r="Z620" s="22">
        <f>COUNTIFS('Workplace Inspections'!$D$4:$D$100003,"May",'Workplace Inspections'!$F$4:$F$100003,dCrit)</f>
        <v>0</v>
      </c>
      <c r="AA620" s="22">
        <f>COUNTIFS('Workplace Inspections'!$D$4:$D$100003,"Jun",'Workplace Inspections'!$F$4:$F$100003,dCrit)</f>
        <v>0</v>
      </c>
      <c r="AB620" s="22">
        <f>COUNTIFS('Workplace Inspections'!$D$4:$D$100003,"Jul",'Workplace Inspections'!$F$4:$F$100003,dCrit)</f>
        <v>0</v>
      </c>
      <c r="AC620" s="22">
        <f>COUNTIFS('Workplace Inspections'!$D$4:$D$100003,"Aug",'Workplace Inspections'!$F$4:$F$100003,dCrit)</f>
        <v>0</v>
      </c>
      <c r="AD620" s="22">
        <f>COUNTIFS('Workplace Inspections'!$D$4:$D$100003,"Sep",'Workplace Inspections'!$F$4:$F$100003,dCrit)</f>
        <v>0</v>
      </c>
      <c r="AE620" s="22">
        <f>COUNTIFS('Workplace Inspections'!$D$4:$D$100003,"Oct",'Workplace Inspections'!$F$4:$F$100003,dCrit)</f>
        <v>0</v>
      </c>
      <c r="AF620" s="22">
        <f>COUNTIFS('Workplace Inspections'!$D$4:$D$100003,"Nov",'Workplace Inspections'!$F$4:$F$100003,dCrit)</f>
        <v>0</v>
      </c>
      <c r="AG620" s="22">
        <f>COUNTIFS('Workplace Inspections'!$D$4:$D$100003,"Dec",'Workplace Inspections'!$F$4:$F$100003,dCrit)</f>
        <v>0</v>
      </c>
      <c r="AH620" s="22">
        <f>SUM(V620:AG620)</f>
        <v>0</v>
      </c>
    </row>
    <row r="621" spans="2:34">
      <c r="B621" s="23" t="s">
        <v>19</v>
      </c>
      <c r="C621" s="22">
        <f>COUNTIFS('Workplace Inspections'!$D$4:$D$100003,"Feb",'Workplace Inspections'!$F$4:$F$100003,dCrit)</f>
        <v>0</v>
      </c>
      <c r="E621" s="13" t="s">
        <v>42</v>
      </c>
      <c r="F621" s="22">
        <f>COUNTIFS('Workplace Inspections'!$L$4:$L$100003,"Good",'Workplace Inspections'!$D$4:$D$100003,mCrit,'Workplace Inspections'!$F$4:$F$100003,dCrit)</f>
        <v>0</v>
      </c>
      <c r="J621" s="13" t="s">
        <v>226</v>
      </c>
      <c r="K621" s="22">
        <f>COUNTIFS('Workplace Inspections'!$M$4:$M$100003,"In Progress",'Workplace Inspections'!$D$4:$D$100003,mCrit,'Workplace Inspections'!$F$4:$F$100003,dCrit)</f>
        <v>0</v>
      </c>
      <c r="M621" s="13" t="s">
        <v>222</v>
      </c>
      <c r="N621" s="22">
        <f>COUNTIFS('Workplace Inspections'!$M$4:$M$100003,"Completed",'Workplace Inspections'!$D$4:$D$100003,mCrit,'Workplace Inspections'!$F$4:$F$100003,dCrit)</f>
        <v>0</v>
      </c>
      <c r="P621" s="13" t="s">
        <v>92</v>
      </c>
      <c r="Q621" s="22">
        <f>COUNTIFS('Workplace Inspections'!$D$4:$D$100003,mCrit,'Workplace Inspections'!$F$4:$F$100003,"Maintenance")</f>
        <v>0</v>
      </c>
      <c r="R621" s="25">
        <f>IFERROR((COUNTIFS('Workplace Inspections'!$M$4:$M$100003,"Completed",'Workplace Inspections'!$D$4:$D$100003,mCrit,'Workplace Inspections'!$F$4:$F$100003,"Maintenance"))/COUNTIFS('Workplace Inspections'!$D$4:$D$100003,mCrit,'Workplace Inspections'!$F$4:$F$100003,"Maintenance")*100,0)</f>
        <v>0</v>
      </c>
      <c r="S621" s="22">
        <f>COUNTIFS('Workplace Inspections'!$D$4:$D$100003,mCrit,'Workplace Inspections'!$F$4:$F$100003,"Maintenance")</f>
        <v>0</v>
      </c>
      <c r="U621" s="13" t="s">
        <v>2072</v>
      </c>
      <c r="V621" s="25">
        <f>IFERROR((COUNTIFS('Workplace Inspections'!$M$4:$M$100003,"Completed",'Workplace Inspections'!$D$4:$D$100003,"Jan",'Workplace Inspections'!$F$4:$F$100003,dCrit))/COUNTIFS('Workplace Inspections'!$D$4:$D$100003,"Jan",'Workplace Inspections'!$F$4:$F$100003,dCrit)*100,0)</f>
        <v>0</v>
      </c>
      <c r="W621" s="25">
        <f>IFERROR((COUNTIFS('Workplace Inspections'!$M$4:$M$100003,"Completed",'Workplace Inspections'!$D$4:$D$100003,"Feb",'Workplace Inspections'!$F$4:$F$100003,dCrit))/COUNTIFS('Workplace Inspections'!$D$4:$D$100003,"Feb",'Workplace Inspections'!$F$4:$F$100003,dCrit)*100,0)</f>
        <v>0</v>
      </c>
      <c r="X621" s="25">
        <f>IFERROR((COUNTIFS('Workplace Inspections'!$M$4:$M$100003,"Completed",'Workplace Inspections'!$D$4:$D$100003,"Mar",'Workplace Inspections'!$F$4:$F$100003,dCrit))/COUNTIFS('Workplace Inspections'!$D$4:$D$100003,"Mar",'Workplace Inspections'!$F$4:$F$100003,dCrit)*100,0)</f>
        <v>0</v>
      </c>
      <c r="Y621" s="25">
        <f>IFERROR((COUNTIFS('Workplace Inspections'!$M$4:$M$100003,"Completed",'Workplace Inspections'!$D$4:$D$100003,"Apr",'Workplace Inspections'!$F$4:$F$100003,dCrit))/COUNTIFS('Workplace Inspections'!$D$4:$D$100003,"Apr",'Workplace Inspections'!$F$4:$F$100003,dCrit)*100,0)</f>
        <v>0</v>
      </c>
      <c r="Z621" s="25">
        <f>IFERROR((COUNTIFS('Workplace Inspections'!$M$4:$M$100003,"Completed",'Workplace Inspections'!$D$4:$D$100003,"May",'Workplace Inspections'!$F$4:$F$100003,dCrit))/COUNTIFS('Workplace Inspections'!$D$4:$D$100003,"May",'Workplace Inspections'!$F$4:$F$100003,dCrit)*100,0)</f>
        <v>0</v>
      </c>
      <c r="AA621" s="25">
        <f>IFERROR((COUNTIFS('Workplace Inspections'!$M$4:$M$100003,"Completed",'Workplace Inspections'!$D$4:$D$100003,"Jun",'Workplace Inspections'!$F$4:$F$100003,dCrit))/COUNTIFS('Workplace Inspections'!$D$4:$D$100003,"Jun",'Workplace Inspections'!$F$4:$F$100003,dCrit)*100,0)</f>
        <v>0</v>
      </c>
      <c r="AB621" s="25">
        <f>IFERROR((COUNTIFS('Workplace Inspections'!$M$4:$M$100003,"Completed",'Workplace Inspections'!$D$4:$D$100003,"Jul",'Workplace Inspections'!$F$4:$F$100003,dCrit))/COUNTIFS('Workplace Inspections'!$D$4:$D$100003,"Jul",'Workplace Inspections'!$F$4:$F$100003,dCrit)*100,0)</f>
        <v>0</v>
      </c>
      <c r="AC621" s="25">
        <f>IFERROR((COUNTIFS('Workplace Inspections'!$M$4:$M$100003,"Completed",'Workplace Inspections'!$D$4:$D$100003,"Aug",'Workplace Inspections'!$F$4:$F$100003,dCrit))/COUNTIFS('Workplace Inspections'!$D$4:$D$100003,"Aug",'Workplace Inspections'!$F$4:$F$100003,dCrit)*100,0)</f>
        <v>0</v>
      </c>
      <c r="AD621" s="25">
        <f>IFERROR((COUNTIFS('Workplace Inspections'!$M$4:$M$100003,"Completed",'Workplace Inspections'!$D$4:$D$100003,"Sep",'Workplace Inspections'!$F$4:$F$100003,dCrit))/COUNTIFS('Workplace Inspections'!$D$4:$D$100003,"Sep",'Workplace Inspections'!$F$4:$F$100003,dCrit)*100,0)</f>
        <v>0</v>
      </c>
      <c r="AE621" s="25">
        <f>IFERROR((COUNTIFS('Workplace Inspections'!$M$4:$M$100003,"Completed",'Workplace Inspections'!$D$4:$D$100003,"Oct",'Workplace Inspections'!$F$4:$F$100003,dCrit))/COUNTIFS('Workplace Inspections'!$D$4:$D$100003,"Oct",'Workplace Inspections'!$F$4:$F$100003,dCrit)*100,0)</f>
        <v>0</v>
      </c>
      <c r="AF621" s="25">
        <f>IFERROR((COUNTIFS('Workplace Inspections'!$M$4:$M$100003,"Completed",'Workplace Inspections'!$D$4:$D$100003,"Nov",'Workplace Inspections'!$F$4:$F$100003,dCrit))/COUNTIFS('Workplace Inspections'!$D$4:$D$100003,"Nov",'Workplace Inspections'!$F$4:$F$100003,dCrit)*100,0)</f>
        <v>0</v>
      </c>
      <c r="AG621" s="25">
        <f>IFERROR((COUNTIFS('Workplace Inspections'!$M$4:$M$100003,"Completed",'Workplace Inspections'!$D$4:$D$100003,"Dec",'Workplace Inspections'!$F$4:$F$100003,dCrit))/COUNTIFS('Workplace Inspections'!$D$4:$D$100003,"Dec",'Workplace Inspections'!$F$4:$F$100003,dCrit)*100,0)</f>
        <v>0</v>
      </c>
      <c r="AH621" s="25">
        <f>IFERROR(AVERAGE(V621:AG621),0)</f>
        <v>0</v>
      </c>
    </row>
    <row r="622" spans="2:34">
      <c r="B622" s="23" t="s">
        <v>44</v>
      </c>
      <c r="C622" s="22">
        <f>COUNTIFS('Workplace Inspections'!$D$4:$D$100003,"Mar",'Workplace Inspections'!$F$4:$F$100003,dCrit)</f>
        <v>0</v>
      </c>
      <c r="E622" s="13" t="s">
        <v>17</v>
      </c>
      <c r="F622" s="22">
        <f>COUNTIFS('Workplace Inspections'!$L$4:$L$100003,"Satisfactory",'Workplace Inspections'!$D$4:$D$100003,mCrit,'Workplace Inspections'!$F$4:$F$100003,dCrit)</f>
        <v>0</v>
      </c>
      <c r="J622" s="13" t="s">
        <v>222</v>
      </c>
      <c r="K622" s="22">
        <f>COUNTIFS('Workplace Inspections'!$M$4:$M$100003,"Completed",'Workplace Inspections'!$D$4:$D$100003,mCrit,'Workplace Inspections'!$F$4:$F$100003,dCrit)</f>
        <v>0</v>
      </c>
      <c r="M622" s="13" t="s">
        <v>331</v>
      </c>
      <c r="N622" s="22">
        <f>COUNTIFS('Workplace Inspections'!$M$4:$M$100003,"Overdue",'Workplace Inspections'!$D$4:$D$100003,mCrit,'Workplace Inspections'!$F$4:$F$100003,dCrit)</f>
        <v>0</v>
      </c>
      <c r="P622" s="13" t="s">
        <v>39</v>
      </c>
      <c r="Q622" s="22">
        <f>COUNTIFS('Workplace Inspections'!$D$4:$D$100003,mCrit,'Workplace Inspections'!$F$4:$F$100003,"Engineering")</f>
        <v>0</v>
      </c>
      <c r="R622" s="25">
        <f>IFERROR((COUNTIFS('Workplace Inspections'!$M$4:$M$100003,"Completed",'Workplace Inspections'!$D$4:$D$100003,mCrit,'Workplace Inspections'!$F$4:$F$100003,"Engineering"))/COUNTIFS('Workplace Inspections'!$D$4:$D$100003,mCrit,'Workplace Inspections'!$F$4:$F$100003,"Engineering")*100,0)</f>
        <v>0</v>
      </c>
      <c r="S622" s="22">
        <f>COUNTIFS('Workplace Inspections'!$D$4:$D$100003,mCrit,'Workplace Inspections'!$F$4:$F$100003,"Engineering")</f>
        <v>0</v>
      </c>
    </row>
    <row r="623" spans="2:34">
      <c r="B623" s="23" t="s">
        <v>53</v>
      </c>
      <c r="C623" s="22">
        <f>COUNTIFS('Workplace Inspections'!$D$4:$D$100003,"Apr",'Workplace Inspections'!$F$4:$F$100003,dCrit)</f>
        <v>0</v>
      </c>
      <c r="E623" s="13" t="s">
        <v>96</v>
      </c>
      <c r="F623" s="22">
        <f>COUNTIFS('Workplace Inspections'!$L$4:$L$100003,"Needs Improvement",'Workplace Inspections'!$D$4:$D$100003,mCrit,'Workplace Inspections'!$F$4:$F$100003,dCrit)</f>
        <v>0</v>
      </c>
      <c r="J623" s="13" t="s">
        <v>331</v>
      </c>
      <c r="K623" s="22">
        <f>COUNTIFS('Workplace Inspections'!$M$4:$M$100003,"Overdue",'Workplace Inspections'!$D$4:$D$100003,mCrit,'Workplace Inspections'!$F$4:$F$100003,dCrit)</f>
        <v>0</v>
      </c>
      <c r="M623" s="13" t="s">
        <v>151</v>
      </c>
      <c r="N623" s="22">
        <f>SUMIFS('Workplace Inspections'!$K$4:$K$100003,'Workplace Inspections'!$D$4:$D$100003,mCrit,'Workplace Inspections'!$F$4:$F$100003,dCrit)</f>
        <v>0</v>
      </c>
      <c r="P623" s="13" t="s">
        <v>89</v>
      </c>
      <c r="Q623" s="22">
        <f>COUNTIFS('Workplace Inspections'!$D$4:$D$100003,mCrit,'Workplace Inspections'!$F$4:$F$100003,"Construction")</f>
        <v>0</v>
      </c>
      <c r="R623" s="25">
        <f>IFERROR((COUNTIFS('Workplace Inspections'!$M$4:$M$100003,"Completed",'Workplace Inspections'!$D$4:$D$100003,mCrit,'Workplace Inspections'!$F$4:$F$100003,"Construction"))/COUNTIFS('Workplace Inspections'!$D$4:$D$100003,mCrit,'Workplace Inspections'!$F$4:$F$100003,"Construction")*100,0)</f>
        <v>0</v>
      </c>
      <c r="S623" s="22">
        <f>COUNTIFS('Workplace Inspections'!$D$4:$D$100003,mCrit,'Workplace Inspections'!$F$4:$F$100003,"Construction")</f>
        <v>0</v>
      </c>
    </row>
    <row r="624" spans="2:34">
      <c r="B624" s="23" t="s">
        <v>60</v>
      </c>
      <c r="C624" s="22">
        <f>COUNTIFS('Workplace Inspections'!$D$4:$D$100003,"May",'Workplace Inspections'!$F$4:$F$100003,dCrit)</f>
        <v>0</v>
      </c>
      <c r="E624" s="13" t="s">
        <v>24</v>
      </c>
      <c r="F624" s="22">
        <f>COUNTIFS('Workplace Inspections'!$L$4:$L$100003,"Unsatisfactory",'Workplace Inspections'!$D$4:$D$100003,mCrit,'Workplace Inspections'!$F$4:$F$100003,dCrit)</f>
        <v>0</v>
      </c>
      <c r="M624" s="13" t="s">
        <v>2083</v>
      </c>
      <c r="N624" s="22">
        <f>SUMIFS('Workplace Inspections'!$I$4:$I$100003,'Workplace Inspections'!$D$4:$D$100003,mCrit,'Workplace Inspections'!$F$4:$F$100003,dCrit)</f>
        <v>0</v>
      </c>
      <c r="P624" s="13" t="s">
        <v>65</v>
      </c>
      <c r="Q624" s="22">
        <f>COUNTIFS('Workplace Inspections'!$D$4:$D$100003,mCrit,'Workplace Inspections'!$F$4:$F$100003,"Safety")</f>
        <v>0</v>
      </c>
      <c r="R624" s="25">
        <f>IFERROR((COUNTIFS('Workplace Inspections'!$M$4:$M$100003,"Completed",'Workplace Inspections'!$D$4:$D$100003,mCrit,'Workplace Inspections'!$F$4:$F$100003,"Safety"))/COUNTIFS('Workplace Inspections'!$D$4:$D$100003,mCrit,'Workplace Inspections'!$F$4:$F$100003,"Safety")*100,0)</f>
        <v>0</v>
      </c>
      <c r="S624" s="22">
        <f>COUNTIFS('Workplace Inspections'!$D$4:$D$100003,mCrit,'Workplace Inspections'!$F$4:$F$100003,"Safety")</f>
        <v>0</v>
      </c>
    </row>
    <row r="625" spans="2:19">
      <c r="B625" s="23" t="s">
        <v>73</v>
      </c>
      <c r="C625" s="22">
        <f>COUNTIFS('Workplace Inspections'!$D$4:$D$100003,"Jun",'Workplace Inspections'!$F$4:$F$100003,dCrit)</f>
        <v>0</v>
      </c>
      <c r="M625" s="13" t="s">
        <v>2084</v>
      </c>
      <c r="N625" s="22">
        <f>SUMIFS('Workplace Inspections'!$J$4:$J$100003,'Workplace Inspections'!$D$4:$D$100003,mCrit,'Workplace Inspections'!$F$4:$F$100003,dCrit)</f>
        <v>0</v>
      </c>
      <c r="P625" s="13" t="s">
        <v>5</v>
      </c>
      <c r="Q625" s="22">
        <f>COUNTIFS('Workplace Inspections'!$D$4:$D$100003,mCrit,'Workplace Inspections'!$F$4:$F$100003,"Logistics")</f>
        <v>0</v>
      </c>
      <c r="R625" s="25">
        <f>IFERROR((COUNTIFS('Workplace Inspections'!$M$4:$M$100003,"Completed",'Workplace Inspections'!$D$4:$D$100003,mCrit,'Workplace Inspections'!$F$4:$F$100003,"Logistics"))/COUNTIFS('Workplace Inspections'!$D$4:$D$100003,mCrit,'Workplace Inspections'!$F$4:$F$100003,"Logistics")*100,0)</f>
        <v>0</v>
      </c>
      <c r="S625" s="22">
        <f>COUNTIFS('Workplace Inspections'!$D$4:$D$100003,mCrit,'Workplace Inspections'!$F$4:$F$100003,"Logistics")</f>
        <v>0</v>
      </c>
    </row>
    <row r="626" spans="2:19">
      <c r="B626" s="23" t="s">
        <v>76</v>
      </c>
      <c r="C626" s="22">
        <f>COUNTIFS('Workplace Inspections'!$D$4:$D$100003,"Jul",'Workplace Inspections'!$F$4:$F$100003,dCrit)</f>
        <v>0</v>
      </c>
      <c r="M626" s="13" t="s">
        <v>2085</v>
      </c>
      <c r="N626" s="25">
        <f>IFERROR((SUMIFS('Workplace Inspections'!$J$4:$J$100003,'Workplace Inspections'!$D$4:$D$100003,mCrit,'Workplace Inspections'!$F$4:$F$100003,dCrit))/(COUNTIFS('Workplace Inspections'!$D$4:$D$100003,mCrit,'Workplace Inspections'!$F$4:$F$100003,dCrit))*100,0)</f>
        <v>0</v>
      </c>
      <c r="P626" s="13" t="s">
        <v>50</v>
      </c>
      <c r="Q626" s="22">
        <f>COUNTIFS('Workplace Inspections'!$D$4:$D$100003,mCrit,'Workplace Inspections'!$F$4:$F$100003,"Quality")</f>
        <v>0</v>
      </c>
      <c r="R626" s="25">
        <f>IFERROR((COUNTIFS('Workplace Inspections'!$M$4:$M$100003,"Completed",'Workplace Inspections'!$D$4:$D$100003,mCrit,'Workplace Inspections'!$F$4:$F$100003,"Quality"))/COUNTIFS('Workplace Inspections'!$D$4:$D$100003,mCrit,'Workplace Inspections'!$F$4:$F$100003,"Quality")*100,0)</f>
        <v>0</v>
      </c>
      <c r="S626" s="22">
        <f>COUNTIFS('Workplace Inspections'!$D$4:$D$100003,mCrit,'Workplace Inspections'!$F$4:$F$100003,"Quality")</f>
        <v>0</v>
      </c>
    </row>
    <row r="627" spans="2:19">
      <c r="B627" s="23" t="s">
        <v>86</v>
      </c>
      <c r="C627" s="22">
        <f>COUNTIFS('Workplace Inspections'!$D$4:$D$100003,"Aug",'Workplace Inspections'!$F$4:$F$100003,dCrit)</f>
        <v>0</v>
      </c>
      <c r="M627" s="13" t="s">
        <v>2081</v>
      </c>
      <c r="N627" s="25">
        <f>IFERROR((COUNTIFS('Workplace Inspections'!$M$4:$M$100003,"Completed",'Workplace Inspections'!$D$4:$D$100003,mCrit,'Workplace Inspections'!$F$4:$F$100003,dCrit))/(COUNTIFS('Workplace Inspections'!$D$4:$D$100003,mCrit,'Workplace Inspections'!$F$4:$F$100003,dCrit))*100,0)</f>
        <v>0</v>
      </c>
      <c r="P627" s="13" t="s">
        <v>46</v>
      </c>
      <c r="Q627" s="22">
        <f>COUNTIFS('Workplace Inspections'!$D$4:$D$100003,mCrit,'Workplace Inspections'!$F$4:$F$100003,"Admin")</f>
        <v>0</v>
      </c>
      <c r="R627" s="25">
        <f>IFERROR((COUNTIFS('Workplace Inspections'!$M$4:$M$100003,"Completed",'Workplace Inspections'!$D$4:$D$100003,mCrit,'Workplace Inspections'!$F$4:$F$100003,"Admin"))/COUNTIFS('Workplace Inspections'!$D$4:$D$100003,mCrit,'Workplace Inspections'!$F$4:$F$100003,"Admin")*100,0)</f>
        <v>0</v>
      </c>
      <c r="S627" s="22">
        <f>COUNTIFS('Workplace Inspections'!$D$4:$D$100003,mCrit,'Workplace Inspections'!$F$4:$F$100003,"Admin")</f>
        <v>0</v>
      </c>
    </row>
    <row r="628" spans="2:19">
      <c r="B628" s="23" t="s">
        <v>102</v>
      </c>
      <c r="C628" s="22">
        <f>COUNTIFS('Workplace Inspections'!$D$4:$D$100003,"Sep",'Workplace Inspections'!$F$4:$F$100003,dCrit)</f>
        <v>0</v>
      </c>
      <c r="P628" s="13" t="s">
        <v>13</v>
      </c>
      <c r="Q628" s="22">
        <f>COUNTIFS('Workplace Inspections'!$D$4:$D$100003,mCrit,'Workplace Inspections'!$F$4:$F$100003,"Projects")</f>
        <v>0</v>
      </c>
      <c r="R628" s="25">
        <f>IFERROR((COUNTIFS('Workplace Inspections'!$M$4:$M$100003,"Completed",'Workplace Inspections'!$D$4:$D$100003,mCrit,'Workplace Inspections'!$F$4:$F$100003,"Projects"))/COUNTIFS('Workplace Inspections'!$D$4:$D$100003,mCrit,'Workplace Inspections'!$F$4:$F$100003,"Projects")*100,0)</f>
        <v>0</v>
      </c>
      <c r="S628" s="22">
        <f>COUNTIFS('Workplace Inspections'!$D$4:$D$100003,mCrit,'Workplace Inspections'!$F$4:$F$100003,"Projects")</f>
        <v>0</v>
      </c>
    </row>
    <row r="629" spans="2:19">
      <c r="B629" s="23" t="s">
        <v>106</v>
      </c>
      <c r="C629" s="22">
        <f>COUNTIFS('Workplace Inspections'!$D$4:$D$100003,"Oct",'Workplace Inspections'!$F$4:$F$100003,dCrit)</f>
        <v>0</v>
      </c>
      <c r="P629" s="13" t="s">
        <v>58</v>
      </c>
      <c r="Q629" s="22">
        <f>COUNTIFS('Workplace Inspections'!$D$4:$D$100003,mCrit,'Workplace Inspections'!$F$4:$F$100003,"Contractor")</f>
        <v>0</v>
      </c>
      <c r="R629" s="25">
        <f>IFERROR((COUNTIFS('Workplace Inspections'!$M$4:$M$100003,"Completed",'Workplace Inspections'!$D$4:$D$100003,mCrit,'Workplace Inspections'!$F$4:$F$100003,"Contractor"))/COUNTIFS('Workplace Inspections'!$D$4:$D$100003,mCrit,'Workplace Inspections'!$F$4:$F$100003,"Contractor")*100,0)</f>
        <v>0</v>
      </c>
      <c r="S629" s="22">
        <f>COUNTIFS('Workplace Inspections'!$D$4:$D$100003,mCrit,'Workplace Inspections'!$F$4:$F$100003,"Contractor")</f>
        <v>0</v>
      </c>
    </row>
    <row r="630" spans="2:19">
      <c r="B630" s="23" t="s">
        <v>111</v>
      </c>
      <c r="C630" s="22">
        <f>COUNTIFS('Workplace Inspections'!$D$4:$D$100003,"Nov",'Workplace Inspections'!$F$4:$F$100003,dCrit)</f>
        <v>0</v>
      </c>
    </row>
    <row r="631" spans="2:19">
      <c r="B631" s="23" t="s">
        <v>122</v>
      </c>
      <c r="C631" s="22">
        <f>COUNTIFS('Workplace Inspections'!$D$4:$D$100003,"Dec",'Workplace Inspections'!$F$4:$F$100003,dCrit)</f>
        <v>0</v>
      </c>
    </row>
    <row r="644" spans="2:34">
      <c r="B644" s="17" t="s">
        <v>2086</v>
      </c>
    </row>
    <row r="645" spans="2:34">
      <c r="B645" s="12" t="s">
        <v>127</v>
      </c>
      <c r="C645" s="12" t="s">
        <v>1965</v>
      </c>
      <c r="E645" s="12" t="s">
        <v>415</v>
      </c>
      <c r="F645" s="12" t="s">
        <v>1965</v>
      </c>
      <c r="J645" s="12" t="s">
        <v>288</v>
      </c>
      <c r="K645" s="12" t="s">
        <v>1965</v>
      </c>
      <c r="M645" s="12" t="s">
        <v>1927</v>
      </c>
      <c r="N645" s="12" t="s">
        <v>2039</v>
      </c>
      <c r="P645" s="12" t="s">
        <v>129</v>
      </c>
      <c r="Q645" s="12" t="s">
        <v>1965</v>
      </c>
      <c r="R645" s="12" t="s">
        <v>2071</v>
      </c>
      <c r="S645" s="12" t="s">
        <v>1770</v>
      </c>
      <c r="U645" s="12" t="s">
        <v>2038</v>
      </c>
      <c r="V645" s="12" t="s">
        <v>3</v>
      </c>
      <c r="W645" s="12" t="s">
        <v>19</v>
      </c>
      <c r="X645" s="12" t="s">
        <v>44</v>
      </c>
      <c r="Y645" s="12" t="s">
        <v>53</v>
      </c>
      <c r="Z645" s="12" t="s">
        <v>60</v>
      </c>
      <c r="AA645" s="12" t="s">
        <v>73</v>
      </c>
      <c r="AB645" s="12" t="s">
        <v>76</v>
      </c>
      <c r="AC645" s="12" t="s">
        <v>86</v>
      </c>
      <c r="AD645" s="12" t="s">
        <v>102</v>
      </c>
      <c r="AE645" s="12" t="s">
        <v>106</v>
      </c>
      <c r="AF645" s="12" t="s">
        <v>111</v>
      </c>
      <c r="AG645" s="12" t="s">
        <v>122</v>
      </c>
      <c r="AH645" s="12" t="s">
        <v>2063</v>
      </c>
    </row>
    <row r="646" spans="2:34">
      <c r="B646" s="23" t="s">
        <v>3</v>
      </c>
      <c r="C646" s="22">
        <f>COUNTIFS('Equipment Inspections'!$D$4:$D$100003,"Jan",'Equipment Inspections'!$F$4:$F$100003,dCrit)</f>
        <v>0</v>
      </c>
      <c r="E646" s="13" t="s">
        <v>10</v>
      </c>
      <c r="F646" s="22">
        <f>COUNTIFS('Equipment Inspections'!$L$4:$L$100003,"Excellent",'Equipment Inspections'!$D$4:$D$100003,mCrit,'Equipment Inspections'!$F$4:$F$100003,dCrit)</f>
        <v>0</v>
      </c>
      <c r="J646" s="13" t="s">
        <v>226</v>
      </c>
      <c r="K646" s="22">
        <f>COUNTIFS('Equipment Inspections'!$M$4:$M$100003,"In Progress",'Equipment Inspections'!$D$4:$D$100003,mCrit,'Equipment Inspections'!$F$4:$F$100003,dCrit)</f>
        <v>0</v>
      </c>
      <c r="M646" s="13" t="s">
        <v>2054</v>
      </c>
      <c r="N646" s="22">
        <f>COUNTIFS('Equipment Inspections'!$D$4:$D$100003,mCrit,'Equipment Inspections'!$F$4:$F$100003,dCrit)</f>
        <v>0</v>
      </c>
      <c r="P646" s="13" t="s">
        <v>27</v>
      </c>
      <c r="Q646" s="22">
        <f>COUNTIFS('Equipment Inspections'!$D$4:$D$100003,mCrit,'Equipment Inspections'!$F$4:$F$100003,"Operations")</f>
        <v>0</v>
      </c>
      <c r="R646" s="25">
        <f>IFERROR((COUNTIFS('Equipment Inspections'!$M$4:$M$100003,"Completed",'Equipment Inspections'!$D$4:$D$100003,mCrit,'Equipment Inspections'!$F$4:$F$100003,"Operations"))/COUNTIFS('Equipment Inspections'!$D$4:$D$100003,mCrit,'Equipment Inspections'!$F$4:$F$100003,"Operations")*100,0)</f>
        <v>0</v>
      </c>
      <c r="S646" s="22">
        <f>COUNTIFS('Equipment Inspections'!$D$4:$D$100003,mCrit,'Equipment Inspections'!$F$4:$F$100003,"Operations")</f>
        <v>0</v>
      </c>
      <c r="U646" s="13" t="s">
        <v>1770</v>
      </c>
      <c r="V646" s="22">
        <f>COUNTIFS('Equipment Inspections'!$D$4:$D$100003,"Jan",'Equipment Inspections'!$F$4:$F$100003,dCrit)</f>
        <v>0</v>
      </c>
      <c r="W646" s="22">
        <f>COUNTIFS('Equipment Inspections'!$D$4:$D$100003,"Feb",'Equipment Inspections'!$F$4:$F$100003,dCrit)</f>
        <v>0</v>
      </c>
      <c r="X646" s="22">
        <f>COUNTIFS('Equipment Inspections'!$D$4:$D$100003,"Mar",'Equipment Inspections'!$F$4:$F$100003,dCrit)</f>
        <v>0</v>
      </c>
      <c r="Y646" s="22">
        <f>COUNTIFS('Equipment Inspections'!$D$4:$D$100003,"Apr",'Equipment Inspections'!$F$4:$F$100003,dCrit)</f>
        <v>0</v>
      </c>
      <c r="Z646" s="22">
        <f>COUNTIFS('Equipment Inspections'!$D$4:$D$100003,"May",'Equipment Inspections'!$F$4:$F$100003,dCrit)</f>
        <v>0</v>
      </c>
      <c r="AA646" s="22">
        <f>COUNTIFS('Equipment Inspections'!$D$4:$D$100003,"Jun",'Equipment Inspections'!$F$4:$F$100003,dCrit)</f>
        <v>0</v>
      </c>
      <c r="AB646" s="22">
        <f>COUNTIFS('Equipment Inspections'!$D$4:$D$100003,"Jul",'Equipment Inspections'!$F$4:$F$100003,dCrit)</f>
        <v>0</v>
      </c>
      <c r="AC646" s="22">
        <f>COUNTIFS('Equipment Inspections'!$D$4:$D$100003,"Aug",'Equipment Inspections'!$F$4:$F$100003,dCrit)</f>
        <v>0</v>
      </c>
      <c r="AD646" s="22">
        <f>COUNTIFS('Equipment Inspections'!$D$4:$D$100003,"Sep",'Equipment Inspections'!$F$4:$F$100003,dCrit)</f>
        <v>0</v>
      </c>
      <c r="AE646" s="22">
        <f>COUNTIFS('Equipment Inspections'!$D$4:$D$100003,"Oct",'Equipment Inspections'!$F$4:$F$100003,dCrit)</f>
        <v>0</v>
      </c>
      <c r="AF646" s="22">
        <f>COUNTIFS('Equipment Inspections'!$D$4:$D$100003,"Nov",'Equipment Inspections'!$F$4:$F$100003,dCrit)</f>
        <v>0</v>
      </c>
      <c r="AG646" s="22">
        <f>COUNTIFS('Equipment Inspections'!$D$4:$D$100003,"Dec",'Equipment Inspections'!$F$4:$F$100003,dCrit)</f>
        <v>0</v>
      </c>
      <c r="AH646" s="22">
        <f>SUM(V646:AG646)</f>
        <v>0</v>
      </c>
    </row>
    <row r="647" spans="2:34">
      <c r="B647" s="23" t="s">
        <v>19</v>
      </c>
      <c r="C647" s="22">
        <f>COUNTIFS('Equipment Inspections'!$D$4:$D$100003,"Feb",'Equipment Inspections'!$F$4:$F$100003,dCrit)</f>
        <v>0</v>
      </c>
      <c r="E647" s="13" t="s">
        <v>42</v>
      </c>
      <c r="F647" s="22">
        <f>COUNTIFS('Equipment Inspections'!$L$4:$L$100003,"Good",'Equipment Inspections'!$D$4:$D$100003,mCrit,'Equipment Inspections'!$F$4:$F$100003,dCrit)</f>
        <v>0</v>
      </c>
      <c r="J647" s="13" t="s">
        <v>303</v>
      </c>
      <c r="K647" s="22">
        <f>COUNTIFS('Equipment Inspections'!$M$4:$M$100003,"Pending",'Equipment Inspections'!$D$4:$D$100003,mCrit,'Equipment Inspections'!$F$4:$F$100003,dCrit)</f>
        <v>0</v>
      </c>
      <c r="M647" s="13" t="s">
        <v>222</v>
      </c>
      <c r="N647" s="22">
        <f>COUNTIFS('Equipment Inspections'!$M$4:$M$100003,"Completed",'Equipment Inspections'!$D$4:$D$100003,mCrit,'Equipment Inspections'!$F$4:$F$100003,dCrit)</f>
        <v>0</v>
      </c>
      <c r="P647" s="13" t="s">
        <v>92</v>
      </c>
      <c r="Q647" s="22">
        <f>COUNTIFS('Equipment Inspections'!$D$4:$D$100003,mCrit,'Equipment Inspections'!$F$4:$F$100003,"Maintenance")</f>
        <v>0</v>
      </c>
      <c r="R647" s="25">
        <f>IFERROR((COUNTIFS('Equipment Inspections'!$M$4:$M$100003,"Completed",'Equipment Inspections'!$D$4:$D$100003,mCrit,'Equipment Inspections'!$F$4:$F$100003,"Maintenance"))/COUNTIFS('Equipment Inspections'!$D$4:$D$100003,mCrit,'Equipment Inspections'!$F$4:$F$100003,"Maintenance")*100,0)</f>
        <v>0</v>
      </c>
      <c r="S647" s="22">
        <f>COUNTIFS('Equipment Inspections'!$D$4:$D$100003,mCrit,'Equipment Inspections'!$F$4:$F$100003,"Maintenance")</f>
        <v>0</v>
      </c>
      <c r="U647" s="13" t="s">
        <v>2072</v>
      </c>
      <c r="V647" s="25">
        <f>IFERROR((COUNTIFS('Equipment Inspections'!$M$4:$M$100003,"Completed",'Equipment Inspections'!$D$4:$D$100003,"Jan",'Equipment Inspections'!$F$4:$F$100003,dCrit))/COUNTIFS('Equipment Inspections'!$D$4:$D$100003,"Jan",'Equipment Inspections'!$F$4:$F$100003,dCrit)*100,0)</f>
        <v>0</v>
      </c>
      <c r="W647" s="25">
        <f>IFERROR((COUNTIFS('Equipment Inspections'!$M$4:$M$100003,"Completed",'Equipment Inspections'!$D$4:$D$100003,"Feb",'Equipment Inspections'!$F$4:$F$100003,dCrit))/COUNTIFS('Equipment Inspections'!$D$4:$D$100003,"Feb",'Equipment Inspections'!$F$4:$F$100003,dCrit)*100,0)</f>
        <v>0</v>
      </c>
      <c r="X647" s="25">
        <f>IFERROR((COUNTIFS('Equipment Inspections'!$M$4:$M$100003,"Completed",'Equipment Inspections'!$D$4:$D$100003,"Mar",'Equipment Inspections'!$F$4:$F$100003,dCrit))/COUNTIFS('Equipment Inspections'!$D$4:$D$100003,"Mar",'Equipment Inspections'!$F$4:$F$100003,dCrit)*100,0)</f>
        <v>0</v>
      </c>
      <c r="Y647" s="25">
        <f>IFERROR((COUNTIFS('Equipment Inspections'!$M$4:$M$100003,"Completed",'Equipment Inspections'!$D$4:$D$100003,"Apr",'Equipment Inspections'!$F$4:$F$100003,dCrit))/COUNTIFS('Equipment Inspections'!$D$4:$D$100003,"Apr",'Equipment Inspections'!$F$4:$F$100003,dCrit)*100,0)</f>
        <v>0</v>
      </c>
      <c r="Z647" s="25">
        <f>IFERROR((COUNTIFS('Equipment Inspections'!$M$4:$M$100003,"Completed",'Equipment Inspections'!$D$4:$D$100003,"May",'Equipment Inspections'!$F$4:$F$100003,dCrit))/COUNTIFS('Equipment Inspections'!$D$4:$D$100003,"May",'Equipment Inspections'!$F$4:$F$100003,dCrit)*100,0)</f>
        <v>0</v>
      </c>
      <c r="AA647" s="25">
        <f>IFERROR((COUNTIFS('Equipment Inspections'!$M$4:$M$100003,"Completed",'Equipment Inspections'!$D$4:$D$100003,"Jun",'Equipment Inspections'!$F$4:$F$100003,dCrit))/COUNTIFS('Equipment Inspections'!$D$4:$D$100003,"Jun",'Equipment Inspections'!$F$4:$F$100003,dCrit)*100,0)</f>
        <v>0</v>
      </c>
      <c r="AB647" s="25">
        <f>IFERROR((COUNTIFS('Equipment Inspections'!$M$4:$M$100003,"Completed",'Equipment Inspections'!$D$4:$D$100003,"Jul",'Equipment Inspections'!$F$4:$F$100003,dCrit))/COUNTIFS('Equipment Inspections'!$D$4:$D$100003,"Jul",'Equipment Inspections'!$F$4:$F$100003,dCrit)*100,0)</f>
        <v>0</v>
      </c>
      <c r="AC647" s="25">
        <f>IFERROR((COUNTIFS('Equipment Inspections'!$M$4:$M$100003,"Completed",'Equipment Inspections'!$D$4:$D$100003,"Aug",'Equipment Inspections'!$F$4:$F$100003,dCrit))/COUNTIFS('Equipment Inspections'!$D$4:$D$100003,"Aug",'Equipment Inspections'!$F$4:$F$100003,dCrit)*100,0)</f>
        <v>0</v>
      </c>
      <c r="AD647" s="25">
        <f>IFERROR((COUNTIFS('Equipment Inspections'!$M$4:$M$100003,"Completed",'Equipment Inspections'!$D$4:$D$100003,"Sep",'Equipment Inspections'!$F$4:$F$100003,dCrit))/COUNTIFS('Equipment Inspections'!$D$4:$D$100003,"Sep",'Equipment Inspections'!$F$4:$F$100003,dCrit)*100,0)</f>
        <v>0</v>
      </c>
      <c r="AE647" s="25">
        <f>IFERROR((COUNTIFS('Equipment Inspections'!$M$4:$M$100003,"Completed",'Equipment Inspections'!$D$4:$D$100003,"Oct",'Equipment Inspections'!$F$4:$F$100003,dCrit))/COUNTIFS('Equipment Inspections'!$D$4:$D$100003,"Oct",'Equipment Inspections'!$F$4:$F$100003,dCrit)*100,0)</f>
        <v>0</v>
      </c>
      <c r="AF647" s="25">
        <f>IFERROR((COUNTIFS('Equipment Inspections'!$M$4:$M$100003,"Completed",'Equipment Inspections'!$D$4:$D$100003,"Nov",'Equipment Inspections'!$F$4:$F$100003,dCrit))/COUNTIFS('Equipment Inspections'!$D$4:$D$100003,"Nov",'Equipment Inspections'!$F$4:$F$100003,dCrit)*100,0)</f>
        <v>0</v>
      </c>
      <c r="AG647" s="25">
        <f>IFERROR((COUNTIFS('Equipment Inspections'!$M$4:$M$100003,"Completed",'Equipment Inspections'!$D$4:$D$100003,"Dec",'Equipment Inspections'!$F$4:$F$100003,dCrit))/COUNTIFS('Equipment Inspections'!$D$4:$D$100003,"Dec",'Equipment Inspections'!$F$4:$F$100003,dCrit)*100,0)</f>
        <v>0</v>
      </c>
      <c r="AH647" s="25">
        <f>IFERROR(AVERAGE(V647:AG647),0)</f>
        <v>0</v>
      </c>
    </row>
    <row r="648" spans="2:34">
      <c r="B648" s="23" t="s">
        <v>44</v>
      </c>
      <c r="C648" s="22">
        <f>COUNTIFS('Equipment Inspections'!$D$4:$D$100003,"Mar",'Equipment Inspections'!$F$4:$F$100003,dCrit)</f>
        <v>0</v>
      </c>
      <c r="E648" s="13" t="s">
        <v>17</v>
      </c>
      <c r="F648" s="22">
        <f>COUNTIFS('Equipment Inspections'!$L$4:$L$100003,"Satisfactory",'Equipment Inspections'!$D$4:$D$100003,mCrit,'Equipment Inspections'!$F$4:$F$100003,dCrit)</f>
        <v>0</v>
      </c>
      <c r="J648" s="13" t="s">
        <v>222</v>
      </c>
      <c r="K648" s="22">
        <f>COUNTIFS('Equipment Inspections'!$M$4:$M$100003,"Completed",'Equipment Inspections'!$D$4:$D$100003,mCrit,'Equipment Inspections'!$F$4:$F$100003,dCrit)</f>
        <v>0</v>
      </c>
      <c r="M648" s="13" t="s">
        <v>331</v>
      </c>
      <c r="N648" s="22">
        <f>COUNTIFS('Equipment Inspections'!$M$4:$M$100003,"Overdue",'Equipment Inspections'!$D$4:$D$100003,mCrit,'Equipment Inspections'!$F$4:$F$100003,dCrit)</f>
        <v>0</v>
      </c>
      <c r="P648" s="13" t="s">
        <v>39</v>
      </c>
      <c r="Q648" s="22">
        <f>COUNTIFS('Equipment Inspections'!$D$4:$D$100003,mCrit,'Equipment Inspections'!$F$4:$F$100003,"Engineering")</f>
        <v>0</v>
      </c>
      <c r="R648" s="25">
        <f>IFERROR((COUNTIFS('Equipment Inspections'!$M$4:$M$100003,"Completed",'Equipment Inspections'!$D$4:$D$100003,mCrit,'Equipment Inspections'!$F$4:$F$100003,"Engineering"))/COUNTIFS('Equipment Inspections'!$D$4:$D$100003,mCrit,'Equipment Inspections'!$F$4:$F$100003,"Engineering")*100,0)</f>
        <v>0</v>
      </c>
      <c r="S648" s="22">
        <f>COUNTIFS('Equipment Inspections'!$D$4:$D$100003,mCrit,'Equipment Inspections'!$F$4:$F$100003,"Engineering")</f>
        <v>0</v>
      </c>
    </row>
    <row r="649" spans="2:34">
      <c r="B649" s="23" t="s">
        <v>53</v>
      </c>
      <c r="C649" s="22">
        <f>COUNTIFS('Equipment Inspections'!$D$4:$D$100003,"Apr",'Equipment Inspections'!$F$4:$F$100003,dCrit)</f>
        <v>0</v>
      </c>
      <c r="E649" s="13" t="s">
        <v>96</v>
      </c>
      <c r="F649" s="22">
        <f>COUNTIFS('Equipment Inspections'!$L$4:$L$100003,"Needs Improvement",'Equipment Inspections'!$D$4:$D$100003,mCrit,'Equipment Inspections'!$F$4:$F$100003,dCrit)</f>
        <v>0</v>
      </c>
      <c r="J649" s="13" t="s">
        <v>331</v>
      </c>
      <c r="K649" s="22">
        <f>COUNTIFS('Equipment Inspections'!$M$4:$M$100003,"Overdue",'Equipment Inspections'!$D$4:$D$100003,mCrit,'Equipment Inspections'!$F$4:$F$100003,dCrit)</f>
        <v>0</v>
      </c>
      <c r="M649" s="13" t="s">
        <v>151</v>
      </c>
      <c r="N649" s="22">
        <f>SUMIFS('Equipment Inspections'!$K$4:$K$100003,'Equipment Inspections'!$D$4:$D$100003,mCrit,'Equipment Inspections'!$F$4:$F$100003,dCrit)</f>
        <v>0</v>
      </c>
      <c r="P649" s="13" t="s">
        <v>89</v>
      </c>
      <c r="Q649" s="22">
        <f>COUNTIFS('Equipment Inspections'!$D$4:$D$100003,mCrit,'Equipment Inspections'!$F$4:$F$100003,"Construction")</f>
        <v>0</v>
      </c>
      <c r="R649" s="25">
        <f>IFERROR((COUNTIFS('Equipment Inspections'!$M$4:$M$100003,"Completed",'Equipment Inspections'!$D$4:$D$100003,mCrit,'Equipment Inspections'!$F$4:$F$100003,"Construction"))/COUNTIFS('Equipment Inspections'!$D$4:$D$100003,mCrit,'Equipment Inspections'!$F$4:$F$100003,"Construction")*100,0)</f>
        <v>0</v>
      </c>
      <c r="S649" s="22">
        <f>COUNTIFS('Equipment Inspections'!$D$4:$D$100003,mCrit,'Equipment Inspections'!$F$4:$F$100003,"Construction")</f>
        <v>0</v>
      </c>
    </row>
    <row r="650" spans="2:34">
      <c r="B650" s="23" t="s">
        <v>60</v>
      </c>
      <c r="C650" s="22">
        <f>COUNTIFS('Equipment Inspections'!$D$4:$D$100003,"May",'Equipment Inspections'!$F$4:$F$100003,dCrit)</f>
        <v>0</v>
      </c>
      <c r="E650" s="13" t="s">
        <v>24</v>
      </c>
      <c r="F650" s="22">
        <f>COUNTIFS('Equipment Inspections'!$L$4:$L$100003,"Unsatisfactory",'Equipment Inspections'!$D$4:$D$100003,mCrit,'Equipment Inspections'!$F$4:$F$100003,dCrit)</f>
        <v>0</v>
      </c>
      <c r="M650" s="13" t="s">
        <v>2083</v>
      </c>
      <c r="N650" s="22">
        <f>SUMIFS('Equipment Inspections'!$I$4:$I$100003,'Equipment Inspections'!$D$4:$D$100003,mCrit,'Equipment Inspections'!$F$4:$F$100003,dCrit)</f>
        <v>0</v>
      </c>
      <c r="P650" s="13" t="s">
        <v>65</v>
      </c>
      <c r="Q650" s="22">
        <f>COUNTIFS('Equipment Inspections'!$D$4:$D$100003,mCrit,'Equipment Inspections'!$F$4:$F$100003,"Safety")</f>
        <v>0</v>
      </c>
      <c r="R650" s="25">
        <f>IFERROR((COUNTIFS('Equipment Inspections'!$M$4:$M$100003,"Completed",'Equipment Inspections'!$D$4:$D$100003,mCrit,'Equipment Inspections'!$F$4:$F$100003,"Safety"))/COUNTIFS('Equipment Inspections'!$D$4:$D$100003,mCrit,'Equipment Inspections'!$F$4:$F$100003,"Safety")*100,0)</f>
        <v>0</v>
      </c>
      <c r="S650" s="22">
        <f>COUNTIFS('Equipment Inspections'!$D$4:$D$100003,mCrit,'Equipment Inspections'!$F$4:$F$100003,"Safety")</f>
        <v>0</v>
      </c>
    </row>
    <row r="651" spans="2:34">
      <c r="B651" s="23" t="s">
        <v>73</v>
      </c>
      <c r="C651" s="22">
        <f>COUNTIFS('Equipment Inspections'!$D$4:$D$100003,"Jun",'Equipment Inspections'!$F$4:$F$100003,dCrit)</f>
        <v>0</v>
      </c>
      <c r="M651" s="13" t="s">
        <v>2084</v>
      </c>
      <c r="N651" s="22">
        <f>SUMIFS('Equipment Inspections'!$J$4:$J$100003,'Equipment Inspections'!$D$4:$D$100003,mCrit,'Equipment Inspections'!$F$4:$F$100003,dCrit)</f>
        <v>0</v>
      </c>
      <c r="P651" s="13" t="s">
        <v>5</v>
      </c>
      <c r="Q651" s="22">
        <f>COUNTIFS('Equipment Inspections'!$D$4:$D$100003,mCrit,'Equipment Inspections'!$F$4:$F$100003,"Logistics")</f>
        <v>0</v>
      </c>
      <c r="R651" s="25">
        <f>IFERROR((COUNTIFS('Equipment Inspections'!$M$4:$M$100003,"Completed",'Equipment Inspections'!$D$4:$D$100003,mCrit,'Equipment Inspections'!$F$4:$F$100003,"Logistics"))/COUNTIFS('Equipment Inspections'!$D$4:$D$100003,mCrit,'Equipment Inspections'!$F$4:$F$100003,"Logistics")*100,0)</f>
        <v>0</v>
      </c>
      <c r="S651" s="22">
        <f>COUNTIFS('Equipment Inspections'!$D$4:$D$100003,mCrit,'Equipment Inspections'!$F$4:$F$100003,"Logistics")</f>
        <v>0</v>
      </c>
    </row>
    <row r="652" spans="2:34">
      <c r="B652" s="23" t="s">
        <v>76</v>
      </c>
      <c r="C652" s="22">
        <f>COUNTIFS('Equipment Inspections'!$D$4:$D$100003,"Jul",'Equipment Inspections'!$F$4:$F$100003,dCrit)</f>
        <v>0</v>
      </c>
      <c r="M652" s="13" t="s">
        <v>2085</v>
      </c>
      <c r="N652" s="25">
        <f>IFERROR((SUMIFS('Equipment Inspections'!$J$4:$J$100003,'Equipment Inspections'!$D$4:$D$100003,mCrit,'Equipment Inspections'!$F$4:$F$100003,dCrit))/(COUNTIFS('Equipment Inspections'!$D$4:$D$100003,mCrit,'Equipment Inspections'!$F$4:$F$100003,dCrit))*100,0)</f>
        <v>0</v>
      </c>
      <c r="P652" s="13" t="s">
        <v>50</v>
      </c>
      <c r="Q652" s="22">
        <f>COUNTIFS('Equipment Inspections'!$D$4:$D$100003,mCrit,'Equipment Inspections'!$F$4:$F$100003,"Quality")</f>
        <v>0</v>
      </c>
      <c r="R652" s="25">
        <f>IFERROR((COUNTIFS('Equipment Inspections'!$M$4:$M$100003,"Completed",'Equipment Inspections'!$D$4:$D$100003,mCrit,'Equipment Inspections'!$F$4:$F$100003,"Quality"))/COUNTIFS('Equipment Inspections'!$D$4:$D$100003,mCrit,'Equipment Inspections'!$F$4:$F$100003,"Quality")*100,0)</f>
        <v>0</v>
      </c>
      <c r="S652" s="22">
        <f>COUNTIFS('Equipment Inspections'!$D$4:$D$100003,mCrit,'Equipment Inspections'!$F$4:$F$100003,"Quality")</f>
        <v>0</v>
      </c>
    </row>
    <row r="653" spans="2:34">
      <c r="B653" s="23" t="s">
        <v>86</v>
      </c>
      <c r="C653" s="22">
        <f>COUNTIFS('Equipment Inspections'!$D$4:$D$100003,"Aug",'Equipment Inspections'!$F$4:$F$100003,dCrit)</f>
        <v>0</v>
      </c>
      <c r="M653" s="13" t="s">
        <v>2081</v>
      </c>
      <c r="N653" s="25">
        <f>IFERROR((COUNTIFS('Equipment Inspections'!$M$4:$M$100003,"Completed",'Equipment Inspections'!$D$4:$D$100003,mCrit,'Equipment Inspections'!$F$4:$F$100003,dCrit))/(COUNTIFS('Equipment Inspections'!$D$4:$D$100003,mCrit,'Equipment Inspections'!$F$4:$F$100003,dCrit))*100,0)</f>
        <v>0</v>
      </c>
      <c r="P653" s="13" t="s">
        <v>46</v>
      </c>
      <c r="Q653" s="22">
        <f>COUNTIFS('Equipment Inspections'!$D$4:$D$100003,mCrit,'Equipment Inspections'!$F$4:$F$100003,"Admin")</f>
        <v>0</v>
      </c>
      <c r="R653" s="25">
        <f>IFERROR((COUNTIFS('Equipment Inspections'!$M$4:$M$100003,"Completed",'Equipment Inspections'!$D$4:$D$100003,mCrit,'Equipment Inspections'!$F$4:$F$100003,"Admin"))/COUNTIFS('Equipment Inspections'!$D$4:$D$100003,mCrit,'Equipment Inspections'!$F$4:$F$100003,"Admin")*100,0)</f>
        <v>0</v>
      </c>
      <c r="S653" s="22">
        <f>COUNTIFS('Equipment Inspections'!$D$4:$D$100003,mCrit,'Equipment Inspections'!$F$4:$F$100003,"Admin")</f>
        <v>0</v>
      </c>
    </row>
    <row r="654" spans="2:34">
      <c r="B654" s="23" t="s">
        <v>102</v>
      </c>
      <c r="C654" s="22">
        <f>COUNTIFS('Equipment Inspections'!$D$4:$D$100003,"Sep",'Equipment Inspections'!$F$4:$F$100003,dCrit)</f>
        <v>0</v>
      </c>
      <c r="P654" s="13" t="s">
        <v>13</v>
      </c>
      <c r="Q654" s="22">
        <f>COUNTIFS('Equipment Inspections'!$D$4:$D$100003,mCrit,'Equipment Inspections'!$F$4:$F$100003,"Projects")</f>
        <v>0</v>
      </c>
      <c r="R654" s="25">
        <f>IFERROR((COUNTIFS('Equipment Inspections'!$M$4:$M$100003,"Completed",'Equipment Inspections'!$D$4:$D$100003,mCrit,'Equipment Inspections'!$F$4:$F$100003,"Projects"))/COUNTIFS('Equipment Inspections'!$D$4:$D$100003,mCrit,'Equipment Inspections'!$F$4:$F$100003,"Projects")*100,0)</f>
        <v>0</v>
      </c>
      <c r="S654" s="22">
        <f>COUNTIFS('Equipment Inspections'!$D$4:$D$100003,mCrit,'Equipment Inspections'!$F$4:$F$100003,"Projects")</f>
        <v>0</v>
      </c>
    </row>
    <row r="655" spans="2:34">
      <c r="B655" s="23" t="s">
        <v>106</v>
      </c>
      <c r="C655" s="22">
        <f>COUNTIFS('Equipment Inspections'!$D$4:$D$100003,"Oct",'Equipment Inspections'!$F$4:$F$100003,dCrit)</f>
        <v>0</v>
      </c>
      <c r="P655" s="13" t="s">
        <v>58</v>
      </c>
      <c r="Q655" s="22">
        <f>COUNTIFS('Equipment Inspections'!$D$4:$D$100003,mCrit,'Equipment Inspections'!$F$4:$F$100003,"Contractor")</f>
        <v>0</v>
      </c>
      <c r="R655" s="25">
        <f>IFERROR((COUNTIFS('Equipment Inspections'!$M$4:$M$100003,"Completed",'Equipment Inspections'!$D$4:$D$100003,mCrit,'Equipment Inspections'!$F$4:$F$100003,"Contractor"))/COUNTIFS('Equipment Inspections'!$D$4:$D$100003,mCrit,'Equipment Inspections'!$F$4:$F$100003,"Contractor")*100,0)</f>
        <v>0</v>
      </c>
      <c r="S655" s="22">
        <f>COUNTIFS('Equipment Inspections'!$D$4:$D$100003,mCrit,'Equipment Inspections'!$F$4:$F$100003,"Contractor")</f>
        <v>0</v>
      </c>
    </row>
    <row r="656" spans="2:34">
      <c r="B656" s="23" t="s">
        <v>111</v>
      </c>
      <c r="C656" s="22">
        <f>COUNTIFS('Equipment Inspections'!$D$4:$D$100003,"Nov",'Equipment Inspections'!$F$4:$F$100003,dCrit)</f>
        <v>0</v>
      </c>
    </row>
    <row r="657" spans="2:34">
      <c r="B657" s="23" t="s">
        <v>122</v>
      </c>
      <c r="C657" s="22">
        <f>COUNTIFS('Equipment Inspections'!$D$4:$D$100003,"Dec",'Equipment Inspections'!$F$4:$F$100003,dCrit)</f>
        <v>0</v>
      </c>
    </row>
    <row r="670" spans="2:34">
      <c r="B670" s="17" t="s">
        <v>2087</v>
      </c>
    </row>
    <row r="671" spans="2:34">
      <c r="B671" s="12" t="s">
        <v>127</v>
      </c>
      <c r="C671" s="12" t="s">
        <v>1965</v>
      </c>
      <c r="E671" s="12" t="s">
        <v>415</v>
      </c>
      <c r="F671" s="12" t="s">
        <v>1965</v>
      </c>
      <c r="J671" s="12" t="s">
        <v>288</v>
      </c>
      <c r="K671" s="12" t="s">
        <v>1965</v>
      </c>
      <c r="M671" s="12" t="s">
        <v>1927</v>
      </c>
      <c r="N671" s="12" t="s">
        <v>2039</v>
      </c>
      <c r="P671" s="12" t="s">
        <v>129</v>
      </c>
      <c r="Q671" s="12" t="s">
        <v>1965</v>
      </c>
      <c r="R671" s="12" t="s">
        <v>2071</v>
      </c>
      <c r="S671" s="12" t="s">
        <v>1770</v>
      </c>
      <c r="U671" s="12" t="s">
        <v>2038</v>
      </c>
      <c r="V671" s="12" t="s">
        <v>3</v>
      </c>
      <c r="W671" s="12" t="s">
        <v>19</v>
      </c>
      <c r="X671" s="12" t="s">
        <v>44</v>
      </c>
      <c r="Y671" s="12" t="s">
        <v>53</v>
      </c>
      <c r="Z671" s="12" t="s">
        <v>60</v>
      </c>
      <c r="AA671" s="12" t="s">
        <v>73</v>
      </c>
      <c r="AB671" s="12" t="s">
        <v>76</v>
      </c>
      <c r="AC671" s="12" t="s">
        <v>86</v>
      </c>
      <c r="AD671" s="12" t="s">
        <v>102</v>
      </c>
      <c r="AE671" s="12" t="s">
        <v>106</v>
      </c>
      <c r="AF671" s="12" t="s">
        <v>111</v>
      </c>
      <c r="AG671" s="12" t="s">
        <v>122</v>
      </c>
      <c r="AH671" s="12" t="s">
        <v>2063</v>
      </c>
    </row>
    <row r="672" spans="2:34">
      <c r="B672" s="23" t="s">
        <v>3</v>
      </c>
      <c r="C672" s="22">
        <f>COUNTIFS('Safety Walkthroughs'!$D$4:$D$100003,"Jan",'Safety Walkthroughs'!$F$4:$F$100003,dCrit)</f>
        <v>0</v>
      </c>
      <c r="E672" s="13" t="s">
        <v>10</v>
      </c>
      <c r="F672" s="22">
        <f>COUNTIFS('Safety Walkthroughs'!$L$4:$L$100003,"Excellent",'Safety Walkthroughs'!$D$4:$D$100003,mCrit,'Safety Walkthroughs'!$F$4:$F$100003,dCrit)</f>
        <v>0</v>
      </c>
      <c r="J672" s="13" t="s">
        <v>222</v>
      </c>
      <c r="K672" s="22">
        <f>COUNTIFS('Safety Walkthroughs'!$M$4:$M$100003,"Completed",'Safety Walkthroughs'!$D$4:$D$100003,mCrit,'Safety Walkthroughs'!$F$4:$F$100003,dCrit)</f>
        <v>0</v>
      </c>
      <c r="M672" s="13" t="s">
        <v>2054</v>
      </c>
      <c r="N672" s="22">
        <f>COUNTIFS('Safety Walkthroughs'!$D$4:$D$100003,mCrit,'Safety Walkthroughs'!$F$4:$F$100003,dCrit)</f>
        <v>0</v>
      </c>
      <c r="P672" s="13" t="s">
        <v>27</v>
      </c>
      <c r="Q672" s="22">
        <f>COUNTIFS('Safety Walkthroughs'!$D$4:$D$100003,mCrit,'Safety Walkthroughs'!$F$4:$F$100003,"Operations")</f>
        <v>0</v>
      </c>
      <c r="R672" s="25">
        <f>IFERROR((COUNTIFS('Safety Walkthroughs'!$M$4:$M$100003,"Completed",'Safety Walkthroughs'!$D$4:$D$100003,mCrit,'Safety Walkthroughs'!$F$4:$F$100003,"Operations"))/COUNTIFS('Safety Walkthroughs'!$D$4:$D$100003,mCrit,'Safety Walkthroughs'!$F$4:$F$100003,"Operations")*100,0)</f>
        <v>0</v>
      </c>
      <c r="S672" s="22">
        <f>COUNTIFS('Safety Walkthroughs'!$D$4:$D$100003,mCrit,'Safety Walkthroughs'!$F$4:$F$100003,"Operations")</f>
        <v>0</v>
      </c>
      <c r="U672" s="13" t="s">
        <v>1770</v>
      </c>
      <c r="V672" s="22">
        <f>COUNTIFS('Safety Walkthroughs'!$D$4:$D$100003,"Jan",'Safety Walkthroughs'!$F$4:$F$100003,dCrit)</f>
        <v>0</v>
      </c>
      <c r="W672" s="22">
        <f>COUNTIFS('Safety Walkthroughs'!$D$4:$D$100003,"Feb",'Safety Walkthroughs'!$F$4:$F$100003,dCrit)</f>
        <v>0</v>
      </c>
      <c r="X672" s="22">
        <f>COUNTIFS('Safety Walkthroughs'!$D$4:$D$100003,"Mar",'Safety Walkthroughs'!$F$4:$F$100003,dCrit)</f>
        <v>0</v>
      </c>
      <c r="Y672" s="22">
        <f>COUNTIFS('Safety Walkthroughs'!$D$4:$D$100003,"Apr",'Safety Walkthroughs'!$F$4:$F$100003,dCrit)</f>
        <v>0</v>
      </c>
      <c r="Z672" s="22">
        <f>COUNTIFS('Safety Walkthroughs'!$D$4:$D$100003,"May",'Safety Walkthroughs'!$F$4:$F$100003,dCrit)</f>
        <v>0</v>
      </c>
      <c r="AA672" s="22">
        <f>COUNTIFS('Safety Walkthroughs'!$D$4:$D$100003,"Jun",'Safety Walkthroughs'!$F$4:$F$100003,dCrit)</f>
        <v>0</v>
      </c>
      <c r="AB672" s="22">
        <f>COUNTIFS('Safety Walkthroughs'!$D$4:$D$100003,"Jul",'Safety Walkthroughs'!$F$4:$F$100003,dCrit)</f>
        <v>0</v>
      </c>
      <c r="AC672" s="22">
        <f>COUNTIFS('Safety Walkthroughs'!$D$4:$D$100003,"Aug",'Safety Walkthroughs'!$F$4:$F$100003,dCrit)</f>
        <v>0</v>
      </c>
      <c r="AD672" s="22">
        <f>COUNTIFS('Safety Walkthroughs'!$D$4:$D$100003,"Sep",'Safety Walkthroughs'!$F$4:$F$100003,dCrit)</f>
        <v>0</v>
      </c>
      <c r="AE672" s="22">
        <f>COUNTIFS('Safety Walkthroughs'!$D$4:$D$100003,"Oct",'Safety Walkthroughs'!$F$4:$F$100003,dCrit)</f>
        <v>0</v>
      </c>
      <c r="AF672" s="22">
        <f>COUNTIFS('Safety Walkthroughs'!$D$4:$D$100003,"Nov",'Safety Walkthroughs'!$F$4:$F$100003,dCrit)</f>
        <v>0</v>
      </c>
      <c r="AG672" s="22">
        <f>COUNTIFS('Safety Walkthroughs'!$D$4:$D$100003,"Dec",'Safety Walkthroughs'!$F$4:$F$100003,dCrit)</f>
        <v>0</v>
      </c>
      <c r="AH672" s="22">
        <f>SUM(V672:AG672)</f>
        <v>0</v>
      </c>
    </row>
    <row r="673" spans="2:34">
      <c r="B673" s="23" t="s">
        <v>19</v>
      </c>
      <c r="C673" s="22">
        <f>COUNTIFS('Safety Walkthroughs'!$D$4:$D$100003,"Feb",'Safety Walkthroughs'!$F$4:$F$100003,dCrit)</f>
        <v>0</v>
      </c>
      <c r="E673" s="13" t="s">
        <v>42</v>
      </c>
      <c r="F673" s="22">
        <f>COUNTIFS('Safety Walkthroughs'!$L$4:$L$100003,"Good",'Safety Walkthroughs'!$D$4:$D$100003,mCrit,'Safety Walkthroughs'!$F$4:$F$100003,dCrit)</f>
        <v>0</v>
      </c>
      <c r="J673" s="13" t="s">
        <v>331</v>
      </c>
      <c r="K673" s="22">
        <f>COUNTIFS('Safety Walkthroughs'!$M$4:$M$100003,"Overdue",'Safety Walkthroughs'!$D$4:$D$100003,mCrit,'Safety Walkthroughs'!$F$4:$F$100003,dCrit)</f>
        <v>0</v>
      </c>
      <c r="M673" s="13" t="s">
        <v>222</v>
      </c>
      <c r="N673" s="22">
        <f>COUNTIFS('Safety Walkthroughs'!$M$4:$M$100003,"Completed",'Safety Walkthroughs'!$D$4:$D$100003,mCrit,'Safety Walkthroughs'!$F$4:$F$100003,dCrit)</f>
        <v>0</v>
      </c>
      <c r="P673" s="13" t="s">
        <v>92</v>
      </c>
      <c r="Q673" s="22">
        <f>COUNTIFS('Safety Walkthroughs'!$D$4:$D$100003,mCrit,'Safety Walkthroughs'!$F$4:$F$100003,"Maintenance")</f>
        <v>0</v>
      </c>
      <c r="R673" s="25">
        <f>IFERROR((COUNTIFS('Safety Walkthroughs'!$M$4:$M$100003,"Completed",'Safety Walkthroughs'!$D$4:$D$100003,mCrit,'Safety Walkthroughs'!$F$4:$F$100003,"Maintenance"))/COUNTIFS('Safety Walkthroughs'!$D$4:$D$100003,mCrit,'Safety Walkthroughs'!$F$4:$F$100003,"Maintenance")*100,0)</f>
        <v>0</v>
      </c>
      <c r="S673" s="22">
        <f>COUNTIFS('Safety Walkthroughs'!$D$4:$D$100003,mCrit,'Safety Walkthroughs'!$F$4:$F$100003,"Maintenance")</f>
        <v>0</v>
      </c>
      <c r="U673" s="13" t="s">
        <v>2072</v>
      </c>
      <c r="V673" s="25">
        <f>IFERROR((COUNTIFS('Safety Walkthroughs'!$M$4:$M$100003,"Completed",'Safety Walkthroughs'!$D$4:$D$100003,"Jan",'Safety Walkthroughs'!$F$4:$F$100003,dCrit))/COUNTIFS('Safety Walkthroughs'!$D$4:$D$100003,"Jan",'Safety Walkthroughs'!$F$4:$F$100003,dCrit)*100,0)</f>
        <v>0</v>
      </c>
      <c r="W673" s="25">
        <f>IFERROR((COUNTIFS('Safety Walkthroughs'!$M$4:$M$100003,"Completed",'Safety Walkthroughs'!$D$4:$D$100003,"Feb",'Safety Walkthroughs'!$F$4:$F$100003,dCrit))/COUNTIFS('Safety Walkthroughs'!$D$4:$D$100003,"Feb",'Safety Walkthroughs'!$F$4:$F$100003,dCrit)*100,0)</f>
        <v>0</v>
      </c>
      <c r="X673" s="25">
        <f>IFERROR((COUNTIFS('Safety Walkthroughs'!$M$4:$M$100003,"Completed",'Safety Walkthroughs'!$D$4:$D$100003,"Mar",'Safety Walkthroughs'!$F$4:$F$100003,dCrit))/COUNTIFS('Safety Walkthroughs'!$D$4:$D$100003,"Mar",'Safety Walkthroughs'!$F$4:$F$100003,dCrit)*100,0)</f>
        <v>0</v>
      </c>
      <c r="Y673" s="25">
        <f>IFERROR((COUNTIFS('Safety Walkthroughs'!$M$4:$M$100003,"Completed",'Safety Walkthroughs'!$D$4:$D$100003,"Apr",'Safety Walkthroughs'!$F$4:$F$100003,dCrit))/COUNTIFS('Safety Walkthroughs'!$D$4:$D$100003,"Apr",'Safety Walkthroughs'!$F$4:$F$100003,dCrit)*100,0)</f>
        <v>0</v>
      </c>
      <c r="Z673" s="25">
        <f>IFERROR((COUNTIFS('Safety Walkthroughs'!$M$4:$M$100003,"Completed",'Safety Walkthroughs'!$D$4:$D$100003,"May",'Safety Walkthroughs'!$F$4:$F$100003,dCrit))/COUNTIFS('Safety Walkthroughs'!$D$4:$D$100003,"May",'Safety Walkthroughs'!$F$4:$F$100003,dCrit)*100,0)</f>
        <v>0</v>
      </c>
      <c r="AA673" s="25">
        <f>IFERROR((COUNTIFS('Safety Walkthroughs'!$M$4:$M$100003,"Completed",'Safety Walkthroughs'!$D$4:$D$100003,"Jun",'Safety Walkthroughs'!$F$4:$F$100003,dCrit))/COUNTIFS('Safety Walkthroughs'!$D$4:$D$100003,"Jun",'Safety Walkthroughs'!$F$4:$F$100003,dCrit)*100,0)</f>
        <v>0</v>
      </c>
      <c r="AB673" s="25">
        <f>IFERROR((COUNTIFS('Safety Walkthroughs'!$M$4:$M$100003,"Completed",'Safety Walkthroughs'!$D$4:$D$100003,"Jul",'Safety Walkthroughs'!$F$4:$F$100003,dCrit))/COUNTIFS('Safety Walkthroughs'!$D$4:$D$100003,"Jul",'Safety Walkthroughs'!$F$4:$F$100003,dCrit)*100,0)</f>
        <v>0</v>
      </c>
      <c r="AC673" s="25">
        <f>IFERROR((COUNTIFS('Safety Walkthroughs'!$M$4:$M$100003,"Completed",'Safety Walkthroughs'!$D$4:$D$100003,"Aug",'Safety Walkthroughs'!$F$4:$F$100003,dCrit))/COUNTIFS('Safety Walkthroughs'!$D$4:$D$100003,"Aug",'Safety Walkthroughs'!$F$4:$F$100003,dCrit)*100,0)</f>
        <v>0</v>
      </c>
      <c r="AD673" s="25">
        <f>IFERROR((COUNTIFS('Safety Walkthroughs'!$M$4:$M$100003,"Completed",'Safety Walkthroughs'!$D$4:$D$100003,"Sep",'Safety Walkthroughs'!$F$4:$F$100003,dCrit))/COUNTIFS('Safety Walkthroughs'!$D$4:$D$100003,"Sep",'Safety Walkthroughs'!$F$4:$F$100003,dCrit)*100,0)</f>
        <v>0</v>
      </c>
      <c r="AE673" s="25">
        <f>IFERROR((COUNTIFS('Safety Walkthroughs'!$M$4:$M$100003,"Completed",'Safety Walkthroughs'!$D$4:$D$100003,"Oct",'Safety Walkthroughs'!$F$4:$F$100003,dCrit))/COUNTIFS('Safety Walkthroughs'!$D$4:$D$100003,"Oct",'Safety Walkthroughs'!$F$4:$F$100003,dCrit)*100,0)</f>
        <v>0</v>
      </c>
      <c r="AF673" s="25">
        <f>IFERROR((COUNTIFS('Safety Walkthroughs'!$M$4:$M$100003,"Completed",'Safety Walkthroughs'!$D$4:$D$100003,"Nov",'Safety Walkthroughs'!$F$4:$F$100003,dCrit))/COUNTIFS('Safety Walkthroughs'!$D$4:$D$100003,"Nov",'Safety Walkthroughs'!$F$4:$F$100003,dCrit)*100,0)</f>
        <v>0</v>
      </c>
      <c r="AG673" s="25">
        <f>IFERROR((COUNTIFS('Safety Walkthroughs'!$M$4:$M$100003,"Completed",'Safety Walkthroughs'!$D$4:$D$100003,"Dec",'Safety Walkthroughs'!$F$4:$F$100003,dCrit))/COUNTIFS('Safety Walkthroughs'!$D$4:$D$100003,"Dec",'Safety Walkthroughs'!$F$4:$F$100003,dCrit)*100,0)</f>
        <v>0</v>
      </c>
      <c r="AH673" s="25">
        <f>IFERROR(AVERAGE(V673:AG673),0)</f>
        <v>0</v>
      </c>
    </row>
    <row r="674" spans="2:34">
      <c r="B674" s="23" t="s">
        <v>44</v>
      </c>
      <c r="C674" s="22">
        <f>COUNTIFS('Safety Walkthroughs'!$D$4:$D$100003,"Mar",'Safety Walkthroughs'!$F$4:$F$100003,dCrit)</f>
        <v>0</v>
      </c>
      <c r="E674" s="13" t="s">
        <v>17</v>
      </c>
      <c r="F674" s="22">
        <f>COUNTIFS('Safety Walkthroughs'!$L$4:$L$100003,"Satisfactory",'Safety Walkthroughs'!$D$4:$D$100003,mCrit,'Safety Walkthroughs'!$F$4:$F$100003,dCrit)</f>
        <v>0</v>
      </c>
      <c r="J674" s="13" t="s">
        <v>303</v>
      </c>
      <c r="K674" s="22">
        <f>COUNTIFS('Safety Walkthroughs'!$M$4:$M$100003,"Pending",'Safety Walkthroughs'!$D$4:$D$100003,mCrit,'Safety Walkthroughs'!$F$4:$F$100003,dCrit)</f>
        <v>0</v>
      </c>
      <c r="M674" s="13" t="s">
        <v>331</v>
      </c>
      <c r="N674" s="22">
        <f>COUNTIFS('Safety Walkthroughs'!$M$4:$M$100003,"Overdue",'Safety Walkthroughs'!$D$4:$D$100003,mCrit,'Safety Walkthroughs'!$F$4:$F$100003,dCrit)</f>
        <v>0</v>
      </c>
      <c r="P674" s="13" t="s">
        <v>39</v>
      </c>
      <c r="Q674" s="22">
        <f>COUNTIFS('Safety Walkthroughs'!$D$4:$D$100003,mCrit,'Safety Walkthroughs'!$F$4:$F$100003,"Engineering")</f>
        <v>0</v>
      </c>
      <c r="R674" s="25">
        <f>IFERROR((COUNTIFS('Safety Walkthroughs'!$M$4:$M$100003,"Completed",'Safety Walkthroughs'!$D$4:$D$100003,mCrit,'Safety Walkthroughs'!$F$4:$F$100003,"Engineering"))/COUNTIFS('Safety Walkthroughs'!$D$4:$D$100003,mCrit,'Safety Walkthroughs'!$F$4:$F$100003,"Engineering")*100,0)</f>
        <v>0</v>
      </c>
      <c r="S674" s="22">
        <f>COUNTIFS('Safety Walkthroughs'!$D$4:$D$100003,mCrit,'Safety Walkthroughs'!$F$4:$F$100003,"Engineering")</f>
        <v>0</v>
      </c>
    </row>
    <row r="675" spans="2:34">
      <c r="B675" s="23" t="s">
        <v>53</v>
      </c>
      <c r="C675" s="22">
        <f>COUNTIFS('Safety Walkthroughs'!$D$4:$D$100003,"Apr",'Safety Walkthroughs'!$F$4:$F$100003,dCrit)</f>
        <v>0</v>
      </c>
      <c r="E675" s="13" t="s">
        <v>96</v>
      </c>
      <c r="F675" s="22">
        <f>COUNTIFS('Safety Walkthroughs'!$L$4:$L$100003,"Needs Improvement",'Safety Walkthroughs'!$D$4:$D$100003,mCrit,'Safety Walkthroughs'!$F$4:$F$100003,dCrit)</f>
        <v>0</v>
      </c>
      <c r="J675" s="13" t="s">
        <v>226</v>
      </c>
      <c r="K675" s="22">
        <f>COUNTIFS('Safety Walkthroughs'!$M$4:$M$100003,"In Progress",'Safety Walkthroughs'!$D$4:$D$100003,mCrit,'Safety Walkthroughs'!$F$4:$F$100003,dCrit)</f>
        <v>0</v>
      </c>
      <c r="M675" s="13" t="s">
        <v>151</v>
      </c>
      <c r="N675" s="22">
        <f>SUMIFS('Safety Walkthroughs'!$K$4:$K$100003,'Safety Walkthroughs'!$D$4:$D$100003,mCrit,'Safety Walkthroughs'!$F$4:$F$100003,dCrit)</f>
        <v>0</v>
      </c>
      <c r="P675" s="13" t="s">
        <v>89</v>
      </c>
      <c r="Q675" s="22">
        <f>COUNTIFS('Safety Walkthroughs'!$D$4:$D$100003,mCrit,'Safety Walkthroughs'!$F$4:$F$100003,"Construction")</f>
        <v>0</v>
      </c>
      <c r="R675" s="25">
        <f>IFERROR((COUNTIFS('Safety Walkthroughs'!$M$4:$M$100003,"Completed",'Safety Walkthroughs'!$D$4:$D$100003,mCrit,'Safety Walkthroughs'!$F$4:$F$100003,"Construction"))/COUNTIFS('Safety Walkthroughs'!$D$4:$D$100003,mCrit,'Safety Walkthroughs'!$F$4:$F$100003,"Construction")*100,0)</f>
        <v>0</v>
      </c>
      <c r="S675" s="22">
        <f>COUNTIFS('Safety Walkthroughs'!$D$4:$D$100003,mCrit,'Safety Walkthroughs'!$F$4:$F$100003,"Construction")</f>
        <v>0</v>
      </c>
    </row>
    <row r="676" spans="2:34">
      <c r="B676" s="23" t="s">
        <v>60</v>
      </c>
      <c r="C676" s="22">
        <f>COUNTIFS('Safety Walkthroughs'!$D$4:$D$100003,"May",'Safety Walkthroughs'!$F$4:$F$100003,dCrit)</f>
        <v>0</v>
      </c>
      <c r="E676" s="13" t="s">
        <v>24</v>
      </c>
      <c r="F676" s="22">
        <f>COUNTIFS('Safety Walkthroughs'!$L$4:$L$100003,"Unsatisfactory",'Safety Walkthroughs'!$D$4:$D$100003,mCrit,'Safety Walkthroughs'!$F$4:$F$100003,dCrit)</f>
        <v>0</v>
      </c>
      <c r="M676" s="13" t="s">
        <v>2083</v>
      </c>
      <c r="N676" s="22">
        <f>SUMIFS('Safety Walkthroughs'!$I$4:$I$100003,'Safety Walkthroughs'!$D$4:$D$100003,mCrit,'Safety Walkthroughs'!$F$4:$F$100003,dCrit)</f>
        <v>0</v>
      </c>
      <c r="P676" s="13" t="s">
        <v>65</v>
      </c>
      <c r="Q676" s="22">
        <f>COUNTIFS('Safety Walkthroughs'!$D$4:$D$100003,mCrit,'Safety Walkthroughs'!$F$4:$F$100003,"Safety")</f>
        <v>0</v>
      </c>
      <c r="R676" s="25">
        <f>IFERROR((COUNTIFS('Safety Walkthroughs'!$M$4:$M$100003,"Completed",'Safety Walkthroughs'!$D$4:$D$100003,mCrit,'Safety Walkthroughs'!$F$4:$F$100003,"Safety"))/COUNTIFS('Safety Walkthroughs'!$D$4:$D$100003,mCrit,'Safety Walkthroughs'!$F$4:$F$100003,"Safety")*100,0)</f>
        <v>0</v>
      </c>
      <c r="S676" s="22">
        <f>COUNTIFS('Safety Walkthroughs'!$D$4:$D$100003,mCrit,'Safety Walkthroughs'!$F$4:$F$100003,"Safety")</f>
        <v>0</v>
      </c>
    </row>
    <row r="677" spans="2:34">
      <c r="B677" s="23" t="s">
        <v>73</v>
      </c>
      <c r="C677" s="22">
        <f>COUNTIFS('Safety Walkthroughs'!$D$4:$D$100003,"Jun",'Safety Walkthroughs'!$F$4:$F$100003,dCrit)</f>
        <v>0</v>
      </c>
      <c r="M677" s="13" t="s">
        <v>2084</v>
      </c>
      <c r="N677" s="22">
        <f>SUMIFS('Safety Walkthroughs'!$J$4:$J$100003,'Safety Walkthroughs'!$D$4:$D$100003,mCrit,'Safety Walkthroughs'!$F$4:$F$100003,dCrit)</f>
        <v>0</v>
      </c>
      <c r="P677" s="13" t="s">
        <v>5</v>
      </c>
      <c r="Q677" s="22">
        <f>COUNTIFS('Safety Walkthroughs'!$D$4:$D$100003,mCrit,'Safety Walkthroughs'!$F$4:$F$100003,"Logistics")</f>
        <v>0</v>
      </c>
      <c r="R677" s="25">
        <f>IFERROR((COUNTIFS('Safety Walkthroughs'!$M$4:$M$100003,"Completed",'Safety Walkthroughs'!$D$4:$D$100003,mCrit,'Safety Walkthroughs'!$F$4:$F$100003,"Logistics"))/COUNTIFS('Safety Walkthroughs'!$D$4:$D$100003,mCrit,'Safety Walkthroughs'!$F$4:$F$100003,"Logistics")*100,0)</f>
        <v>0</v>
      </c>
      <c r="S677" s="22">
        <f>COUNTIFS('Safety Walkthroughs'!$D$4:$D$100003,mCrit,'Safety Walkthroughs'!$F$4:$F$100003,"Logistics")</f>
        <v>0</v>
      </c>
    </row>
    <row r="678" spans="2:34">
      <c r="B678" s="23" t="s">
        <v>76</v>
      </c>
      <c r="C678" s="22">
        <f>COUNTIFS('Safety Walkthroughs'!$D$4:$D$100003,"Jul",'Safety Walkthroughs'!$F$4:$F$100003,dCrit)</f>
        <v>0</v>
      </c>
      <c r="M678" s="13" t="s">
        <v>2085</v>
      </c>
      <c r="N678" s="25">
        <f>IFERROR((SUMIFS('Safety Walkthroughs'!$J$4:$J$100003,'Safety Walkthroughs'!$D$4:$D$100003,mCrit,'Safety Walkthroughs'!$F$4:$F$100003,dCrit))/(COUNTIFS('Safety Walkthroughs'!$D$4:$D$100003,mCrit,'Safety Walkthroughs'!$F$4:$F$100003,dCrit))*100,0)</f>
        <v>0</v>
      </c>
      <c r="P678" s="13" t="s">
        <v>50</v>
      </c>
      <c r="Q678" s="22">
        <f>COUNTIFS('Safety Walkthroughs'!$D$4:$D$100003,mCrit,'Safety Walkthroughs'!$F$4:$F$100003,"Quality")</f>
        <v>0</v>
      </c>
      <c r="R678" s="25">
        <f>IFERROR((COUNTIFS('Safety Walkthroughs'!$M$4:$M$100003,"Completed",'Safety Walkthroughs'!$D$4:$D$100003,mCrit,'Safety Walkthroughs'!$F$4:$F$100003,"Quality"))/COUNTIFS('Safety Walkthroughs'!$D$4:$D$100003,mCrit,'Safety Walkthroughs'!$F$4:$F$100003,"Quality")*100,0)</f>
        <v>0</v>
      </c>
      <c r="S678" s="22">
        <f>COUNTIFS('Safety Walkthroughs'!$D$4:$D$100003,mCrit,'Safety Walkthroughs'!$F$4:$F$100003,"Quality")</f>
        <v>0</v>
      </c>
    </row>
    <row r="679" spans="2:34">
      <c r="B679" s="23" t="s">
        <v>86</v>
      </c>
      <c r="C679" s="22">
        <f>COUNTIFS('Safety Walkthroughs'!$D$4:$D$100003,"Aug",'Safety Walkthroughs'!$F$4:$F$100003,dCrit)</f>
        <v>0</v>
      </c>
      <c r="M679" s="13" t="s">
        <v>2081</v>
      </c>
      <c r="N679" s="25">
        <f>IFERROR((COUNTIFS('Safety Walkthroughs'!$M$4:$M$100003,"Completed",'Safety Walkthroughs'!$D$4:$D$100003,mCrit,'Safety Walkthroughs'!$F$4:$F$100003,dCrit))/(COUNTIFS('Safety Walkthroughs'!$D$4:$D$100003,mCrit,'Safety Walkthroughs'!$F$4:$F$100003,dCrit))*100,0)</f>
        <v>0</v>
      </c>
      <c r="P679" s="13" t="s">
        <v>46</v>
      </c>
      <c r="Q679" s="22">
        <f>COUNTIFS('Safety Walkthroughs'!$D$4:$D$100003,mCrit,'Safety Walkthroughs'!$F$4:$F$100003,"Admin")</f>
        <v>0</v>
      </c>
      <c r="R679" s="25">
        <f>IFERROR((COUNTIFS('Safety Walkthroughs'!$M$4:$M$100003,"Completed",'Safety Walkthroughs'!$D$4:$D$100003,mCrit,'Safety Walkthroughs'!$F$4:$F$100003,"Admin"))/COUNTIFS('Safety Walkthroughs'!$D$4:$D$100003,mCrit,'Safety Walkthroughs'!$F$4:$F$100003,"Admin")*100,0)</f>
        <v>0</v>
      </c>
      <c r="S679" s="22">
        <f>COUNTIFS('Safety Walkthroughs'!$D$4:$D$100003,mCrit,'Safety Walkthroughs'!$F$4:$F$100003,"Admin")</f>
        <v>0</v>
      </c>
    </row>
    <row r="680" spans="2:34">
      <c r="B680" s="23" t="s">
        <v>102</v>
      </c>
      <c r="C680" s="22">
        <f>COUNTIFS('Safety Walkthroughs'!$D$4:$D$100003,"Sep",'Safety Walkthroughs'!$F$4:$F$100003,dCrit)</f>
        <v>0</v>
      </c>
      <c r="P680" s="13" t="s">
        <v>13</v>
      </c>
      <c r="Q680" s="22">
        <f>COUNTIFS('Safety Walkthroughs'!$D$4:$D$100003,mCrit,'Safety Walkthroughs'!$F$4:$F$100003,"Projects")</f>
        <v>0</v>
      </c>
      <c r="R680" s="25">
        <f>IFERROR((COUNTIFS('Safety Walkthroughs'!$M$4:$M$100003,"Completed",'Safety Walkthroughs'!$D$4:$D$100003,mCrit,'Safety Walkthroughs'!$F$4:$F$100003,"Projects"))/COUNTIFS('Safety Walkthroughs'!$D$4:$D$100003,mCrit,'Safety Walkthroughs'!$F$4:$F$100003,"Projects")*100,0)</f>
        <v>0</v>
      </c>
      <c r="S680" s="22">
        <f>COUNTIFS('Safety Walkthroughs'!$D$4:$D$100003,mCrit,'Safety Walkthroughs'!$F$4:$F$100003,"Projects")</f>
        <v>0</v>
      </c>
    </row>
    <row r="681" spans="2:34">
      <c r="B681" s="23" t="s">
        <v>106</v>
      </c>
      <c r="C681" s="22">
        <f>COUNTIFS('Safety Walkthroughs'!$D$4:$D$100003,"Oct",'Safety Walkthroughs'!$F$4:$F$100003,dCrit)</f>
        <v>0</v>
      </c>
      <c r="P681" s="13" t="s">
        <v>58</v>
      </c>
      <c r="Q681" s="22">
        <f>COUNTIFS('Safety Walkthroughs'!$D$4:$D$100003,mCrit,'Safety Walkthroughs'!$F$4:$F$100003,"Contractor")</f>
        <v>0</v>
      </c>
      <c r="R681" s="25">
        <f>IFERROR((COUNTIFS('Safety Walkthroughs'!$M$4:$M$100003,"Completed",'Safety Walkthroughs'!$D$4:$D$100003,mCrit,'Safety Walkthroughs'!$F$4:$F$100003,"Contractor"))/COUNTIFS('Safety Walkthroughs'!$D$4:$D$100003,mCrit,'Safety Walkthroughs'!$F$4:$F$100003,"Contractor")*100,0)</f>
        <v>0</v>
      </c>
      <c r="S681" s="22">
        <f>COUNTIFS('Safety Walkthroughs'!$D$4:$D$100003,mCrit,'Safety Walkthroughs'!$F$4:$F$100003,"Contractor")</f>
        <v>0</v>
      </c>
    </row>
    <row r="682" spans="2:34">
      <c r="B682" s="23" t="s">
        <v>111</v>
      </c>
      <c r="C682" s="22">
        <f>COUNTIFS('Safety Walkthroughs'!$D$4:$D$100003,"Nov",'Safety Walkthroughs'!$F$4:$F$100003,dCrit)</f>
        <v>0</v>
      </c>
    </row>
    <row r="683" spans="2:34">
      <c r="B683" s="23" t="s">
        <v>122</v>
      </c>
      <c r="C683" s="22">
        <f>COUNTIFS('Safety Walkthroughs'!$D$4:$D$100003,"Dec",'Safety Walkthroughs'!$F$4:$F$100003,dCrit)</f>
        <v>0</v>
      </c>
    </row>
    <row r="696" spans="2:34">
      <c r="B696" s="17" t="s">
        <v>2088</v>
      </c>
    </row>
    <row r="697" spans="2:34">
      <c r="B697" s="12" t="s">
        <v>127</v>
      </c>
      <c r="C697" s="12" t="s">
        <v>1965</v>
      </c>
      <c r="E697" s="12" t="s">
        <v>569</v>
      </c>
      <c r="F697" s="12" t="s">
        <v>1965</v>
      </c>
      <c r="G697" s="12" t="s">
        <v>577</v>
      </c>
      <c r="H697" s="12" t="s">
        <v>1965</v>
      </c>
      <c r="M697" s="12" t="s">
        <v>1927</v>
      </c>
      <c r="N697" s="12" t="s">
        <v>2039</v>
      </c>
      <c r="P697" s="12" t="s">
        <v>129</v>
      </c>
      <c r="Q697" s="12" t="s">
        <v>1965</v>
      </c>
      <c r="R697" s="12" t="s">
        <v>1770</v>
      </c>
      <c r="S697" s="12" t="s">
        <v>2062</v>
      </c>
      <c r="U697" s="12" t="s">
        <v>2038</v>
      </c>
      <c r="V697" s="12" t="s">
        <v>3</v>
      </c>
      <c r="W697" s="12" t="s">
        <v>19</v>
      </c>
      <c r="X697" s="12" t="s">
        <v>44</v>
      </c>
      <c r="Y697" s="12" t="s">
        <v>53</v>
      </c>
      <c r="Z697" s="12" t="s">
        <v>60</v>
      </c>
      <c r="AA697" s="12" t="s">
        <v>73</v>
      </c>
      <c r="AB697" s="12" t="s">
        <v>76</v>
      </c>
      <c r="AC697" s="12" t="s">
        <v>86</v>
      </c>
      <c r="AD697" s="12" t="s">
        <v>102</v>
      </c>
      <c r="AE697" s="12" t="s">
        <v>106</v>
      </c>
      <c r="AF697" s="12" t="s">
        <v>111</v>
      </c>
      <c r="AG697" s="12" t="s">
        <v>122</v>
      </c>
      <c r="AH697" s="12" t="s">
        <v>2063</v>
      </c>
    </row>
    <row r="698" spans="2:34">
      <c r="B698" s="23" t="s">
        <v>3</v>
      </c>
      <c r="C698" s="22">
        <f>COUNTIFS('Safety Meetings'!$D$4:$D$100003,"Jan",'Safety Meetings'!$G$4:$G$100003,dCrit)</f>
        <v>0</v>
      </c>
      <c r="E698" s="13" t="s">
        <v>517</v>
      </c>
      <c r="F698" s="22">
        <f>COUNTIFS('Safety Meetings'!$E$4:$E$100003,"Weekly",'Safety Meetings'!$D$4:$D$100003,mCrit,'Safety Meetings'!$G$4:$G$100003,dCrit)</f>
        <v>0</v>
      </c>
      <c r="G698" s="13" t="s">
        <v>9</v>
      </c>
      <c r="H698" s="22">
        <f>COUNTIFS('Safety Meetings'!$P$4:$P$100003,"Yes",'Safety Meetings'!$D$4:$D$100003,mCrit,'Safety Meetings'!$G$4:$G$100003,dCrit)</f>
        <v>0</v>
      </c>
      <c r="M698" s="13" t="s">
        <v>2089</v>
      </c>
      <c r="N698" s="22">
        <f>COUNTIFS('Safety Meetings'!$D$4:$D$100003,mCrit,'Safety Meetings'!$G$4:$G$100003,dCrit)</f>
        <v>0</v>
      </c>
      <c r="P698" s="13" t="s">
        <v>27</v>
      </c>
      <c r="Q698" s="22">
        <f>COUNTIFS('Safety Meetings'!$D$4:$D$100003,mCrit,'Safety Meetings'!$G$4:$G$100003,"Operations")</f>
        <v>0</v>
      </c>
      <c r="R698" s="22">
        <f>COUNTIFS('Safety Meetings'!$D$4:$D$100003,mCrit,'Safety Meetings'!$G$4:$G$100003,"Operations")</f>
        <v>0</v>
      </c>
      <c r="S698" s="25">
        <f>IFERROR(AVERAGEIFS('Safety Meetings'!$K$4:$K$100003,'Safety Meetings'!$D$4:$D$100003,mCrit,'Safety Meetings'!$G$4:$G$100003,"Operations"),0)</f>
        <v>0</v>
      </c>
      <c r="U698" s="13" t="s">
        <v>1770</v>
      </c>
      <c r="V698" s="22">
        <f>COUNTIFS('Safety Meetings'!$D$4:$D$100003,"Jan",'Safety Meetings'!$G$4:$G$100003,dCrit)</f>
        <v>0</v>
      </c>
      <c r="W698" s="22">
        <f>COUNTIFS('Safety Meetings'!$D$4:$D$100003,"Feb",'Safety Meetings'!$G$4:$G$100003,dCrit)</f>
        <v>0</v>
      </c>
      <c r="X698" s="22">
        <f>COUNTIFS('Safety Meetings'!$D$4:$D$100003,"Mar",'Safety Meetings'!$G$4:$G$100003,dCrit)</f>
        <v>0</v>
      </c>
      <c r="Y698" s="22">
        <f>COUNTIFS('Safety Meetings'!$D$4:$D$100003,"Apr",'Safety Meetings'!$G$4:$G$100003,dCrit)</f>
        <v>0</v>
      </c>
      <c r="Z698" s="22">
        <f>COUNTIFS('Safety Meetings'!$D$4:$D$100003,"May",'Safety Meetings'!$G$4:$G$100003,dCrit)</f>
        <v>0</v>
      </c>
      <c r="AA698" s="22">
        <f>COUNTIFS('Safety Meetings'!$D$4:$D$100003,"Jun",'Safety Meetings'!$G$4:$G$100003,dCrit)</f>
        <v>0</v>
      </c>
      <c r="AB698" s="22">
        <f>COUNTIFS('Safety Meetings'!$D$4:$D$100003,"Jul",'Safety Meetings'!$G$4:$G$100003,dCrit)</f>
        <v>0</v>
      </c>
      <c r="AC698" s="22">
        <f>COUNTIFS('Safety Meetings'!$D$4:$D$100003,"Aug",'Safety Meetings'!$G$4:$G$100003,dCrit)</f>
        <v>0</v>
      </c>
      <c r="AD698" s="22">
        <f>COUNTIFS('Safety Meetings'!$D$4:$D$100003,"Sep",'Safety Meetings'!$G$4:$G$100003,dCrit)</f>
        <v>0</v>
      </c>
      <c r="AE698" s="22">
        <f>COUNTIFS('Safety Meetings'!$D$4:$D$100003,"Oct",'Safety Meetings'!$G$4:$G$100003,dCrit)</f>
        <v>0</v>
      </c>
      <c r="AF698" s="22">
        <f>COUNTIFS('Safety Meetings'!$D$4:$D$100003,"Nov",'Safety Meetings'!$G$4:$G$100003,dCrit)</f>
        <v>0</v>
      </c>
      <c r="AG698" s="22">
        <f>COUNTIFS('Safety Meetings'!$D$4:$D$100003,"Dec",'Safety Meetings'!$G$4:$G$100003,dCrit)</f>
        <v>0</v>
      </c>
      <c r="AH698" s="22">
        <f>SUM(V698:AG698)</f>
        <v>0</v>
      </c>
    </row>
    <row r="699" spans="2:34">
      <c r="B699" s="23" t="s">
        <v>19</v>
      </c>
      <c r="C699" s="22">
        <f>COUNTIFS('Safety Meetings'!$D$4:$D$100003,"Feb",'Safety Meetings'!$G$4:$G$100003,dCrit)</f>
        <v>0</v>
      </c>
      <c r="E699" s="13" t="s">
        <v>524</v>
      </c>
      <c r="F699" s="22">
        <f>COUNTIFS('Safety Meetings'!$E$4:$E$100003,"Monthly",'Safety Meetings'!$D$4:$D$100003,mCrit,'Safety Meetings'!$G$4:$G$100003,dCrit)</f>
        <v>0</v>
      </c>
      <c r="G699" s="13" t="s">
        <v>23</v>
      </c>
      <c r="H699" s="22">
        <f>COUNTIFS('Safety Meetings'!$P$4:$P$100003,"No",'Safety Meetings'!$D$4:$D$100003,mCrit,'Safety Meetings'!$G$4:$G$100003,dCrit)</f>
        <v>0</v>
      </c>
      <c r="M699" s="13" t="s">
        <v>2057</v>
      </c>
      <c r="N699" s="25">
        <f>IFERROR(AVERAGEIFS('Safety Meetings'!$K$4:$K$100003,'Safety Meetings'!$D$4:$D$100003,mCrit,'Safety Meetings'!$G$4:$G$100003,dCrit),0)</f>
        <v>0</v>
      </c>
      <c r="P699" s="13" t="s">
        <v>92</v>
      </c>
      <c r="Q699" s="22">
        <f>COUNTIFS('Safety Meetings'!$D$4:$D$100003,mCrit,'Safety Meetings'!$G$4:$G$100003,"Maintenance")</f>
        <v>0</v>
      </c>
      <c r="R699" s="22">
        <f>COUNTIFS('Safety Meetings'!$D$4:$D$100003,mCrit,'Safety Meetings'!$G$4:$G$100003,"Maintenance")</f>
        <v>0</v>
      </c>
      <c r="S699" s="25">
        <f>IFERROR(AVERAGEIFS('Safety Meetings'!$K$4:$K$100003,'Safety Meetings'!$D$4:$D$100003,mCrit,'Safety Meetings'!$G$4:$G$100003,"Maintenance"),0)</f>
        <v>0</v>
      </c>
      <c r="U699" s="13" t="s">
        <v>2062</v>
      </c>
      <c r="V699" s="25">
        <f>IFERROR(AVERAGEIFS('Safety Meetings'!$K$4:$K$100003,'Safety Meetings'!$D$4:$D$100003,"Jan",'Safety Meetings'!$G$4:$G$100003,dCrit),0)</f>
        <v>0</v>
      </c>
      <c r="W699" s="25">
        <f>IFERROR(AVERAGEIFS('Safety Meetings'!$K$4:$K$100003,'Safety Meetings'!$D$4:$D$100003,"Feb",'Safety Meetings'!$G$4:$G$100003,dCrit),0)</f>
        <v>0</v>
      </c>
      <c r="X699" s="25">
        <f>IFERROR(AVERAGEIFS('Safety Meetings'!$K$4:$K$100003,'Safety Meetings'!$D$4:$D$100003,"Mar",'Safety Meetings'!$G$4:$G$100003,dCrit),0)</f>
        <v>0</v>
      </c>
      <c r="Y699" s="25">
        <f>IFERROR(AVERAGEIFS('Safety Meetings'!$K$4:$K$100003,'Safety Meetings'!$D$4:$D$100003,"Apr",'Safety Meetings'!$G$4:$G$100003,dCrit),0)</f>
        <v>0</v>
      </c>
      <c r="Z699" s="25">
        <f>IFERROR(AVERAGEIFS('Safety Meetings'!$K$4:$K$100003,'Safety Meetings'!$D$4:$D$100003,"May",'Safety Meetings'!$G$4:$G$100003,dCrit),0)</f>
        <v>0</v>
      </c>
      <c r="AA699" s="25">
        <f>IFERROR(AVERAGEIFS('Safety Meetings'!$K$4:$K$100003,'Safety Meetings'!$D$4:$D$100003,"Jun",'Safety Meetings'!$G$4:$G$100003,dCrit),0)</f>
        <v>0</v>
      </c>
      <c r="AB699" s="25">
        <f>IFERROR(AVERAGEIFS('Safety Meetings'!$K$4:$K$100003,'Safety Meetings'!$D$4:$D$100003,"Jul",'Safety Meetings'!$G$4:$G$100003,dCrit),0)</f>
        <v>0</v>
      </c>
      <c r="AC699" s="25">
        <f>IFERROR(AVERAGEIFS('Safety Meetings'!$K$4:$K$100003,'Safety Meetings'!$D$4:$D$100003,"Aug",'Safety Meetings'!$G$4:$G$100003,dCrit),0)</f>
        <v>0</v>
      </c>
      <c r="AD699" s="25">
        <f>IFERROR(AVERAGEIFS('Safety Meetings'!$K$4:$K$100003,'Safety Meetings'!$D$4:$D$100003,"Sep",'Safety Meetings'!$G$4:$G$100003,dCrit),0)</f>
        <v>0</v>
      </c>
      <c r="AE699" s="25">
        <f>IFERROR(AVERAGEIFS('Safety Meetings'!$K$4:$K$100003,'Safety Meetings'!$D$4:$D$100003,"Oct",'Safety Meetings'!$G$4:$G$100003,dCrit),0)</f>
        <v>0</v>
      </c>
      <c r="AF699" s="25">
        <f>IFERROR(AVERAGEIFS('Safety Meetings'!$K$4:$K$100003,'Safety Meetings'!$D$4:$D$100003,"Nov",'Safety Meetings'!$G$4:$G$100003,dCrit),0)</f>
        <v>0</v>
      </c>
      <c r="AG699" s="25">
        <f>IFERROR(AVERAGEIFS('Safety Meetings'!$K$4:$K$100003,'Safety Meetings'!$D$4:$D$100003,"Dec",'Safety Meetings'!$G$4:$G$100003,dCrit),0)</f>
        <v>0</v>
      </c>
      <c r="AH699" s="25">
        <f>IFERROR(AVERAGE(V699:AG699),0)</f>
        <v>0</v>
      </c>
    </row>
    <row r="700" spans="2:34">
      <c r="B700" s="23" t="s">
        <v>44</v>
      </c>
      <c r="C700" s="22">
        <f>COUNTIFS('Safety Meetings'!$D$4:$D$100003,"Mar",'Safety Meetings'!$G$4:$G$100003,dCrit)</f>
        <v>0</v>
      </c>
      <c r="E700" s="13" t="s">
        <v>522</v>
      </c>
      <c r="F700" s="22">
        <f>COUNTIFS('Safety Meetings'!$E$4:$E$100003,"Quarterly",'Safety Meetings'!$D$4:$D$100003,mCrit,'Safety Meetings'!$G$4:$G$100003,dCrit)</f>
        <v>0</v>
      </c>
      <c r="M700" s="13" t="s">
        <v>887</v>
      </c>
      <c r="N700" s="22">
        <f>SUMIFS('Safety Meetings'!$M$4:$M$100003,'Safety Meetings'!$D$4:$D$100003,mCrit,'Safety Meetings'!$G$4:$G$100003,dCrit)</f>
        <v>0</v>
      </c>
      <c r="P700" s="13" t="s">
        <v>39</v>
      </c>
      <c r="Q700" s="22">
        <f>COUNTIFS('Safety Meetings'!$D$4:$D$100003,mCrit,'Safety Meetings'!$G$4:$G$100003,"Engineering")</f>
        <v>0</v>
      </c>
      <c r="R700" s="22">
        <f>COUNTIFS('Safety Meetings'!$D$4:$D$100003,mCrit,'Safety Meetings'!$G$4:$G$100003,"Engineering")</f>
        <v>0</v>
      </c>
      <c r="S700" s="25">
        <f>IFERROR(AVERAGEIFS('Safety Meetings'!$K$4:$K$100003,'Safety Meetings'!$D$4:$D$100003,mCrit,'Safety Meetings'!$G$4:$G$100003,"Engineering"),0)</f>
        <v>0</v>
      </c>
    </row>
    <row r="701" spans="2:34">
      <c r="B701" s="23" t="s">
        <v>53</v>
      </c>
      <c r="C701" s="22">
        <f>COUNTIFS('Safety Meetings'!$D$4:$D$100003,"Apr",'Safety Meetings'!$G$4:$G$100003,dCrit)</f>
        <v>0</v>
      </c>
      <c r="E701" s="13" t="s">
        <v>519</v>
      </c>
      <c r="F701" s="22">
        <f>COUNTIFS('Safety Meetings'!$E$4:$E$100003,"Annual",'Safety Meetings'!$D$4:$D$100003,mCrit,'Safety Meetings'!$G$4:$G$100003,dCrit)</f>
        <v>0</v>
      </c>
      <c r="M701" s="13" t="s">
        <v>575</v>
      </c>
      <c r="N701" s="22">
        <f>SUMIFS('Safety Meetings'!$N$4:$N$100003,'Safety Meetings'!$D$4:$D$100003,mCrit,'Safety Meetings'!$G$4:$G$100003,dCrit)</f>
        <v>0</v>
      </c>
      <c r="P701" s="13" t="s">
        <v>89</v>
      </c>
      <c r="Q701" s="22">
        <f>COUNTIFS('Safety Meetings'!$D$4:$D$100003,mCrit,'Safety Meetings'!$G$4:$G$100003,"Construction")</f>
        <v>0</v>
      </c>
      <c r="R701" s="22">
        <f>COUNTIFS('Safety Meetings'!$D$4:$D$100003,mCrit,'Safety Meetings'!$G$4:$G$100003,"Construction")</f>
        <v>0</v>
      </c>
      <c r="S701" s="25">
        <f>IFERROR(AVERAGEIFS('Safety Meetings'!$K$4:$K$100003,'Safety Meetings'!$D$4:$D$100003,mCrit,'Safety Meetings'!$G$4:$G$100003,"Construction"),0)</f>
        <v>0</v>
      </c>
    </row>
    <row r="702" spans="2:34">
      <c r="B702" s="23" t="s">
        <v>60</v>
      </c>
      <c r="C702" s="22">
        <f>COUNTIFS('Safety Meetings'!$D$4:$D$100003,"May",'Safety Meetings'!$G$4:$G$100003,dCrit)</f>
        <v>0</v>
      </c>
      <c r="M702" s="13" t="s">
        <v>576</v>
      </c>
      <c r="N702" s="25">
        <f>IFERROR(AVERAGEIFS('Safety Meetings'!$O$4:$O$100003,'Safety Meetings'!$D$4:$D$100003,mCrit,'Safety Meetings'!$G$4:$G$100003,dCrit),0)</f>
        <v>0</v>
      </c>
      <c r="P702" s="13" t="s">
        <v>65</v>
      </c>
      <c r="Q702" s="22">
        <f>COUNTIFS('Safety Meetings'!$D$4:$D$100003,mCrit,'Safety Meetings'!$G$4:$G$100003,"Safety")</f>
        <v>0</v>
      </c>
      <c r="R702" s="22">
        <f>COUNTIFS('Safety Meetings'!$D$4:$D$100003,mCrit,'Safety Meetings'!$G$4:$G$100003,"Safety")</f>
        <v>0</v>
      </c>
      <c r="S702" s="25">
        <f>IFERROR(AVERAGEIFS('Safety Meetings'!$K$4:$K$100003,'Safety Meetings'!$D$4:$D$100003,mCrit,'Safety Meetings'!$G$4:$G$100003,"Safety"),0)</f>
        <v>0</v>
      </c>
    </row>
    <row r="703" spans="2:34">
      <c r="B703" s="23" t="s">
        <v>73</v>
      </c>
      <c r="C703" s="22">
        <f>COUNTIFS('Safety Meetings'!$D$4:$D$100003,"Jun",'Safety Meetings'!$G$4:$G$100003,dCrit)</f>
        <v>0</v>
      </c>
      <c r="M703" s="13" t="s">
        <v>2075</v>
      </c>
      <c r="N703" s="22">
        <f>(SUMIFS('Safety Meetings'!$L$4:$L$100003,'Safety Meetings'!$D$4:$D$100003,mCrit,'Safety Meetings'!$G$4:$G$100003,dCrit))/60</f>
        <v>0</v>
      </c>
      <c r="P703" s="13" t="s">
        <v>5</v>
      </c>
      <c r="Q703" s="22">
        <f>COUNTIFS('Safety Meetings'!$D$4:$D$100003,mCrit,'Safety Meetings'!$G$4:$G$100003,"Logistics")</f>
        <v>0</v>
      </c>
      <c r="R703" s="22">
        <f>COUNTIFS('Safety Meetings'!$D$4:$D$100003,mCrit,'Safety Meetings'!$G$4:$G$100003,"Logistics")</f>
        <v>0</v>
      </c>
      <c r="S703" s="25">
        <f>IFERROR(AVERAGEIFS('Safety Meetings'!$K$4:$K$100003,'Safety Meetings'!$D$4:$D$100003,mCrit,'Safety Meetings'!$G$4:$G$100003,"Logistics"),0)</f>
        <v>0</v>
      </c>
    </row>
    <row r="704" spans="2:34">
      <c r="B704" s="23" t="s">
        <v>76</v>
      </c>
      <c r="C704" s="22">
        <f>COUNTIFS('Safety Meetings'!$D$4:$D$100003,"Jul",'Safety Meetings'!$G$4:$G$100003,dCrit)</f>
        <v>0</v>
      </c>
      <c r="M704" s="13" t="s">
        <v>2090</v>
      </c>
      <c r="N704" s="22">
        <f>COUNTIFS('Safety Meetings'!$P$4:$P$100003,"Yes",'Safety Meetings'!$D$4:$D$100003,mCrit,'Safety Meetings'!$G$4:$G$100003,dCrit)</f>
        <v>0</v>
      </c>
      <c r="P704" s="13" t="s">
        <v>50</v>
      </c>
      <c r="Q704" s="22">
        <f>COUNTIFS('Safety Meetings'!$D$4:$D$100003,mCrit,'Safety Meetings'!$G$4:$G$100003,"Quality")</f>
        <v>0</v>
      </c>
      <c r="R704" s="22">
        <f>COUNTIFS('Safety Meetings'!$D$4:$D$100003,mCrit,'Safety Meetings'!$G$4:$G$100003,"Quality")</f>
        <v>0</v>
      </c>
      <c r="S704" s="25">
        <f>IFERROR(AVERAGEIFS('Safety Meetings'!$K$4:$K$100003,'Safety Meetings'!$D$4:$D$100003,mCrit,'Safety Meetings'!$G$4:$G$100003,"Quality"),0)</f>
        <v>0</v>
      </c>
    </row>
    <row r="705" spans="2:19">
      <c r="B705" s="23" t="s">
        <v>86</v>
      </c>
      <c r="C705" s="22">
        <f>COUNTIFS('Safety Meetings'!$D$4:$D$100003,"Aug",'Safety Meetings'!$G$4:$G$100003,dCrit)</f>
        <v>0</v>
      </c>
      <c r="M705" s="13" t="s">
        <v>2091</v>
      </c>
      <c r="N705" s="22">
        <f>COUNTIFS('Safety Meetings'!$P$4:$P$100003,"No",'Safety Meetings'!$D$4:$D$100003,mCrit,'Safety Meetings'!$G$4:$G$100003,dCrit)</f>
        <v>0</v>
      </c>
      <c r="P705" s="13" t="s">
        <v>46</v>
      </c>
      <c r="Q705" s="22">
        <f>COUNTIFS('Safety Meetings'!$D$4:$D$100003,mCrit,'Safety Meetings'!$G$4:$G$100003,"Admin")</f>
        <v>0</v>
      </c>
      <c r="R705" s="22">
        <f>COUNTIFS('Safety Meetings'!$D$4:$D$100003,mCrit,'Safety Meetings'!$G$4:$G$100003,"Admin")</f>
        <v>0</v>
      </c>
      <c r="S705" s="25">
        <f>IFERROR(AVERAGEIFS('Safety Meetings'!$K$4:$K$100003,'Safety Meetings'!$D$4:$D$100003,mCrit,'Safety Meetings'!$G$4:$G$100003,"Admin"),0)</f>
        <v>0</v>
      </c>
    </row>
    <row r="706" spans="2:19">
      <c r="B706" s="23" t="s">
        <v>102</v>
      </c>
      <c r="C706" s="22">
        <f>COUNTIFS('Safety Meetings'!$D$4:$D$100003,"Sep",'Safety Meetings'!$G$4:$G$100003,dCrit)</f>
        <v>0</v>
      </c>
      <c r="P706" s="13" t="s">
        <v>13</v>
      </c>
      <c r="Q706" s="22">
        <f>COUNTIFS('Safety Meetings'!$D$4:$D$100003,mCrit,'Safety Meetings'!$G$4:$G$100003,"Projects")</f>
        <v>0</v>
      </c>
      <c r="R706" s="22">
        <f>COUNTIFS('Safety Meetings'!$D$4:$D$100003,mCrit,'Safety Meetings'!$G$4:$G$100003,"Projects")</f>
        <v>0</v>
      </c>
      <c r="S706" s="25">
        <f>IFERROR(AVERAGEIFS('Safety Meetings'!$K$4:$K$100003,'Safety Meetings'!$D$4:$D$100003,mCrit,'Safety Meetings'!$G$4:$G$100003,"Projects"),0)</f>
        <v>0</v>
      </c>
    </row>
    <row r="707" spans="2:19">
      <c r="B707" s="23" t="s">
        <v>106</v>
      </c>
      <c r="C707" s="22">
        <f>COUNTIFS('Safety Meetings'!$D$4:$D$100003,"Oct",'Safety Meetings'!$G$4:$G$100003,dCrit)</f>
        <v>0</v>
      </c>
      <c r="P707" s="13" t="s">
        <v>58</v>
      </c>
      <c r="Q707" s="22">
        <f>COUNTIFS('Safety Meetings'!$D$4:$D$100003,mCrit,'Safety Meetings'!$G$4:$G$100003,"Contractor")</f>
        <v>0</v>
      </c>
      <c r="R707" s="22">
        <f>COUNTIFS('Safety Meetings'!$D$4:$D$100003,mCrit,'Safety Meetings'!$G$4:$G$100003,"Contractor")</f>
        <v>0</v>
      </c>
      <c r="S707" s="25">
        <f>IFERROR(AVERAGEIFS('Safety Meetings'!$K$4:$K$100003,'Safety Meetings'!$D$4:$D$100003,mCrit,'Safety Meetings'!$G$4:$G$100003,"Contractor"),0)</f>
        <v>0</v>
      </c>
    </row>
    <row r="708" spans="2:19">
      <c r="B708" s="23" t="s">
        <v>111</v>
      </c>
      <c r="C708" s="22">
        <f>COUNTIFS('Safety Meetings'!$D$4:$D$100003,"Nov",'Safety Meetings'!$G$4:$G$100003,dCrit)</f>
        <v>0</v>
      </c>
    </row>
    <row r="709" spans="2:19">
      <c r="B709" s="23" t="s">
        <v>122</v>
      </c>
      <c r="C709" s="22">
        <f>COUNTIFS('Safety Meetings'!$D$4:$D$100003,"Dec",'Safety Meetings'!$G$4:$G$100003,dCrit)</f>
        <v>0</v>
      </c>
    </row>
    <row r="722" spans="2:34">
      <c r="B722" s="17" t="s">
        <v>2092</v>
      </c>
    </row>
    <row r="723" spans="2:34">
      <c r="B723" s="12" t="s">
        <v>127</v>
      </c>
      <c r="C723" s="12" t="s">
        <v>1965</v>
      </c>
      <c r="E723" s="12" t="s">
        <v>642</v>
      </c>
      <c r="F723" s="12" t="s">
        <v>1965</v>
      </c>
      <c r="G723" s="12" t="s">
        <v>646</v>
      </c>
      <c r="H723" s="12" t="s">
        <v>1965</v>
      </c>
      <c r="J723" s="12" t="s">
        <v>288</v>
      </c>
      <c r="K723" s="12" t="s">
        <v>1965</v>
      </c>
      <c r="M723" s="12" t="s">
        <v>1927</v>
      </c>
      <c r="N723" s="12" t="s">
        <v>2039</v>
      </c>
      <c r="U723" s="12" t="s">
        <v>2038</v>
      </c>
      <c r="V723" s="12" t="s">
        <v>3</v>
      </c>
      <c r="W723" s="12" t="s">
        <v>19</v>
      </c>
      <c r="X723" s="12" t="s">
        <v>44</v>
      </c>
      <c r="Y723" s="12" t="s">
        <v>53</v>
      </c>
      <c r="Z723" s="12" t="s">
        <v>60</v>
      </c>
      <c r="AA723" s="12" t="s">
        <v>73</v>
      </c>
      <c r="AB723" s="12" t="s">
        <v>76</v>
      </c>
      <c r="AC723" s="12" t="s">
        <v>86</v>
      </c>
      <c r="AD723" s="12" t="s">
        <v>102</v>
      </c>
      <c r="AE723" s="12" t="s">
        <v>106</v>
      </c>
      <c r="AF723" s="12" t="s">
        <v>111</v>
      </c>
      <c r="AG723" s="12" t="s">
        <v>122</v>
      </c>
      <c r="AH723" s="12" t="s">
        <v>2063</v>
      </c>
    </row>
    <row r="724" spans="2:34">
      <c r="B724" s="23" t="s">
        <v>3</v>
      </c>
      <c r="C724" s="22">
        <f>COUNTIFS('Safety Bulletins'!$D$4:$D$100003,"Jan")</f>
        <v>0</v>
      </c>
      <c r="E724" s="13" t="s">
        <v>593</v>
      </c>
      <c r="F724" s="22">
        <f>COUNTIFS('Safety Bulletins'!$E$4:$E$100003,"Safety Alert",'Safety Bulletins'!$D$4:$D$100003,mCrit)</f>
        <v>0</v>
      </c>
      <c r="G724" s="13" t="s">
        <v>604</v>
      </c>
      <c r="H724" s="22">
        <f>COUNTIFS('Safety Bulletins'!$I$4:$I$100003,"Email",'Safety Bulletins'!$D$4:$D$100003,mCrit)</f>
        <v>0</v>
      </c>
      <c r="J724" s="13" t="s">
        <v>582</v>
      </c>
      <c r="K724" s="22">
        <f>COUNTIFS('Safety Bulletins'!$K$4:$K$100003,"Closed",'Safety Bulletins'!$D$4:$D$100003,mCrit)</f>
        <v>0</v>
      </c>
      <c r="M724" s="13" t="s">
        <v>2054</v>
      </c>
      <c r="N724" s="22">
        <f>COUNTIFS('Safety Bulletins'!$D$4:$D$100003,mCrit)</f>
        <v>0</v>
      </c>
      <c r="U724" s="13" t="s">
        <v>1770</v>
      </c>
      <c r="V724" s="22">
        <f>COUNTIFS('Safety Bulletins'!$D$4:$D$100003,"Jan")</f>
        <v>0</v>
      </c>
      <c r="W724" s="22">
        <f>COUNTIFS('Safety Bulletins'!$D$4:$D$100003,"Feb")</f>
        <v>0</v>
      </c>
      <c r="X724" s="22">
        <f>COUNTIFS('Safety Bulletins'!$D$4:$D$100003,"Mar")</f>
        <v>0</v>
      </c>
      <c r="Y724" s="22">
        <f>COUNTIFS('Safety Bulletins'!$D$4:$D$100003,"Apr")</f>
        <v>0</v>
      </c>
      <c r="Z724" s="22">
        <f>COUNTIFS('Safety Bulletins'!$D$4:$D$100003,"May")</f>
        <v>0</v>
      </c>
      <c r="AA724" s="22">
        <f>COUNTIFS('Safety Bulletins'!$D$4:$D$100003,"Jun")</f>
        <v>0</v>
      </c>
      <c r="AB724" s="22">
        <f>COUNTIFS('Safety Bulletins'!$D$4:$D$100003,"Jul")</f>
        <v>0</v>
      </c>
      <c r="AC724" s="22">
        <f>COUNTIFS('Safety Bulletins'!$D$4:$D$100003,"Aug")</f>
        <v>0</v>
      </c>
      <c r="AD724" s="22">
        <f>COUNTIFS('Safety Bulletins'!$D$4:$D$100003,"Sep")</f>
        <v>0</v>
      </c>
      <c r="AE724" s="22">
        <f>COUNTIFS('Safety Bulletins'!$D$4:$D$100003,"Oct")</f>
        <v>0</v>
      </c>
      <c r="AF724" s="22">
        <f>COUNTIFS('Safety Bulletins'!$D$4:$D$100003,"Nov")</f>
        <v>0</v>
      </c>
      <c r="AG724" s="22">
        <f>COUNTIFS('Safety Bulletins'!$D$4:$D$100003,"Dec")</f>
        <v>0</v>
      </c>
      <c r="AH724" s="22">
        <f>SUM(V724:AG724)</f>
        <v>0</v>
      </c>
    </row>
    <row r="725" spans="2:34">
      <c r="B725" s="23" t="s">
        <v>19</v>
      </c>
      <c r="C725" s="22">
        <f>COUNTIFS('Safety Bulletins'!$D$4:$D$100003,"Feb")</f>
        <v>0</v>
      </c>
      <c r="E725" s="13" t="s">
        <v>601</v>
      </c>
      <c r="F725" s="22">
        <f>COUNTIFS('Safety Bulletins'!$E$4:$E$100003,"Bulletin",'Safety Bulletins'!$D$4:$D$100003,mCrit)</f>
        <v>0</v>
      </c>
      <c r="G725" s="13" t="s">
        <v>581</v>
      </c>
      <c r="H725" s="22">
        <f>COUNTIFS('Safety Bulletins'!$I$4:$I$100003,"Notice Board",'Safety Bulletins'!$D$4:$D$100003,mCrit)</f>
        <v>0</v>
      </c>
      <c r="J725" s="13" t="s">
        <v>590</v>
      </c>
      <c r="K725" s="22">
        <f>COUNTIFS('Safety Bulletins'!$K$4:$K$100003,"Acknowledged",'Safety Bulletins'!$D$4:$D$100003,mCrit)</f>
        <v>0</v>
      </c>
      <c r="M725" s="13" t="s">
        <v>594</v>
      </c>
      <c r="N725" s="22">
        <f>COUNTIFS('Safety Bulletins'!$K$4:$K$100003,"Issued",'Safety Bulletins'!$D$4:$D$100003,mCrit)</f>
        <v>0</v>
      </c>
      <c r="U725" s="13" t="s">
        <v>2072</v>
      </c>
      <c r="V725" s="25">
        <f>IFERROR((COUNTIFS('Safety Bulletins'!$K$4:$K$100003,"Closed",'Safety Bulletins'!$D$4:$D$100003,"Jan")+COUNTIFS('Safety Bulletins'!$K$4:$K$100003,"Acknowledged",'Safety Bulletins'!$D$4:$D$100003,"Jan")+COUNTIFS('Safety Bulletins'!$K$4:$K$100003,"Issued",'Safety Bulletins'!$D$4:$D$100003,"Jan"))/COUNTIFS('Safety Bulletins'!$D$4:$D$100003,"Jan")*100,0)</f>
        <v>0</v>
      </c>
      <c r="W725" s="25">
        <f>IFERROR((COUNTIFS('Safety Bulletins'!$K$4:$K$100003,"Closed",'Safety Bulletins'!$D$4:$D$100003,"Feb")+COUNTIFS('Safety Bulletins'!$K$4:$K$100003,"Acknowledged",'Safety Bulletins'!$D$4:$D$100003,"Feb")+COUNTIFS('Safety Bulletins'!$K$4:$K$100003,"Issued",'Safety Bulletins'!$D$4:$D$100003,"Feb"))/COUNTIFS('Safety Bulletins'!$D$4:$D$100003,"Feb")*100,0)</f>
        <v>0</v>
      </c>
      <c r="X725" s="25">
        <f>IFERROR((COUNTIFS('Safety Bulletins'!$K$4:$K$100003,"Closed",'Safety Bulletins'!$D$4:$D$100003,"Mar")+COUNTIFS('Safety Bulletins'!$K$4:$K$100003,"Acknowledged",'Safety Bulletins'!$D$4:$D$100003,"Mar")+COUNTIFS('Safety Bulletins'!$K$4:$K$100003,"Issued",'Safety Bulletins'!$D$4:$D$100003,"Mar"))/COUNTIFS('Safety Bulletins'!$D$4:$D$100003,"Mar")*100,0)</f>
        <v>0</v>
      </c>
      <c r="Y725" s="25">
        <f>IFERROR((COUNTIFS('Safety Bulletins'!$K$4:$K$100003,"Closed",'Safety Bulletins'!$D$4:$D$100003,"Apr")+COUNTIFS('Safety Bulletins'!$K$4:$K$100003,"Acknowledged",'Safety Bulletins'!$D$4:$D$100003,"Apr")+COUNTIFS('Safety Bulletins'!$K$4:$K$100003,"Issued",'Safety Bulletins'!$D$4:$D$100003,"Apr"))/COUNTIFS('Safety Bulletins'!$D$4:$D$100003,"Apr")*100,0)</f>
        <v>0</v>
      </c>
      <c r="Z725" s="25">
        <f>IFERROR((COUNTIFS('Safety Bulletins'!$K$4:$K$100003,"Closed",'Safety Bulletins'!$D$4:$D$100003,"May")+COUNTIFS('Safety Bulletins'!$K$4:$K$100003,"Acknowledged",'Safety Bulletins'!$D$4:$D$100003,"May")+COUNTIFS('Safety Bulletins'!$K$4:$K$100003,"Issued",'Safety Bulletins'!$D$4:$D$100003,"May"))/COUNTIFS('Safety Bulletins'!$D$4:$D$100003,"May")*100,0)</f>
        <v>0</v>
      </c>
      <c r="AA725" s="25">
        <f>IFERROR((COUNTIFS('Safety Bulletins'!$K$4:$K$100003,"Closed",'Safety Bulletins'!$D$4:$D$100003,"Jun")+COUNTIFS('Safety Bulletins'!$K$4:$K$100003,"Acknowledged",'Safety Bulletins'!$D$4:$D$100003,"Jun")+COUNTIFS('Safety Bulletins'!$K$4:$K$100003,"Issued",'Safety Bulletins'!$D$4:$D$100003,"Jun"))/COUNTIFS('Safety Bulletins'!$D$4:$D$100003,"Jun")*100,0)</f>
        <v>0</v>
      </c>
      <c r="AB725" s="25">
        <f>IFERROR((COUNTIFS('Safety Bulletins'!$K$4:$K$100003,"Closed",'Safety Bulletins'!$D$4:$D$100003,"Jul")+COUNTIFS('Safety Bulletins'!$K$4:$K$100003,"Acknowledged",'Safety Bulletins'!$D$4:$D$100003,"Jul")+COUNTIFS('Safety Bulletins'!$K$4:$K$100003,"Issued",'Safety Bulletins'!$D$4:$D$100003,"Jul"))/COUNTIFS('Safety Bulletins'!$D$4:$D$100003,"Jul")*100,0)</f>
        <v>0</v>
      </c>
      <c r="AC725" s="25">
        <f>IFERROR((COUNTIFS('Safety Bulletins'!$K$4:$K$100003,"Closed",'Safety Bulletins'!$D$4:$D$100003,"Aug")+COUNTIFS('Safety Bulletins'!$K$4:$K$100003,"Acknowledged",'Safety Bulletins'!$D$4:$D$100003,"Aug")+COUNTIFS('Safety Bulletins'!$K$4:$K$100003,"Issued",'Safety Bulletins'!$D$4:$D$100003,"Aug"))/COUNTIFS('Safety Bulletins'!$D$4:$D$100003,"Aug")*100,0)</f>
        <v>0</v>
      </c>
      <c r="AD725" s="25">
        <f>IFERROR((COUNTIFS('Safety Bulletins'!$K$4:$K$100003,"Closed",'Safety Bulletins'!$D$4:$D$100003,"Sep")+COUNTIFS('Safety Bulletins'!$K$4:$K$100003,"Acknowledged",'Safety Bulletins'!$D$4:$D$100003,"Sep")+COUNTIFS('Safety Bulletins'!$K$4:$K$100003,"Issued",'Safety Bulletins'!$D$4:$D$100003,"Sep"))/COUNTIFS('Safety Bulletins'!$D$4:$D$100003,"Sep")*100,0)</f>
        <v>0</v>
      </c>
      <c r="AE725" s="25">
        <f>IFERROR((COUNTIFS('Safety Bulletins'!$K$4:$K$100003,"Closed",'Safety Bulletins'!$D$4:$D$100003,"Oct")+COUNTIFS('Safety Bulletins'!$K$4:$K$100003,"Acknowledged",'Safety Bulletins'!$D$4:$D$100003,"Oct")+COUNTIFS('Safety Bulletins'!$K$4:$K$100003,"Issued",'Safety Bulletins'!$D$4:$D$100003,"Oct"))/COUNTIFS('Safety Bulletins'!$D$4:$D$100003,"Oct")*100,0)</f>
        <v>0</v>
      </c>
      <c r="AF725" s="25">
        <f>IFERROR((COUNTIFS('Safety Bulletins'!$K$4:$K$100003,"Closed",'Safety Bulletins'!$D$4:$D$100003,"Nov")+COUNTIFS('Safety Bulletins'!$K$4:$K$100003,"Acknowledged",'Safety Bulletins'!$D$4:$D$100003,"Nov")+COUNTIFS('Safety Bulletins'!$K$4:$K$100003,"Issued",'Safety Bulletins'!$D$4:$D$100003,"Nov"))/COUNTIFS('Safety Bulletins'!$D$4:$D$100003,"Nov")*100,0)</f>
        <v>0</v>
      </c>
      <c r="AG725" s="25">
        <f>IFERROR((COUNTIFS('Safety Bulletins'!$K$4:$K$100003,"Closed",'Safety Bulletins'!$D$4:$D$100003,"Dec")+COUNTIFS('Safety Bulletins'!$K$4:$K$100003,"Acknowledged",'Safety Bulletins'!$D$4:$D$100003,"Dec")+COUNTIFS('Safety Bulletins'!$K$4:$K$100003,"Issued",'Safety Bulletins'!$D$4:$D$100003,"Dec"))/COUNTIFS('Safety Bulletins'!$D$4:$D$100003,"Dec")*100,0)</f>
        <v>0</v>
      </c>
      <c r="AH725" s="25">
        <f>IFERROR(AVERAGE(V725:AG725),0)</f>
        <v>0</v>
      </c>
    </row>
    <row r="726" spans="2:34">
      <c r="B726" s="23" t="s">
        <v>44</v>
      </c>
      <c r="C726" s="22">
        <f>COUNTIFS('Safety Bulletins'!$D$4:$D$100003,"Mar")</f>
        <v>0</v>
      </c>
      <c r="E726" s="13" t="s">
        <v>588</v>
      </c>
      <c r="F726" s="22">
        <f>COUNTIFS('Safety Bulletins'!$E$4:$E$100003,"Toolbox Topic",'Safety Bulletins'!$D$4:$D$100003,mCrit)</f>
        <v>0</v>
      </c>
      <c r="G726" s="13" t="s">
        <v>585</v>
      </c>
      <c r="H726" s="22">
        <f>COUNTIFS('Safety Bulletins'!$I$4:$I$100003,"App Notification",'Safety Bulletins'!$D$4:$D$100003,mCrit)</f>
        <v>0</v>
      </c>
      <c r="J726" s="13" t="s">
        <v>594</v>
      </c>
      <c r="K726" s="22">
        <f>COUNTIFS('Safety Bulletins'!$K$4:$K$100003,"Issued",'Safety Bulletins'!$D$4:$D$100003,mCrit)</f>
        <v>0</v>
      </c>
      <c r="M726" s="13" t="s">
        <v>590</v>
      </c>
      <c r="N726" s="22">
        <f>COUNTIFS('Safety Bulletins'!$K$4:$K$100003,"Acknowledged",'Safety Bulletins'!$D$4:$D$100003,mCrit)</f>
        <v>0</v>
      </c>
      <c r="U726" s="13" t="s">
        <v>2007</v>
      </c>
      <c r="V726" s="25">
        <f>IFERROR(AVERAGEIFS('Safety Bulletins'!$N$4:$N$100003,'Safety Bulletins'!$D$4:$D$100003,"Jan"),0)</f>
        <v>0</v>
      </c>
      <c r="W726" s="25">
        <f>IFERROR(AVERAGEIFS('Safety Bulletins'!$N$4:$N$100003,'Safety Bulletins'!$D$4:$D$100003,"Feb"),0)</f>
        <v>0</v>
      </c>
      <c r="X726" s="25">
        <f>IFERROR(AVERAGEIFS('Safety Bulletins'!$N$4:$N$100003,'Safety Bulletins'!$D$4:$D$100003,"Mar"),0)</f>
        <v>0</v>
      </c>
      <c r="Y726" s="25">
        <f>IFERROR(AVERAGEIFS('Safety Bulletins'!$N$4:$N$100003,'Safety Bulletins'!$D$4:$D$100003,"Apr"),0)</f>
        <v>0</v>
      </c>
      <c r="Z726" s="25">
        <f>IFERROR(AVERAGEIFS('Safety Bulletins'!$N$4:$N$100003,'Safety Bulletins'!$D$4:$D$100003,"May"),0)</f>
        <v>0</v>
      </c>
      <c r="AA726" s="25">
        <f>IFERROR(AVERAGEIFS('Safety Bulletins'!$N$4:$N$100003,'Safety Bulletins'!$D$4:$D$100003,"Jun"),0)</f>
        <v>0</v>
      </c>
      <c r="AB726" s="25">
        <f>IFERROR(AVERAGEIFS('Safety Bulletins'!$N$4:$N$100003,'Safety Bulletins'!$D$4:$D$100003,"Jul"),0)</f>
        <v>0</v>
      </c>
      <c r="AC726" s="25">
        <f>IFERROR(AVERAGEIFS('Safety Bulletins'!$N$4:$N$100003,'Safety Bulletins'!$D$4:$D$100003,"Aug"),0)</f>
        <v>0</v>
      </c>
      <c r="AD726" s="25">
        <f>IFERROR(AVERAGEIFS('Safety Bulletins'!$N$4:$N$100003,'Safety Bulletins'!$D$4:$D$100003,"Sep"),0)</f>
        <v>0</v>
      </c>
      <c r="AE726" s="25">
        <f>IFERROR(AVERAGEIFS('Safety Bulletins'!$N$4:$N$100003,'Safety Bulletins'!$D$4:$D$100003,"Oct"),0)</f>
        <v>0</v>
      </c>
      <c r="AF726" s="25">
        <f>IFERROR(AVERAGEIFS('Safety Bulletins'!$N$4:$N$100003,'Safety Bulletins'!$D$4:$D$100003,"Nov"),0)</f>
        <v>0</v>
      </c>
      <c r="AG726" s="25">
        <f>IFERROR(AVERAGEIFS('Safety Bulletins'!$N$4:$N$100003,'Safety Bulletins'!$D$4:$D$100003,"Dec"),0)</f>
        <v>0</v>
      </c>
      <c r="AH726" s="25">
        <f>IFERROR(AVERAGE(V726:AG726),0)</f>
        <v>0</v>
      </c>
    </row>
    <row r="727" spans="2:34">
      <c r="B727" s="23" t="s">
        <v>53</v>
      </c>
      <c r="C727" s="22">
        <f>COUNTIFS('Safety Bulletins'!$D$4:$D$100003,"Apr")</f>
        <v>0</v>
      </c>
      <c r="E727" s="13" t="s">
        <v>580</v>
      </c>
      <c r="F727" s="22">
        <f>COUNTIFS('Safety Bulletins'!$E$4:$E$100003,"Lesson Learned",'Safety Bulletins'!$D$4:$D$100003,mCrit)</f>
        <v>0</v>
      </c>
      <c r="G727" s="13" t="s">
        <v>589</v>
      </c>
      <c r="H727" s="22">
        <f>COUNTIFS('Safety Bulletins'!$I$4:$I$100003,"All Channels",'Safety Bulletins'!$D$4:$D$100003,mCrit)</f>
        <v>0</v>
      </c>
      <c r="M727" s="13" t="s">
        <v>582</v>
      </c>
      <c r="N727" s="22">
        <f>COUNTIFS('Safety Bulletins'!$K$4:$K$100003,"Closed",'Safety Bulletins'!$D$4:$D$100003,mCrit)</f>
        <v>0</v>
      </c>
    </row>
    <row r="728" spans="2:34">
      <c r="B728" s="23" t="s">
        <v>60</v>
      </c>
      <c r="C728" s="22">
        <f>COUNTIFS('Safety Bulletins'!$D$4:$D$100003,"May")</f>
        <v>0</v>
      </c>
      <c r="E728" s="13" t="s">
        <v>584</v>
      </c>
      <c r="F728" s="22">
        <f>COUNTIFS('Safety Bulletins'!$E$4:$E$100003,"Best Practice",'Safety Bulletins'!$D$4:$D$100003,mCrit)</f>
        <v>0</v>
      </c>
      <c r="M728" s="13" t="s">
        <v>648</v>
      </c>
      <c r="N728" s="22">
        <f>SUMIFS('Safety Bulletins'!$L$4:$L$100003,'Safety Bulletins'!$D$4:$D$100003,mCrit)</f>
        <v>0</v>
      </c>
    </row>
    <row r="729" spans="2:34">
      <c r="B729" s="23" t="s">
        <v>73</v>
      </c>
      <c r="C729" s="22">
        <f>COUNTIFS('Safety Bulletins'!$D$4:$D$100003,"Jun")</f>
        <v>0</v>
      </c>
      <c r="E729" s="13" t="s">
        <v>596</v>
      </c>
      <c r="F729" s="22">
        <f>COUNTIFS('Safety Bulletins'!$E$4:$E$100003,"Advisory",'Safety Bulletins'!$D$4:$D$100003,mCrit)</f>
        <v>0</v>
      </c>
      <c r="M729" s="13" t="s">
        <v>649</v>
      </c>
      <c r="N729" s="22">
        <f>SUMIFS('Safety Bulletins'!$M$4:$M$100003,'Safety Bulletins'!$D$4:$D$100003,mCrit)</f>
        <v>0</v>
      </c>
    </row>
    <row r="730" spans="2:34">
      <c r="B730" s="23" t="s">
        <v>76</v>
      </c>
      <c r="C730" s="22">
        <f>COUNTIFS('Safety Bulletins'!$D$4:$D$100003,"Jul")</f>
        <v>0</v>
      </c>
      <c r="M730" s="13" t="s">
        <v>650</v>
      </c>
      <c r="N730" s="25">
        <f>IFERROR(AVERAGEIFS('Safety Bulletins'!$N$4:$N$100003,'Safety Bulletins'!$D$4:$D$100003,mCrit),0)</f>
        <v>0</v>
      </c>
    </row>
    <row r="731" spans="2:34">
      <c r="B731" s="23" t="s">
        <v>86</v>
      </c>
      <c r="C731" s="22">
        <f>COUNTIFS('Safety Bulletins'!$D$4:$D$100003,"Aug")</f>
        <v>0</v>
      </c>
      <c r="M731" s="13" t="s">
        <v>2093</v>
      </c>
      <c r="N731" s="22">
        <f>COUNTIFS('Safety Bulletins'!$J$4:$J$100003,"High",'Safety Bulletins'!$D$4:$D$100003,mCrit)</f>
        <v>0</v>
      </c>
    </row>
    <row r="732" spans="2:34">
      <c r="B732" s="23" t="s">
        <v>102</v>
      </c>
      <c r="C732" s="22">
        <f>COUNTIFS('Safety Bulletins'!$D$4:$D$100003,"Sep")</f>
        <v>0</v>
      </c>
    </row>
    <row r="733" spans="2:34">
      <c r="B733" s="23" t="s">
        <v>106</v>
      </c>
      <c r="C733" s="22">
        <f>COUNTIFS('Safety Bulletins'!$D$4:$D$100003,"Oct")</f>
        <v>0</v>
      </c>
    </row>
    <row r="734" spans="2:34">
      <c r="B734" s="23" t="s">
        <v>111</v>
      </c>
      <c r="C734" s="22">
        <f>COUNTIFS('Safety Bulletins'!$D$4:$D$100003,"Nov")</f>
        <v>0</v>
      </c>
    </row>
    <row r="735" spans="2:34">
      <c r="B735" s="23" t="s">
        <v>122</v>
      </c>
      <c r="C735" s="22">
        <f>COUNTIFS('Safety Bulletins'!$D$4:$D$100003,"Dec")</f>
        <v>0</v>
      </c>
    </row>
    <row r="748" spans="2:34">
      <c r="B748" s="17" t="s">
        <v>2094</v>
      </c>
    </row>
    <row r="749" spans="2:34">
      <c r="B749" s="12" t="s">
        <v>127</v>
      </c>
      <c r="C749" s="12" t="s">
        <v>1965</v>
      </c>
      <c r="E749" s="12" t="s">
        <v>709</v>
      </c>
      <c r="F749" s="12" t="s">
        <v>1965</v>
      </c>
      <c r="G749" s="12" t="s">
        <v>415</v>
      </c>
      <c r="H749" s="12" t="s">
        <v>1965</v>
      </c>
      <c r="J749" s="12" t="s">
        <v>288</v>
      </c>
      <c r="K749" s="12" t="s">
        <v>1965</v>
      </c>
      <c r="M749" s="12" t="s">
        <v>1927</v>
      </c>
      <c r="N749" s="12" t="s">
        <v>2039</v>
      </c>
      <c r="U749" s="12" t="s">
        <v>2038</v>
      </c>
      <c r="V749" s="12" t="s">
        <v>3</v>
      </c>
      <c r="W749" s="12" t="s">
        <v>19</v>
      </c>
      <c r="X749" s="12" t="s">
        <v>44</v>
      </c>
      <c r="Y749" s="12" t="s">
        <v>53</v>
      </c>
      <c r="Z749" s="12" t="s">
        <v>60</v>
      </c>
      <c r="AA749" s="12" t="s">
        <v>73</v>
      </c>
      <c r="AB749" s="12" t="s">
        <v>76</v>
      </c>
      <c r="AC749" s="12" t="s">
        <v>86</v>
      </c>
      <c r="AD749" s="12" t="s">
        <v>102</v>
      </c>
      <c r="AE749" s="12" t="s">
        <v>106</v>
      </c>
      <c r="AF749" s="12" t="s">
        <v>111</v>
      </c>
      <c r="AG749" s="12" t="s">
        <v>122</v>
      </c>
      <c r="AH749" s="12" t="s">
        <v>2063</v>
      </c>
    </row>
    <row r="750" spans="2:34">
      <c r="B750" s="23" t="s">
        <v>3</v>
      </c>
      <c r="C750" s="22">
        <f>COUNTIFS('Emergency Drills'!$D$4:$D$100003,"Jan")</f>
        <v>0</v>
      </c>
      <c r="E750" s="13" t="s">
        <v>653</v>
      </c>
      <c r="F750" s="22">
        <f>COUNTIFS('Emergency Drills'!$E$4:$E$100003,"Fire Evacuation",'Emergency Drills'!$D$4:$D$100003,mCrit)</f>
        <v>0</v>
      </c>
      <c r="G750" s="13" t="s">
        <v>10</v>
      </c>
      <c r="H750" s="22">
        <f>COUNTIFS('Emergency Drills'!$M$4:$M$100003,"Excellent",'Emergency Drills'!$D$4:$D$100003,mCrit)</f>
        <v>0</v>
      </c>
      <c r="J750" s="13" t="s">
        <v>654</v>
      </c>
      <c r="K750" s="22">
        <f>COUNTIFS('Emergency Drills'!$O$4:$O$100003,"Action Pending",'Emergency Drills'!$D$4:$D$100003,mCrit)</f>
        <v>0</v>
      </c>
      <c r="M750" s="13" t="s">
        <v>2095</v>
      </c>
      <c r="N750" s="22">
        <f>COUNTIFS('Emergency Drills'!$D$4:$D$100003,mCrit)</f>
        <v>0</v>
      </c>
      <c r="U750" s="13" t="s">
        <v>1770</v>
      </c>
      <c r="V750" s="22">
        <f>COUNTIFS('Emergency Drills'!$D$4:$D$100003,"Jan")</f>
        <v>0</v>
      </c>
      <c r="W750" s="22">
        <f>COUNTIFS('Emergency Drills'!$D$4:$D$100003,"Feb")</f>
        <v>0</v>
      </c>
      <c r="X750" s="22">
        <f>COUNTIFS('Emergency Drills'!$D$4:$D$100003,"Mar")</f>
        <v>0</v>
      </c>
      <c r="Y750" s="22">
        <f>COUNTIFS('Emergency Drills'!$D$4:$D$100003,"Apr")</f>
        <v>0</v>
      </c>
      <c r="Z750" s="22">
        <f>COUNTIFS('Emergency Drills'!$D$4:$D$100003,"May")</f>
        <v>0</v>
      </c>
      <c r="AA750" s="22">
        <f>COUNTIFS('Emergency Drills'!$D$4:$D$100003,"Jun")</f>
        <v>0</v>
      </c>
      <c r="AB750" s="22">
        <f>COUNTIFS('Emergency Drills'!$D$4:$D$100003,"Jul")</f>
        <v>0</v>
      </c>
      <c r="AC750" s="22">
        <f>COUNTIFS('Emergency Drills'!$D$4:$D$100003,"Aug")</f>
        <v>0</v>
      </c>
      <c r="AD750" s="22">
        <f>COUNTIFS('Emergency Drills'!$D$4:$D$100003,"Sep")</f>
        <v>0</v>
      </c>
      <c r="AE750" s="22">
        <f>COUNTIFS('Emergency Drills'!$D$4:$D$100003,"Oct")</f>
        <v>0</v>
      </c>
      <c r="AF750" s="22">
        <f>COUNTIFS('Emergency Drills'!$D$4:$D$100003,"Nov")</f>
        <v>0</v>
      </c>
      <c r="AG750" s="22">
        <f>COUNTIFS('Emergency Drills'!$D$4:$D$100003,"Dec")</f>
        <v>0</v>
      </c>
      <c r="AH750" s="22">
        <f>SUM(V750:AG750)</f>
        <v>0</v>
      </c>
    </row>
    <row r="751" spans="2:34">
      <c r="B751" s="23" t="s">
        <v>19</v>
      </c>
      <c r="C751" s="22">
        <f>COUNTIFS('Emergency Drills'!$D$4:$D$100003,"Feb")</f>
        <v>0</v>
      </c>
      <c r="E751" s="13" t="s">
        <v>662</v>
      </c>
      <c r="F751" s="22">
        <f>COUNTIFS('Emergency Drills'!$E$4:$E$100003,"Chemical Spill",'Emergency Drills'!$D$4:$D$100003,mCrit)</f>
        <v>0</v>
      </c>
      <c r="G751" s="13" t="s">
        <v>42</v>
      </c>
      <c r="H751" s="22">
        <f>COUNTIFS('Emergency Drills'!$M$4:$M$100003,"Good",'Emergency Drills'!$D$4:$D$100003,mCrit)</f>
        <v>0</v>
      </c>
      <c r="J751" s="13" t="s">
        <v>222</v>
      </c>
      <c r="K751" s="22">
        <f>COUNTIFS('Emergency Drills'!$O$4:$O$100003,"Completed",'Emergency Drills'!$D$4:$D$100003,mCrit)</f>
        <v>0</v>
      </c>
      <c r="M751" s="13" t="s">
        <v>222</v>
      </c>
      <c r="N751" s="22">
        <f>COUNTIFS('Emergency Drills'!$O$4:$O$100003,"Completed",'Emergency Drills'!$D$4:$D$100003,mCrit)</f>
        <v>0</v>
      </c>
      <c r="U751" s="13" t="s">
        <v>2072</v>
      </c>
      <c r="V751" s="25">
        <f>IFERROR((COUNTIFS('Emergency Drills'!$O$4:$O$100003,"Completed",'Emergency Drills'!$D$4:$D$100003,"Jan"))/COUNTIFS('Emergency Drills'!$D$4:$D$100003,"Jan")*100,0)</f>
        <v>0</v>
      </c>
      <c r="W751" s="25">
        <f>IFERROR((COUNTIFS('Emergency Drills'!$O$4:$O$100003,"Completed",'Emergency Drills'!$D$4:$D$100003,"Feb"))/COUNTIFS('Emergency Drills'!$D$4:$D$100003,"Feb")*100,0)</f>
        <v>0</v>
      </c>
      <c r="X751" s="25">
        <f>IFERROR((COUNTIFS('Emergency Drills'!$O$4:$O$100003,"Completed",'Emergency Drills'!$D$4:$D$100003,"Mar"))/COUNTIFS('Emergency Drills'!$D$4:$D$100003,"Mar")*100,0)</f>
        <v>0</v>
      </c>
      <c r="Y751" s="25">
        <f>IFERROR((COUNTIFS('Emergency Drills'!$O$4:$O$100003,"Completed",'Emergency Drills'!$D$4:$D$100003,"Apr"))/COUNTIFS('Emergency Drills'!$D$4:$D$100003,"Apr")*100,0)</f>
        <v>0</v>
      </c>
      <c r="Z751" s="25">
        <f>IFERROR((COUNTIFS('Emergency Drills'!$O$4:$O$100003,"Completed",'Emergency Drills'!$D$4:$D$100003,"May"))/COUNTIFS('Emergency Drills'!$D$4:$D$100003,"May")*100,0)</f>
        <v>0</v>
      </c>
      <c r="AA751" s="25">
        <f>IFERROR((COUNTIFS('Emergency Drills'!$O$4:$O$100003,"Completed",'Emergency Drills'!$D$4:$D$100003,"Jun"))/COUNTIFS('Emergency Drills'!$D$4:$D$100003,"Jun")*100,0)</f>
        <v>0</v>
      </c>
      <c r="AB751" s="25">
        <f>IFERROR((COUNTIFS('Emergency Drills'!$O$4:$O$100003,"Completed",'Emergency Drills'!$D$4:$D$100003,"Jul"))/COUNTIFS('Emergency Drills'!$D$4:$D$100003,"Jul")*100,0)</f>
        <v>0</v>
      </c>
      <c r="AC751" s="25">
        <f>IFERROR((COUNTIFS('Emergency Drills'!$O$4:$O$100003,"Completed",'Emergency Drills'!$D$4:$D$100003,"Aug"))/COUNTIFS('Emergency Drills'!$D$4:$D$100003,"Aug")*100,0)</f>
        <v>0</v>
      </c>
      <c r="AD751" s="25">
        <f>IFERROR((COUNTIFS('Emergency Drills'!$O$4:$O$100003,"Completed",'Emergency Drills'!$D$4:$D$100003,"Sep"))/COUNTIFS('Emergency Drills'!$D$4:$D$100003,"Sep")*100,0)</f>
        <v>0</v>
      </c>
      <c r="AE751" s="25">
        <f>IFERROR((COUNTIFS('Emergency Drills'!$O$4:$O$100003,"Completed",'Emergency Drills'!$D$4:$D$100003,"Oct"))/COUNTIFS('Emergency Drills'!$D$4:$D$100003,"Oct")*100,0)</f>
        <v>0</v>
      </c>
      <c r="AF751" s="25">
        <f>IFERROR((COUNTIFS('Emergency Drills'!$O$4:$O$100003,"Completed",'Emergency Drills'!$D$4:$D$100003,"Nov"))/COUNTIFS('Emergency Drills'!$D$4:$D$100003,"Nov")*100,0)</f>
        <v>0</v>
      </c>
      <c r="AG751" s="25">
        <f>IFERROR((COUNTIFS('Emergency Drills'!$O$4:$O$100003,"Completed",'Emergency Drills'!$D$4:$D$100003,"Dec"))/COUNTIFS('Emergency Drills'!$D$4:$D$100003,"Dec")*100,0)</f>
        <v>0</v>
      </c>
      <c r="AH751" s="25">
        <f>IFERROR(AVERAGE(V751:AG751),0)</f>
        <v>0</v>
      </c>
    </row>
    <row r="752" spans="2:34">
      <c r="B752" s="23" t="s">
        <v>44</v>
      </c>
      <c r="C752" s="22">
        <f>COUNTIFS('Emergency Drills'!$D$4:$D$100003,"Mar")</f>
        <v>0</v>
      </c>
      <c r="E752" s="13" t="s">
        <v>656</v>
      </c>
      <c r="F752" s="22">
        <f>COUNTIFS('Emergency Drills'!$E$4:$E$100003,"Medical Emergency",'Emergency Drills'!$D$4:$D$100003,mCrit)</f>
        <v>0</v>
      </c>
      <c r="G752" s="13" t="s">
        <v>17</v>
      </c>
      <c r="H752" s="22">
        <f>COUNTIFS('Emergency Drills'!$M$4:$M$100003,"Satisfactory",'Emergency Drills'!$D$4:$D$100003,mCrit)</f>
        <v>0</v>
      </c>
      <c r="J752" s="13" t="s">
        <v>698</v>
      </c>
      <c r="K752" s="22">
        <f>COUNTIFS('Emergency Drills'!$O$4:$O$100003,"Rescheduled",'Emergency Drills'!$D$4:$D$100003,mCrit)</f>
        <v>0</v>
      </c>
      <c r="M752" s="13" t="s">
        <v>303</v>
      </c>
      <c r="N752" s="22">
        <f>COUNTIFS('Emergency Drills'!$O$4:$O$100003,"Action Pending",'Emergency Drills'!$D$4:$D$100003,mCrit)</f>
        <v>0</v>
      </c>
      <c r="U752" s="13" t="s">
        <v>2101</v>
      </c>
      <c r="V752" s="25">
        <f>IFERROR(AVERAGEIFS('Emergency Drills'!$J$4:$J$100003,'Emergency Drills'!$D$4:$D$100003,"Jan"),0)</f>
        <v>0</v>
      </c>
      <c r="W752" s="25">
        <f>IFERROR(AVERAGEIFS('Emergency Drills'!$J$4:$J$100003,'Emergency Drills'!$D$4:$D$100003,"Feb"),0)</f>
        <v>0</v>
      </c>
      <c r="X752" s="25">
        <f>IFERROR(AVERAGEIFS('Emergency Drills'!$J$4:$J$100003,'Emergency Drills'!$D$4:$D$100003,"Mar"),0)</f>
        <v>0</v>
      </c>
      <c r="Y752" s="25">
        <f>IFERROR(AVERAGEIFS('Emergency Drills'!$J$4:$J$100003,'Emergency Drills'!$D$4:$D$100003,"Apr"),0)</f>
        <v>0</v>
      </c>
      <c r="Z752" s="25">
        <f>IFERROR(AVERAGEIFS('Emergency Drills'!$J$4:$J$100003,'Emergency Drills'!$D$4:$D$100003,"May"),0)</f>
        <v>0</v>
      </c>
      <c r="AA752" s="25">
        <f>IFERROR(AVERAGEIFS('Emergency Drills'!$J$4:$J$100003,'Emergency Drills'!$D$4:$D$100003,"Jun"),0)</f>
        <v>0</v>
      </c>
      <c r="AB752" s="25">
        <f>IFERROR(AVERAGEIFS('Emergency Drills'!$J$4:$J$100003,'Emergency Drills'!$D$4:$D$100003,"Jul"),0)</f>
        <v>0</v>
      </c>
      <c r="AC752" s="25">
        <f>IFERROR(AVERAGEIFS('Emergency Drills'!$J$4:$J$100003,'Emergency Drills'!$D$4:$D$100003,"Aug"),0)</f>
        <v>0</v>
      </c>
      <c r="AD752" s="25">
        <f>IFERROR(AVERAGEIFS('Emergency Drills'!$J$4:$J$100003,'Emergency Drills'!$D$4:$D$100003,"Sep"),0)</f>
        <v>0</v>
      </c>
      <c r="AE752" s="25">
        <f>IFERROR(AVERAGEIFS('Emergency Drills'!$J$4:$J$100003,'Emergency Drills'!$D$4:$D$100003,"Oct"),0)</f>
        <v>0</v>
      </c>
      <c r="AF752" s="25">
        <f>IFERROR(AVERAGEIFS('Emergency Drills'!$J$4:$J$100003,'Emergency Drills'!$D$4:$D$100003,"Nov"),0)</f>
        <v>0</v>
      </c>
      <c r="AG752" s="25">
        <f>IFERROR(AVERAGEIFS('Emergency Drills'!$J$4:$J$100003,'Emergency Drills'!$D$4:$D$100003,"Dec"),0)</f>
        <v>0</v>
      </c>
      <c r="AH752" s="25">
        <f>IFERROR(AVERAGE(V752:AG752),0)</f>
        <v>0</v>
      </c>
    </row>
    <row r="753" spans="2:14">
      <c r="B753" s="23" t="s">
        <v>53</v>
      </c>
      <c r="C753" s="22">
        <f>COUNTIFS('Emergency Drills'!$D$4:$D$100003,"Apr")</f>
        <v>0</v>
      </c>
      <c r="E753" s="13" t="s">
        <v>659</v>
      </c>
      <c r="F753" s="22">
        <f>COUNTIFS('Emergency Drills'!$E$4:$E$100003,"Gas Leak",'Emergency Drills'!$D$4:$D$100003,mCrit)</f>
        <v>0</v>
      </c>
      <c r="G753" s="13" t="s">
        <v>96</v>
      </c>
      <c r="H753" s="22">
        <f>COUNTIFS('Emergency Drills'!$M$4:$M$100003,"Needs Improvement",'Emergency Drills'!$D$4:$D$100003,mCrit)</f>
        <v>0</v>
      </c>
      <c r="M753" s="13" t="s">
        <v>2096</v>
      </c>
      <c r="N753" s="25">
        <f>IFERROR(AVERAGEIFS('Emergency Drills'!$J$4:$J$100003,'Emergency Drills'!$D$4:$D$100003,mCrit),0)</f>
        <v>0</v>
      </c>
    </row>
    <row r="754" spans="2:14">
      <c r="B754" s="23" t="s">
        <v>60</v>
      </c>
      <c r="C754" s="22">
        <f>COUNTIFS('Emergency Drills'!$D$4:$D$100003,"May")</f>
        <v>0</v>
      </c>
      <c r="E754" s="13" t="s">
        <v>680</v>
      </c>
      <c r="F754" s="22">
        <f>COUNTIFS('Emergency Drills'!$E$4:$E$100003,"Confined Space Rescue",'Emergency Drills'!$D$4:$D$100003,mCrit)</f>
        <v>0</v>
      </c>
      <c r="G754" s="13" t="s">
        <v>24</v>
      </c>
      <c r="H754" s="22">
        <f>COUNTIFS('Emergency Drills'!$M$4:$M$100003,"Unsatisfactory",'Emergency Drills'!$D$4:$D$100003,mCrit)</f>
        <v>0</v>
      </c>
      <c r="M754" s="13" t="s">
        <v>2097</v>
      </c>
      <c r="N754" s="22">
        <f>IFERROR(AVERAGEIFS('Emergency Drills'!$K$4:$K$100003,'Emergency Drills'!$D$4:$D$100003,mCrit),0)</f>
        <v>0</v>
      </c>
    </row>
    <row r="755" spans="2:14">
      <c r="B755" s="23" t="s">
        <v>73</v>
      </c>
      <c r="C755" s="22">
        <f>COUNTIFS('Emergency Drills'!$D$4:$D$100003,"Jun")</f>
        <v>0</v>
      </c>
      <c r="E755" s="13" t="s">
        <v>668</v>
      </c>
      <c r="F755" s="22">
        <f>COUNTIFS('Emergency Drills'!$E$4:$E$100003,"Earthquake",'Emergency Drills'!$D$4:$D$100003,mCrit)</f>
        <v>0</v>
      </c>
      <c r="M755" s="13" t="s">
        <v>2098</v>
      </c>
      <c r="N755" s="22">
        <f>IFERROR(AVERAGEIFS('Emergency Drills'!$L$4:$L$100003,'Emergency Drills'!$D$4:$D$100003,mCrit),0)</f>
        <v>0</v>
      </c>
    </row>
    <row r="756" spans="2:14">
      <c r="B756" s="23" t="s">
        <v>76</v>
      </c>
      <c r="C756" s="22">
        <f>COUNTIFS('Emergency Drills'!$D$4:$D$100003,"Jul")</f>
        <v>0</v>
      </c>
      <c r="M756" s="13" t="s">
        <v>2099</v>
      </c>
      <c r="N756" s="22">
        <f>SUMIFS('Emergency Drills'!$I$4:$I$100003,'Emergency Drills'!$D$4:$D$100003,mCrit)</f>
        <v>0</v>
      </c>
    </row>
    <row r="757" spans="2:14">
      <c r="B757" s="23" t="s">
        <v>86</v>
      </c>
      <c r="C757" s="22">
        <f>COUNTIFS('Emergency Drills'!$D$4:$D$100003,"Aug")</f>
        <v>0</v>
      </c>
      <c r="M757" s="13" t="s">
        <v>2100</v>
      </c>
      <c r="N757" s="22">
        <f>COUNTIFS('Emergency Drills'!$N$4:$N$100003,"&lt;&gt;",'Emergency Drills'!$D$4:$D$100003,mCrit)</f>
        <v>0</v>
      </c>
    </row>
    <row r="758" spans="2:14">
      <c r="B758" s="23" t="s">
        <v>102</v>
      </c>
      <c r="C758" s="22">
        <f>COUNTIFS('Emergency Drills'!$D$4:$D$100003,"Sep")</f>
        <v>0</v>
      </c>
    </row>
    <row r="759" spans="2:14">
      <c r="B759" s="23" t="s">
        <v>106</v>
      </c>
      <c r="C759" s="22">
        <f>COUNTIFS('Emergency Drills'!$D$4:$D$100003,"Oct")</f>
        <v>0</v>
      </c>
    </row>
    <row r="760" spans="2:14">
      <c r="B760" s="23" t="s">
        <v>111</v>
      </c>
      <c r="C760" s="22">
        <f>COUNTIFS('Emergency Drills'!$D$4:$D$100003,"Nov")</f>
        <v>0</v>
      </c>
    </row>
    <row r="761" spans="2:14">
      <c r="B761" s="23" t="s">
        <v>122</v>
      </c>
      <c r="C761" s="22">
        <f>COUNTIFS('Emergency Drills'!$D$4:$D$100003,"Dec")</f>
        <v>0</v>
      </c>
    </row>
    <row r="774" spans="2:34">
      <c r="B774" s="17" t="s">
        <v>2102</v>
      </c>
    </row>
    <row r="775" spans="2:34">
      <c r="B775" s="12" t="s">
        <v>127</v>
      </c>
      <c r="C775" s="12" t="s">
        <v>1965</v>
      </c>
      <c r="E775" s="12" t="s">
        <v>774</v>
      </c>
      <c r="F775" s="12" t="s">
        <v>1965</v>
      </c>
      <c r="J775" s="12" t="s">
        <v>288</v>
      </c>
      <c r="K775" s="12" t="s">
        <v>1965</v>
      </c>
      <c r="M775" s="12" t="s">
        <v>1927</v>
      </c>
      <c r="N775" s="12" t="s">
        <v>2039</v>
      </c>
      <c r="P775" s="12" t="s">
        <v>129</v>
      </c>
      <c r="Q775" s="12" t="s">
        <v>1965</v>
      </c>
      <c r="R775" s="12" t="s">
        <v>2071</v>
      </c>
      <c r="S775" s="12" t="s">
        <v>1770</v>
      </c>
      <c r="U775" s="12" t="s">
        <v>2038</v>
      </c>
      <c r="V775" s="12" t="s">
        <v>3</v>
      </c>
      <c r="W775" s="12" t="s">
        <v>19</v>
      </c>
      <c r="X775" s="12" t="s">
        <v>44</v>
      </c>
      <c r="Y775" s="12" t="s">
        <v>53</v>
      </c>
      <c r="Z775" s="12" t="s">
        <v>60</v>
      </c>
      <c r="AA775" s="12" t="s">
        <v>73</v>
      </c>
      <c r="AB775" s="12" t="s">
        <v>76</v>
      </c>
      <c r="AC775" s="12" t="s">
        <v>86</v>
      </c>
      <c r="AD775" s="12" t="s">
        <v>102</v>
      </c>
      <c r="AE775" s="12" t="s">
        <v>106</v>
      </c>
      <c r="AF775" s="12" t="s">
        <v>111</v>
      </c>
      <c r="AG775" s="12" t="s">
        <v>122</v>
      </c>
      <c r="AH775" s="12" t="s">
        <v>2063</v>
      </c>
    </row>
    <row r="776" spans="2:34">
      <c r="B776" s="23" t="s">
        <v>3</v>
      </c>
      <c r="C776" s="22">
        <f>COUNTIFS('Internal Audits'!$D$4:$D$100003,"Jan",'Internal Audits'!$G$4:$G$100003,dCrit)</f>
        <v>0</v>
      </c>
      <c r="E776" s="13" t="s">
        <v>723</v>
      </c>
      <c r="F776" s="22">
        <f>COUNTIFS('Internal Audits'!$F$4:$F$100003,"System Audit",'Internal Audits'!$D$4:$D$100003,mCrit,'Internal Audits'!$G$4:$G$100003,dCrit)</f>
        <v>0</v>
      </c>
      <c r="J776" s="13" t="s">
        <v>236</v>
      </c>
      <c r="K776" s="22">
        <f>COUNTIFS('Internal Audits'!$P$4:$P$100003,"Scheduled",'Internal Audits'!$D$4:$D$100003,mCrit,'Internal Audits'!$G$4:$G$100003,dCrit)</f>
        <v>0</v>
      </c>
      <c r="M776" s="13" t="s">
        <v>2103</v>
      </c>
      <c r="N776" s="22">
        <f>COUNTIFS('Internal Audits'!$D$4:$D$100003,mCrit,'Internal Audits'!$G$4:$G$100003,dCrit)</f>
        <v>0</v>
      </c>
      <c r="P776" s="13" t="s">
        <v>27</v>
      </c>
      <c r="Q776" s="22">
        <f>COUNTIFS('Internal Audits'!$D$4:$D$100003,mCrit,'Internal Audits'!$G$4:$G$100003,"Operations")</f>
        <v>0</v>
      </c>
      <c r="R776" s="25">
        <f>IFERROR((COUNTIFS('Internal Audits'!$P$4:$P$100003,"Completed",'Internal Audits'!$D$4:$D$100003,mCrit,'Internal Audits'!$G$4:$G$100003,"Operations"))/COUNTIFS('Internal Audits'!$D$4:$D$100003,mCrit,'Internal Audits'!$G$4:$G$100003,"Operations")*100,0)</f>
        <v>0</v>
      </c>
      <c r="S776" s="22">
        <f>COUNTIFS('Internal Audits'!$D$4:$D$100003,mCrit,'Internal Audits'!$G$4:$G$100003,"Operations")</f>
        <v>0</v>
      </c>
      <c r="U776" s="13" t="s">
        <v>1770</v>
      </c>
      <c r="V776" s="22">
        <f>COUNTIFS('Internal Audits'!$D$4:$D$100003,"Jan",'Internal Audits'!$G$4:$G$100003,dCrit)</f>
        <v>0</v>
      </c>
      <c r="W776" s="22">
        <f>COUNTIFS('Internal Audits'!$D$4:$D$100003,"Feb",'Internal Audits'!$G$4:$G$100003,dCrit)</f>
        <v>0</v>
      </c>
      <c r="X776" s="22">
        <f>COUNTIFS('Internal Audits'!$D$4:$D$100003,"Mar",'Internal Audits'!$G$4:$G$100003,dCrit)</f>
        <v>0</v>
      </c>
      <c r="Y776" s="22">
        <f>COUNTIFS('Internal Audits'!$D$4:$D$100003,"Apr",'Internal Audits'!$G$4:$G$100003,dCrit)</f>
        <v>0</v>
      </c>
      <c r="Z776" s="22">
        <f>COUNTIFS('Internal Audits'!$D$4:$D$100003,"May",'Internal Audits'!$G$4:$G$100003,dCrit)</f>
        <v>0</v>
      </c>
      <c r="AA776" s="22">
        <f>COUNTIFS('Internal Audits'!$D$4:$D$100003,"Jun",'Internal Audits'!$G$4:$G$100003,dCrit)</f>
        <v>0</v>
      </c>
      <c r="AB776" s="22">
        <f>COUNTIFS('Internal Audits'!$D$4:$D$100003,"Jul",'Internal Audits'!$G$4:$G$100003,dCrit)</f>
        <v>0</v>
      </c>
      <c r="AC776" s="22">
        <f>COUNTIFS('Internal Audits'!$D$4:$D$100003,"Aug",'Internal Audits'!$G$4:$G$100003,dCrit)</f>
        <v>0</v>
      </c>
      <c r="AD776" s="22">
        <f>COUNTIFS('Internal Audits'!$D$4:$D$100003,"Sep",'Internal Audits'!$G$4:$G$100003,dCrit)</f>
        <v>0</v>
      </c>
      <c r="AE776" s="22">
        <f>COUNTIFS('Internal Audits'!$D$4:$D$100003,"Oct",'Internal Audits'!$G$4:$G$100003,dCrit)</f>
        <v>0</v>
      </c>
      <c r="AF776" s="22">
        <f>COUNTIFS('Internal Audits'!$D$4:$D$100003,"Nov",'Internal Audits'!$G$4:$G$100003,dCrit)</f>
        <v>0</v>
      </c>
      <c r="AG776" s="22">
        <f>COUNTIFS('Internal Audits'!$D$4:$D$100003,"Dec",'Internal Audits'!$G$4:$G$100003,dCrit)</f>
        <v>0</v>
      </c>
      <c r="AH776" s="22">
        <f>SUM(V776:AG776)</f>
        <v>0</v>
      </c>
    </row>
    <row r="777" spans="2:34">
      <c r="B777" s="23" t="s">
        <v>19</v>
      </c>
      <c r="C777" s="22">
        <f>COUNTIFS('Internal Audits'!$D$4:$D$100003,"Feb",'Internal Audits'!$G$4:$G$100003,dCrit)</f>
        <v>0</v>
      </c>
      <c r="E777" s="13" t="s">
        <v>739</v>
      </c>
      <c r="F777" s="22">
        <f>COUNTIFS('Internal Audits'!$F$4:$F$100003,"Compliance Audit",'Internal Audits'!$D$4:$D$100003,mCrit,'Internal Audits'!$G$4:$G$100003,dCrit)</f>
        <v>0</v>
      </c>
      <c r="J777" s="13" t="s">
        <v>222</v>
      </c>
      <c r="K777" s="22">
        <f>COUNTIFS('Internal Audits'!$P$4:$P$100003,"Completed",'Internal Audits'!$D$4:$D$100003,mCrit,'Internal Audits'!$G$4:$G$100003,dCrit)</f>
        <v>0</v>
      </c>
      <c r="M777" s="13" t="s">
        <v>222</v>
      </c>
      <c r="N777" s="22">
        <f>COUNTIFS('Internal Audits'!$P$4:$P$100003,"Completed",'Internal Audits'!$D$4:$D$100003,mCrit,'Internal Audits'!$G$4:$G$100003,dCrit)</f>
        <v>0</v>
      </c>
      <c r="P777" s="13" t="s">
        <v>92</v>
      </c>
      <c r="Q777" s="22">
        <f>COUNTIFS('Internal Audits'!$D$4:$D$100003,mCrit,'Internal Audits'!$G$4:$G$100003,"Maintenance")</f>
        <v>0</v>
      </c>
      <c r="R777" s="25">
        <f>IFERROR((COUNTIFS('Internal Audits'!$P$4:$P$100003,"Completed",'Internal Audits'!$D$4:$D$100003,mCrit,'Internal Audits'!$G$4:$G$100003,"Maintenance"))/COUNTIFS('Internal Audits'!$D$4:$D$100003,mCrit,'Internal Audits'!$G$4:$G$100003,"Maintenance")*100,0)</f>
        <v>0</v>
      </c>
      <c r="S777" s="22">
        <f>COUNTIFS('Internal Audits'!$D$4:$D$100003,mCrit,'Internal Audits'!$G$4:$G$100003,"Maintenance")</f>
        <v>0</v>
      </c>
      <c r="U777" s="13" t="s">
        <v>2072</v>
      </c>
      <c r="V777" s="25">
        <f>IFERROR((COUNTIFS('Internal Audits'!$P$4:$P$100003,"Completed",'Internal Audits'!$D$4:$D$100003,"Jan",'Internal Audits'!$G$4:$G$100003,dCrit))/COUNTIFS('Internal Audits'!$D$4:$D$100003,"Jan",'Internal Audits'!$G$4:$G$100003,dCrit)*100,0)</f>
        <v>0</v>
      </c>
      <c r="W777" s="25">
        <f>IFERROR((COUNTIFS('Internal Audits'!$P$4:$P$100003,"Completed",'Internal Audits'!$D$4:$D$100003,"Feb",'Internal Audits'!$G$4:$G$100003,dCrit))/COUNTIFS('Internal Audits'!$D$4:$D$100003,"Feb",'Internal Audits'!$G$4:$G$100003,dCrit)*100,0)</f>
        <v>0</v>
      </c>
      <c r="X777" s="25">
        <f>IFERROR((COUNTIFS('Internal Audits'!$P$4:$P$100003,"Completed",'Internal Audits'!$D$4:$D$100003,"Mar",'Internal Audits'!$G$4:$G$100003,dCrit))/COUNTIFS('Internal Audits'!$D$4:$D$100003,"Mar",'Internal Audits'!$G$4:$G$100003,dCrit)*100,0)</f>
        <v>0</v>
      </c>
      <c r="Y777" s="25">
        <f>IFERROR((COUNTIFS('Internal Audits'!$P$4:$P$100003,"Completed",'Internal Audits'!$D$4:$D$100003,"Apr",'Internal Audits'!$G$4:$G$100003,dCrit))/COUNTIFS('Internal Audits'!$D$4:$D$100003,"Apr",'Internal Audits'!$G$4:$G$100003,dCrit)*100,0)</f>
        <v>0</v>
      </c>
      <c r="Z777" s="25">
        <f>IFERROR((COUNTIFS('Internal Audits'!$P$4:$P$100003,"Completed",'Internal Audits'!$D$4:$D$100003,"May",'Internal Audits'!$G$4:$G$100003,dCrit))/COUNTIFS('Internal Audits'!$D$4:$D$100003,"May",'Internal Audits'!$G$4:$G$100003,dCrit)*100,0)</f>
        <v>0</v>
      </c>
      <c r="AA777" s="25">
        <f>IFERROR((COUNTIFS('Internal Audits'!$P$4:$P$100003,"Completed",'Internal Audits'!$D$4:$D$100003,"Jun",'Internal Audits'!$G$4:$G$100003,dCrit))/COUNTIFS('Internal Audits'!$D$4:$D$100003,"Jun",'Internal Audits'!$G$4:$G$100003,dCrit)*100,0)</f>
        <v>0</v>
      </c>
      <c r="AB777" s="25">
        <f>IFERROR((COUNTIFS('Internal Audits'!$P$4:$P$100003,"Completed",'Internal Audits'!$D$4:$D$100003,"Jul",'Internal Audits'!$G$4:$G$100003,dCrit))/COUNTIFS('Internal Audits'!$D$4:$D$100003,"Jul",'Internal Audits'!$G$4:$G$100003,dCrit)*100,0)</f>
        <v>0</v>
      </c>
      <c r="AC777" s="25">
        <f>IFERROR((COUNTIFS('Internal Audits'!$P$4:$P$100003,"Completed",'Internal Audits'!$D$4:$D$100003,"Aug",'Internal Audits'!$G$4:$G$100003,dCrit))/COUNTIFS('Internal Audits'!$D$4:$D$100003,"Aug",'Internal Audits'!$G$4:$G$100003,dCrit)*100,0)</f>
        <v>0</v>
      </c>
      <c r="AD777" s="25">
        <f>IFERROR((COUNTIFS('Internal Audits'!$P$4:$P$100003,"Completed",'Internal Audits'!$D$4:$D$100003,"Sep",'Internal Audits'!$G$4:$G$100003,dCrit))/COUNTIFS('Internal Audits'!$D$4:$D$100003,"Sep",'Internal Audits'!$G$4:$G$100003,dCrit)*100,0)</f>
        <v>0</v>
      </c>
      <c r="AE777" s="25">
        <f>IFERROR((COUNTIFS('Internal Audits'!$P$4:$P$100003,"Completed",'Internal Audits'!$D$4:$D$100003,"Oct",'Internal Audits'!$G$4:$G$100003,dCrit))/COUNTIFS('Internal Audits'!$D$4:$D$100003,"Oct",'Internal Audits'!$G$4:$G$100003,dCrit)*100,0)</f>
        <v>0</v>
      </c>
      <c r="AF777" s="25">
        <f>IFERROR((COUNTIFS('Internal Audits'!$P$4:$P$100003,"Completed",'Internal Audits'!$D$4:$D$100003,"Nov",'Internal Audits'!$G$4:$G$100003,dCrit))/COUNTIFS('Internal Audits'!$D$4:$D$100003,"Nov",'Internal Audits'!$G$4:$G$100003,dCrit)*100,0)</f>
        <v>0</v>
      </c>
      <c r="AG777" s="25">
        <f>IFERROR((COUNTIFS('Internal Audits'!$P$4:$P$100003,"Completed",'Internal Audits'!$D$4:$D$100003,"Dec",'Internal Audits'!$G$4:$G$100003,dCrit))/COUNTIFS('Internal Audits'!$D$4:$D$100003,"Dec",'Internal Audits'!$G$4:$G$100003,dCrit)*100,0)</f>
        <v>0</v>
      </c>
      <c r="AH777" s="25">
        <f>IFERROR(AVERAGE(V777:AG777),0)</f>
        <v>0</v>
      </c>
    </row>
    <row r="778" spans="2:34">
      <c r="B778" s="23" t="s">
        <v>44</v>
      </c>
      <c r="C778" s="22">
        <f>COUNTIFS('Internal Audits'!$D$4:$D$100003,"Mar",'Internal Audits'!$G$4:$G$100003,dCrit)</f>
        <v>0</v>
      </c>
      <c r="E778" s="13" t="s">
        <v>725</v>
      </c>
      <c r="F778" s="22">
        <f>COUNTIFS('Internal Audits'!$F$4:$F$100003,"Process Audit",'Internal Audits'!$D$4:$D$100003,mCrit,'Internal Audits'!$G$4:$G$100003,dCrit)</f>
        <v>0</v>
      </c>
      <c r="J778" s="13" t="s">
        <v>226</v>
      </c>
      <c r="K778" s="22">
        <f>COUNTIFS('Internal Audits'!$P$4:$P$100003,"In Progress",'Internal Audits'!$D$4:$D$100003,mCrit,'Internal Audits'!$G$4:$G$100003,dCrit)</f>
        <v>0</v>
      </c>
      <c r="M778" s="13" t="s">
        <v>226</v>
      </c>
      <c r="N778" s="22">
        <f>COUNTIFS('Internal Audits'!$P$4:$P$100003,"In Progress",'Internal Audits'!$D$4:$D$100003,mCrit,'Internal Audits'!$G$4:$G$100003,dCrit)</f>
        <v>0</v>
      </c>
      <c r="P778" s="13" t="s">
        <v>39</v>
      </c>
      <c r="Q778" s="22">
        <f>COUNTIFS('Internal Audits'!$D$4:$D$100003,mCrit,'Internal Audits'!$G$4:$G$100003,"Engineering")</f>
        <v>0</v>
      </c>
      <c r="R778" s="25">
        <f>IFERROR((COUNTIFS('Internal Audits'!$P$4:$P$100003,"Completed",'Internal Audits'!$D$4:$D$100003,mCrit,'Internal Audits'!$G$4:$G$100003,"Engineering"))/COUNTIFS('Internal Audits'!$D$4:$D$100003,mCrit,'Internal Audits'!$G$4:$G$100003,"Engineering")*100,0)</f>
        <v>0</v>
      </c>
      <c r="S778" s="22">
        <f>COUNTIFS('Internal Audits'!$D$4:$D$100003,mCrit,'Internal Audits'!$G$4:$G$100003,"Engineering")</f>
        <v>0</v>
      </c>
    </row>
    <row r="779" spans="2:34">
      <c r="B779" s="23" t="s">
        <v>53</v>
      </c>
      <c r="C779" s="22">
        <f>COUNTIFS('Internal Audits'!$D$4:$D$100003,"Apr",'Internal Audits'!$G$4:$G$100003,dCrit)</f>
        <v>0</v>
      </c>
      <c r="E779" s="13" t="s">
        <v>730</v>
      </c>
      <c r="F779" s="22">
        <f>COUNTIFS('Internal Audits'!$F$4:$F$100003,"Surveillance",'Internal Audits'!$D$4:$D$100003,mCrit,'Internal Audits'!$G$4:$G$100003,dCrit)</f>
        <v>0</v>
      </c>
      <c r="M779" s="13" t="s">
        <v>236</v>
      </c>
      <c r="N779" s="22">
        <f>COUNTIFS('Internal Audits'!$P$4:$P$100003,"Scheduled",'Internal Audits'!$D$4:$D$100003,mCrit,'Internal Audits'!$G$4:$G$100003,dCrit)</f>
        <v>0</v>
      </c>
      <c r="P779" s="13" t="s">
        <v>89</v>
      </c>
      <c r="Q779" s="22">
        <f>COUNTIFS('Internal Audits'!$D$4:$D$100003,mCrit,'Internal Audits'!$G$4:$G$100003,"Construction")</f>
        <v>0</v>
      </c>
      <c r="R779" s="25">
        <f>IFERROR((COUNTIFS('Internal Audits'!$P$4:$P$100003,"Completed",'Internal Audits'!$D$4:$D$100003,mCrit,'Internal Audits'!$G$4:$G$100003,"Construction"))/COUNTIFS('Internal Audits'!$D$4:$D$100003,mCrit,'Internal Audits'!$G$4:$G$100003,"Construction")*100,0)</f>
        <v>0</v>
      </c>
      <c r="S779" s="22">
        <f>COUNTIFS('Internal Audits'!$D$4:$D$100003,mCrit,'Internal Audits'!$G$4:$G$100003,"Construction")</f>
        <v>0</v>
      </c>
    </row>
    <row r="780" spans="2:34">
      <c r="B780" s="23" t="s">
        <v>60</v>
      </c>
      <c r="C780" s="22">
        <f>COUNTIFS('Internal Audits'!$D$4:$D$100003,"May",'Internal Audits'!$G$4:$G$100003,dCrit)</f>
        <v>0</v>
      </c>
      <c r="E780" s="13" t="s">
        <v>719</v>
      </c>
      <c r="F780" s="22">
        <f>COUNTIFS('Internal Audits'!$F$4:$F$100003,"Customer Audit",'Internal Audits'!$D$4:$D$100003,mCrit,'Internal Audits'!$G$4:$G$100003,dCrit)</f>
        <v>0</v>
      </c>
      <c r="M780" s="13" t="s">
        <v>776</v>
      </c>
      <c r="N780" s="22">
        <f>SUMIFS('Internal Audits'!$K$4:$K$100003,'Internal Audits'!$D$4:$D$100003,mCrit,'Internal Audits'!$G$4:$G$100003,dCrit)</f>
        <v>0</v>
      </c>
      <c r="P780" s="13" t="s">
        <v>65</v>
      </c>
      <c r="Q780" s="22">
        <f>COUNTIFS('Internal Audits'!$D$4:$D$100003,mCrit,'Internal Audits'!$G$4:$G$100003,"Safety")</f>
        <v>0</v>
      </c>
      <c r="R780" s="25">
        <f>IFERROR((COUNTIFS('Internal Audits'!$P$4:$P$100003,"Completed",'Internal Audits'!$D$4:$D$100003,mCrit,'Internal Audits'!$G$4:$G$100003,"Safety"))/COUNTIFS('Internal Audits'!$D$4:$D$100003,mCrit,'Internal Audits'!$G$4:$G$100003,"Safety")*100,0)</f>
        <v>0</v>
      </c>
      <c r="S780" s="22">
        <f>COUNTIFS('Internal Audits'!$D$4:$D$100003,mCrit,'Internal Audits'!$G$4:$G$100003,"Safety")</f>
        <v>0</v>
      </c>
    </row>
    <row r="781" spans="2:34">
      <c r="B781" s="23" t="s">
        <v>73</v>
      </c>
      <c r="C781" s="22">
        <f>COUNTIFS('Internal Audits'!$D$4:$D$100003,"Jun",'Internal Audits'!$G$4:$G$100003,dCrit)</f>
        <v>0</v>
      </c>
      <c r="E781" s="13" t="s">
        <v>721</v>
      </c>
      <c r="F781" s="22">
        <f>COUNTIFS('Internal Audits'!$F$4:$F$100003,"Regulatory Inspection",'Internal Audits'!$D$4:$D$100003,mCrit,'Internal Audits'!$G$4:$G$100003,dCrit)</f>
        <v>0</v>
      </c>
      <c r="M781" s="13" t="s">
        <v>777</v>
      </c>
      <c r="N781" s="22">
        <f>SUMIFS('Internal Audits'!$L$4:$L$100003,'Internal Audits'!$D$4:$D$100003,mCrit,'Internal Audits'!$G$4:$G$100003,dCrit)</f>
        <v>0</v>
      </c>
      <c r="P781" s="13" t="s">
        <v>5</v>
      </c>
      <c r="Q781" s="22">
        <f>COUNTIFS('Internal Audits'!$D$4:$D$100003,mCrit,'Internal Audits'!$G$4:$G$100003,"Logistics")</f>
        <v>0</v>
      </c>
      <c r="R781" s="25">
        <f>IFERROR((COUNTIFS('Internal Audits'!$P$4:$P$100003,"Completed",'Internal Audits'!$D$4:$D$100003,mCrit,'Internal Audits'!$G$4:$G$100003,"Logistics"))/COUNTIFS('Internal Audits'!$D$4:$D$100003,mCrit,'Internal Audits'!$G$4:$G$100003,"Logistics")*100,0)</f>
        <v>0</v>
      </c>
      <c r="S781" s="22">
        <f>COUNTIFS('Internal Audits'!$D$4:$D$100003,mCrit,'Internal Audits'!$G$4:$G$100003,"Logistics")</f>
        <v>0</v>
      </c>
    </row>
    <row r="782" spans="2:34">
      <c r="B782" s="23" t="s">
        <v>76</v>
      </c>
      <c r="C782" s="22">
        <f>COUNTIFS('Internal Audits'!$D$4:$D$100003,"Jul",'Internal Audits'!$G$4:$G$100003,dCrit)</f>
        <v>0</v>
      </c>
      <c r="M782" s="13" t="s">
        <v>778</v>
      </c>
      <c r="N782" s="22">
        <f>SUMIFS('Internal Audits'!$M$4:$M$100003,'Internal Audits'!$D$4:$D$100003,mCrit,'Internal Audits'!$G$4:$G$100003,dCrit)</f>
        <v>0</v>
      </c>
      <c r="P782" s="13" t="s">
        <v>50</v>
      </c>
      <c r="Q782" s="22">
        <f>COUNTIFS('Internal Audits'!$D$4:$D$100003,mCrit,'Internal Audits'!$G$4:$G$100003,"Quality")</f>
        <v>0</v>
      </c>
      <c r="R782" s="25">
        <f>IFERROR((COUNTIFS('Internal Audits'!$P$4:$P$100003,"Completed",'Internal Audits'!$D$4:$D$100003,mCrit,'Internal Audits'!$G$4:$G$100003,"Quality"))/COUNTIFS('Internal Audits'!$D$4:$D$100003,mCrit,'Internal Audits'!$G$4:$G$100003,"Quality")*100,0)</f>
        <v>0</v>
      </c>
      <c r="S782" s="22">
        <f>COUNTIFS('Internal Audits'!$D$4:$D$100003,mCrit,'Internal Audits'!$G$4:$G$100003,"Quality")</f>
        <v>0</v>
      </c>
    </row>
    <row r="783" spans="2:34">
      <c r="B783" s="23" t="s">
        <v>86</v>
      </c>
      <c r="C783" s="22">
        <f>COUNTIFS('Internal Audits'!$D$4:$D$100003,"Aug",'Internal Audits'!$G$4:$G$100003,dCrit)</f>
        <v>0</v>
      </c>
      <c r="M783" s="13" t="s">
        <v>779</v>
      </c>
      <c r="N783" s="22">
        <f>SUMIFS('Internal Audits'!$N$4:$N$100003,'Internal Audits'!$D$4:$D$100003,mCrit,'Internal Audits'!$G$4:$G$100003,dCrit)</f>
        <v>0</v>
      </c>
      <c r="P783" s="13" t="s">
        <v>46</v>
      </c>
      <c r="Q783" s="22">
        <f>COUNTIFS('Internal Audits'!$D$4:$D$100003,mCrit,'Internal Audits'!$G$4:$G$100003,"Admin")</f>
        <v>0</v>
      </c>
      <c r="R783" s="25">
        <f>IFERROR((COUNTIFS('Internal Audits'!$P$4:$P$100003,"Completed",'Internal Audits'!$D$4:$D$100003,mCrit,'Internal Audits'!$G$4:$G$100003,"Admin"))/COUNTIFS('Internal Audits'!$D$4:$D$100003,mCrit,'Internal Audits'!$G$4:$G$100003,"Admin")*100,0)</f>
        <v>0</v>
      </c>
      <c r="S783" s="22">
        <f>COUNTIFS('Internal Audits'!$D$4:$D$100003,mCrit,'Internal Audits'!$G$4:$G$100003,"Admin")</f>
        <v>0</v>
      </c>
    </row>
    <row r="784" spans="2:34">
      <c r="B784" s="23" t="s">
        <v>102</v>
      </c>
      <c r="C784" s="22">
        <f>COUNTIFS('Internal Audits'!$D$4:$D$100003,"Sep",'Internal Audits'!$G$4:$G$100003,dCrit)</f>
        <v>0</v>
      </c>
      <c r="P784" s="13" t="s">
        <v>13</v>
      </c>
      <c r="Q784" s="22">
        <f>COUNTIFS('Internal Audits'!$D$4:$D$100003,mCrit,'Internal Audits'!$G$4:$G$100003,"Projects")</f>
        <v>0</v>
      </c>
      <c r="R784" s="25">
        <f>IFERROR((COUNTIFS('Internal Audits'!$P$4:$P$100003,"Completed",'Internal Audits'!$D$4:$D$100003,mCrit,'Internal Audits'!$G$4:$G$100003,"Projects"))/COUNTIFS('Internal Audits'!$D$4:$D$100003,mCrit,'Internal Audits'!$G$4:$G$100003,"Projects")*100,0)</f>
        <v>0</v>
      </c>
      <c r="S784" s="22">
        <f>COUNTIFS('Internal Audits'!$D$4:$D$100003,mCrit,'Internal Audits'!$G$4:$G$100003,"Projects")</f>
        <v>0</v>
      </c>
    </row>
    <row r="785" spans="2:19">
      <c r="B785" s="23" t="s">
        <v>106</v>
      </c>
      <c r="C785" s="22">
        <f>COUNTIFS('Internal Audits'!$D$4:$D$100003,"Oct",'Internal Audits'!$G$4:$G$100003,dCrit)</f>
        <v>0</v>
      </c>
      <c r="P785" s="13" t="s">
        <v>58</v>
      </c>
      <c r="Q785" s="22">
        <f>COUNTIFS('Internal Audits'!$D$4:$D$100003,mCrit,'Internal Audits'!$G$4:$G$100003,"Contractor")</f>
        <v>0</v>
      </c>
      <c r="R785" s="25">
        <f>IFERROR((COUNTIFS('Internal Audits'!$P$4:$P$100003,"Completed",'Internal Audits'!$D$4:$D$100003,mCrit,'Internal Audits'!$G$4:$G$100003,"Contractor"))/COUNTIFS('Internal Audits'!$D$4:$D$100003,mCrit,'Internal Audits'!$G$4:$G$100003,"Contractor")*100,0)</f>
        <v>0</v>
      </c>
      <c r="S785" s="22">
        <f>COUNTIFS('Internal Audits'!$D$4:$D$100003,mCrit,'Internal Audits'!$G$4:$G$100003,"Contractor")</f>
        <v>0</v>
      </c>
    </row>
    <row r="786" spans="2:19">
      <c r="B786" s="23" t="s">
        <v>111</v>
      </c>
      <c r="C786" s="22">
        <f>COUNTIFS('Internal Audits'!$D$4:$D$100003,"Nov",'Internal Audits'!$G$4:$G$100003,dCrit)</f>
        <v>0</v>
      </c>
    </row>
    <row r="787" spans="2:19">
      <c r="B787" s="23" t="s">
        <v>122</v>
      </c>
      <c r="C787" s="22">
        <f>COUNTIFS('Internal Audits'!$D$4:$D$100003,"Dec",'Internal Audits'!$G$4:$G$100003,dCrit)</f>
        <v>0</v>
      </c>
    </row>
    <row r="800" spans="2:19">
      <c r="B800" s="17" t="s">
        <v>2104</v>
      </c>
    </row>
    <row r="801" spans="2:34">
      <c r="B801" s="12" t="s">
        <v>127</v>
      </c>
      <c r="C801" s="12" t="s">
        <v>1965</v>
      </c>
      <c r="E801" s="12" t="s">
        <v>774</v>
      </c>
      <c r="F801" s="12" t="s">
        <v>1965</v>
      </c>
      <c r="J801" s="12" t="s">
        <v>288</v>
      </c>
      <c r="K801" s="12" t="s">
        <v>1965</v>
      </c>
      <c r="M801" s="12" t="s">
        <v>1927</v>
      </c>
      <c r="N801" s="12" t="s">
        <v>2039</v>
      </c>
      <c r="P801" s="12" t="s">
        <v>129</v>
      </c>
      <c r="Q801" s="12" t="s">
        <v>1965</v>
      </c>
      <c r="R801" s="12" t="s">
        <v>2071</v>
      </c>
      <c r="S801" s="12" t="s">
        <v>1770</v>
      </c>
      <c r="U801" s="12" t="s">
        <v>2038</v>
      </c>
      <c r="V801" s="12" t="s">
        <v>3</v>
      </c>
      <c r="W801" s="12" t="s">
        <v>19</v>
      </c>
      <c r="X801" s="12" t="s">
        <v>44</v>
      </c>
      <c r="Y801" s="12" t="s">
        <v>53</v>
      </c>
      <c r="Z801" s="12" t="s">
        <v>60</v>
      </c>
      <c r="AA801" s="12" t="s">
        <v>73</v>
      </c>
      <c r="AB801" s="12" t="s">
        <v>76</v>
      </c>
      <c r="AC801" s="12" t="s">
        <v>86</v>
      </c>
      <c r="AD801" s="12" t="s">
        <v>102</v>
      </c>
      <c r="AE801" s="12" t="s">
        <v>106</v>
      </c>
      <c r="AF801" s="12" t="s">
        <v>111</v>
      </c>
      <c r="AG801" s="12" t="s">
        <v>122</v>
      </c>
      <c r="AH801" s="12" t="s">
        <v>2063</v>
      </c>
    </row>
    <row r="802" spans="2:34">
      <c r="B802" s="23" t="s">
        <v>3</v>
      </c>
      <c r="C802" s="22">
        <f>COUNTIFS('External Audits'!$D$4:$D$100003,"Jan",'External Audits'!$G$4:$G$100003,dCrit)</f>
        <v>0</v>
      </c>
      <c r="E802" s="13" t="s">
        <v>723</v>
      </c>
      <c r="F802" s="22">
        <f>COUNTIFS('External Audits'!$F$4:$F$100003,"System Audit",'External Audits'!$D$4:$D$100003,mCrit,'External Audits'!$G$4:$G$100003,dCrit)</f>
        <v>0</v>
      </c>
      <c r="J802" s="13" t="s">
        <v>222</v>
      </c>
      <c r="K802" s="22">
        <f>COUNTIFS('External Audits'!$P$4:$P$100003,"Completed",'External Audits'!$D$4:$D$100003,mCrit,'External Audits'!$G$4:$G$100003,dCrit)</f>
        <v>0</v>
      </c>
      <c r="M802" s="13" t="s">
        <v>2103</v>
      </c>
      <c r="N802" s="22">
        <f>COUNTIFS('External Audits'!$D$4:$D$100003,mCrit,'External Audits'!$G$4:$G$100003,dCrit)</f>
        <v>0</v>
      </c>
      <c r="P802" s="13" t="s">
        <v>27</v>
      </c>
      <c r="Q802" s="22">
        <f>COUNTIFS('External Audits'!$D$4:$D$100003,mCrit,'External Audits'!$G$4:$G$100003,"Operations")</f>
        <v>0</v>
      </c>
      <c r="R802" s="25">
        <f>IFERROR((COUNTIFS('External Audits'!$P$4:$P$100003,"Completed",'External Audits'!$D$4:$D$100003,mCrit,'External Audits'!$G$4:$G$100003,"Operations"))/COUNTIFS('External Audits'!$D$4:$D$100003,mCrit,'External Audits'!$G$4:$G$100003,"Operations")*100,0)</f>
        <v>0</v>
      </c>
      <c r="S802" s="22">
        <f>COUNTIFS('External Audits'!$D$4:$D$100003,mCrit,'External Audits'!$G$4:$G$100003,"Operations")</f>
        <v>0</v>
      </c>
      <c r="U802" s="13" t="s">
        <v>1770</v>
      </c>
      <c r="V802" s="22">
        <f>COUNTIFS('External Audits'!$D$4:$D$100003,"Jan",'External Audits'!$G$4:$G$100003,dCrit)</f>
        <v>0</v>
      </c>
      <c r="W802" s="22">
        <f>COUNTIFS('External Audits'!$D$4:$D$100003,"Feb",'External Audits'!$G$4:$G$100003,dCrit)</f>
        <v>0</v>
      </c>
      <c r="X802" s="22">
        <f>COUNTIFS('External Audits'!$D$4:$D$100003,"Mar",'External Audits'!$G$4:$G$100003,dCrit)</f>
        <v>0</v>
      </c>
      <c r="Y802" s="22">
        <f>COUNTIFS('External Audits'!$D$4:$D$100003,"Apr",'External Audits'!$G$4:$G$100003,dCrit)</f>
        <v>0</v>
      </c>
      <c r="Z802" s="22">
        <f>COUNTIFS('External Audits'!$D$4:$D$100003,"May",'External Audits'!$G$4:$G$100003,dCrit)</f>
        <v>0</v>
      </c>
      <c r="AA802" s="22">
        <f>COUNTIFS('External Audits'!$D$4:$D$100003,"Jun",'External Audits'!$G$4:$G$100003,dCrit)</f>
        <v>0</v>
      </c>
      <c r="AB802" s="22">
        <f>COUNTIFS('External Audits'!$D$4:$D$100003,"Jul",'External Audits'!$G$4:$G$100003,dCrit)</f>
        <v>0</v>
      </c>
      <c r="AC802" s="22">
        <f>COUNTIFS('External Audits'!$D$4:$D$100003,"Aug",'External Audits'!$G$4:$G$100003,dCrit)</f>
        <v>0</v>
      </c>
      <c r="AD802" s="22">
        <f>COUNTIFS('External Audits'!$D$4:$D$100003,"Sep",'External Audits'!$G$4:$G$100003,dCrit)</f>
        <v>0</v>
      </c>
      <c r="AE802" s="22">
        <f>COUNTIFS('External Audits'!$D$4:$D$100003,"Oct",'External Audits'!$G$4:$G$100003,dCrit)</f>
        <v>0</v>
      </c>
      <c r="AF802" s="22">
        <f>COUNTIFS('External Audits'!$D$4:$D$100003,"Nov",'External Audits'!$G$4:$G$100003,dCrit)</f>
        <v>0</v>
      </c>
      <c r="AG802" s="22">
        <f>COUNTIFS('External Audits'!$D$4:$D$100003,"Dec",'External Audits'!$G$4:$G$100003,dCrit)</f>
        <v>0</v>
      </c>
      <c r="AH802" s="22">
        <f>SUM(V802:AG802)</f>
        <v>0</v>
      </c>
    </row>
    <row r="803" spans="2:34">
      <c r="B803" s="23" t="s">
        <v>19</v>
      </c>
      <c r="C803" s="22">
        <f>COUNTIFS('External Audits'!$D$4:$D$100003,"Feb",'External Audits'!$G$4:$G$100003,dCrit)</f>
        <v>0</v>
      </c>
      <c r="E803" s="13" t="s">
        <v>739</v>
      </c>
      <c r="F803" s="22">
        <f>COUNTIFS('External Audits'!$F$4:$F$100003,"Compliance Audit",'External Audits'!$D$4:$D$100003,mCrit,'External Audits'!$G$4:$G$100003,dCrit)</f>
        <v>0</v>
      </c>
      <c r="J803" s="13" t="s">
        <v>226</v>
      </c>
      <c r="K803" s="22">
        <f>COUNTIFS('External Audits'!$P$4:$P$100003,"In Progress",'External Audits'!$D$4:$D$100003,mCrit,'External Audits'!$G$4:$G$100003,dCrit)</f>
        <v>0</v>
      </c>
      <c r="M803" s="13" t="s">
        <v>222</v>
      </c>
      <c r="N803" s="22">
        <f>COUNTIFS('External Audits'!$P$4:$P$100003,"Completed",'External Audits'!$D$4:$D$100003,mCrit,'External Audits'!$G$4:$G$100003,dCrit)</f>
        <v>0</v>
      </c>
      <c r="P803" s="13" t="s">
        <v>92</v>
      </c>
      <c r="Q803" s="22">
        <f>COUNTIFS('External Audits'!$D$4:$D$100003,mCrit,'External Audits'!$G$4:$G$100003,"Maintenance")</f>
        <v>0</v>
      </c>
      <c r="R803" s="25">
        <f>IFERROR((COUNTIFS('External Audits'!$P$4:$P$100003,"Completed",'External Audits'!$D$4:$D$100003,mCrit,'External Audits'!$G$4:$G$100003,"Maintenance"))/COUNTIFS('External Audits'!$D$4:$D$100003,mCrit,'External Audits'!$G$4:$G$100003,"Maintenance")*100,0)</f>
        <v>0</v>
      </c>
      <c r="S803" s="22">
        <f>COUNTIFS('External Audits'!$D$4:$D$100003,mCrit,'External Audits'!$G$4:$G$100003,"Maintenance")</f>
        <v>0</v>
      </c>
      <c r="U803" s="13" t="s">
        <v>2072</v>
      </c>
      <c r="V803" s="25">
        <f>IFERROR((COUNTIFS('External Audits'!$P$4:$P$100003,"Completed",'External Audits'!$D$4:$D$100003,"Jan",'External Audits'!$G$4:$G$100003,dCrit))/COUNTIFS('External Audits'!$D$4:$D$100003,"Jan",'External Audits'!$G$4:$G$100003,dCrit)*100,0)</f>
        <v>0</v>
      </c>
      <c r="W803" s="25">
        <f>IFERROR((COUNTIFS('External Audits'!$P$4:$P$100003,"Completed",'External Audits'!$D$4:$D$100003,"Feb",'External Audits'!$G$4:$G$100003,dCrit))/COUNTIFS('External Audits'!$D$4:$D$100003,"Feb",'External Audits'!$G$4:$G$100003,dCrit)*100,0)</f>
        <v>0</v>
      </c>
      <c r="X803" s="25">
        <f>IFERROR((COUNTIFS('External Audits'!$P$4:$P$100003,"Completed",'External Audits'!$D$4:$D$100003,"Mar",'External Audits'!$G$4:$G$100003,dCrit))/COUNTIFS('External Audits'!$D$4:$D$100003,"Mar",'External Audits'!$G$4:$G$100003,dCrit)*100,0)</f>
        <v>0</v>
      </c>
      <c r="Y803" s="25">
        <f>IFERROR((COUNTIFS('External Audits'!$P$4:$P$100003,"Completed",'External Audits'!$D$4:$D$100003,"Apr",'External Audits'!$G$4:$G$100003,dCrit))/COUNTIFS('External Audits'!$D$4:$D$100003,"Apr",'External Audits'!$G$4:$G$100003,dCrit)*100,0)</f>
        <v>0</v>
      </c>
      <c r="Z803" s="25">
        <f>IFERROR((COUNTIFS('External Audits'!$P$4:$P$100003,"Completed",'External Audits'!$D$4:$D$100003,"May",'External Audits'!$G$4:$G$100003,dCrit))/COUNTIFS('External Audits'!$D$4:$D$100003,"May",'External Audits'!$G$4:$G$100003,dCrit)*100,0)</f>
        <v>0</v>
      </c>
      <c r="AA803" s="25">
        <f>IFERROR((COUNTIFS('External Audits'!$P$4:$P$100003,"Completed",'External Audits'!$D$4:$D$100003,"Jun",'External Audits'!$G$4:$G$100003,dCrit))/COUNTIFS('External Audits'!$D$4:$D$100003,"Jun",'External Audits'!$G$4:$G$100003,dCrit)*100,0)</f>
        <v>0</v>
      </c>
      <c r="AB803" s="25">
        <f>IFERROR((COUNTIFS('External Audits'!$P$4:$P$100003,"Completed",'External Audits'!$D$4:$D$100003,"Jul",'External Audits'!$G$4:$G$100003,dCrit))/COUNTIFS('External Audits'!$D$4:$D$100003,"Jul",'External Audits'!$G$4:$G$100003,dCrit)*100,0)</f>
        <v>0</v>
      </c>
      <c r="AC803" s="25">
        <f>IFERROR((COUNTIFS('External Audits'!$P$4:$P$100003,"Completed",'External Audits'!$D$4:$D$100003,"Aug",'External Audits'!$G$4:$G$100003,dCrit))/COUNTIFS('External Audits'!$D$4:$D$100003,"Aug",'External Audits'!$G$4:$G$100003,dCrit)*100,0)</f>
        <v>0</v>
      </c>
      <c r="AD803" s="25">
        <f>IFERROR((COUNTIFS('External Audits'!$P$4:$P$100003,"Completed",'External Audits'!$D$4:$D$100003,"Sep",'External Audits'!$G$4:$G$100003,dCrit))/COUNTIFS('External Audits'!$D$4:$D$100003,"Sep",'External Audits'!$G$4:$G$100003,dCrit)*100,0)</f>
        <v>0</v>
      </c>
      <c r="AE803" s="25">
        <f>IFERROR((COUNTIFS('External Audits'!$P$4:$P$100003,"Completed",'External Audits'!$D$4:$D$100003,"Oct",'External Audits'!$G$4:$G$100003,dCrit))/COUNTIFS('External Audits'!$D$4:$D$100003,"Oct",'External Audits'!$G$4:$G$100003,dCrit)*100,0)</f>
        <v>0</v>
      </c>
      <c r="AF803" s="25">
        <f>IFERROR((COUNTIFS('External Audits'!$P$4:$P$100003,"Completed",'External Audits'!$D$4:$D$100003,"Nov",'External Audits'!$G$4:$G$100003,dCrit))/COUNTIFS('External Audits'!$D$4:$D$100003,"Nov",'External Audits'!$G$4:$G$100003,dCrit)*100,0)</f>
        <v>0</v>
      </c>
      <c r="AG803" s="25">
        <f>IFERROR((COUNTIFS('External Audits'!$P$4:$P$100003,"Completed",'External Audits'!$D$4:$D$100003,"Dec",'External Audits'!$G$4:$G$100003,dCrit))/COUNTIFS('External Audits'!$D$4:$D$100003,"Dec",'External Audits'!$G$4:$G$100003,dCrit)*100,0)</f>
        <v>0</v>
      </c>
      <c r="AH803" s="25">
        <f>IFERROR(AVERAGE(V803:AG803),0)</f>
        <v>0</v>
      </c>
    </row>
    <row r="804" spans="2:34">
      <c r="B804" s="23" t="s">
        <v>44</v>
      </c>
      <c r="C804" s="22">
        <f>COUNTIFS('External Audits'!$D$4:$D$100003,"Mar",'External Audits'!$G$4:$G$100003,dCrit)</f>
        <v>0</v>
      </c>
      <c r="E804" s="13" t="s">
        <v>725</v>
      </c>
      <c r="F804" s="22">
        <f>COUNTIFS('External Audits'!$F$4:$F$100003,"Process Audit",'External Audits'!$D$4:$D$100003,mCrit,'External Audits'!$G$4:$G$100003,dCrit)</f>
        <v>0</v>
      </c>
      <c r="J804" s="13" t="s">
        <v>236</v>
      </c>
      <c r="K804" s="22">
        <f>COUNTIFS('External Audits'!$P$4:$P$100003,"Scheduled",'External Audits'!$D$4:$D$100003,mCrit,'External Audits'!$G$4:$G$100003,dCrit)</f>
        <v>0</v>
      </c>
      <c r="M804" s="13" t="s">
        <v>226</v>
      </c>
      <c r="N804" s="22">
        <f>COUNTIFS('External Audits'!$P$4:$P$100003,"In Progress",'External Audits'!$D$4:$D$100003,mCrit,'External Audits'!$G$4:$G$100003,dCrit)</f>
        <v>0</v>
      </c>
      <c r="P804" s="13" t="s">
        <v>39</v>
      </c>
      <c r="Q804" s="22">
        <f>COUNTIFS('External Audits'!$D$4:$D$100003,mCrit,'External Audits'!$G$4:$G$100003,"Engineering")</f>
        <v>0</v>
      </c>
      <c r="R804" s="25">
        <f>IFERROR((COUNTIFS('External Audits'!$P$4:$P$100003,"Completed",'External Audits'!$D$4:$D$100003,mCrit,'External Audits'!$G$4:$G$100003,"Engineering"))/COUNTIFS('External Audits'!$D$4:$D$100003,mCrit,'External Audits'!$G$4:$G$100003,"Engineering")*100,0)</f>
        <v>0</v>
      </c>
      <c r="S804" s="22">
        <f>COUNTIFS('External Audits'!$D$4:$D$100003,mCrit,'External Audits'!$G$4:$G$100003,"Engineering")</f>
        <v>0</v>
      </c>
    </row>
    <row r="805" spans="2:34">
      <c r="B805" s="23" t="s">
        <v>53</v>
      </c>
      <c r="C805" s="22">
        <f>COUNTIFS('External Audits'!$D$4:$D$100003,"Apr",'External Audits'!$G$4:$G$100003,dCrit)</f>
        <v>0</v>
      </c>
      <c r="E805" s="13" t="s">
        <v>730</v>
      </c>
      <c r="F805" s="22">
        <f>COUNTIFS('External Audits'!$F$4:$F$100003,"Surveillance",'External Audits'!$D$4:$D$100003,mCrit,'External Audits'!$G$4:$G$100003,dCrit)</f>
        <v>0</v>
      </c>
      <c r="M805" s="13" t="s">
        <v>236</v>
      </c>
      <c r="N805" s="22">
        <f>COUNTIFS('External Audits'!$P$4:$P$100003,"Scheduled",'External Audits'!$D$4:$D$100003,mCrit,'External Audits'!$G$4:$G$100003,dCrit)</f>
        <v>0</v>
      </c>
      <c r="P805" s="13" t="s">
        <v>89</v>
      </c>
      <c r="Q805" s="22">
        <f>COUNTIFS('External Audits'!$D$4:$D$100003,mCrit,'External Audits'!$G$4:$G$100003,"Construction")</f>
        <v>0</v>
      </c>
      <c r="R805" s="25">
        <f>IFERROR((COUNTIFS('External Audits'!$P$4:$P$100003,"Completed",'External Audits'!$D$4:$D$100003,mCrit,'External Audits'!$G$4:$G$100003,"Construction"))/COUNTIFS('External Audits'!$D$4:$D$100003,mCrit,'External Audits'!$G$4:$G$100003,"Construction")*100,0)</f>
        <v>0</v>
      </c>
      <c r="S805" s="22">
        <f>COUNTIFS('External Audits'!$D$4:$D$100003,mCrit,'External Audits'!$G$4:$G$100003,"Construction")</f>
        <v>0</v>
      </c>
    </row>
    <row r="806" spans="2:34">
      <c r="B806" s="23" t="s">
        <v>60</v>
      </c>
      <c r="C806" s="22">
        <f>COUNTIFS('External Audits'!$D$4:$D$100003,"May",'External Audits'!$G$4:$G$100003,dCrit)</f>
        <v>0</v>
      </c>
      <c r="E806" s="13" t="s">
        <v>719</v>
      </c>
      <c r="F806" s="22">
        <f>COUNTIFS('External Audits'!$F$4:$F$100003,"Customer Audit",'External Audits'!$D$4:$D$100003,mCrit,'External Audits'!$G$4:$G$100003,dCrit)</f>
        <v>0</v>
      </c>
      <c r="M806" s="13" t="s">
        <v>776</v>
      </c>
      <c r="N806" s="22">
        <f>SUMIFS('External Audits'!$K$4:$K$100003,'External Audits'!$D$4:$D$100003,mCrit,'External Audits'!$G$4:$G$100003,dCrit)</f>
        <v>0</v>
      </c>
      <c r="P806" s="13" t="s">
        <v>65</v>
      </c>
      <c r="Q806" s="22">
        <f>COUNTIFS('External Audits'!$D$4:$D$100003,mCrit,'External Audits'!$G$4:$G$100003,"Safety")</f>
        <v>0</v>
      </c>
      <c r="R806" s="25">
        <f>IFERROR((COUNTIFS('External Audits'!$P$4:$P$100003,"Completed",'External Audits'!$D$4:$D$100003,mCrit,'External Audits'!$G$4:$G$100003,"Safety"))/COUNTIFS('External Audits'!$D$4:$D$100003,mCrit,'External Audits'!$G$4:$G$100003,"Safety")*100,0)</f>
        <v>0</v>
      </c>
      <c r="S806" s="22">
        <f>COUNTIFS('External Audits'!$D$4:$D$100003,mCrit,'External Audits'!$G$4:$G$100003,"Safety")</f>
        <v>0</v>
      </c>
    </row>
    <row r="807" spans="2:34">
      <c r="B807" s="23" t="s">
        <v>73</v>
      </c>
      <c r="C807" s="22">
        <f>COUNTIFS('External Audits'!$D$4:$D$100003,"Jun",'External Audits'!$G$4:$G$100003,dCrit)</f>
        <v>0</v>
      </c>
      <c r="E807" s="13" t="s">
        <v>721</v>
      </c>
      <c r="F807" s="22">
        <f>COUNTIFS('External Audits'!$F$4:$F$100003,"Regulatory Inspection",'External Audits'!$D$4:$D$100003,mCrit,'External Audits'!$G$4:$G$100003,dCrit)</f>
        <v>0</v>
      </c>
      <c r="M807" s="13" t="s">
        <v>777</v>
      </c>
      <c r="N807" s="22">
        <f>SUMIFS('External Audits'!$L$4:$L$100003,'External Audits'!$D$4:$D$100003,mCrit,'External Audits'!$G$4:$G$100003,dCrit)</f>
        <v>0</v>
      </c>
      <c r="P807" s="13" t="s">
        <v>5</v>
      </c>
      <c r="Q807" s="22">
        <f>COUNTIFS('External Audits'!$D$4:$D$100003,mCrit,'External Audits'!$G$4:$G$100003,"Logistics")</f>
        <v>0</v>
      </c>
      <c r="R807" s="25">
        <f>IFERROR((COUNTIFS('External Audits'!$P$4:$P$100003,"Completed",'External Audits'!$D$4:$D$100003,mCrit,'External Audits'!$G$4:$G$100003,"Logistics"))/COUNTIFS('External Audits'!$D$4:$D$100003,mCrit,'External Audits'!$G$4:$G$100003,"Logistics")*100,0)</f>
        <v>0</v>
      </c>
      <c r="S807" s="22">
        <f>COUNTIFS('External Audits'!$D$4:$D$100003,mCrit,'External Audits'!$G$4:$G$100003,"Logistics")</f>
        <v>0</v>
      </c>
    </row>
    <row r="808" spans="2:34">
      <c r="B808" s="23" t="s">
        <v>76</v>
      </c>
      <c r="C808" s="22">
        <f>COUNTIFS('External Audits'!$D$4:$D$100003,"Jul",'External Audits'!$G$4:$G$100003,dCrit)</f>
        <v>0</v>
      </c>
      <c r="M808" s="13" t="s">
        <v>778</v>
      </c>
      <c r="N808" s="22">
        <f>SUMIFS('External Audits'!$M$4:$M$100003,'External Audits'!$D$4:$D$100003,mCrit,'External Audits'!$G$4:$G$100003,dCrit)</f>
        <v>0</v>
      </c>
      <c r="P808" s="13" t="s">
        <v>50</v>
      </c>
      <c r="Q808" s="22">
        <f>COUNTIFS('External Audits'!$D$4:$D$100003,mCrit,'External Audits'!$G$4:$G$100003,"Quality")</f>
        <v>0</v>
      </c>
      <c r="R808" s="25">
        <f>IFERROR((COUNTIFS('External Audits'!$P$4:$P$100003,"Completed",'External Audits'!$D$4:$D$100003,mCrit,'External Audits'!$G$4:$G$100003,"Quality"))/COUNTIFS('External Audits'!$D$4:$D$100003,mCrit,'External Audits'!$G$4:$G$100003,"Quality")*100,0)</f>
        <v>0</v>
      </c>
      <c r="S808" s="22">
        <f>COUNTIFS('External Audits'!$D$4:$D$100003,mCrit,'External Audits'!$G$4:$G$100003,"Quality")</f>
        <v>0</v>
      </c>
    </row>
    <row r="809" spans="2:34">
      <c r="B809" s="23" t="s">
        <v>86</v>
      </c>
      <c r="C809" s="22">
        <f>COUNTIFS('External Audits'!$D$4:$D$100003,"Aug",'External Audits'!$G$4:$G$100003,dCrit)</f>
        <v>0</v>
      </c>
      <c r="M809" s="13" t="s">
        <v>779</v>
      </c>
      <c r="N809" s="22">
        <f>SUMIFS('External Audits'!$N$4:$N$100003,'External Audits'!$D$4:$D$100003,mCrit,'External Audits'!$G$4:$G$100003,dCrit)</f>
        <v>0</v>
      </c>
      <c r="P809" s="13" t="s">
        <v>46</v>
      </c>
      <c r="Q809" s="22">
        <f>COUNTIFS('External Audits'!$D$4:$D$100003,mCrit,'External Audits'!$G$4:$G$100003,"Admin")</f>
        <v>0</v>
      </c>
      <c r="R809" s="25">
        <f>IFERROR((COUNTIFS('External Audits'!$P$4:$P$100003,"Completed",'External Audits'!$D$4:$D$100003,mCrit,'External Audits'!$G$4:$G$100003,"Admin"))/COUNTIFS('External Audits'!$D$4:$D$100003,mCrit,'External Audits'!$G$4:$G$100003,"Admin")*100,0)</f>
        <v>0</v>
      </c>
      <c r="S809" s="22">
        <f>COUNTIFS('External Audits'!$D$4:$D$100003,mCrit,'External Audits'!$G$4:$G$100003,"Admin")</f>
        <v>0</v>
      </c>
    </row>
    <row r="810" spans="2:34">
      <c r="B810" s="23" t="s">
        <v>102</v>
      </c>
      <c r="C810" s="22">
        <f>COUNTIFS('External Audits'!$D$4:$D$100003,"Sep",'External Audits'!$G$4:$G$100003,dCrit)</f>
        <v>0</v>
      </c>
      <c r="P810" s="13" t="s">
        <v>13</v>
      </c>
      <c r="Q810" s="22">
        <f>COUNTIFS('External Audits'!$D$4:$D$100003,mCrit,'External Audits'!$G$4:$G$100003,"Projects")</f>
        <v>0</v>
      </c>
      <c r="R810" s="25">
        <f>IFERROR((COUNTIFS('External Audits'!$P$4:$P$100003,"Completed",'External Audits'!$D$4:$D$100003,mCrit,'External Audits'!$G$4:$G$100003,"Projects"))/COUNTIFS('External Audits'!$D$4:$D$100003,mCrit,'External Audits'!$G$4:$G$100003,"Projects")*100,0)</f>
        <v>0</v>
      </c>
      <c r="S810" s="22">
        <f>COUNTIFS('External Audits'!$D$4:$D$100003,mCrit,'External Audits'!$G$4:$G$100003,"Projects")</f>
        <v>0</v>
      </c>
    </row>
    <row r="811" spans="2:34">
      <c r="B811" s="23" t="s">
        <v>106</v>
      </c>
      <c r="C811" s="22">
        <f>COUNTIFS('External Audits'!$D$4:$D$100003,"Oct",'External Audits'!$G$4:$G$100003,dCrit)</f>
        <v>0</v>
      </c>
      <c r="P811" s="13" t="s">
        <v>58</v>
      </c>
      <c r="Q811" s="22">
        <f>COUNTIFS('External Audits'!$D$4:$D$100003,mCrit,'External Audits'!$G$4:$G$100003,"Contractor")</f>
        <v>0</v>
      </c>
      <c r="R811" s="25">
        <f>IFERROR((COUNTIFS('External Audits'!$P$4:$P$100003,"Completed",'External Audits'!$D$4:$D$100003,mCrit,'External Audits'!$G$4:$G$100003,"Contractor"))/COUNTIFS('External Audits'!$D$4:$D$100003,mCrit,'External Audits'!$G$4:$G$100003,"Contractor")*100,0)</f>
        <v>0</v>
      </c>
      <c r="S811" s="22">
        <f>COUNTIFS('External Audits'!$D$4:$D$100003,mCrit,'External Audits'!$G$4:$G$100003,"Contractor")</f>
        <v>0</v>
      </c>
    </row>
    <row r="812" spans="2:34">
      <c r="B812" s="23" t="s">
        <v>111</v>
      </c>
      <c r="C812" s="22">
        <f>COUNTIFS('External Audits'!$D$4:$D$100003,"Nov",'External Audits'!$G$4:$G$100003,dCrit)</f>
        <v>0</v>
      </c>
    </row>
    <row r="813" spans="2:34">
      <c r="B813" s="23" t="s">
        <v>122</v>
      </c>
      <c r="C813" s="22">
        <f>COUNTIFS('External Audits'!$D$4:$D$100003,"Dec",'External Audits'!$G$4:$G$100003,dCrit)</f>
        <v>0</v>
      </c>
    </row>
    <row r="826" spans="2:34">
      <c r="B826" s="17" t="s">
        <v>2105</v>
      </c>
    </row>
    <row r="827" spans="2:34">
      <c r="B827" s="12" t="s">
        <v>127</v>
      </c>
      <c r="C827" s="12" t="s">
        <v>1965</v>
      </c>
      <c r="E827" s="12" t="s">
        <v>884</v>
      </c>
      <c r="F827" s="12" t="s">
        <v>1965</v>
      </c>
      <c r="J827" s="12" t="s">
        <v>288</v>
      </c>
      <c r="K827" s="12" t="s">
        <v>1965</v>
      </c>
      <c r="M827" s="12" t="s">
        <v>1927</v>
      </c>
      <c r="N827" s="12" t="s">
        <v>2039</v>
      </c>
      <c r="P827" s="12" t="s">
        <v>129</v>
      </c>
      <c r="Q827" s="12" t="s">
        <v>1965</v>
      </c>
      <c r="R827" s="12" t="s">
        <v>2071</v>
      </c>
      <c r="S827" s="12" t="s">
        <v>2107</v>
      </c>
      <c r="U827" s="12" t="s">
        <v>2038</v>
      </c>
      <c r="V827" s="12" t="s">
        <v>3</v>
      </c>
      <c r="W827" s="12" t="s">
        <v>19</v>
      </c>
      <c r="X827" s="12" t="s">
        <v>44</v>
      </c>
      <c r="Y827" s="12" t="s">
        <v>53</v>
      </c>
      <c r="Z827" s="12" t="s">
        <v>60</v>
      </c>
      <c r="AA827" s="12" t="s">
        <v>73</v>
      </c>
      <c r="AB827" s="12" t="s">
        <v>76</v>
      </c>
      <c r="AC827" s="12" t="s">
        <v>86</v>
      </c>
      <c r="AD827" s="12" t="s">
        <v>102</v>
      </c>
      <c r="AE827" s="12" t="s">
        <v>106</v>
      </c>
      <c r="AF827" s="12" t="s">
        <v>111</v>
      </c>
      <c r="AG827" s="12" t="s">
        <v>122</v>
      </c>
      <c r="AH827" s="12" t="s">
        <v>2063</v>
      </c>
    </row>
    <row r="828" spans="2:34">
      <c r="B828" s="23" t="s">
        <v>3</v>
      </c>
      <c r="C828" s="22">
        <f>COUNTIFS('Management Visits'!$D$4:$D$100003,"Jan",'Management Visits'!$F$4:$F$100003,dCrit)</f>
        <v>0</v>
      </c>
      <c r="E828" s="13" t="s">
        <v>835</v>
      </c>
      <c r="F828" s="22">
        <f>COUNTIFS('Management Visits'!$E$4:$E$100003,"Site Walk",'Management Visits'!$D$4:$D$100003,mCrit,'Management Visits'!$F$4:$F$100003,dCrit)</f>
        <v>0</v>
      </c>
      <c r="J828" s="13" t="s">
        <v>222</v>
      </c>
      <c r="K828" s="22">
        <f>COUNTIFS('Management Visits'!$N$4:$N$100003,"Completed",'Management Visits'!$D$4:$D$100003,mCrit,'Management Visits'!$F$4:$F$100003,dCrit)</f>
        <v>0</v>
      </c>
      <c r="M828" s="13" t="s">
        <v>2106</v>
      </c>
      <c r="N828" s="22">
        <f>COUNTIFS('Management Visits'!$D$4:$D$100003,mCrit,'Management Visits'!$F$4:$F$100003,dCrit)</f>
        <v>0</v>
      </c>
      <c r="P828" s="13" t="s">
        <v>27</v>
      </c>
      <c r="Q828" s="22">
        <f>COUNTIFS('Management Visits'!$D$4:$D$100003,mCrit,'Management Visits'!$F$4:$F$100003,"Operations")</f>
        <v>0</v>
      </c>
      <c r="R828" s="25">
        <f>IFERROR((COUNTIFS('Management Visits'!$N$4:$N$100003,"Completed",'Management Visits'!$D$4:$D$100003,mCrit,'Management Visits'!$F$4:$F$100003,"Operations"))/COUNTIFS('Management Visits'!$D$4:$D$100003,mCrit,'Management Visits'!$F$4:$F$100003,"Operations")*100,0)</f>
        <v>0</v>
      </c>
      <c r="S828" s="25">
        <f>IFERROR(AVERAGEIFS('Management Visits'!$M$4:$M$100003,'Management Visits'!$D$4:$D$100003,mCrit,'Management Visits'!$F$4:$F$100003,"Operations"),0)</f>
        <v>0</v>
      </c>
      <c r="U828" s="13" t="s">
        <v>1770</v>
      </c>
      <c r="V828" s="22">
        <f>COUNTIFS('Management Visits'!$D$4:$D$100003,"Jan",'Management Visits'!$F$4:$F$100003,dCrit)</f>
        <v>0</v>
      </c>
      <c r="W828" s="22">
        <f>COUNTIFS('Management Visits'!$D$4:$D$100003,"Feb",'Management Visits'!$F$4:$F$100003,dCrit)</f>
        <v>0</v>
      </c>
      <c r="X828" s="22">
        <f>COUNTIFS('Management Visits'!$D$4:$D$100003,"Mar",'Management Visits'!$F$4:$F$100003,dCrit)</f>
        <v>0</v>
      </c>
      <c r="Y828" s="22">
        <f>COUNTIFS('Management Visits'!$D$4:$D$100003,"Apr",'Management Visits'!$F$4:$F$100003,dCrit)</f>
        <v>0</v>
      </c>
      <c r="Z828" s="22">
        <f>COUNTIFS('Management Visits'!$D$4:$D$100003,"May",'Management Visits'!$F$4:$F$100003,dCrit)</f>
        <v>0</v>
      </c>
      <c r="AA828" s="22">
        <f>COUNTIFS('Management Visits'!$D$4:$D$100003,"Jun",'Management Visits'!$F$4:$F$100003,dCrit)</f>
        <v>0</v>
      </c>
      <c r="AB828" s="22">
        <f>COUNTIFS('Management Visits'!$D$4:$D$100003,"Jul",'Management Visits'!$F$4:$F$100003,dCrit)</f>
        <v>0</v>
      </c>
      <c r="AC828" s="22">
        <f>COUNTIFS('Management Visits'!$D$4:$D$100003,"Aug",'Management Visits'!$F$4:$F$100003,dCrit)</f>
        <v>0</v>
      </c>
      <c r="AD828" s="22">
        <f>COUNTIFS('Management Visits'!$D$4:$D$100003,"Sep",'Management Visits'!$F$4:$F$100003,dCrit)</f>
        <v>0</v>
      </c>
      <c r="AE828" s="22">
        <f>COUNTIFS('Management Visits'!$D$4:$D$100003,"Oct",'Management Visits'!$F$4:$F$100003,dCrit)</f>
        <v>0</v>
      </c>
      <c r="AF828" s="22">
        <f>COUNTIFS('Management Visits'!$D$4:$D$100003,"Nov",'Management Visits'!$F$4:$F$100003,dCrit)</f>
        <v>0</v>
      </c>
      <c r="AG828" s="22">
        <f>COUNTIFS('Management Visits'!$D$4:$D$100003,"Dec",'Management Visits'!$F$4:$F$100003,dCrit)</f>
        <v>0</v>
      </c>
      <c r="AH828" s="22">
        <f>SUM(V828:AG828)</f>
        <v>0</v>
      </c>
    </row>
    <row r="829" spans="2:34">
      <c r="B829" s="23" t="s">
        <v>19</v>
      </c>
      <c r="C829" s="22">
        <f>COUNTIFS('Management Visits'!$D$4:$D$100003,"Feb",'Management Visits'!$F$4:$F$100003,dCrit)</f>
        <v>0</v>
      </c>
      <c r="E829" s="13" t="s">
        <v>840</v>
      </c>
      <c r="F829" s="22">
        <f>COUNTIFS('Management Visits'!$E$4:$E$100003,"Plant Visit",'Management Visits'!$D$4:$D$100003,mCrit,'Management Visits'!$F$4:$F$100003,dCrit)</f>
        <v>0</v>
      </c>
      <c r="J829" s="13" t="s">
        <v>654</v>
      </c>
      <c r="K829" s="22">
        <f>COUNTIFS('Management Visits'!$N$4:$N$100003,"Action Pending",'Management Visits'!$D$4:$D$100003,mCrit,'Management Visits'!$F$4:$F$100003,dCrit)</f>
        <v>0</v>
      </c>
      <c r="M829" s="13" t="s">
        <v>222</v>
      </c>
      <c r="N829" s="22">
        <f>COUNTIFS('Management Visits'!$N$4:$N$100003,"Completed",'Management Visits'!$D$4:$D$100003,mCrit,'Management Visits'!$F$4:$F$100003,dCrit)</f>
        <v>0</v>
      </c>
      <c r="P829" s="13" t="s">
        <v>92</v>
      </c>
      <c r="Q829" s="22">
        <f>COUNTIFS('Management Visits'!$D$4:$D$100003,mCrit,'Management Visits'!$F$4:$F$100003,"Maintenance")</f>
        <v>0</v>
      </c>
      <c r="R829" s="25">
        <f>IFERROR((COUNTIFS('Management Visits'!$N$4:$N$100003,"Completed",'Management Visits'!$D$4:$D$100003,mCrit,'Management Visits'!$F$4:$F$100003,"Maintenance"))/COUNTIFS('Management Visits'!$D$4:$D$100003,mCrit,'Management Visits'!$F$4:$F$100003,"Maintenance")*100,0)</f>
        <v>0</v>
      </c>
      <c r="S829" s="25">
        <f>IFERROR(AVERAGEIFS('Management Visits'!$M$4:$M$100003,'Management Visits'!$D$4:$D$100003,mCrit,'Management Visits'!$F$4:$F$100003,"Maintenance"),0)</f>
        <v>0</v>
      </c>
      <c r="U829" s="13" t="s">
        <v>2072</v>
      </c>
      <c r="V829" s="25">
        <f>IFERROR((COUNTIFS('Management Visits'!$N$4:$N$100003,"Completed",'Management Visits'!$D$4:$D$100003,"Jan",'Management Visits'!$F$4:$F$100003,dCrit))/COUNTIFS('Management Visits'!$D$4:$D$100003,"Jan",'Management Visits'!$F$4:$F$100003,dCrit)*100,0)</f>
        <v>0</v>
      </c>
      <c r="W829" s="25">
        <f>IFERROR((COUNTIFS('Management Visits'!$N$4:$N$100003,"Completed",'Management Visits'!$D$4:$D$100003,"Feb",'Management Visits'!$F$4:$F$100003,dCrit))/COUNTIFS('Management Visits'!$D$4:$D$100003,"Feb",'Management Visits'!$F$4:$F$100003,dCrit)*100,0)</f>
        <v>0</v>
      </c>
      <c r="X829" s="25">
        <f>IFERROR((COUNTIFS('Management Visits'!$N$4:$N$100003,"Completed",'Management Visits'!$D$4:$D$100003,"Mar",'Management Visits'!$F$4:$F$100003,dCrit))/COUNTIFS('Management Visits'!$D$4:$D$100003,"Mar",'Management Visits'!$F$4:$F$100003,dCrit)*100,0)</f>
        <v>0</v>
      </c>
      <c r="Y829" s="25">
        <f>IFERROR((COUNTIFS('Management Visits'!$N$4:$N$100003,"Completed",'Management Visits'!$D$4:$D$100003,"Apr",'Management Visits'!$F$4:$F$100003,dCrit))/COUNTIFS('Management Visits'!$D$4:$D$100003,"Apr",'Management Visits'!$F$4:$F$100003,dCrit)*100,0)</f>
        <v>0</v>
      </c>
      <c r="Z829" s="25">
        <f>IFERROR((COUNTIFS('Management Visits'!$N$4:$N$100003,"Completed",'Management Visits'!$D$4:$D$100003,"May",'Management Visits'!$F$4:$F$100003,dCrit))/COUNTIFS('Management Visits'!$D$4:$D$100003,"May",'Management Visits'!$F$4:$F$100003,dCrit)*100,0)</f>
        <v>0</v>
      </c>
      <c r="AA829" s="25">
        <f>IFERROR((COUNTIFS('Management Visits'!$N$4:$N$100003,"Completed",'Management Visits'!$D$4:$D$100003,"Jun",'Management Visits'!$F$4:$F$100003,dCrit))/COUNTIFS('Management Visits'!$D$4:$D$100003,"Jun",'Management Visits'!$F$4:$F$100003,dCrit)*100,0)</f>
        <v>0</v>
      </c>
      <c r="AB829" s="25">
        <f>IFERROR((COUNTIFS('Management Visits'!$N$4:$N$100003,"Completed",'Management Visits'!$D$4:$D$100003,"Jul",'Management Visits'!$F$4:$F$100003,dCrit))/COUNTIFS('Management Visits'!$D$4:$D$100003,"Jul",'Management Visits'!$F$4:$F$100003,dCrit)*100,0)</f>
        <v>0</v>
      </c>
      <c r="AC829" s="25">
        <f>IFERROR((COUNTIFS('Management Visits'!$N$4:$N$100003,"Completed",'Management Visits'!$D$4:$D$100003,"Aug",'Management Visits'!$F$4:$F$100003,dCrit))/COUNTIFS('Management Visits'!$D$4:$D$100003,"Aug",'Management Visits'!$F$4:$F$100003,dCrit)*100,0)</f>
        <v>0</v>
      </c>
      <c r="AD829" s="25">
        <f>IFERROR((COUNTIFS('Management Visits'!$N$4:$N$100003,"Completed",'Management Visits'!$D$4:$D$100003,"Sep",'Management Visits'!$F$4:$F$100003,dCrit))/COUNTIFS('Management Visits'!$D$4:$D$100003,"Sep",'Management Visits'!$F$4:$F$100003,dCrit)*100,0)</f>
        <v>0</v>
      </c>
      <c r="AE829" s="25">
        <f>IFERROR((COUNTIFS('Management Visits'!$N$4:$N$100003,"Completed",'Management Visits'!$D$4:$D$100003,"Oct",'Management Visits'!$F$4:$F$100003,dCrit))/COUNTIFS('Management Visits'!$D$4:$D$100003,"Oct",'Management Visits'!$F$4:$F$100003,dCrit)*100,0)</f>
        <v>0</v>
      </c>
      <c r="AF829" s="25">
        <f>IFERROR((COUNTIFS('Management Visits'!$N$4:$N$100003,"Completed",'Management Visits'!$D$4:$D$100003,"Nov",'Management Visits'!$F$4:$F$100003,dCrit))/COUNTIFS('Management Visits'!$D$4:$D$100003,"Nov",'Management Visits'!$F$4:$F$100003,dCrit)*100,0)</f>
        <v>0</v>
      </c>
      <c r="AG829" s="25">
        <f>IFERROR((COUNTIFS('Management Visits'!$N$4:$N$100003,"Completed",'Management Visits'!$D$4:$D$100003,"Dec",'Management Visits'!$F$4:$F$100003,dCrit))/COUNTIFS('Management Visits'!$D$4:$D$100003,"Dec",'Management Visits'!$F$4:$F$100003,dCrit)*100,0)</f>
        <v>0</v>
      </c>
      <c r="AH829" s="25">
        <f>IFERROR(AVERAGE(V829:AG829),0)</f>
        <v>0</v>
      </c>
    </row>
    <row r="830" spans="2:34">
      <c r="B830" s="23" t="s">
        <v>44</v>
      </c>
      <c r="C830" s="22">
        <f>COUNTIFS('Management Visits'!$D$4:$D$100003,"Mar",'Management Visits'!$F$4:$F$100003,dCrit)</f>
        <v>0</v>
      </c>
      <c r="E830" s="13" t="s">
        <v>832</v>
      </c>
      <c r="F830" s="22">
        <f>COUNTIFS('Management Visits'!$E$4:$E$100003,"Safety Observation",'Management Visits'!$D$4:$D$100003,mCrit,'Management Visits'!$F$4:$F$100003,dCrit)</f>
        <v>0</v>
      </c>
      <c r="M830" s="13" t="s">
        <v>654</v>
      </c>
      <c r="N830" s="22">
        <f>COUNTIFS('Management Visits'!$N$4:$N$100003,"Action Pending",'Management Visits'!$D$4:$D$100003,mCrit,'Management Visits'!$F$4:$F$100003,dCrit)</f>
        <v>0</v>
      </c>
      <c r="P830" s="13" t="s">
        <v>39</v>
      </c>
      <c r="Q830" s="22">
        <f>COUNTIFS('Management Visits'!$D$4:$D$100003,mCrit,'Management Visits'!$F$4:$F$100003,"Engineering")</f>
        <v>0</v>
      </c>
      <c r="R830" s="25">
        <f>IFERROR((COUNTIFS('Management Visits'!$N$4:$N$100003,"Completed",'Management Visits'!$D$4:$D$100003,mCrit,'Management Visits'!$F$4:$F$100003,"Engineering"))/COUNTIFS('Management Visits'!$D$4:$D$100003,mCrit,'Management Visits'!$F$4:$F$100003,"Engineering")*100,0)</f>
        <v>0</v>
      </c>
      <c r="S830" s="25">
        <f>IFERROR(AVERAGEIFS('Management Visits'!$M$4:$M$100003,'Management Visits'!$D$4:$D$100003,mCrit,'Management Visits'!$F$4:$F$100003,"Engineering"),0)</f>
        <v>0</v>
      </c>
      <c r="U830" s="13" t="s">
        <v>2107</v>
      </c>
      <c r="V830" s="25">
        <f>IFERROR(AVERAGEIFS('Management Visits'!$M$4:$M$100003,'Management Visits'!$D$4:$D$100003,"Jan",'Management Visits'!$F$4:$F$100003,dCrit),0)</f>
        <v>0</v>
      </c>
      <c r="W830" s="25">
        <f>IFERROR(AVERAGEIFS('Management Visits'!$M$4:$M$100003,'Management Visits'!$D$4:$D$100003,"Feb",'Management Visits'!$F$4:$F$100003,dCrit),0)</f>
        <v>0</v>
      </c>
      <c r="X830" s="25">
        <f>IFERROR(AVERAGEIFS('Management Visits'!$M$4:$M$100003,'Management Visits'!$D$4:$D$100003,"Mar",'Management Visits'!$F$4:$F$100003,dCrit),0)</f>
        <v>0</v>
      </c>
      <c r="Y830" s="25">
        <f>IFERROR(AVERAGEIFS('Management Visits'!$M$4:$M$100003,'Management Visits'!$D$4:$D$100003,"Apr",'Management Visits'!$F$4:$F$100003,dCrit),0)</f>
        <v>0</v>
      </c>
      <c r="Z830" s="25">
        <f>IFERROR(AVERAGEIFS('Management Visits'!$M$4:$M$100003,'Management Visits'!$D$4:$D$100003,"May",'Management Visits'!$F$4:$F$100003,dCrit),0)</f>
        <v>0</v>
      </c>
      <c r="AA830" s="25">
        <f>IFERROR(AVERAGEIFS('Management Visits'!$M$4:$M$100003,'Management Visits'!$D$4:$D$100003,"Jun",'Management Visits'!$F$4:$F$100003,dCrit),0)</f>
        <v>0</v>
      </c>
      <c r="AB830" s="25">
        <f>IFERROR(AVERAGEIFS('Management Visits'!$M$4:$M$100003,'Management Visits'!$D$4:$D$100003,"Jul",'Management Visits'!$F$4:$F$100003,dCrit),0)</f>
        <v>0</v>
      </c>
      <c r="AC830" s="25">
        <f>IFERROR(AVERAGEIFS('Management Visits'!$M$4:$M$100003,'Management Visits'!$D$4:$D$100003,"Aug",'Management Visits'!$F$4:$F$100003,dCrit),0)</f>
        <v>0</v>
      </c>
      <c r="AD830" s="25">
        <f>IFERROR(AVERAGEIFS('Management Visits'!$M$4:$M$100003,'Management Visits'!$D$4:$D$100003,"Sep",'Management Visits'!$F$4:$F$100003,dCrit),0)</f>
        <v>0</v>
      </c>
      <c r="AE830" s="25">
        <f>IFERROR(AVERAGEIFS('Management Visits'!$M$4:$M$100003,'Management Visits'!$D$4:$D$100003,"Oct",'Management Visits'!$F$4:$F$100003,dCrit),0)</f>
        <v>0</v>
      </c>
      <c r="AF830" s="25">
        <f>IFERROR(AVERAGEIFS('Management Visits'!$M$4:$M$100003,'Management Visits'!$D$4:$D$100003,"Nov",'Management Visits'!$F$4:$F$100003,dCrit),0)</f>
        <v>0</v>
      </c>
      <c r="AG830" s="25">
        <f>IFERROR(AVERAGEIFS('Management Visits'!$M$4:$M$100003,'Management Visits'!$D$4:$D$100003,"Dec",'Management Visits'!$F$4:$F$100003,dCrit),0)</f>
        <v>0</v>
      </c>
      <c r="AH830" s="25">
        <f>IFERROR(AVERAGE(V830:AG830),0)</f>
        <v>0</v>
      </c>
    </row>
    <row r="831" spans="2:34">
      <c r="B831" s="23" t="s">
        <v>53</v>
      </c>
      <c r="C831" s="22">
        <f>COUNTIFS('Management Visits'!$D$4:$D$100003,"Apr",'Management Visits'!$F$4:$F$100003,dCrit)</f>
        <v>0</v>
      </c>
      <c r="E831" s="13" t="s">
        <v>837</v>
      </c>
      <c r="F831" s="22">
        <f>COUNTIFS('Management Visits'!$E$4:$E$100003,"Project Visit",'Management Visits'!$D$4:$D$100003,mCrit,'Management Visits'!$F$4:$F$100003,dCrit)</f>
        <v>0</v>
      </c>
      <c r="M831" s="13" t="s">
        <v>779</v>
      </c>
      <c r="N831" s="22">
        <f>SUMIFS('Management Visits'!$J$4:$J$100003,'Management Visits'!$D$4:$D$100003,mCrit,'Management Visits'!$F$4:$F$100003,dCrit)</f>
        <v>0</v>
      </c>
      <c r="P831" s="13" t="s">
        <v>89</v>
      </c>
      <c r="Q831" s="22">
        <f>COUNTIFS('Management Visits'!$D$4:$D$100003,mCrit,'Management Visits'!$F$4:$F$100003,"Construction")</f>
        <v>0</v>
      </c>
      <c r="R831" s="25">
        <f>IFERROR((COUNTIFS('Management Visits'!$N$4:$N$100003,"Completed",'Management Visits'!$D$4:$D$100003,mCrit,'Management Visits'!$F$4:$F$100003,"Construction"))/COUNTIFS('Management Visits'!$D$4:$D$100003,mCrit,'Management Visits'!$F$4:$F$100003,"Construction")*100,0)</f>
        <v>0</v>
      </c>
      <c r="S831" s="25">
        <f>IFERROR(AVERAGEIFS('Management Visits'!$M$4:$M$100003,'Management Visits'!$D$4:$D$100003,mCrit,'Management Visits'!$F$4:$F$100003,"Construction"),0)</f>
        <v>0</v>
      </c>
    </row>
    <row r="832" spans="2:34">
      <c r="B832" s="23" t="s">
        <v>60</v>
      </c>
      <c r="C832" s="22">
        <f>COUNTIFS('Management Visits'!$D$4:$D$100003,"May",'Management Visits'!$F$4:$F$100003,dCrit)</f>
        <v>0</v>
      </c>
      <c r="M832" s="13" t="s">
        <v>887</v>
      </c>
      <c r="N832" s="22">
        <f>SUMIFS('Management Visits'!$K$4:$K$100003,'Management Visits'!$D$4:$D$100003,mCrit,'Management Visits'!$F$4:$F$100003,dCrit)</f>
        <v>0</v>
      </c>
      <c r="P832" s="13" t="s">
        <v>65</v>
      </c>
      <c r="Q832" s="22">
        <f>COUNTIFS('Management Visits'!$D$4:$D$100003,mCrit,'Management Visits'!$F$4:$F$100003,"Safety")</f>
        <v>0</v>
      </c>
      <c r="R832" s="25">
        <f>IFERROR((COUNTIFS('Management Visits'!$N$4:$N$100003,"Completed",'Management Visits'!$D$4:$D$100003,mCrit,'Management Visits'!$F$4:$F$100003,"Safety"))/COUNTIFS('Management Visits'!$D$4:$D$100003,mCrit,'Management Visits'!$F$4:$F$100003,"Safety")*100,0)</f>
        <v>0</v>
      </c>
      <c r="S832" s="25">
        <f>IFERROR(AVERAGEIFS('Management Visits'!$M$4:$M$100003,'Management Visits'!$D$4:$D$100003,mCrit,'Management Visits'!$F$4:$F$100003,"Safety"),0)</f>
        <v>0</v>
      </c>
    </row>
    <row r="833" spans="2:19">
      <c r="B833" s="23" t="s">
        <v>73</v>
      </c>
      <c r="C833" s="22">
        <f>COUNTIFS('Management Visits'!$D$4:$D$100003,"Jun",'Management Visits'!$F$4:$F$100003,dCrit)</f>
        <v>0</v>
      </c>
      <c r="M833" s="13" t="s">
        <v>575</v>
      </c>
      <c r="N833" s="22">
        <f>SUMIFS('Management Visits'!$L$4:$L$100003,'Management Visits'!$D$4:$D$100003,mCrit,'Management Visits'!$F$4:$F$100003,dCrit)</f>
        <v>0</v>
      </c>
      <c r="P833" s="13" t="s">
        <v>5</v>
      </c>
      <c r="Q833" s="22">
        <f>COUNTIFS('Management Visits'!$D$4:$D$100003,mCrit,'Management Visits'!$F$4:$F$100003,"Logistics")</f>
        <v>0</v>
      </c>
      <c r="R833" s="25">
        <f>IFERROR((COUNTIFS('Management Visits'!$N$4:$N$100003,"Completed",'Management Visits'!$D$4:$D$100003,mCrit,'Management Visits'!$F$4:$F$100003,"Logistics"))/COUNTIFS('Management Visits'!$D$4:$D$100003,mCrit,'Management Visits'!$F$4:$F$100003,"Logistics")*100,0)</f>
        <v>0</v>
      </c>
      <c r="S833" s="25">
        <f>IFERROR(AVERAGEIFS('Management Visits'!$M$4:$M$100003,'Management Visits'!$D$4:$D$100003,mCrit,'Management Visits'!$F$4:$F$100003,"Logistics"),0)</f>
        <v>0</v>
      </c>
    </row>
    <row r="834" spans="2:19">
      <c r="B834" s="23" t="s">
        <v>76</v>
      </c>
      <c r="C834" s="22">
        <f>COUNTIFS('Management Visits'!$D$4:$D$100003,"Jul",'Management Visits'!$F$4:$F$100003,dCrit)</f>
        <v>0</v>
      </c>
      <c r="M834" s="13" t="s">
        <v>576</v>
      </c>
      <c r="N834" s="25">
        <f>IFERROR(AVERAGEIFS('Management Visits'!$M$4:$M$100003,'Management Visits'!$D$4:$D$100003,mCrit,'Management Visits'!$F$4:$F$100003,dCrit),0)</f>
        <v>0</v>
      </c>
      <c r="P834" s="13" t="s">
        <v>50</v>
      </c>
      <c r="Q834" s="22">
        <f>COUNTIFS('Management Visits'!$D$4:$D$100003,mCrit,'Management Visits'!$F$4:$F$100003,"Quality")</f>
        <v>0</v>
      </c>
      <c r="R834" s="25">
        <f>IFERROR((COUNTIFS('Management Visits'!$N$4:$N$100003,"Completed",'Management Visits'!$D$4:$D$100003,mCrit,'Management Visits'!$F$4:$F$100003,"Quality"))/COUNTIFS('Management Visits'!$D$4:$D$100003,mCrit,'Management Visits'!$F$4:$F$100003,"Quality")*100,0)</f>
        <v>0</v>
      </c>
      <c r="S834" s="25">
        <f>IFERROR(AVERAGEIFS('Management Visits'!$M$4:$M$100003,'Management Visits'!$D$4:$D$100003,mCrit,'Management Visits'!$F$4:$F$100003,"Quality"),0)</f>
        <v>0</v>
      </c>
    </row>
    <row r="835" spans="2:19">
      <c r="B835" s="23" t="s">
        <v>86</v>
      </c>
      <c r="C835" s="22">
        <f>COUNTIFS('Management Visits'!$D$4:$D$100003,"Aug",'Management Visits'!$F$4:$F$100003,dCrit)</f>
        <v>0</v>
      </c>
      <c r="M835" s="13" t="s">
        <v>2060</v>
      </c>
      <c r="N835" s="22">
        <f>IFERROR(AVERAGEIFS('Management Visits'!$I$4:$I$100003,'Management Visits'!$D$4:$D$100003,mCrit,'Management Visits'!$F$4:$F$100003,dCrit),0)</f>
        <v>0</v>
      </c>
      <c r="P835" s="13" t="s">
        <v>46</v>
      </c>
      <c r="Q835" s="22">
        <f>COUNTIFS('Management Visits'!$D$4:$D$100003,mCrit,'Management Visits'!$F$4:$F$100003,"Admin")</f>
        <v>0</v>
      </c>
      <c r="R835" s="25">
        <f>IFERROR((COUNTIFS('Management Visits'!$N$4:$N$100003,"Completed",'Management Visits'!$D$4:$D$100003,mCrit,'Management Visits'!$F$4:$F$100003,"Admin"))/COUNTIFS('Management Visits'!$D$4:$D$100003,mCrit,'Management Visits'!$F$4:$F$100003,"Admin")*100,0)</f>
        <v>0</v>
      </c>
      <c r="S835" s="25">
        <f>IFERROR(AVERAGEIFS('Management Visits'!$M$4:$M$100003,'Management Visits'!$D$4:$D$100003,mCrit,'Management Visits'!$F$4:$F$100003,"Admin"),0)</f>
        <v>0</v>
      </c>
    </row>
    <row r="836" spans="2:19">
      <c r="B836" s="23" t="s">
        <v>102</v>
      </c>
      <c r="C836" s="22">
        <f>COUNTIFS('Management Visits'!$D$4:$D$100003,"Sep",'Management Visits'!$F$4:$F$100003,dCrit)</f>
        <v>0</v>
      </c>
      <c r="P836" s="13" t="s">
        <v>13</v>
      </c>
      <c r="Q836" s="22">
        <f>COUNTIFS('Management Visits'!$D$4:$D$100003,mCrit,'Management Visits'!$F$4:$F$100003,"Projects")</f>
        <v>0</v>
      </c>
      <c r="R836" s="25">
        <f>IFERROR((COUNTIFS('Management Visits'!$N$4:$N$100003,"Completed",'Management Visits'!$D$4:$D$100003,mCrit,'Management Visits'!$F$4:$F$100003,"Projects"))/COUNTIFS('Management Visits'!$D$4:$D$100003,mCrit,'Management Visits'!$F$4:$F$100003,"Projects")*100,0)</f>
        <v>0</v>
      </c>
      <c r="S836" s="25">
        <f>IFERROR(AVERAGEIFS('Management Visits'!$M$4:$M$100003,'Management Visits'!$D$4:$D$100003,mCrit,'Management Visits'!$F$4:$F$100003,"Projects"),0)</f>
        <v>0</v>
      </c>
    </row>
    <row r="837" spans="2:19">
      <c r="B837" s="23" t="s">
        <v>106</v>
      </c>
      <c r="C837" s="22">
        <f>COUNTIFS('Management Visits'!$D$4:$D$100003,"Oct",'Management Visits'!$F$4:$F$100003,dCrit)</f>
        <v>0</v>
      </c>
      <c r="P837" s="13" t="s">
        <v>58</v>
      </c>
      <c r="Q837" s="22">
        <f>COUNTIFS('Management Visits'!$D$4:$D$100003,mCrit,'Management Visits'!$F$4:$F$100003,"Contractor")</f>
        <v>0</v>
      </c>
      <c r="R837" s="25">
        <f>IFERROR((COUNTIFS('Management Visits'!$N$4:$N$100003,"Completed",'Management Visits'!$D$4:$D$100003,mCrit,'Management Visits'!$F$4:$F$100003,"Contractor"))/COUNTIFS('Management Visits'!$D$4:$D$100003,mCrit,'Management Visits'!$F$4:$F$100003,"Contractor")*100,0)</f>
        <v>0</v>
      </c>
      <c r="S837" s="25">
        <f>IFERROR(AVERAGEIFS('Management Visits'!$M$4:$M$100003,'Management Visits'!$D$4:$D$100003,mCrit,'Management Visits'!$F$4:$F$100003,"Contractor"),0)</f>
        <v>0</v>
      </c>
    </row>
    <row r="838" spans="2:19">
      <c r="B838" s="23" t="s">
        <v>111</v>
      </c>
      <c r="C838" s="22">
        <f>COUNTIFS('Management Visits'!$D$4:$D$100003,"Nov",'Management Visits'!$F$4:$F$100003,dCrit)</f>
        <v>0</v>
      </c>
    </row>
    <row r="839" spans="2:19">
      <c r="B839" s="23" t="s">
        <v>122</v>
      </c>
      <c r="C839" s="22">
        <f>COUNTIFS('Management Visits'!$D$4:$D$100003,"Dec",'Management Visits'!$F$4:$F$100003,dCrit)</f>
        <v>0</v>
      </c>
    </row>
    <row r="852" spans="2:34">
      <c r="B852" s="17" t="s">
        <v>2108</v>
      </c>
    </row>
    <row r="853" spans="2:34">
      <c r="B853" s="12" t="s">
        <v>127</v>
      </c>
      <c r="C853" s="12" t="s">
        <v>1965</v>
      </c>
      <c r="G853" s="12" t="s">
        <v>943</v>
      </c>
      <c r="H853" s="12" t="s">
        <v>1965</v>
      </c>
      <c r="J853" s="12" t="s">
        <v>288</v>
      </c>
      <c r="K853" s="12" t="s">
        <v>1965</v>
      </c>
      <c r="M853" s="12" t="s">
        <v>1927</v>
      </c>
      <c r="N853" s="12" t="s">
        <v>2039</v>
      </c>
      <c r="U853" s="12" t="s">
        <v>2038</v>
      </c>
      <c r="V853" s="12" t="s">
        <v>3</v>
      </c>
      <c r="W853" s="12" t="s">
        <v>19</v>
      </c>
      <c r="X853" s="12" t="s">
        <v>44</v>
      </c>
      <c r="Y853" s="12" t="s">
        <v>53</v>
      </c>
      <c r="Z853" s="12" t="s">
        <v>60</v>
      </c>
      <c r="AA853" s="12" t="s">
        <v>73</v>
      </c>
      <c r="AB853" s="12" t="s">
        <v>76</v>
      </c>
      <c r="AC853" s="12" t="s">
        <v>86</v>
      </c>
      <c r="AD853" s="12" t="s">
        <v>102</v>
      </c>
      <c r="AE853" s="12" t="s">
        <v>106</v>
      </c>
      <c r="AF853" s="12" t="s">
        <v>111</v>
      </c>
      <c r="AG853" s="12" t="s">
        <v>122</v>
      </c>
      <c r="AH853" s="12" t="s">
        <v>2063</v>
      </c>
    </row>
    <row r="854" spans="2:34">
      <c r="B854" s="23" t="s">
        <v>3</v>
      </c>
      <c r="C854" s="22">
        <f>COUNTIFS('Management Reviews'!$D$4:$D$100003,"Jan")</f>
        <v>0</v>
      </c>
      <c r="G854" s="13" t="s">
        <v>9</v>
      </c>
      <c r="H854" s="22">
        <f>COUNTIFS('Management Reviews'!$N$4:$N$100003,"Yes",'Management Reviews'!$D$4:$D$100003,mCrit)</f>
        <v>0</v>
      </c>
      <c r="J854" s="13" t="s">
        <v>222</v>
      </c>
      <c r="K854" s="22">
        <f>COUNTIFS('Management Reviews'!$O$4:$O$100003,"Completed",'Management Reviews'!$D$4:$D$100003,mCrit)</f>
        <v>0</v>
      </c>
      <c r="M854" s="13" t="s">
        <v>2109</v>
      </c>
      <c r="N854" s="22">
        <f>COUNTIFS('Management Reviews'!$D$4:$D$100003,mCrit)</f>
        <v>0</v>
      </c>
      <c r="U854" s="13" t="s">
        <v>1770</v>
      </c>
      <c r="V854" s="22">
        <f>COUNTIFS('Management Reviews'!$D$4:$D$100003,"Jan")</f>
        <v>0</v>
      </c>
      <c r="W854" s="22">
        <f>COUNTIFS('Management Reviews'!$D$4:$D$100003,"Feb")</f>
        <v>0</v>
      </c>
      <c r="X854" s="22">
        <f>COUNTIFS('Management Reviews'!$D$4:$D$100003,"Mar")</f>
        <v>0</v>
      </c>
      <c r="Y854" s="22">
        <f>COUNTIFS('Management Reviews'!$D$4:$D$100003,"Apr")</f>
        <v>0</v>
      </c>
      <c r="Z854" s="22">
        <f>COUNTIFS('Management Reviews'!$D$4:$D$100003,"May")</f>
        <v>0</v>
      </c>
      <c r="AA854" s="22">
        <f>COUNTIFS('Management Reviews'!$D$4:$D$100003,"Jun")</f>
        <v>0</v>
      </c>
      <c r="AB854" s="22">
        <f>COUNTIFS('Management Reviews'!$D$4:$D$100003,"Jul")</f>
        <v>0</v>
      </c>
      <c r="AC854" s="22">
        <f>COUNTIFS('Management Reviews'!$D$4:$D$100003,"Aug")</f>
        <v>0</v>
      </c>
      <c r="AD854" s="22">
        <f>COUNTIFS('Management Reviews'!$D$4:$D$100003,"Sep")</f>
        <v>0</v>
      </c>
      <c r="AE854" s="22">
        <f>COUNTIFS('Management Reviews'!$D$4:$D$100003,"Oct")</f>
        <v>0</v>
      </c>
      <c r="AF854" s="22">
        <f>COUNTIFS('Management Reviews'!$D$4:$D$100003,"Nov")</f>
        <v>0</v>
      </c>
      <c r="AG854" s="22">
        <f>COUNTIFS('Management Reviews'!$D$4:$D$100003,"Dec")</f>
        <v>0</v>
      </c>
      <c r="AH854" s="22">
        <f>SUM(V854:AG854)</f>
        <v>0</v>
      </c>
    </row>
    <row r="855" spans="2:34">
      <c r="B855" s="23" t="s">
        <v>19</v>
      </c>
      <c r="C855" s="22">
        <f>COUNTIFS('Management Reviews'!$D$4:$D$100003,"Feb")</f>
        <v>0</v>
      </c>
      <c r="G855" s="13" t="s">
        <v>23</v>
      </c>
      <c r="H855" s="22">
        <f>COUNTIFS('Management Reviews'!$N$4:$N$100003,"No",'Management Reviews'!$D$4:$D$100003,mCrit)</f>
        <v>0</v>
      </c>
      <c r="J855" s="13" t="s">
        <v>226</v>
      </c>
      <c r="K855" s="22">
        <f>COUNTIFS('Management Reviews'!$O$4:$O$100003,"In Progress",'Management Reviews'!$D$4:$D$100003,mCrit)</f>
        <v>0</v>
      </c>
      <c r="M855" s="13" t="s">
        <v>222</v>
      </c>
      <c r="N855" s="22">
        <f>COUNTIFS('Management Reviews'!$O$4:$O$100003,"Completed",'Management Reviews'!$D$4:$D$100003,mCrit)</f>
        <v>0</v>
      </c>
      <c r="U855" s="13" t="s">
        <v>2072</v>
      </c>
      <c r="V855" s="25">
        <f>IFERROR((COUNTIFS('Management Reviews'!$O$4:$O$100003,"Completed",'Management Reviews'!$D$4:$D$100003,"Jan"))/COUNTIFS('Management Reviews'!$D$4:$D$100003,"Jan")*100,0)</f>
        <v>0</v>
      </c>
      <c r="W855" s="25">
        <f>IFERROR((COUNTIFS('Management Reviews'!$O$4:$O$100003,"Completed",'Management Reviews'!$D$4:$D$100003,"Feb"))/COUNTIFS('Management Reviews'!$D$4:$D$100003,"Feb")*100,0)</f>
        <v>0</v>
      </c>
      <c r="X855" s="25">
        <f>IFERROR((COUNTIFS('Management Reviews'!$O$4:$O$100003,"Completed",'Management Reviews'!$D$4:$D$100003,"Mar"))/COUNTIFS('Management Reviews'!$D$4:$D$100003,"Mar")*100,0)</f>
        <v>0</v>
      </c>
      <c r="Y855" s="25">
        <f>IFERROR((COUNTIFS('Management Reviews'!$O$4:$O$100003,"Completed",'Management Reviews'!$D$4:$D$100003,"Apr"))/COUNTIFS('Management Reviews'!$D$4:$D$100003,"Apr")*100,0)</f>
        <v>0</v>
      </c>
      <c r="Z855" s="25">
        <f>IFERROR((COUNTIFS('Management Reviews'!$O$4:$O$100003,"Completed",'Management Reviews'!$D$4:$D$100003,"May"))/COUNTIFS('Management Reviews'!$D$4:$D$100003,"May")*100,0)</f>
        <v>0</v>
      </c>
      <c r="AA855" s="25">
        <f>IFERROR((COUNTIFS('Management Reviews'!$O$4:$O$100003,"Completed",'Management Reviews'!$D$4:$D$100003,"Jun"))/COUNTIFS('Management Reviews'!$D$4:$D$100003,"Jun")*100,0)</f>
        <v>0</v>
      </c>
      <c r="AB855" s="25">
        <f>IFERROR((COUNTIFS('Management Reviews'!$O$4:$O$100003,"Completed",'Management Reviews'!$D$4:$D$100003,"Jul"))/COUNTIFS('Management Reviews'!$D$4:$D$100003,"Jul")*100,0)</f>
        <v>0</v>
      </c>
      <c r="AC855" s="25">
        <f>IFERROR((COUNTIFS('Management Reviews'!$O$4:$O$100003,"Completed",'Management Reviews'!$D$4:$D$100003,"Aug"))/COUNTIFS('Management Reviews'!$D$4:$D$100003,"Aug")*100,0)</f>
        <v>0</v>
      </c>
      <c r="AD855" s="25">
        <f>IFERROR((COUNTIFS('Management Reviews'!$O$4:$O$100003,"Completed",'Management Reviews'!$D$4:$D$100003,"Sep"))/COUNTIFS('Management Reviews'!$D$4:$D$100003,"Sep")*100,0)</f>
        <v>0</v>
      </c>
      <c r="AE855" s="25">
        <f>IFERROR((COUNTIFS('Management Reviews'!$O$4:$O$100003,"Completed",'Management Reviews'!$D$4:$D$100003,"Oct"))/COUNTIFS('Management Reviews'!$D$4:$D$100003,"Oct")*100,0)</f>
        <v>0</v>
      </c>
      <c r="AF855" s="25">
        <f>IFERROR((COUNTIFS('Management Reviews'!$O$4:$O$100003,"Completed",'Management Reviews'!$D$4:$D$100003,"Nov"))/COUNTIFS('Management Reviews'!$D$4:$D$100003,"Nov")*100,0)</f>
        <v>0</v>
      </c>
      <c r="AG855" s="25">
        <f>IFERROR((COUNTIFS('Management Reviews'!$O$4:$O$100003,"Completed",'Management Reviews'!$D$4:$D$100003,"Dec"))/COUNTIFS('Management Reviews'!$D$4:$D$100003,"Dec")*100,0)</f>
        <v>0</v>
      </c>
      <c r="AH855" s="25">
        <f>IFERROR(AVERAGE(V855:AG855),0)</f>
        <v>0</v>
      </c>
    </row>
    <row r="856" spans="2:34">
      <c r="B856" s="23" t="s">
        <v>44</v>
      </c>
      <c r="C856" s="22">
        <f>COUNTIFS('Management Reviews'!$D$4:$D$100003,"Mar")</f>
        <v>0</v>
      </c>
      <c r="J856" s="13" t="s">
        <v>236</v>
      </c>
      <c r="K856" s="22">
        <f>COUNTIFS('Management Reviews'!$O$4:$O$100003,"Scheduled",'Management Reviews'!$D$4:$D$100003,mCrit)</f>
        <v>0</v>
      </c>
      <c r="M856" s="13" t="s">
        <v>226</v>
      </c>
      <c r="N856" s="22">
        <f>COUNTIFS('Management Reviews'!$O$4:$O$100003,"In Progress",'Management Reviews'!$D$4:$D$100003,mCrit)</f>
        <v>0</v>
      </c>
      <c r="U856" s="13" t="s">
        <v>2062</v>
      </c>
      <c r="V856" s="25">
        <f>IFERROR(AVERAGEIFS('Management Reviews'!$I$4:$I$100003,'Management Reviews'!$D$4:$D$100003,"Jan"),0)</f>
        <v>0</v>
      </c>
      <c r="W856" s="25">
        <f>IFERROR(AVERAGEIFS('Management Reviews'!$I$4:$I$100003,'Management Reviews'!$D$4:$D$100003,"Feb"),0)</f>
        <v>0</v>
      </c>
      <c r="X856" s="25">
        <f>IFERROR(AVERAGEIFS('Management Reviews'!$I$4:$I$100003,'Management Reviews'!$D$4:$D$100003,"Mar"),0)</f>
        <v>0</v>
      </c>
      <c r="Y856" s="25">
        <f>IFERROR(AVERAGEIFS('Management Reviews'!$I$4:$I$100003,'Management Reviews'!$D$4:$D$100003,"Apr"),0)</f>
        <v>0</v>
      </c>
      <c r="Z856" s="25">
        <f>IFERROR(AVERAGEIFS('Management Reviews'!$I$4:$I$100003,'Management Reviews'!$D$4:$D$100003,"May"),0)</f>
        <v>0</v>
      </c>
      <c r="AA856" s="25">
        <f>IFERROR(AVERAGEIFS('Management Reviews'!$I$4:$I$100003,'Management Reviews'!$D$4:$D$100003,"Jun"),0)</f>
        <v>0</v>
      </c>
      <c r="AB856" s="25">
        <f>IFERROR(AVERAGEIFS('Management Reviews'!$I$4:$I$100003,'Management Reviews'!$D$4:$D$100003,"Jul"),0)</f>
        <v>0</v>
      </c>
      <c r="AC856" s="25">
        <f>IFERROR(AVERAGEIFS('Management Reviews'!$I$4:$I$100003,'Management Reviews'!$D$4:$D$100003,"Aug"),0)</f>
        <v>0</v>
      </c>
      <c r="AD856" s="25">
        <f>IFERROR(AVERAGEIFS('Management Reviews'!$I$4:$I$100003,'Management Reviews'!$D$4:$D$100003,"Sep"),0)</f>
        <v>0</v>
      </c>
      <c r="AE856" s="25">
        <f>IFERROR(AVERAGEIFS('Management Reviews'!$I$4:$I$100003,'Management Reviews'!$D$4:$D$100003,"Oct"),0)</f>
        <v>0</v>
      </c>
      <c r="AF856" s="25">
        <f>IFERROR(AVERAGEIFS('Management Reviews'!$I$4:$I$100003,'Management Reviews'!$D$4:$D$100003,"Nov"),0)</f>
        <v>0</v>
      </c>
      <c r="AG856" s="25">
        <f>IFERROR(AVERAGEIFS('Management Reviews'!$I$4:$I$100003,'Management Reviews'!$D$4:$D$100003,"Dec"),0)</f>
        <v>0</v>
      </c>
      <c r="AH856" s="25">
        <f>IFERROR(AVERAGE(V856:AG856),0)</f>
        <v>0</v>
      </c>
    </row>
    <row r="857" spans="2:34">
      <c r="B857" s="23" t="s">
        <v>53</v>
      </c>
      <c r="C857" s="22">
        <f>COUNTIFS('Management Reviews'!$D$4:$D$100003,"Apr")</f>
        <v>0</v>
      </c>
      <c r="M857" s="13" t="s">
        <v>2057</v>
      </c>
      <c r="N857" s="25">
        <f>IFERROR(AVERAGEIFS('Management Reviews'!$I$4:$I$100003,'Management Reviews'!$D$4:$D$100003,mCrit),0)</f>
        <v>0</v>
      </c>
    </row>
    <row r="858" spans="2:34">
      <c r="B858" s="23" t="s">
        <v>60</v>
      </c>
      <c r="C858" s="22">
        <f>COUNTIFS('Management Reviews'!$D$4:$D$100003,"May")</f>
        <v>0</v>
      </c>
      <c r="M858" s="13" t="s">
        <v>2110</v>
      </c>
      <c r="N858" s="22">
        <f>SUMIFS('Management Reviews'!$K$4:$K$100003,'Management Reviews'!$D$4:$D$100003,mCrit)</f>
        <v>0</v>
      </c>
    </row>
    <row r="859" spans="2:34">
      <c r="B859" s="23" t="s">
        <v>73</v>
      </c>
      <c r="C859" s="22">
        <f>COUNTIFS('Management Reviews'!$D$4:$D$100003,"Jun")</f>
        <v>0</v>
      </c>
      <c r="M859" s="13" t="s">
        <v>2111</v>
      </c>
      <c r="N859" s="22">
        <f>SUMIFS('Management Reviews'!$L$4:$L$100003,'Management Reviews'!$D$4:$D$100003,mCrit)</f>
        <v>0</v>
      </c>
    </row>
    <row r="860" spans="2:34">
      <c r="B860" s="23" t="s">
        <v>76</v>
      </c>
      <c r="C860" s="22">
        <f>COUNTIFS('Management Reviews'!$D$4:$D$100003,"Jul")</f>
        <v>0</v>
      </c>
      <c r="M860" s="13" t="s">
        <v>2112</v>
      </c>
      <c r="N860" s="25">
        <f>IFERROR(AVERAGEIFS('Management Reviews'!$M$4:$M$100003,'Management Reviews'!$D$4:$D$100003,mCrit),0)</f>
        <v>0</v>
      </c>
    </row>
    <row r="861" spans="2:34">
      <c r="B861" s="23" t="s">
        <v>86</v>
      </c>
      <c r="C861" s="22">
        <f>COUNTIFS('Management Reviews'!$D$4:$D$100003,"Aug")</f>
        <v>0</v>
      </c>
      <c r="M861" s="13" t="s">
        <v>2090</v>
      </c>
      <c r="N861" s="22">
        <f>COUNTIFS('Management Reviews'!$N$4:$N$100003,"Yes",'Management Reviews'!$D$4:$D$100003,mCrit)</f>
        <v>0</v>
      </c>
    </row>
    <row r="862" spans="2:34">
      <c r="B862" s="23" t="s">
        <v>102</v>
      </c>
      <c r="C862" s="22">
        <f>COUNTIFS('Management Reviews'!$D$4:$D$100003,"Sep")</f>
        <v>0</v>
      </c>
    </row>
    <row r="863" spans="2:34">
      <c r="B863" s="23" t="s">
        <v>106</v>
      </c>
      <c r="C863" s="22">
        <f>COUNTIFS('Management Reviews'!$D$4:$D$100003,"Oct")</f>
        <v>0</v>
      </c>
    </row>
    <row r="864" spans="2:34">
      <c r="B864" s="23" t="s">
        <v>111</v>
      </c>
      <c r="C864" s="22">
        <f>COUNTIFS('Management Reviews'!$D$4:$D$100003,"Nov")</f>
        <v>0</v>
      </c>
    </row>
    <row r="865" spans="2:34">
      <c r="B865" s="23" t="s">
        <v>122</v>
      </c>
      <c r="C865" s="22">
        <f>COUNTIFS('Management Reviews'!$D$4:$D$100003,"Dec")</f>
        <v>0</v>
      </c>
    </row>
    <row r="878" spans="2:34">
      <c r="B878" s="17" t="s">
        <v>2113</v>
      </c>
    </row>
    <row r="879" spans="2:34">
      <c r="B879" s="12" t="s">
        <v>127</v>
      </c>
      <c r="C879" s="12" t="s">
        <v>1965</v>
      </c>
      <c r="E879" s="12" t="s">
        <v>1007</v>
      </c>
      <c r="F879" s="12" t="s">
        <v>1965</v>
      </c>
      <c r="G879" s="12" t="s">
        <v>1009</v>
      </c>
      <c r="H879" s="12" t="s">
        <v>1965</v>
      </c>
      <c r="J879" s="12" t="s">
        <v>288</v>
      </c>
      <c r="K879" s="12" t="s">
        <v>1965</v>
      </c>
      <c r="M879" s="12" t="s">
        <v>1927</v>
      </c>
      <c r="N879" s="12" t="s">
        <v>2039</v>
      </c>
      <c r="P879" s="12" t="s">
        <v>129</v>
      </c>
      <c r="Q879" s="12" t="s">
        <v>1965</v>
      </c>
      <c r="R879" s="12" t="s">
        <v>2071</v>
      </c>
      <c r="S879" s="12" t="s">
        <v>1770</v>
      </c>
      <c r="U879" s="12" t="s">
        <v>2038</v>
      </c>
      <c r="V879" s="12" t="s">
        <v>3</v>
      </c>
      <c r="W879" s="12" t="s">
        <v>19</v>
      </c>
      <c r="X879" s="12" t="s">
        <v>44</v>
      </c>
      <c r="Y879" s="12" t="s">
        <v>53</v>
      </c>
      <c r="Z879" s="12" t="s">
        <v>60</v>
      </c>
      <c r="AA879" s="12" t="s">
        <v>73</v>
      </c>
      <c r="AB879" s="12" t="s">
        <v>76</v>
      </c>
      <c r="AC879" s="12" t="s">
        <v>86</v>
      </c>
      <c r="AD879" s="12" t="s">
        <v>102</v>
      </c>
      <c r="AE879" s="12" t="s">
        <v>106</v>
      </c>
      <c r="AF879" s="12" t="s">
        <v>111</v>
      </c>
      <c r="AG879" s="12" t="s">
        <v>122</v>
      </c>
      <c r="AH879" s="12" t="s">
        <v>2063</v>
      </c>
    </row>
    <row r="880" spans="2:34">
      <c r="B880" s="23" t="s">
        <v>3</v>
      </c>
      <c r="C880" s="22">
        <f>COUNTIFS('Disciplinary Actions'!$D$4:$D$100003,"Jan",'Disciplinary Actions'!$F$4:$F$100003,dCrit)</f>
        <v>0</v>
      </c>
      <c r="E880" s="13" t="s">
        <v>965</v>
      </c>
      <c r="F880" s="22">
        <f>COUNTIFS('Disciplinary Actions'!$E$4:$E$100003,"PPE Violation",'Disciplinary Actions'!$D$4:$D$100003,mCrit,'Disciplinary Actions'!$F$4:$F$100003,dCrit)</f>
        <v>0</v>
      </c>
      <c r="G880" s="13" t="s">
        <v>948</v>
      </c>
      <c r="H880" s="22">
        <f>COUNTIFS('Disciplinary Actions'!$I$4:$I$100003,"1st Offense",'Disciplinary Actions'!$D$4:$D$100003,mCrit,'Disciplinary Actions'!$F$4:$F$100003,dCrit)</f>
        <v>0</v>
      </c>
      <c r="J880" s="13" t="s">
        <v>949</v>
      </c>
      <c r="K880" s="22">
        <f>COUNTIFS('Disciplinary Actions'!$K$4:$K$100003,"Under Review",'Disciplinary Actions'!$D$4:$D$100003,mCrit,'Disciplinary Actions'!$F$4:$F$100003,dCrit)</f>
        <v>0</v>
      </c>
      <c r="M880" s="13" t="s">
        <v>2114</v>
      </c>
      <c r="N880" s="22">
        <f>COUNTIFS('Disciplinary Actions'!$D$4:$D$100003,mCrit,'Disciplinary Actions'!$F$4:$F$100003,dCrit)</f>
        <v>0</v>
      </c>
      <c r="P880" s="13" t="s">
        <v>27</v>
      </c>
      <c r="Q880" s="22">
        <f>COUNTIFS('Disciplinary Actions'!$D$4:$D$100003,mCrit,'Disciplinary Actions'!$F$4:$F$100003,"Operations")</f>
        <v>0</v>
      </c>
      <c r="R880" s="25">
        <f>IFERROR((COUNTIFS('Disciplinary Actions'!$K$4:$K$100003,"Completed",'Disciplinary Actions'!$D$4:$D$100003,mCrit,'Disciplinary Actions'!$F$4:$F$100003,"Operations"))/COUNTIFS('Disciplinary Actions'!$D$4:$D$100003,mCrit,'Disciplinary Actions'!$F$4:$F$100003,"Operations")*100,0)</f>
        <v>0</v>
      </c>
      <c r="S880" s="22">
        <f>COUNTIFS('Disciplinary Actions'!$D$4:$D$100003,mCrit,'Disciplinary Actions'!$F$4:$F$100003,"Operations")</f>
        <v>0</v>
      </c>
      <c r="U880" s="13" t="s">
        <v>1770</v>
      </c>
      <c r="V880" s="22">
        <f>COUNTIFS('Disciplinary Actions'!$D$4:$D$100003,"Jan",'Disciplinary Actions'!$F$4:$F$100003,dCrit)</f>
        <v>0</v>
      </c>
      <c r="W880" s="22">
        <f>COUNTIFS('Disciplinary Actions'!$D$4:$D$100003,"Feb",'Disciplinary Actions'!$F$4:$F$100003,dCrit)</f>
        <v>0</v>
      </c>
      <c r="X880" s="22">
        <f>COUNTIFS('Disciplinary Actions'!$D$4:$D$100003,"Mar",'Disciplinary Actions'!$F$4:$F$100003,dCrit)</f>
        <v>0</v>
      </c>
      <c r="Y880" s="22">
        <f>COUNTIFS('Disciplinary Actions'!$D$4:$D$100003,"Apr",'Disciplinary Actions'!$F$4:$F$100003,dCrit)</f>
        <v>0</v>
      </c>
      <c r="Z880" s="22">
        <f>COUNTIFS('Disciplinary Actions'!$D$4:$D$100003,"May",'Disciplinary Actions'!$F$4:$F$100003,dCrit)</f>
        <v>0</v>
      </c>
      <c r="AA880" s="22">
        <f>COUNTIFS('Disciplinary Actions'!$D$4:$D$100003,"Jun",'Disciplinary Actions'!$F$4:$F$100003,dCrit)</f>
        <v>0</v>
      </c>
      <c r="AB880" s="22">
        <f>COUNTIFS('Disciplinary Actions'!$D$4:$D$100003,"Jul",'Disciplinary Actions'!$F$4:$F$100003,dCrit)</f>
        <v>0</v>
      </c>
      <c r="AC880" s="22">
        <f>COUNTIFS('Disciplinary Actions'!$D$4:$D$100003,"Aug",'Disciplinary Actions'!$F$4:$F$100003,dCrit)</f>
        <v>0</v>
      </c>
      <c r="AD880" s="22">
        <f>COUNTIFS('Disciplinary Actions'!$D$4:$D$100003,"Sep",'Disciplinary Actions'!$F$4:$F$100003,dCrit)</f>
        <v>0</v>
      </c>
      <c r="AE880" s="22">
        <f>COUNTIFS('Disciplinary Actions'!$D$4:$D$100003,"Oct",'Disciplinary Actions'!$F$4:$F$100003,dCrit)</f>
        <v>0</v>
      </c>
      <c r="AF880" s="22">
        <f>COUNTIFS('Disciplinary Actions'!$D$4:$D$100003,"Nov",'Disciplinary Actions'!$F$4:$F$100003,dCrit)</f>
        <v>0</v>
      </c>
      <c r="AG880" s="22">
        <f>COUNTIFS('Disciplinary Actions'!$D$4:$D$100003,"Dec",'Disciplinary Actions'!$F$4:$F$100003,dCrit)</f>
        <v>0</v>
      </c>
      <c r="AH880" s="22">
        <f>SUM(V880:AG880)</f>
        <v>0</v>
      </c>
    </row>
    <row r="881" spans="2:34">
      <c r="B881" s="23" t="s">
        <v>19</v>
      </c>
      <c r="C881" s="22">
        <f>COUNTIFS('Disciplinary Actions'!$D$4:$D$100003,"Feb",'Disciplinary Actions'!$F$4:$F$100003,dCrit)</f>
        <v>0</v>
      </c>
      <c r="E881" s="13" t="s">
        <v>956</v>
      </c>
      <c r="F881" s="22">
        <f>COUNTIFS('Disciplinary Actions'!$E$4:$E$100003,"Safety Rule Breach",'Disciplinary Actions'!$D$4:$D$100003,mCrit,'Disciplinary Actions'!$F$4:$F$100003,dCrit)</f>
        <v>0</v>
      </c>
      <c r="G881" s="13" t="s">
        <v>957</v>
      </c>
      <c r="H881" s="22">
        <f>COUNTIFS('Disciplinary Actions'!$I$4:$I$100003,"2nd Offense",'Disciplinary Actions'!$D$4:$D$100003,mCrit,'Disciplinary Actions'!$F$4:$F$100003,dCrit)</f>
        <v>0</v>
      </c>
      <c r="J881" s="13" t="s">
        <v>952</v>
      </c>
      <c r="K881" s="22">
        <f>COUNTIFS('Disciplinary Actions'!$K$4:$K$100003,"Appealed",'Disciplinary Actions'!$D$4:$D$100003,mCrit,'Disciplinary Actions'!$F$4:$F$100003,dCrit)</f>
        <v>0</v>
      </c>
      <c r="M881" s="13" t="s">
        <v>222</v>
      </c>
      <c r="N881" s="22">
        <f>COUNTIFS('Disciplinary Actions'!$K$4:$K$100003,"Completed",'Disciplinary Actions'!$D$4:$D$100003,mCrit,'Disciplinary Actions'!$F$4:$F$100003,dCrit)</f>
        <v>0</v>
      </c>
      <c r="P881" s="13" t="s">
        <v>92</v>
      </c>
      <c r="Q881" s="22">
        <f>COUNTIFS('Disciplinary Actions'!$D$4:$D$100003,mCrit,'Disciplinary Actions'!$F$4:$F$100003,"Maintenance")</f>
        <v>0</v>
      </c>
      <c r="R881" s="25">
        <f>IFERROR((COUNTIFS('Disciplinary Actions'!$K$4:$K$100003,"Completed",'Disciplinary Actions'!$D$4:$D$100003,mCrit,'Disciplinary Actions'!$F$4:$F$100003,"Maintenance"))/COUNTIFS('Disciplinary Actions'!$D$4:$D$100003,mCrit,'Disciplinary Actions'!$F$4:$F$100003,"Maintenance")*100,0)</f>
        <v>0</v>
      </c>
      <c r="S881" s="22">
        <f>COUNTIFS('Disciplinary Actions'!$D$4:$D$100003,mCrit,'Disciplinary Actions'!$F$4:$F$100003,"Maintenance")</f>
        <v>0</v>
      </c>
      <c r="U881" s="13" t="s">
        <v>2072</v>
      </c>
      <c r="V881" s="25">
        <f>IFERROR((COUNTIFS('Disciplinary Actions'!$K$4:$K$100003,"Completed",'Disciplinary Actions'!$D$4:$D$100003,"Jan",'Disciplinary Actions'!$F$4:$F$100003,dCrit))/COUNTIFS('Disciplinary Actions'!$D$4:$D$100003,"Jan",'Disciplinary Actions'!$F$4:$F$100003,dCrit)*100,0)</f>
        <v>0</v>
      </c>
      <c r="W881" s="25">
        <f>IFERROR((COUNTIFS('Disciplinary Actions'!$K$4:$K$100003,"Completed",'Disciplinary Actions'!$D$4:$D$100003,"Feb",'Disciplinary Actions'!$F$4:$F$100003,dCrit))/COUNTIFS('Disciplinary Actions'!$D$4:$D$100003,"Feb",'Disciplinary Actions'!$F$4:$F$100003,dCrit)*100,0)</f>
        <v>0</v>
      </c>
      <c r="X881" s="25">
        <f>IFERROR((COUNTIFS('Disciplinary Actions'!$K$4:$K$100003,"Completed",'Disciplinary Actions'!$D$4:$D$100003,"Mar",'Disciplinary Actions'!$F$4:$F$100003,dCrit))/COUNTIFS('Disciplinary Actions'!$D$4:$D$100003,"Mar",'Disciplinary Actions'!$F$4:$F$100003,dCrit)*100,0)</f>
        <v>0</v>
      </c>
      <c r="Y881" s="25">
        <f>IFERROR((COUNTIFS('Disciplinary Actions'!$K$4:$K$100003,"Completed",'Disciplinary Actions'!$D$4:$D$100003,"Apr",'Disciplinary Actions'!$F$4:$F$100003,dCrit))/COUNTIFS('Disciplinary Actions'!$D$4:$D$100003,"Apr",'Disciplinary Actions'!$F$4:$F$100003,dCrit)*100,0)</f>
        <v>0</v>
      </c>
      <c r="Z881" s="25">
        <f>IFERROR((COUNTIFS('Disciplinary Actions'!$K$4:$K$100003,"Completed",'Disciplinary Actions'!$D$4:$D$100003,"May",'Disciplinary Actions'!$F$4:$F$100003,dCrit))/COUNTIFS('Disciplinary Actions'!$D$4:$D$100003,"May",'Disciplinary Actions'!$F$4:$F$100003,dCrit)*100,0)</f>
        <v>0</v>
      </c>
      <c r="AA881" s="25">
        <f>IFERROR((COUNTIFS('Disciplinary Actions'!$K$4:$K$100003,"Completed",'Disciplinary Actions'!$D$4:$D$100003,"Jun",'Disciplinary Actions'!$F$4:$F$100003,dCrit))/COUNTIFS('Disciplinary Actions'!$D$4:$D$100003,"Jun",'Disciplinary Actions'!$F$4:$F$100003,dCrit)*100,0)</f>
        <v>0</v>
      </c>
      <c r="AB881" s="25">
        <f>IFERROR((COUNTIFS('Disciplinary Actions'!$K$4:$K$100003,"Completed",'Disciplinary Actions'!$D$4:$D$100003,"Jul",'Disciplinary Actions'!$F$4:$F$100003,dCrit))/COUNTIFS('Disciplinary Actions'!$D$4:$D$100003,"Jul",'Disciplinary Actions'!$F$4:$F$100003,dCrit)*100,0)</f>
        <v>0</v>
      </c>
      <c r="AC881" s="25">
        <f>IFERROR((COUNTIFS('Disciplinary Actions'!$K$4:$K$100003,"Completed",'Disciplinary Actions'!$D$4:$D$100003,"Aug",'Disciplinary Actions'!$F$4:$F$100003,dCrit))/COUNTIFS('Disciplinary Actions'!$D$4:$D$100003,"Aug",'Disciplinary Actions'!$F$4:$F$100003,dCrit)*100,0)</f>
        <v>0</v>
      </c>
      <c r="AD881" s="25">
        <f>IFERROR((COUNTIFS('Disciplinary Actions'!$K$4:$K$100003,"Completed",'Disciplinary Actions'!$D$4:$D$100003,"Sep",'Disciplinary Actions'!$F$4:$F$100003,dCrit))/COUNTIFS('Disciplinary Actions'!$D$4:$D$100003,"Sep",'Disciplinary Actions'!$F$4:$F$100003,dCrit)*100,0)</f>
        <v>0</v>
      </c>
      <c r="AE881" s="25">
        <f>IFERROR((COUNTIFS('Disciplinary Actions'!$K$4:$K$100003,"Completed",'Disciplinary Actions'!$D$4:$D$100003,"Oct",'Disciplinary Actions'!$F$4:$F$100003,dCrit))/COUNTIFS('Disciplinary Actions'!$D$4:$D$100003,"Oct",'Disciplinary Actions'!$F$4:$F$100003,dCrit)*100,0)</f>
        <v>0</v>
      </c>
      <c r="AF881" s="25">
        <f>IFERROR((COUNTIFS('Disciplinary Actions'!$K$4:$K$100003,"Completed",'Disciplinary Actions'!$D$4:$D$100003,"Nov",'Disciplinary Actions'!$F$4:$F$100003,dCrit))/COUNTIFS('Disciplinary Actions'!$D$4:$D$100003,"Nov",'Disciplinary Actions'!$F$4:$F$100003,dCrit)*100,0)</f>
        <v>0</v>
      </c>
      <c r="AG881" s="25">
        <f>IFERROR((COUNTIFS('Disciplinary Actions'!$K$4:$K$100003,"Completed",'Disciplinary Actions'!$D$4:$D$100003,"Dec",'Disciplinary Actions'!$F$4:$F$100003,dCrit))/COUNTIFS('Disciplinary Actions'!$D$4:$D$100003,"Dec",'Disciplinary Actions'!$F$4:$F$100003,dCrit)*100,0)</f>
        <v>0</v>
      </c>
      <c r="AH881" s="25">
        <f>IFERROR(AVERAGE(V881:AG881),0)</f>
        <v>0</v>
      </c>
    </row>
    <row r="882" spans="2:34">
      <c r="B882" s="23" t="s">
        <v>44</v>
      </c>
      <c r="C882" s="22">
        <f>COUNTIFS('Disciplinary Actions'!$D$4:$D$100003,"Mar",'Disciplinary Actions'!$F$4:$F$100003,dCrit)</f>
        <v>0</v>
      </c>
      <c r="E882" s="13" t="s">
        <v>991</v>
      </c>
      <c r="F882" s="22">
        <f>COUNTIFS('Disciplinary Actions'!$E$4:$E$100003,"Permit Violation",'Disciplinary Actions'!$D$4:$D$100003,mCrit,'Disciplinary Actions'!$F$4:$F$100003,dCrit)</f>
        <v>0</v>
      </c>
      <c r="G882" s="13" t="s">
        <v>951</v>
      </c>
      <c r="H882" s="22">
        <f>COUNTIFS('Disciplinary Actions'!$I$4:$I$100003,"3rd Offense",'Disciplinary Actions'!$D$4:$D$100003,mCrit,'Disciplinary Actions'!$F$4:$F$100003,dCrit)</f>
        <v>0</v>
      </c>
      <c r="J882" s="13" t="s">
        <v>222</v>
      </c>
      <c r="K882" s="22">
        <f>COUNTIFS('Disciplinary Actions'!$K$4:$K$100003,"Completed",'Disciplinary Actions'!$D$4:$D$100003,mCrit,'Disciplinary Actions'!$F$4:$F$100003,dCrit)</f>
        <v>0</v>
      </c>
      <c r="M882" s="13" t="s">
        <v>949</v>
      </c>
      <c r="N882" s="22">
        <f>COUNTIFS('Disciplinary Actions'!$K$4:$K$100003,"Under Review",'Disciplinary Actions'!$D$4:$D$100003,mCrit,'Disciplinary Actions'!$F$4:$F$100003,dCrit)</f>
        <v>0</v>
      </c>
      <c r="P882" s="13" t="s">
        <v>39</v>
      </c>
      <c r="Q882" s="22">
        <f>COUNTIFS('Disciplinary Actions'!$D$4:$D$100003,mCrit,'Disciplinary Actions'!$F$4:$F$100003,"Engineering")</f>
        <v>0</v>
      </c>
      <c r="R882" s="25">
        <f>IFERROR((COUNTIFS('Disciplinary Actions'!$K$4:$K$100003,"Completed",'Disciplinary Actions'!$D$4:$D$100003,mCrit,'Disciplinary Actions'!$F$4:$F$100003,"Engineering"))/COUNTIFS('Disciplinary Actions'!$D$4:$D$100003,mCrit,'Disciplinary Actions'!$F$4:$F$100003,"Engineering")*100,0)</f>
        <v>0</v>
      </c>
      <c r="S882" s="22">
        <f>COUNTIFS('Disciplinary Actions'!$D$4:$D$100003,mCrit,'Disciplinary Actions'!$F$4:$F$100003,"Engineering")</f>
        <v>0</v>
      </c>
    </row>
    <row r="883" spans="2:34">
      <c r="B883" s="23" t="s">
        <v>53</v>
      </c>
      <c r="C883" s="22">
        <f>COUNTIFS('Disciplinary Actions'!$D$4:$D$100003,"Apr",'Disciplinary Actions'!$F$4:$F$100003,dCrit)</f>
        <v>0</v>
      </c>
      <c r="E883" s="13" t="s">
        <v>962</v>
      </c>
      <c r="F883" s="22">
        <f>COUNTIFS('Disciplinary Actions'!$E$4:$E$100003,"Unauthorized Work",'Disciplinary Actions'!$D$4:$D$100003,mCrit,'Disciplinary Actions'!$F$4:$F$100003,dCrit)</f>
        <v>0</v>
      </c>
      <c r="M883" s="13" t="s">
        <v>952</v>
      </c>
      <c r="N883" s="22">
        <f>COUNTIFS('Disciplinary Actions'!$K$4:$K$100003,"Appealed",'Disciplinary Actions'!$D$4:$D$100003,mCrit,'Disciplinary Actions'!$F$4:$F$100003,dCrit)</f>
        <v>0</v>
      </c>
      <c r="P883" s="13" t="s">
        <v>89</v>
      </c>
      <c r="Q883" s="22">
        <f>COUNTIFS('Disciplinary Actions'!$D$4:$D$100003,mCrit,'Disciplinary Actions'!$F$4:$F$100003,"Construction")</f>
        <v>0</v>
      </c>
      <c r="R883" s="25">
        <f>IFERROR((COUNTIFS('Disciplinary Actions'!$K$4:$K$100003,"Completed",'Disciplinary Actions'!$D$4:$D$100003,mCrit,'Disciplinary Actions'!$F$4:$F$100003,"Construction"))/COUNTIFS('Disciplinary Actions'!$D$4:$D$100003,mCrit,'Disciplinary Actions'!$F$4:$F$100003,"Construction")*100,0)</f>
        <v>0</v>
      </c>
      <c r="S883" s="22">
        <f>COUNTIFS('Disciplinary Actions'!$D$4:$D$100003,mCrit,'Disciplinary Actions'!$F$4:$F$100003,"Construction")</f>
        <v>0</v>
      </c>
    </row>
    <row r="884" spans="2:34">
      <c r="B884" s="23" t="s">
        <v>60</v>
      </c>
      <c r="C884" s="22">
        <f>COUNTIFS('Disciplinary Actions'!$D$4:$D$100003,"May",'Disciplinary Actions'!$F$4:$F$100003,dCrit)</f>
        <v>0</v>
      </c>
      <c r="E884" s="13" t="s">
        <v>954</v>
      </c>
      <c r="F884" s="22">
        <f>COUNTIFS('Disciplinary Actions'!$E$4:$E$100003,"Reckless Behavior",'Disciplinary Actions'!$D$4:$D$100003,mCrit,'Disciplinary Actions'!$F$4:$F$100003,dCrit)</f>
        <v>0</v>
      </c>
      <c r="M884" s="13" t="s">
        <v>948</v>
      </c>
      <c r="N884" s="22">
        <f>COUNTIFS('Disciplinary Actions'!$I$4:$I$100003,"1st Offense",'Disciplinary Actions'!$D$4:$D$100003,mCrit,'Disciplinary Actions'!$F$4:$F$100003,dCrit)</f>
        <v>0</v>
      </c>
      <c r="P884" s="13" t="s">
        <v>65</v>
      </c>
      <c r="Q884" s="22">
        <f>COUNTIFS('Disciplinary Actions'!$D$4:$D$100003,mCrit,'Disciplinary Actions'!$F$4:$F$100003,"Safety")</f>
        <v>0</v>
      </c>
      <c r="R884" s="25">
        <f>IFERROR((COUNTIFS('Disciplinary Actions'!$K$4:$K$100003,"Completed",'Disciplinary Actions'!$D$4:$D$100003,mCrit,'Disciplinary Actions'!$F$4:$F$100003,"Safety"))/COUNTIFS('Disciplinary Actions'!$D$4:$D$100003,mCrit,'Disciplinary Actions'!$F$4:$F$100003,"Safety")*100,0)</f>
        <v>0</v>
      </c>
      <c r="S884" s="22">
        <f>COUNTIFS('Disciplinary Actions'!$D$4:$D$100003,mCrit,'Disciplinary Actions'!$F$4:$F$100003,"Safety")</f>
        <v>0</v>
      </c>
    </row>
    <row r="885" spans="2:34">
      <c r="B885" s="23" t="s">
        <v>73</v>
      </c>
      <c r="C885" s="22">
        <f>COUNTIFS('Disciplinary Actions'!$D$4:$D$100003,"Jun",'Disciplinary Actions'!$F$4:$F$100003,dCrit)</f>
        <v>0</v>
      </c>
      <c r="E885" s="13" t="s">
        <v>946</v>
      </c>
      <c r="F885" s="22">
        <f>COUNTIFS('Disciplinary Actions'!$E$4:$E$100003,"Substance Abuse",'Disciplinary Actions'!$D$4:$D$100003,mCrit,'Disciplinary Actions'!$F$4:$F$100003,dCrit)</f>
        <v>0</v>
      </c>
      <c r="M885" s="13" t="s">
        <v>960</v>
      </c>
      <c r="N885" s="22">
        <f>COUNTIFS('Disciplinary Actions'!$I$4:$I$100003,"Repeat",'Disciplinary Actions'!$D$4:$D$100003,mCrit,'Disciplinary Actions'!$F$4:$F$100003,dCrit)</f>
        <v>0</v>
      </c>
      <c r="P885" s="13" t="s">
        <v>5</v>
      </c>
      <c r="Q885" s="22">
        <f>COUNTIFS('Disciplinary Actions'!$D$4:$D$100003,mCrit,'Disciplinary Actions'!$F$4:$F$100003,"Logistics")</f>
        <v>0</v>
      </c>
      <c r="R885" s="25">
        <f>IFERROR((COUNTIFS('Disciplinary Actions'!$K$4:$K$100003,"Completed",'Disciplinary Actions'!$D$4:$D$100003,mCrit,'Disciplinary Actions'!$F$4:$F$100003,"Logistics"))/COUNTIFS('Disciplinary Actions'!$D$4:$D$100003,mCrit,'Disciplinary Actions'!$F$4:$F$100003,"Logistics")*100,0)</f>
        <v>0</v>
      </c>
      <c r="S885" s="22">
        <f>COUNTIFS('Disciplinary Actions'!$D$4:$D$100003,mCrit,'Disciplinary Actions'!$F$4:$F$100003,"Logistics")</f>
        <v>0</v>
      </c>
    </row>
    <row r="886" spans="2:34">
      <c r="B886" s="23" t="s">
        <v>76</v>
      </c>
      <c r="C886" s="22">
        <f>COUNTIFS('Disciplinary Actions'!$D$4:$D$100003,"Jul",'Disciplinary Actions'!$F$4:$F$100003,dCrit)</f>
        <v>0</v>
      </c>
      <c r="M886" s="13" t="s">
        <v>2115</v>
      </c>
      <c r="N886" s="22">
        <f>COUNTIFS('Disciplinary Actions'!$H$4:$H$100003,"Suspension",'Disciplinary Actions'!$D$4:$D$100003,mCrit,'Disciplinary Actions'!$F$4:$F$100003,dCrit)</f>
        <v>0</v>
      </c>
      <c r="P886" s="13" t="s">
        <v>50</v>
      </c>
      <c r="Q886" s="22">
        <f>COUNTIFS('Disciplinary Actions'!$D$4:$D$100003,mCrit,'Disciplinary Actions'!$F$4:$F$100003,"Quality")</f>
        <v>0</v>
      </c>
      <c r="R886" s="25">
        <f>IFERROR((COUNTIFS('Disciplinary Actions'!$K$4:$K$100003,"Completed",'Disciplinary Actions'!$D$4:$D$100003,mCrit,'Disciplinary Actions'!$F$4:$F$100003,"Quality"))/COUNTIFS('Disciplinary Actions'!$D$4:$D$100003,mCrit,'Disciplinary Actions'!$F$4:$F$100003,"Quality")*100,0)</f>
        <v>0</v>
      </c>
      <c r="S886" s="22">
        <f>COUNTIFS('Disciplinary Actions'!$D$4:$D$100003,mCrit,'Disciplinary Actions'!$F$4:$F$100003,"Quality")</f>
        <v>0</v>
      </c>
    </row>
    <row r="887" spans="2:34">
      <c r="B887" s="23" t="s">
        <v>86</v>
      </c>
      <c r="C887" s="22">
        <f>COUNTIFS('Disciplinary Actions'!$D$4:$D$100003,"Aug",'Disciplinary Actions'!$F$4:$F$100003,dCrit)</f>
        <v>0</v>
      </c>
      <c r="M887" s="13" t="s">
        <v>2116</v>
      </c>
      <c r="N887" s="22">
        <f>COUNTIFS('Disciplinary Actions'!$H$4:$H$100003,"Termination",'Disciplinary Actions'!$D$4:$D$100003,mCrit,'Disciplinary Actions'!$F$4:$F$100003,dCrit)</f>
        <v>0</v>
      </c>
      <c r="P887" s="13" t="s">
        <v>46</v>
      </c>
      <c r="Q887" s="22">
        <f>COUNTIFS('Disciplinary Actions'!$D$4:$D$100003,mCrit,'Disciplinary Actions'!$F$4:$F$100003,"Admin")</f>
        <v>0</v>
      </c>
      <c r="R887" s="25">
        <f>IFERROR((COUNTIFS('Disciplinary Actions'!$K$4:$K$100003,"Completed",'Disciplinary Actions'!$D$4:$D$100003,mCrit,'Disciplinary Actions'!$F$4:$F$100003,"Admin"))/COUNTIFS('Disciplinary Actions'!$D$4:$D$100003,mCrit,'Disciplinary Actions'!$F$4:$F$100003,"Admin")*100,0)</f>
        <v>0</v>
      </c>
      <c r="S887" s="22">
        <f>COUNTIFS('Disciplinary Actions'!$D$4:$D$100003,mCrit,'Disciplinary Actions'!$F$4:$F$100003,"Admin")</f>
        <v>0</v>
      </c>
    </row>
    <row r="888" spans="2:34">
      <c r="B888" s="23" t="s">
        <v>102</v>
      </c>
      <c r="C888" s="22">
        <f>COUNTIFS('Disciplinary Actions'!$D$4:$D$100003,"Sep",'Disciplinary Actions'!$F$4:$F$100003,dCrit)</f>
        <v>0</v>
      </c>
      <c r="P888" s="13" t="s">
        <v>13</v>
      </c>
      <c r="Q888" s="22">
        <f>COUNTIFS('Disciplinary Actions'!$D$4:$D$100003,mCrit,'Disciplinary Actions'!$F$4:$F$100003,"Projects")</f>
        <v>0</v>
      </c>
      <c r="R888" s="25">
        <f>IFERROR((COUNTIFS('Disciplinary Actions'!$K$4:$K$100003,"Completed",'Disciplinary Actions'!$D$4:$D$100003,mCrit,'Disciplinary Actions'!$F$4:$F$100003,"Projects"))/COUNTIFS('Disciplinary Actions'!$D$4:$D$100003,mCrit,'Disciplinary Actions'!$F$4:$F$100003,"Projects")*100,0)</f>
        <v>0</v>
      </c>
      <c r="S888" s="22">
        <f>COUNTIFS('Disciplinary Actions'!$D$4:$D$100003,mCrit,'Disciplinary Actions'!$F$4:$F$100003,"Projects")</f>
        <v>0</v>
      </c>
    </row>
    <row r="889" spans="2:34">
      <c r="B889" s="23" t="s">
        <v>106</v>
      </c>
      <c r="C889" s="22">
        <f>COUNTIFS('Disciplinary Actions'!$D$4:$D$100003,"Oct",'Disciplinary Actions'!$F$4:$F$100003,dCrit)</f>
        <v>0</v>
      </c>
      <c r="P889" s="13" t="s">
        <v>58</v>
      </c>
      <c r="Q889" s="22">
        <f>COUNTIFS('Disciplinary Actions'!$D$4:$D$100003,mCrit,'Disciplinary Actions'!$F$4:$F$100003,"Contractor")</f>
        <v>0</v>
      </c>
      <c r="R889" s="25">
        <f>IFERROR((COUNTIFS('Disciplinary Actions'!$K$4:$K$100003,"Completed",'Disciplinary Actions'!$D$4:$D$100003,mCrit,'Disciplinary Actions'!$F$4:$F$100003,"Contractor"))/COUNTIFS('Disciplinary Actions'!$D$4:$D$100003,mCrit,'Disciplinary Actions'!$F$4:$F$100003,"Contractor")*100,0)</f>
        <v>0</v>
      </c>
      <c r="S889" s="22">
        <f>COUNTIFS('Disciplinary Actions'!$D$4:$D$100003,mCrit,'Disciplinary Actions'!$F$4:$F$100003,"Contractor")</f>
        <v>0</v>
      </c>
    </row>
    <row r="890" spans="2:34">
      <c r="B890" s="23" t="s">
        <v>111</v>
      </c>
      <c r="C890" s="22">
        <f>COUNTIFS('Disciplinary Actions'!$D$4:$D$100003,"Nov",'Disciplinary Actions'!$F$4:$F$100003,dCrit)</f>
        <v>0</v>
      </c>
    </row>
    <row r="891" spans="2:34">
      <c r="B891" s="23" t="s">
        <v>122</v>
      </c>
      <c r="C891" s="22">
        <f>COUNTIFS('Disciplinary Actions'!$D$4:$D$100003,"Dec",'Disciplinary Actions'!$F$4:$F$100003,dCrit)</f>
        <v>0</v>
      </c>
    </row>
    <row r="904" spans="2:34">
      <c r="B904" s="17" t="s">
        <v>2117</v>
      </c>
    </row>
    <row r="905" spans="2:34">
      <c r="B905" s="12" t="s">
        <v>127</v>
      </c>
      <c r="C905" s="12" t="s">
        <v>1965</v>
      </c>
      <c r="E905" s="12" t="s">
        <v>1073</v>
      </c>
      <c r="F905" s="12" t="s">
        <v>1965</v>
      </c>
      <c r="G905" s="12" t="s">
        <v>1075</v>
      </c>
      <c r="H905" s="12" t="s">
        <v>1965</v>
      </c>
      <c r="J905" s="12" t="s">
        <v>288</v>
      </c>
      <c r="K905" s="12" t="s">
        <v>1965</v>
      </c>
      <c r="M905" s="12" t="s">
        <v>1927</v>
      </c>
      <c r="N905" s="12" t="s">
        <v>2039</v>
      </c>
      <c r="P905" s="12" t="s">
        <v>129</v>
      </c>
      <c r="Q905" s="12" t="s">
        <v>1965</v>
      </c>
      <c r="R905" s="12" t="s">
        <v>2071</v>
      </c>
      <c r="S905" s="12" t="s">
        <v>1770</v>
      </c>
      <c r="U905" s="12" t="s">
        <v>2038</v>
      </c>
      <c r="V905" s="12" t="s">
        <v>3</v>
      </c>
      <c r="W905" s="12" t="s">
        <v>19</v>
      </c>
      <c r="X905" s="12" t="s">
        <v>44</v>
      </c>
      <c r="Y905" s="12" t="s">
        <v>53</v>
      </c>
      <c r="Z905" s="12" t="s">
        <v>60</v>
      </c>
      <c r="AA905" s="12" t="s">
        <v>73</v>
      </c>
      <c r="AB905" s="12" t="s">
        <v>76</v>
      </c>
      <c r="AC905" s="12" t="s">
        <v>86</v>
      </c>
      <c r="AD905" s="12" t="s">
        <v>102</v>
      </c>
      <c r="AE905" s="12" t="s">
        <v>106</v>
      </c>
      <c r="AF905" s="12" t="s">
        <v>111</v>
      </c>
      <c r="AG905" s="12" t="s">
        <v>122</v>
      </c>
      <c r="AH905" s="12" t="s">
        <v>2063</v>
      </c>
    </row>
    <row r="906" spans="2:34">
      <c r="B906" s="23" t="s">
        <v>3</v>
      </c>
      <c r="C906" s="22">
        <f>COUNTIFS('Safety Awards'!$D$4:$D$100003,"Jan",'Safety Awards'!$F$4:$F$100003,dCrit)</f>
        <v>0</v>
      </c>
      <c r="E906" s="13" t="s">
        <v>1012</v>
      </c>
      <c r="F906" s="22">
        <f>COUNTIFS('Safety Awards'!$E$4:$E$100003,"Safe Worker of Month",'Safety Awards'!$D$4:$D$100003,mCrit,'Safety Awards'!$F$4:$F$100003,dCrit)</f>
        <v>0</v>
      </c>
      <c r="G906" s="13" t="s">
        <v>1031</v>
      </c>
      <c r="H906" s="22">
        <f>COUNTIFS('Safety Awards'!$H$4:$H$100003,"Certificate",'Safety Awards'!$D$4:$D$100003,mCrit,'Safety Awards'!$F$4:$F$100003,dCrit)</f>
        <v>0</v>
      </c>
      <c r="J906" s="13" t="s">
        <v>1014</v>
      </c>
      <c r="K906" s="22">
        <f>COUNTIFS('Safety Awards'!$J$4:$J$100003,"Presented",'Safety Awards'!$D$4:$D$100003,mCrit,'Safety Awards'!$F$4:$F$100003,dCrit)</f>
        <v>0</v>
      </c>
      <c r="M906" s="13" t="s">
        <v>2118</v>
      </c>
      <c r="N906" s="22">
        <f>COUNTIFS('Safety Awards'!$D$4:$D$100003,mCrit,'Safety Awards'!$F$4:$F$100003,dCrit)</f>
        <v>0</v>
      </c>
      <c r="P906" s="13" t="s">
        <v>27</v>
      </c>
      <c r="Q906" s="22">
        <f>COUNTIFS('Safety Awards'!$D$4:$D$100003,mCrit,'Safety Awards'!$F$4:$F$100003,"Operations")</f>
        <v>0</v>
      </c>
      <c r="R906" s="25">
        <f>IFERROR((COUNTIFS('Safety Awards'!$J$4:$J$100003,"Presented",'Safety Awards'!$D$4:$D$100003,mCrit,'Safety Awards'!$F$4:$F$100003,"Operations"))/COUNTIFS('Safety Awards'!$D$4:$D$100003,mCrit,'Safety Awards'!$F$4:$F$100003,"Operations")*100,0)</f>
        <v>0</v>
      </c>
      <c r="S906" s="22">
        <f>COUNTIFS('Safety Awards'!$D$4:$D$100003,mCrit,'Safety Awards'!$F$4:$F$100003,"Operations")</f>
        <v>0</v>
      </c>
      <c r="U906" s="13" t="s">
        <v>1770</v>
      </c>
      <c r="V906" s="22">
        <f>COUNTIFS('Safety Awards'!$D$4:$D$100003,"Jan",'Safety Awards'!$F$4:$F$100003,dCrit)</f>
        <v>0</v>
      </c>
      <c r="W906" s="22">
        <f>COUNTIFS('Safety Awards'!$D$4:$D$100003,"Feb",'Safety Awards'!$F$4:$F$100003,dCrit)</f>
        <v>0</v>
      </c>
      <c r="X906" s="22">
        <f>COUNTIFS('Safety Awards'!$D$4:$D$100003,"Mar",'Safety Awards'!$F$4:$F$100003,dCrit)</f>
        <v>0</v>
      </c>
      <c r="Y906" s="22">
        <f>COUNTIFS('Safety Awards'!$D$4:$D$100003,"Apr",'Safety Awards'!$F$4:$F$100003,dCrit)</f>
        <v>0</v>
      </c>
      <c r="Z906" s="22">
        <f>COUNTIFS('Safety Awards'!$D$4:$D$100003,"May",'Safety Awards'!$F$4:$F$100003,dCrit)</f>
        <v>0</v>
      </c>
      <c r="AA906" s="22">
        <f>COUNTIFS('Safety Awards'!$D$4:$D$100003,"Jun",'Safety Awards'!$F$4:$F$100003,dCrit)</f>
        <v>0</v>
      </c>
      <c r="AB906" s="22">
        <f>COUNTIFS('Safety Awards'!$D$4:$D$100003,"Jul",'Safety Awards'!$F$4:$F$100003,dCrit)</f>
        <v>0</v>
      </c>
      <c r="AC906" s="22">
        <f>COUNTIFS('Safety Awards'!$D$4:$D$100003,"Aug",'Safety Awards'!$F$4:$F$100003,dCrit)</f>
        <v>0</v>
      </c>
      <c r="AD906" s="22">
        <f>COUNTIFS('Safety Awards'!$D$4:$D$100003,"Sep",'Safety Awards'!$F$4:$F$100003,dCrit)</f>
        <v>0</v>
      </c>
      <c r="AE906" s="22">
        <f>COUNTIFS('Safety Awards'!$D$4:$D$100003,"Oct",'Safety Awards'!$F$4:$F$100003,dCrit)</f>
        <v>0</v>
      </c>
      <c r="AF906" s="22">
        <f>COUNTIFS('Safety Awards'!$D$4:$D$100003,"Nov",'Safety Awards'!$F$4:$F$100003,dCrit)</f>
        <v>0</v>
      </c>
      <c r="AG906" s="22">
        <f>COUNTIFS('Safety Awards'!$D$4:$D$100003,"Dec",'Safety Awards'!$F$4:$F$100003,dCrit)</f>
        <v>0</v>
      </c>
      <c r="AH906" s="22">
        <f>SUM(V906:AG906)</f>
        <v>0</v>
      </c>
    </row>
    <row r="907" spans="2:34">
      <c r="B907" s="23" t="s">
        <v>19</v>
      </c>
      <c r="C907" s="22">
        <f>COUNTIFS('Safety Awards'!$D$4:$D$100003,"Feb",'Safety Awards'!$F$4:$F$100003,dCrit)</f>
        <v>0</v>
      </c>
      <c r="E907" s="13" t="s">
        <v>1018</v>
      </c>
      <c r="F907" s="22">
        <f>COUNTIFS('Safety Awards'!$E$4:$E$100003,"Best Safety Suggestion",'Safety Awards'!$D$4:$D$100003,mCrit,'Safety Awards'!$F$4:$F$100003,dCrit)</f>
        <v>0</v>
      </c>
      <c r="G907" s="13" t="s">
        <v>1024</v>
      </c>
      <c r="H907" s="22">
        <f>COUNTIFS('Safety Awards'!$H$4:$H$100003,"Trophy",'Safety Awards'!$D$4:$D$100003,mCrit,'Safety Awards'!$F$4:$F$100003,dCrit)</f>
        <v>0</v>
      </c>
      <c r="J907" s="13" t="s">
        <v>236</v>
      </c>
      <c r="K907" s="22">
        <f>COUNTIFS('Safety Awards'!$J$4:$J$100003,"Scheduled",'Safety Awards'!$D$4:$D$100003,mCrit,'Safety Awards'!$F$4:$F$100003,dCrit)</f>
        <v>0</v>
      </c>
      <c r="M907" s="13" t="s">
        <v>1014</v>
      </c>
      <c r="N907" s="22">
        <f>COUNTIFS('Safety Awards'!$J$4:$J$100003,"Presented",'Safety Awards'!$D$4:$D$100003,mCrit,'Safety Awards'!$F$4:$F$100003,dCrit)</f>
        <v>0</v>
      </c>
      <c r="P907" s="13" t="s">
        <v>92</v>
      </c>
      <c r="Q907" s="22">
        <f>COUNTIFS('Safety Awards'!$D$4:$D$100003,mCrit,'Safety Awards'!$F$4:$F$100003,"Maintenance")</f>
        <v>0</v>
      </c>
      <c r="R907" s="25">
        <f>IFERROR((COUNTIFS('Safety Awards'!$J$4:$J$100003,"Presented",'Safety Awards'!$D$4:$D$100003,mCrit,'Safety Awards'!$F$4:$F$100003,"Maintenance"))/COUNTIFS('Safety Awards'!$D$4:$D$100003,mCrit,'Safety Awards'!$F$4:$F$100003,"Maintenance")*100,0)</f>
        <v>0</v>
      </c>
      <c r="S907" s="22">
        <f>COUNTIFS('Safety Awards'!$D$4:$D$100003,mCrit,'Safety Awards'!$F$4:$F$100003,"Maintenance")</f>
        <v>0</v>
      </c>
      <c r="U907" s="13" t="s">
        <v>2072</v>
      </c>
      <c r="V907" s="25">
        <f>IFERROR((COUNTIFS('Safety Awards'!$J$4:$J$100003,"Presented",'Safety Awards'!$D$4:$D$100003,"Jan",'Safety Awards'!$F$4:$F$100003,dCrit))/COUNTIFS('Safety Awards'!$D$4:$D$100003,"Jan",'Safety Awards'!$F$4:$F$100003,dCrit)*100,0)</f>
        <v>0</v>
      </c>
      <c r="W907" s="25">
        <f>IFERROR((COUNTIFS('Safety Awards'!$J$4:$J$100003,"Presented",'Safety Awards'!$D$4:$D$100003,"Feb",'Safety Awards'!$F$4:$F$100003,dCrit))/COUNTIFS('Safety Awards'!$D$4:$D$100003,"Feb",'Safety Awards'!$F$4:$F$100003,dCrit)*100,0)</f>
        <v>0</v>
      </c>
      <c r="X907" s="25">
        <f>IFERROR((COUNTIFS('Safety Awards'!$J$4:$J$100003,"Presented",'Safety Awards'!$D$4:$D$100003,"Mar",'Safety Awards'!$F$4:$F$100003,dCrit))/COUNTIFS('Safety Awards'!$D$4:$D$100003,"Mar",'Safety Awards'!$F$4:$F$100003,dCrit)*100,0)</f>
        <v>0</v>
      </c>
      <c r="Y907" s="25">
        <f>IFERROR((COUNTIFS('Safety Awards'!$J$4:$J$100003,"Presented",'Safety Awards'!$D$4:$D$100003,"Apr",'Safety Awards'!$F$4:$F$100003,dCrit))/COUNTIFS('Safety Awards'!$D$4:$D$100003,"Apr",'Safety Awards'!$F$4:$F$100003,dCrit)*100,0)</f>
        <v>0</v>
      </c>
      <c r="Z907" s="25">
        <f>IFERROR((COUNTIFS('Safety Awards'!$J$4:$J$100003,"Presented",'Safety Awards'!$D$4:$D$100003,"May",'Safety Awards'!$F$4:$F$100003,dCrit))/COUNTIFS('Safety Awards'!$D$4:$D$100003,"May",'Safety Awards'!$F$4:$F$100003,dCrit)*100,0)</f>
        <v>0</v>
      </c>
      <c r="AA907" s="25">
        <f>IFERROR((COUNTIFS('Safety Awards'!$J$4:$J$100003,"Presented",'Safety Awards'!$D$4:$D$100003,"Jun",'Safety Awards'!$F$4:$F$100003,dCrit))/COUNTIFS('Safety Awards'!$D$4:$D$100003,"Jun",'Safety Awards'!$F$4:$F$100003,dCrit)*100,0)</f>
        <v>0</v>
      </c>
      <c r="AB907" s="25">
        <f>IFERROR((COUNTIFS('Safety Awards'!$J$4:$J$100003,"Presented",'Safety Awards'!$D$4:$D$100003,"Jul",'Safety Awards'!$F$4:$F$100003,dCrit))/COUNTIFS('Safety Awards'!$D$4:$D$100003,"Jul",'Safety Awards'!$F$4:$F$100003,dCrit)*100,0)</f>
        <v>0</v>
      </c>
      <c r="AC907" s="25">
        <f>IFERROR((COUNTIFS('Safety Awards'!$J$4:$J$100003,"Presented",'Safety Awards'!$D$4:$D$100003,"Aug",'Safety Awards'!$F$4:$F$100003,dCrit))/COUNTIFS('Safety Awards'!$D$4:$D$100003,"Aug",'Safety Awards'!$F$4:$F$100003,dCrit)*100,0)</f>
        <v>0</v>
      </c>
      <c r="AD907" s="25">
        <f>IFERROR((COUNTIFS('Safety Awards'!$J$4:$J$100003,"Presented",'Safety Awards'!$D$4:$D$100003,"Sep",'Safety Awards'!$F$4:$F$100003,dCrit))/COUNTIFS('Safety Awards'!$D$4:$D$100003,"Sep",'Safety Awards'!$F$4:$F$100003,dCrit)*100,0)</f>
        <v>0</v>
      </c>
      <c r="AE907" s="25">
        <f>IFERROR((COUNTIFS('Safety Awards'!$J$4:$J$100003,"Presented",'Safety Awards'!$D$4:$D$100003,"Oct",'Safety Awards'!$F$4:$F$100003,dCrit))/COUNTIFS('Safety Awards'!$D$4:$D$100003,"Oct",'Safety Awards'!$F$4:$F$100003,dCrit)*100,0)</f>
        <v>0</v>
      </c>
      <c r="AF907" s="25">
        <f>IFERROR((COUNTIFS('Safety Awards'!$J$4:$J$100003,"Presented",'Safety Awards'!$D$4:$D$100003,"Nov",'Safety Awards'!$F$4:$F$100003,dCrit))/COUNTIFS('Safety Awards'!$D$4:$D$100003,"Nov",'Safety Awards'!$F$4:$F$100003,dCrit)*100,0)</f>
        <v>0</v>
      </c>
      <c r="AG907" s="25">
        <f>IFERROR((COUNTIFS('Safety Awards'!$J$4:$J$100003,"Presented",'Safety Awards'!$D$4:$D$100003,"Dec",'Safety Awards'!$F$4:$F$100003,dCrit))/COUNTIFS('Safety Awards'!$D$4:$D$100003,"Dec",'Safety Awards'!$F$4:$F$100003,dCrit)*100,0)</f>
        <v>0</v>
      </c>
      <c r="AH907" s="25">
        <f>IFERROR(AVERAGE(V907:AG907),0)</f>
        <v>0</v>
      </c>
    </row>
    <row r="908" spans="2:34">
      <c r="B908" s="23" t="s">
        <v>44</v>
      </c>
      <c r="C908" s="22">
        <f>COUNTIFS('Safety Awards'!$D$4:$D$100003,"Mar",'Safety Awards'!$F$4:$F$100003,dCrit)</f>
        <v>0</v>
      </c>
      <c r="E908" s="13" t="s">
        <v>1028</v>
      </c>
      <c r="F908" s="22">
        <f>COUNTIFS('Safety Awards'!$E$4:$E$100003,"Zero Incident Award",'Safety Awards'!$D$4:$D$100003,mCrit,'Safety Awards'!$F$4:$F$100003,dCrit)</f>
        <v>0</v>
      </c>
      <c r="G908" s="13" t="s">
        <v>1013</v>
      </c>
      <c r="H908" s="22">
        <f>COUNTIFS('Safety Awards'!$H$4:$H$100003,"Cash Bonus",'Safety Awards'!$D$4:$D$100003,mCrit,'Safety Awards'!$F$4:$F$100003,dCrit)</f>
        <v>0</v>
      </c>
      <c r="J908" s="13" t="s">
        <v>1032</v>
      </c>
      <c r="K908" s="22">
        <f>COUNTIFS('Safety Awards'!$J$4:$J$100003,"Nominated",'Safety Awards'!$D$4:$D$100003,mCrit,'Safety Awards'!$F$4:$F$100003,dCrit)</f>
        <v>0</v>
      </c>
      <c r="M908" s="13" t="s">
        <v>236</v>
      </c>
      <c r="N908" s="22">
        <f>COUNTIFS('Safety Awards'!$J$4:$J$100003,"Scheduled",'Safety Awards'!$D$4:$D$100003,mCrit,'Safety Awards'!$F$4:$F$100003,dCrit)</f>
        <v>0</v>
      </c>
      <c r="P908" s="13" t="s">
        <v>39</v>
      </c>
      <c r="Q908" s="22">
        <f>COUNTIFS('Safety Awards'!$D$4:$D$100003,mCrit,'Safety Awards'!$F$4:$F$100003,"Engineering")</f>
        <v>0</v>
      </c>
      <c r="R908" s="25">
        <f>IFERROR((COUNTIFS('Safety Awards'!$J$4:$J$100003,"Presented",'Safety Awards'!$D$4:$D$100003,mCrit,'Safety Awards'!$F$4:$F$100003,"Engineering"))/COUNTIFS('Safety Awards'!$D$4:$D$100003,mCrit,'Safety Awards'!$F$4:$F$100003,"Engineering")*100,0)</f>
        <v>0</v>
      </c>
      <c r="S908" s="22">
        <f>COUNTIFS('Safety Awards'!$D$4:$D$100003,mCrit,'Safety Awards'!$F$4:$F$100003,"Engineering")</f>
        <v>0</v>
      </c>
    </row>
    <row r="909" spans="2:34">
      <c r="B909" s="23" t="s">
        <v>53</v>
      </c>
      <c r="C909" s="22">
        <f>COUNTIFS('Safety Awards'!$D$4:$D$100003,"Apr",'Safety Awards'!$F$4:$F$100003,dCrit)</f>
        <v>0</v>
      </c>
      <c r="E909" s="13" t="s">
        <v>1030</v>
      </c>
      <c r="F909" s="22">
        <f>COUNTIFS('Safety Awards'!$E$4:$E$100003,"HSE Champion",'Safety Awards'!$D$4:$D$100003,mCrit,'Safety Awards'!$F$4:$F$100003,dCrit)</f>
        <v>0</v>
      </c>
      <c r="G909" s="13" t="s">
        <v>1019</v>
      </c>
      <c r="H909" s="22">
        <f>COUNTIFS('Safety Awards'!$H$4:$H$100003,"Gift Voucher",'Safety Awards'!$D$4:$D$100003,mCrit,'Safety Awards'!$F$4:$F$100003,dCrit)</f>
        <v>0</v>
      </c>
      <c r="M909" s="13" t="s">
        <v>1032</v>
      </c>
      <c r="N909" s="22">
        <f>COUNTIFS('Safety Awards'!$J$4:$J$100003,"Nominated",'Safety Awards'!$D$4:$D$100003,mCrit,'Safety Awards'!$F$4:$F$100003,dCrit)</f>
        <v>0</v>
      </c>
      <c r="P909" s="13" t="s">
        <v>89</v>
      </c>
      <c r="Q909" s="22">
        <f>COUNTIFS('Safety Awards'!$D$4:$D$100003,mCrit,'Safety Awards'!$F$4:$F$100003,"Construction")</f>
        <v>0</v>
      </c>
      <c r="R909" s="25">
        <f>IFERROR((COUNTIFS('Safety Awards'!$J$4:$J$100003,"Presented",'Safety Awards'!$D$4:$D$100003,mCrit,'Safety Awards'!$F$4:$F$100003,"Construction"))/COUNTIFS('Safety Awards'!$D$4:$D$100003,mCrit,'Safety Awards'!$F$4:$F$100003,"Construction")*100,0)</f>
        <v>0</v>
      </c>
      <c r="S909" s="22">
        <f>COUNTIFS('Safety Awards'!$D$4:$D$100003,mCrit,'Safety Awards'!$F$4:$F$100003,"Construction")</f>
        <v>0</v>
      </c>
    </row>
    <row r="910" spans="2:34">
      <c r="B910" s="23" t="s">
        <v>60</v>
      </c>
      <c r="C910" s="22">
        <f>COUNTIFS('Safety Awards'!$D$4:$D$100003,"May",'Safety Awards'!$F$4:$F$100003,dCrit)</f>
        <v>0</v>
      </c>
      <c r="E910" s="13" t="s">
        <v>1021</v>
      </c>
      <c r="F910" s="22">
        <f>COUNTIFS('Safety Awards'!$E$4:$E$100003,"Safety Innovation",'Safety Awards'!$D$4:$D$100003,mCrit,'Safety Awards'!$F$4:$F$100003,dCrit)</f>
        <v>0</v>
      </c>
      <c r="G910" s="13" t="s">
        <v>1016</v>
      </c>
      <c r="H910" s="22">
        <f>COUNTIFS('Safety Awards'!$H$4:$H$100003,"Recognition Letter",'Safety Awards'!$D$4:$D$100003,mCrit,'Safety Awards'!$F$4:$F$100003,dCrit)</f>
        <v>0</v>
      </c>
      <c r="M910" s="13" t="s">
        <v>2077</v>
      </c>
      <c r="N910" s="22">
        <f>COUNTIFS('Safety Awards'!$H$4:$H$100003,"Certificate",'Safety Awards'!$D$4:$D$100003,mCrit,'Safety Awards'!$F$4:$F$100003,dCrit)</f>
        <v>0</v>
      </c>
      <c r="P910" s="13" t="s">
        <v>65</v>
      </c>
      <c r="Q910" s="22">
        <f>COUNTIFS('Safety Awards'!$D$4:$D$100003,mCrit,'Safety Awards'!$F$4:$F$100003,"Safety")</f>
        <v>0</v>
      </c>
      <c r="R910" s="25">
        <f>IFERROR((COUNTIFS('Safety Awards'!$J$4:$J$100003,"Presented",'Safety Awards'!$D$4:$D$100003,mCrit,'Safety Awards'!$F$4:$F$100003,"Safety"))/COUNTIFS('Safety Awards'!$D$4:$D$100003,mCrit,'Safety Awards'!$F$4:$F$100003,"Safety")*100,0)</f>
        <v>0</v>
      </c>
      <c r="S910" s="22">
        <f>COUNTIFS('Safety Awards'!$D$4:$D$100003,mCrit,'Safety Awards'!$F$4:$F$100003,"Safety")</f>
        <v>0</v>
      </c>
    </row>
    <row r="911" spans="2:34">
      <c r="B911" s="23" t="s">
        <v>73</v>
      </c>
      <c r="C911" s="22">
        <f>COUNTIFS('Safety Awards'!$D$4:$D$100003,"Jun",'Safety Awards'!$F$4:$F$100003,dCrit)</f>
        <v>0</v>
      </c>
      <c r="E911" s="13" t="s">
        <v>1023</v>
      </c>
      <c r="F911" s="22">
        <f>COUNTIFS('Safety Awards'!$E$4:$E$100003,"Best Department",'Safety Awards'!$D$4:$D$100003,mCrit,'Safety Awards'!$F$4:$F$100003,dCrit)</f>
        <v>0</v>
      </c>
      <c r="M911" s="13" t="s">
        <v>1013</v>
      </c>
      <c r="N911" s="22">
        <f>COUNTIFS('Safety Awards'!$H$4:$H$100003,"Cash Bonus",'Safety Awards'!$D$4:$D$100003,mCrit,'Safety Awards'!$F$4:$F$100003,dCrit)</f>
        <v>0</v>
      </c>
      <c r="P911" s="13" t="s">
        <v>5</v>
      </c>
      <c r="Q911" s="22">
        <f>COUNTIFS('Safety Awards'!$D$4:$D$100003,mCrit,'Safety Awards'!$F$4:$F$100003,"Logistics")</f>
        <v>0</v>
      </c>
      <c r="R911" s="25">
        <f>IFERROR((COUNTIFS('Safety Awards'!$J$4:$J$100003,"Presented",'Safety Awards'!$D$4:$D$100003,mCrit,'Safety Awards'!$F$4:$F$100003,"Logistics"))/COUNTIFS('Safety Awards'!$D$4:$D$100003,mCrit,'Safety Awards'!$F$4:$F$100003,"Logistics")*100,0)</f>
        <v>0</v>
      </c>
      <c r="S911" s="22">
        <f>COUNTIFS('Safety Awards'!$D$4:$D$100003,mCrit,'Safety Awards'!$F$4:$F$100003,"Logistics")</f>
        <v>0</v>
      </c>
    </row>
    <row r="912" spans="2:34">
      <c r="B912" s="23" t="s">
        <v>76</v>
      </c>
      <c r="C912" s="22">
        <f>COUNTIFS('Safety Awards'!$D$4:$D$100003,"Jul",'Safety Awards'!$F$4:$F$100003,dCrit)</f>
        <v>0</v>
      </c>
      <c r="M912" s="13" t="s">
        <v>2119</v>
      </c>
      <c r="N912" s="22">
        <f>COUNTIFS('Safety Awards'!$H$4:$H$100003,"Trophy",'Safety Awards'!$D$4:$D$100003,mCrit,'Safety Awards'!$F$4:$F$100003,dCrit)</f>
        <v>0</v>
      </c>
      <c r="P912" s="13" t="s">
        <v>50</v>
      </c>
      <c r="Q912" s="22">
        <f>COUNTIFS('Safety Awards'!$D$4:$D$100003,mCrit,'Safety Awards'!$F$4:$F$100003,"Quality")</f>
        <v>0</v>
      </c>
      <c r="R912" s="25">
        <f>IFERROR((COUNTIFS('Safety Awards'!$J$4:$J$100003,"Presented",'Safety Awards'!$D$4:$D$100003,mCrit,'Safety Awards'!$F$4:$F$100003,"Quality"))/COUNTIFS('Safety Awards'!$D$4:$D$100003,mCrit,'Safety Awards'!$F$4:$F$100003,"Quality")*100,0)</f>
        <v>0</v>
      </c>
      <c r="S912" s="22">
        <f>COUNTIFS('Safety Awards'!$D$4:$D$100003,mCrit,'Safety Awards'!$F$4:$F$100003,"Quality")</f>
        <v>0</v>
      </c>
    </row>
    <row r="913" spans="2:19">
      <c r="B913" s="23" t="s">
        <v>86</v>
      </c>
      <c r="C913" s="22">
        <f>COUNTIFS('Safety Awards'!$D$4:$D$100003,"Aug",'Safety Awards'!$F$4:$F$100003,dCrit)</f>
        <v>0</v>
      </c>
      <c r="M913" s="13" t="s">
        <v>2120</v>
      </c>
      <c r="N913" s="22">
        <f>COUNTIFS('Safety Awards'!$H$4:$H$100003,"Gift Voucher",'Safety Awards'!$D$4:$D$100003,mCrit,'Safety Awards'!$F$4:$F$100003,dCrit)</f>
        <v>0</v>
      </c>
      <c r="P913" s="13" t="s">
        <v>46</v>
      </c>
      <c r="Q913" s="22">
        <f>COUNTIFS('Safety Awards'!$D$4:$D$100003,mCrit,'Safety Awards'!$F$4:$F$100003,"Admin")</f>
        <v>0</v>
      </c>
      <c r="R913" s="25">
        <f>IFERROR((COUNTIFS('Safety Awards'!$J$4:$J$100003,"Presented",'Safety Awards'!$D$4:$D$100003,mCrit,'Safety Awards'!$F$4:$F$100003,"Admin"))/COUNTIFS('Safety Awards'!$D$4:$D$100003,mCrit,'Safety Awards'!$F$4:$F$100003,"Admin")*100,0)</f>
        <v>0</v>
      </c>
      <c r="S913" s="22">
        <f>COUNTIFS('Safety Awards'!$D$4:$D$100003,mCrit,'Safety Awards'!$F$4:$F$100003,"Admin")</f>
        <v>0</v>
      </c>
    </row>
    <row r="914" spans="2:19">
      <c r="B914" s="23" t="s">
        <v>102</v>
      </c>
      <c r="C914" s="22">
        <f>COUNTIFS('Safety Awards'!$D$4:$D$100003,"Sep",'Safety Awards'!$F$4:$F$100003,dCrit)</f>
        <v>0</v>
      </c>
      <c r="P914" s="13" t="s">
        <v>13</v>
      </c>
      <c r="Q914" s="22">
        <f>COUNTIFS('Safety Awards'!$D$4:$D$100003,mCrit,'Safety Awards'!$F$4:$F$100003,"Projects")</f>
        <v>0</v>
      </c>
      <c r="R914" s="25">
        <f>IFERROR((COUNTIFS('Safety Awards'!$J$4:$J$100003,"Presented",'Safety Awards'!$D$4:$D$100003,mCrit,'Safety Awards'!$F$4:$F$100003,"Projects"))/COUNTIFS('Safety Awards'!$D$4:$D$100003,mCrit,'Safety Awards'!$F$4:$F$100003,"Projects")*100,0)</f>
        <v>0</v>
      </c>
      <c r="S914" s="22">
        <f>COUNTIFS('Safety Awards'!$D$4:$D$100003,mCrit,'Safety Awards'!$F$4:$F$100003,"Projects")</f>
        <v>0</v>
      </c>
    </row>
    <row r="915" spans="2:19">
      <c r="B915" s="23" t="s">
        <v>106</v>
      </c>
      <c r="C915" s="22">
        <f>COUNTIFS('Safety Awards'!$D$4:$D$100003,"Oct",'Safety Awards'!$F$4:$F$100003,dCrit)</f>
        <v>0</v>
      </c>
      <c r="P915" s="13" t="s">
        <v>58</v>
      </c>
      <c r="Q915" s="22">
        <f>COUNTIFS('Safety Awards'!$D$4:$D$100003,mCrit,'Safety Awards'!$F$4:$F$100003,"Contractor")</f>
        <v>0</v>
      </c>
      <c r="R915" s="25">
        <f>IFERROR((COUNTIFS('Safety Awards'!$J$4:$J$100003,"Presented",'Safety Awards'!$D$4:$D$100003,mCrit,'Safety Awards'!$F$4:$F$100003,"Contractor"))/COUNTIFS('Safety Awards'!$D$4:$D$100003,mCrit,'Safety Awards'!$F$4:$F$100003,"Contractor")*100,0)</f>
        <v>0</v>
      </c>
      <c r="S915" s="22">
        <f>COUNTIFS('Safety Awards'!$D$4:$D$100003,mCrit,'Safety Awards'!$F$4:$F$100003,"Contractor")</f>
        <v>0</v>
      </c>
    </row>
    <row r="916" spans="2:19">
      <c r="B916" s="23" t="s">
        <v>111</v>
      </c>
      <c r="C916" s="22">
        <f>COUNTIFS('Safety Awards'!$D$4:$D$100003,"Nov",'Safety Awards'!$F$4:$F$100003,dCrit)</f>
        <v>0</v>
      </c>
    </row>
    <row r="917" spans="2:19">
      <c r="B917" s="23" t="s">
        <v>122</v>
      </c>
      <c r="C917" s="22">
        <f>COUNTIFS('Safety Awards'!$D$4:$D$100003,"Dec",'Safety Awards'!$F$4:$F$100003,dCrit)</f>
        <v>0</v>
      </c>
    </row>
    <row r="930" spans="2:34">
      <c r="B930" s="17" t="s">
        <v>2121</v>
      </c>
    </row>
    <row r="931" spans="2:34">
      <c r="B931" s="12" t="s">
        <v>127</v>
      </c>
      <c r="C931" s="12" t="s">
        <v>1965</v>
      </c>
      <c r="E931" s="12" t="s">
        <v>1134</v>
      </c>
      <c r="F931" s="12" t="s">
        <v>1965</v>
      </c>
      <c r="G931" s="12" t="s">
        <v>1135</v>
      </c>
      <c r="H931" s="12" t="s">
        <v>1965</v>
      </c>
      <c r="M931" s="12" t="s">
        <v>1927</v>
      </c>
      <c r="N931" s="12" t="s">
        <v>2039</v>
      </c>
      <c r="P931" s="12" t="s">
        <v>129</v>
      </c>
      <c r="Q931" s="12" t="s">
        <v>1965</v>
      </c>
      <c r="R931" s="12" t="s">
        <v>1770</v>
      </c>
      <c r="S931" s="12" t="s">
        <v>1770</v>
      </c>
      <c r="U931" s="12" t="s">
        <v>2038</v>
      </c>
      <c r="V931" s="12" t="s">
        <v>3</v>
      </c>
      <c r="W931" s="12" t="s">
        <v>19</v>
      </c>
      <c r="X931" s="12" t="s">
        <v>44</v>
      </c>
      <c r="Y931" s="12" t="s">
        <v>53</v>
      </c>
      <c r="Z931" s="12" t="s">
        <v>60</v>
      </c>
      <c r="AA931" s="12" t="s">
        <v>73</v>
      </c>
      <c r="AB931" s="12" t="s">
        <v>76</v>
      </c>
      <c r="AC931" s="12" t="s">
        <v>86</v>
      </c>
      <c r="AD931" s="12" t="s">
        <v>102</v>
      </c>
      <c r="AE931" s="12" t="s">
        <v>106</v>
      </c>
      <c r="AF931" s="12" t="s">
        <v>111</v>
      </c>
      <c r="AG931" s="12" t="s">
        <v>122</v>
      </c>
      <c r="AH931" s="12" t="s">
        <v>2063</v>
      </c>
    </row>
    <row r="932" spans="2:34">
      <c r="B932" s="23" t="s">
        <v>3</v>
      </c>
      <c r="C932" s="22">
        <f>COUNTIFS('Stop Work Authority'!$D$4:$D$100003,"Jan",'Stop Work Authority'!$F$4:$F$100003,dCrit)</f>
        <v>0</v>
      </c>
      <c r="E932" s="13" t="s">
        <v>151</v>
      </c>
      <c r="F932" s="22">
        <f>COUNTIFS('Stop Work Authority'!$K$4:$K$100003,"Critical",'Stop Work Authority'!$D$4:$D$100003,mCrit,'Stop Work Authority'!$F$4:$F$100003,dCrit)</f>
        <v>0</v>
      </c>
      <c r="G932" s="13" t="s">
        <v>1079</v>
      </c>
      <c r="H932" s="22">
        <f>COUNTIFS('Stop Work Authority'!$L$4:$L$100003,"Resolved",'Stop Work Authority'!$D$4:$D$100003,mCrit,'Stop Work Authority'!$F$4:$F$100003,dCrit)</f>
        <v>0</v>
      </c>
      <c r="M932" s="13" t="s">
        <v>2122</v>
      </c>
      <c r="N932" s="22">
        <f>COUNTIFS('Stop Work Authority'!$D$4:$D$100003,mCrit,'Stop Work Authority'!$F$4:$F$100003,dCrit)</f>
        <v>0</v>
      </c>
      <c r="P932" s="13" t="s">
        <v>27</v>
      </c>
      <c r="Q932" s="22">
        <f>COUNTIFS('Stop Work Authority'!$D$4:$D$100003,mCrit,'Stop Work Authority'!$F$4:$F$100003,"Operations")</f>
        <v>0</v>
      </c>
      <c r="R932" s="22">
        <f>COUNTIFS('Stop Work Authority'!$D$4:$D$100003,mCrit,'Stop Work Authority'!$F$4:$F$100003,"Operations")</f>
        <v>0</v>
      </c>
      <c r="S932" s="22">
        <f>COUNTIFS('Stop Work Authority'!$D$4:$D$100003,mCrit,'Stop Work Authority'!$F$4:$F$100003,"Operations")</f>
        <v>0</v>
      </c>
      <c r="U932" s="13" t="s">
        <v>1770</v>
      </c>
      <c r="V932" s="22">
        <f>COUNTIFS('Stop Work Authority'!$D$4:$D$100003,"Jan",'Stop Work Authority'!$F$4:$F$100003,dCrit)</f>
        <v>0</v>
      </c>
      <c r="W932" s="22">
        <f>COUNTIFS('Stop Work Authority'!$D$4:$D$100003,"Feb",'Stop Work Authority'!$F$4:$F$100003,dCrit)</f>
        <v>0</v>
      </c>
      <c r="X932" s="22">
        <f>COUNTIFS('Stop Work Authority'!$D$4:$D$100003,"Mar",'Stop Work Authority'!$F$4:$F$100003,dCrit)</f>
        <v>0</v>
      </c>
      <c r="Y932" s="22">
        <f>COUNTIFS('Stop Work Authority'!$D$4:$D$100003,"Apr",'Stop Work Authority'!$F$4:$F$100003,dCrit)</f>
        <v>0</v>
      </c>
      <c r="Z932" s="22">
        <f>COUNTIFS('Stop Work Authority'!$D$4:$D$100003,"May",'Stop Work Authority'!$F$4:$F$100003,dCrit)</f>
        <v>0</v>
      </c>
      <c r="AA932" s="22">
        <f>COUNTIFS('Stop Work Authority'!$D$4:$D$100003,"Jun",'Stop Work Authority'!$F$4:$F$100003,dCrit)</f>
        <v>0</v>
      </c>
      <c r="AB932" s="22">
        <f>COUNTIFS('Stop Work Authority'!$D$4:$D$100003,"Jul",'Stop Work Authority'!$F$4:$F$100003,dCrit)</f>
        <v>0</v>
      </c>
      <c r="AC932" s="22">
        <f>COUNTIFS('Stop Work Authority'!$D$4:$D$100003,"Aug",'Stop Work Authority'!$F$4:$F$100003,dCrit)</f>
        <v>0</v>
      </c>
      <c r="AD932" s="22">
        <f>COUNTIFS('Stop Work Authority'!$D$4:$D$100003,"Sep",'Stop Work Authority'!$F$4:$F$100003,dCrit)</f>
        <v>0</v>
      </c>
      <c r="AE932" s="22">
        <f>COUNTIFS('Stop Work Authority'!$D$4:$D$100003,"Oct",'Stop Work Authority'!$F$4:$F$100003,dCrit)</f>
        <v>0</v>
      </c>
      <c r="AF932" s="22">
        <f>COUNTIFS('Stop Work Authority'!$D$4:$D$100003,"Nov",'Stop Work Authority'!$F$4:$F$100003,dCrit)</f>
        <v>0</v>
      </c>
      <c r="AG932" s="22">
        <f>COUNTIFS('Stop Work Authority'!$D$4:$D$100003,"Dec",'Stop Work Authority'!$F$4:$F$100003,dCrit)</f>
        <v>0</v>
      </c>
      <c r="AH932" s="22">
        <f>SUM(V932:AG932)</f>
        <v>0</v>
      </c>
    </row>
    <row r="933" spans="2:34">
      <c r="B933" s="23" t="s">
        <v>19</v>
      </c>
      <c r="C933" s="22">
        <f>COUNTIFS('Stop Work Authority'!$D$4:$D$100003,"Feb",'Stop Work Authority'!$F$4:$F$100003,dCrit)</f>
        <v>0</v>
      </c>
      <c r="E933" s="13" t="s">
        <v>164</v>
      </c>
      <c r="F933" s="22">
        <f>COUNTIFS('Stop Work Authority'!$K$4:$K$100003,"High",'Stop Work Authority'!$D$4:$D$100003,mCrit,'Stop Work Authority'!$F$4:$F$100003,dCrit)</f>
        <v>0</v>
      </c>
      <c r="G933" s="13" t="s">
        <v>1088</v>
      </c>
      <c r="H933" s="22">
        <f>COUNTIFS('Stop Work Authority'!$L$4:$L$100003,"Under Investigation",'Stop Work Authority'!$D$4:$D$100003,mCrit,'Stop Work Authority'!$F$4:$F$100003,dCrit)</f>
        <v>0</v>
      </c>
      <c r="M933" s="13" t="s">
        <v>1079</v>
      </c>
      <c r="N933" s="22">
        <f>COUNTIFS('Stop Work Authority'!$L$4:$L$100003,"Resolved",'Stop Work Authority'!$D$4:$D$100003,mCrit,'Stop Work Authority'!$F$4:$F$100003,dCrit)</f>
        <v>0</v>
      </c>
      <c r="P933" s="13" t="s">
        <v>92</v>
      </c>
      <c r="Q933" s="22">
        <f>COUNTIFS('Stop Work Authority'!$D$4:$D$100003,mCrit,'Stop Work Authority'!$F$4:$F$100003,"Maintenance")</f>
        <v>0</v>
      </c>
      <c r="R933" s="22">
        <f>COUNTIFS('Stop Work Authority'!$D$4:$D$100003,mCrit,'Stop Work Authority'!$F$4:$F$100003,"Maintenance")</f>
        <v>0</v>
      </c>
      <c r="S933" s="22">
        <f>COUNTIFS('Stop Work Authority'!$D$4:$D$100003,mCrit,'Stop Work Authority'!$F$4:$F$100003,"Maintenance")</f>
        <v>0</v>
      </c>
    </row>
    <row r="934" spans="2:34">
      <c r="B934" s="23" t="s">
        <v>44</v>
      </c>
      <c r="C934" s="22">
        <f>COUNTIFS('Stop Work Authority'!$D$4:$D$100003,"Mar",'Stop Work Authority'!$F$4:$F$100003,dCrit)</f>
        <v>0</v>
      </c>
      <c r="E934" s="13" t="s">
        <v>147</v>
      </c>
      <c r="F934" s="22">
        <f>COUNTIFS('Stop Work Authority'!$K$4:$K$100003,"Medium",'Stop Work Authority'!$D$4:$D$100003,mCrit,'Stop Work Authority'!$F$4:$F$100003,dCrit)</f>
        <v>0</v>
      </c>
      <c r="G934" s="13" t="s">
        <v>1081</v>
      </c>
      <c r="H934" s="22">
        <f>COUNTIFS('Stop Work Authority'!$L$4:$L$100003,"Permanent Fix Applied",'Stop Work Authority'!$D$4:$D$100003,mCrit,'Stop Work Authority'!$F$4:$F$100003,dCrit)</f>
        <v>0</v>
      </c>
      <c r="M934" s="13" t="s">
        <v>2123</v>
      </c>
      <c r="N934" s="22">
        <f>COUNTIFS('Stop Work Authority'!$L$4:$L$100003,"Under Investigation",'Stop Work Authority'!$D$4:$D$100003,mCrit,'Stop Work Authority'!$F$4:$F$100003,dCrit)</f>
        <v>0</v>
      </c>
      <c r="P934" s="13" t="s">
        <v>39</v>
      </c>
      <c r="Q934" s="22">
        <f>COUNTIFS('Stop Work Authority'!$D$4:$D$100003,mCrit,'Stop Work Authority'!$F$4:$F$100003,"Engineering")</f>
        <v>0</v>
      </c>
      <c r="R934" s="22">
        <f>COUNTIFS('Stop Work Authority'!$D$4:$D$100003,mCrit,'Stop Work Authority'!$F$4:$F$100003,"Engineering")</f>
        <v>0</v>
      </c>
      <c r="S934" s="22">
        <f>COUNTIFS('Stop Work Authority'!$D$4:$D$100003,mCrit,'Stop Work Authority'!$F$4:$F$100003,"Engineering")</f>
        <v>0</v>
      </c>
    </row>
    <row r="935" spans="2:34">
      <c r="B935" s="23" t="s">
        <v>53</v>
      </c>
      <c r="C935" s="22">
        <f>COUNTIFS('Stop Work Authority'!$D$4:$D$100003,"Apr",'Stop Work Authority'!$F$4:$F$100003,dCrit)</f>
        <v>0</v>
      </c>
      <c r="E935" s="13" t="s">
        <v>142</v>
      </c>
      <c r="F935" s="22">
        <f>COUNTIFS('Stop Work Authority'!$K$4:$K$100003,"Low",'Stop Work Authority'!$D$4:$D$100003,mCrit,'Stop Work Authority'!$F$4:$F$100003,dCrit)</f>
        <v>0</v>
      </c>
      <c r="M935" s="13" t="s">
        <v>2124</v>
      </c>
      <c r="N935" s="22">
        <f>COUNTIFS('Stop Work Authority'!$L$4:$L$100003,"Permanent Fix Applied",'Stop Work Authority'!$D$4:$D$100003,mCrit,'Stop Work Authority'!$F$4:$F$100003,dCrit)</f>
        <v>0</v>
      </c>
      <c r="P935" s="13" t="s">
        <v>89</v>
      </c>
      <c r="Q935" s="22">
        <f>COUNTIFS('Stop Work Authority'!$D$4:$D$100003,mCrit,'Stop Work Authority'!$F$4:$F$100003,"Construction")</f>
        <v>0</v>
      </c>
      <c r="R935" s="22">
        <f>COUNTIFS('Stop Work Authority'!$D$4:$D$100003,mCrit,'Stop Work Authority'!$F$4:$F$100003,"Construction")</f>
        <v>0</v>
      </c>
      <c r="S935" s="22">
        <f>COUNTIFS('Stop Work Authority'!$D$4:$D$100003,mCrit,'Stop Work Authority'!$F$4:$F$100003,"Construction")</f>
        <v>0</v>
      </c>
    </row>
    <row r="936" spans="2:34">
      <c r="B936" s="23" t="s">
        <v>60</v>
      </c>
      <c r="C936" s="22">
        <f>COUNTIFS('Stop Work Authority'!$D$4:$D$100003,"May",'Stop Work Authority'!$F$4:$F$100003,dCrit)</f>
        <v>0</v>
      </c>
      <c r="M936" s="13" t="s">
        <v>151</v>
      </c>
      <c r="N936" s="22">
        <f>COUNTIFS('Stop Work Authority'!$K$4:$K$100003,"Critical",'Stop Work Authority'!$D$4:$D$100003,mCrit,'Stop Work Authority'!$F$4:$F$100003,dCrit)</f>
        <v>0</v>
      </c>
      <c r="P936" s="13" t="s">
        <v>65</v>
      </c>
      <c r="Q936" s="22">
        <f>COUNTIFS('Stop Work Authority'!$D$4:$D$100003,mCrit,'Stop Work Authority'!$F$4:$F$100003,"Safety")</f>
        <v>0</v>
      </c>
      <c r="R936" s="22">
        <f>COUNTIFS('Stop Work Authority'!$D$4:$D$100003,mCrit,'Stop Work Authority'!$F$4:$F$100003,"Safety")</f>
        <v>0</v>
      </c>
      <c r="S936" s="22">
        <f>COUNTIFS('Stop Work Authority'!$D$4:$D$100003,mCrit,'Stop Work Authority'!$F$4:$F$100003,"Safety")</f>
        <v>0</v>
      </c>
    </row>
    <row r="937" spans="2:34">
      <c r="B937" s="23" t="s">
        <v>73</v>
      </c>
      <c r="C937" s="22">
        <f>COUNTIFS('Stop Work Authority'!$D$4:$D$100003,"Jun",'Stop Work Authority'!$F$4:$F$100003,dCrit)</f>
        <v>0</v>
      </c>
      <c r="M937" s="13" t="s">
        <v>164</v>
      </c>
      <c r="N937" s="22">
        <f>COUNTIFS('Stop Work Authority'!$K$4:$K$100003,"High",'Stop Work Authority'!$D$4:$D$100003,mCrit,'Stop Work Authority'!$F$4:$F$100003,dCrit)</f>
        <v>0</v>
      </c>
      <c r="P937" s="13" t="s">
        <v>5</v>
      </c>
      <c r="Q937" s="22">
        <f>COUNTIFS('Stop Work Authority'!$D$4:$D$100003,mCrit,'Stop Work Authority'!$F$4:$F$100003,"Logistics")</f>
        <v>0</v>
      </c>
      <c r="R937" s="22">
        <f>COUNTIFS('Stop Work Authority'!$D$4:$D$100003,mCrit,'Stop Work Authority'!$F$4:$F$100003,"Logistics")</f>
        <v>0</v>
      </c>
      <c r="S937" s="22">
        <f>COUNTIFS('Stop Work Authority'!$D$4:$D$100003,mCrit,'Stop Work Authority'!$F$4:$F$100003,"Logistics")</f>
        <v>0</v>
      </c>
    </row>
    <row r="938" spans="2:34">
      <c r="B938" s="23" t="s">
        <v>76</v>
      </c>
      <c r="C938" s="22">
        <f>COUNTIFS('Stop Work Authority'!$D$4:$D$100003,"Jul",'Stop Work Authority'!$F$4:$F$100003,dCrit)</f>
        <v>0</v>
      </c>
      <c r="M938" s="13" t="s">
        <v>2125</v>
      </c>
      <c r="N938" s="22">
        <f>SUMIFS('Stop Work Authority'!$J$4:$J$100003,'Stop Work Authority'!$D$4:$D$100003,mCrit,'Stop Work Authority'!$F$4:$F$100003,dCrit)</f>
        <v>0</v>
      </c>
      <c r="P938" s="13" t="s">
        <v>50</v>
      </c>
      <c r="Q938" s="22">
        <f>COUNTIFS('Stop Work Authority'!$D$4:$D$100003,mCrit,'Stop Work Authority'!$F$4:$F$100003,"Quality")</f>
        <v>0</v>
      </c>
      <c r="R938" s="22">
        <f>COUNTIFS('Stop Work Authority'!$D$4:$D$100003,mCrit,'Stop Work Authority'!$F$4:$F$100003,"Quality")</f>
        <v>0</v>
      </c>
      <c r="S938" s="22">
        <f>COUNTIFS('Stop Work Authority'!$D$4:$D$100003,mCrit,'Stop Work Authority'!$F$4:$F$100003,"Quality")</f>
        <v>0</v>
      </c>
    </row>
    <row r="939" spans="2:34">
      <c r="B939" s="23" t="s">
        <v>86</v>
      </c>
      <c r="C939" s="22">
        <f>COUNTIFS('Stop Work Authority'!$D$4:$D$100003,"Aug",'Stop Work Authority'!$F$4:$F$100003,dCrit)</f>
        <v>0</v>
      </c>
      <c r="M939" s="13" t="s">
        <v>2126</v>
      </c>
      <c r="N939" s="22">
        <f>COUNTIFS('Stop Work Authority'!$M$4:$M$100003,"Yes",'Stop Work Authority'!$D$4:$D$100003,mCrit,'Stop Work Authority'!$F$4:$F$100003,dCrit)</f>
        <v>0</v>
      </c>
      <c r="P939" s="13" t="s">
        <v>46</v>
      </c>
      <c r="Q939" s="22">
        <f>COUNTIFS('Stop Work Authority'!$D$4:$D$100003,mCrit,'Stop Work Authority'!$F$4:$F$100003,"Admin")</f>
        <v>0</v>
      </c>
      <c r="R939" s="22">
        <f>COUNTIFS('Stop Work Authority'!$D$4:$D$100003,mCrit,'Stop Work Authority'!$F$4:$F$100003,"Admin")</f>
        <v>0</v>
      </c>
      <c r="S939" s="22">
        <f>COUNTIFS('Stop Work Authority'!$D$4:$D$100003,mCrit,'Stop Work Authority'!$F$4:$F$100003,"Admin")</f>
        <v>0</v>
      </c>
    </row>
    <row r="940" spans="2:34">
      <c r="B940" s="23" t="s">
        <v>102</v>
      </c>
      <c r="C940" s="22">
        <f>COUNTIFS('Stop Work Authority'!$D$4:$D$100003,"Sep",'Stop Work Authority'!$F$4:$F$100003,dCrit)</f>
        <v>0</v>
      </c>
      <c r="P940" s="13" t="s">
        <v>13</v>
      </c>
      <c r="Q940" s="22">
        <f>COUNTIFS('Stop Work Authority'!$D$4:$D$100003,mCrit,'Stop Work Authority'!$F$4:$F$100003,"Projects")</f>
        <v>0</v>
      </c>
      <c r="R940" s="22">
        <f>COUNTIFS('Stop Work Authority'!$D$4:$D$100003,mCrit,'Stop Work Authority'!$F$4:$F$100003,"Projects")</f>
        <v>0</v>
      </c>
      <c r="S940" s="22">
        <f>COUNTIFS('Stop Work Authority'!$D$4:$D$100003,mCrit,'Stop Work Authority'!$F$4:$F$100003,"Projects")</f>
        <v>0</v>
      </c>
    </row>
    <row r="941" spans="2:34">
      <c r="B941" s="23" t="s">
        <v>106</v>
      </c>
      <c r="C941" s="22">
        <f>COUNTIFS('Stop Work Authority'!$D$4:$D$100003,"Oct",'Stop Work Authority'!$F$4:$F$100003,dCrit)</f>
        <v>0</v>
      </c>
      <c r="P941" s="13" t="s">
        <v>58</v>
      </c>
      <c r="Q941" s="22">
        <f>COUNTIFS('Stop Work Authority'!$D$4:$D$100003,mCrit,'Stop Work Authority'!$F$4:$F$100003,"Contractor")</f>
        <v>0</v>
      </c>
      <c r="R941" s="22">
        <f>COUNTIFS('Stop Work Authority'!$D$4:$D$100003,mCrit,'Stop Work Authority'!$F$4:$F$100003,"Contractor")</f>
        <v>0</v>
      </c>
      <c r="S941" s="22">
        <f>COUNTIFS('Stop Work Authority'!$D$4:$D$100003,mCrit,'Stop Work Authority'!$F$4:$F$100003,"Contractor")</f>
        <v>0</v>
      </c>
    </row>
    <row r="942" spans="2:34">
      <c r="B942" s="23" t="s">
        <v>111</v>
      </c>
      <c r="C942" s="22">
        <f>COUNTIFS('Stop Work Authority'!$D$4:$D$100003,"Nov",'Stop Work Authority'!$F$4:$F$100003,dCrit)</f>
        <v>0</v>
      </c>
    </row>
    <row r="943" spans="2:34">
      <c r="B943" s="23" t="s">
        <v>122</v>
      </c>
      <c r="C943" s="22">
        <f>COUNTIFS('Stop Work Authority'!$D$4:$D$100003,"Dec",'Stop Work Authority'!$F$4:$F$100003,dCrit)</f>
        <v>0</v>
      </c>
    </row>
    <row r="956" spans="2:34">
      <c r="B956" s="17" t="s">
        <v>2127</v>
      </c>
    </row>
    <row r="957" spans="2:34">
      <c r="B957" s="12" t="s">
        <v>127</v>
      </c>
      <c r="C957" s="12" t="s">
        <v>1965</v>
      </c>
      <c r="E957" s="12" t="s">
        <v>1195</v>
      </c>
      <c r="F957" s="12" t="s">
        <v>1965</v>
      </c>
      <c r="G957" s="12" t="s">
        <v>1196</v>
      </c>
      <c r="H957" s="12" t="s">
        <v>1965</v>
      </c>
      <c r="J957" s="12" t="s">
        <v>288</v>
      </c>
      <c r="K957" s="12" t="s">
        <v>1965</v>
      </c>
      <c r="M957" s="12" t="s">
        <v>1927</v>
      </c>
      <c r="N957" s="12" t="s">
        <v>2039</v>
      </c>
      <c r="P957" s="12" t="s">
        <v>129</v>
      </c>
      <c r="Q957" s="12" t="s">
        <v>1965</v>
      </c>
      <c r="R957" s="12" t="s">
        <v>2071</v>
      </c>
      <c r="S957" s="12" t="s">
        <v>1770</v>
      </c>
      <c r="U957" s="12" t="s">
        <v>2038</v>
      </c>
      <c r="V957" s="12" t="s">
        <v>3</v>
      </c>
      <c r="W957" s="12" t="s">
        <v>19</v>
      </c>
      <c r="X957" s="12" t="s">
        <v>44</v>
      </c>
      <c r="Y957" s="12" t="s">
        <v>53</v>
      </c>
      <c r="Z957" s="12" t="s">
        <v>60</v>
      </c>
      <c r="AA957" s="12" t="s">
        <v>73</v>
      </c>
      <c r="AB957" s="12" t="s">
        <v>76</v>
      </c>
      <c r="AC957" s="12" t="s">
        <v>86</v>
      </c>
      <c r="AD957" s="12" t="s">
        <v>102</v>
      </c>
      <c r="AE957" s="12" t="s">
        <v>106</v>
      </c>
      <c r="AF957" s="12" t="s">
        <v>111</v>
      </c>
      <c r="AG957" s="12" t="s">
        <v>122</v>
      </c>
      <c r="AH957" s="12" t="s">
        <v>2063</v>
      </c>
    </row>
    <row r="958" spans="2:34">
      <c r="B958" s="23" t="s">
        <v>3</v>
      </c>
      <c r="C958" s="22">
        <f>COUNTIFS('Alcohol Tests'!$D$4:$D$100003,"Jan",'Alcohol Tests'!$E$4:$E$100003,dCrit)</f>
        <v>0</v>
      </c>
      <c r="E958" s="13" t="s">
        <v>1142</v>
      </c>
      <c r="F958" s="22">
        <f>COUNTIFS('Alcohol Tests'!$G$4:$G$100003,"Pre-Shift",'Alcohol Tests'!$D$4:$D$100003,mCrit,'Alcohol Tests'!$E$4:$E$100003,dCrit)</f>
        <v>0</v>
      </c>
      <c r="G958" s="13" t="s">
        <v>1140</v>
      </c>
      <c r="H958" s="22">
        <f>COUNTIFS('Alcohol Tests'!$H$4:$H$100003,"Negative",'Alcohol Tests'!$D$4:$D$100003,mCrit,'Alcohol Tests'!$E$4:$E$100003,dCrit)</f>
        <v>0</v>
      </c>
      <c r="J958" s="13" t="s">
        <v>582</v>
      </c>
      <c r="K958" s="22">
        <f>COUNTIFS('Alcohol Tests'!$J$4:$J$100003,"Closed",'Alcohol Tests'!$D$4:$D$100003,mCrit,'Alcohol Tests'!$E$4:$E$100003,dCrit)</f>
        <v>0</v>
      </c>
      <c r="M958" s="13" t="s">
        <v>2128</v>
      </c>
      <c r="N958" s="22">
        <f>COUNTIFS('Alcohol Tests'!$D$4:$D$100003,mCrit,'Alcohol Tests'!$E$4:$E$100003,dCrit)</f>
        <v>0</v>
      </c>
      <c r="P958" s="13" t="s">
        <v>27</v>
      </c>
      <c r="Q958" s="22">
        <f>COUNTIFS('Alcohol Tests'!$D$4:$D$100003,mCrit,'Alcohol Tests'!$E$4:$E$100003,"Operations")</f>
        <v>0</v>
      </c>
      <c r="R958" s="25">
        <f>IFERROR((COUNTIFS('Alcohol Tests'!$J$4:$J$100003,"Closed",'Alcohol Tests'!$D$4:$D$100003,mCrit,'Alcohol Tests'!$E$4:$E$100003,"Operations"))/COUNTIFS('Alcohol Tests'!$D$4:$D$100003,mCrit,'Alcohol Tests'!$E$4:$E$100003,"Operations")*100,0)</f>
        <v>0</v>
      </c>
      <c r="S958" s="22">
        <f>COUNTIFS('Alcohol Tests'!$D$4:$D$100003,mCrit,'Alcohol Tests'!$E$4:$E$100003,"Operations")</f>
        <v>0</v>
      </c>
      <c r="U958" s="13" t="s">
        <v>1770</v>
      </c>
      <c r="V958" s="22">
        <f>COUNTIFS('Alcohol Tests'!$D$4:$D$100003,"Jan",'Alcohol Tests'!$E$4:$E$100003,dCrit)</f>
        <v>0</v>
      </c>
      <c r="W958" s="22">
        <f>COUNTIFS('Alcohol Tests'!$D$4:$D$100003,"Feb",'Alcohol Tests'!$E$4:$E$100003,dCrit)</f>
        <v>0</v>
      </c>
      <c r="X958" s="22">
        <f>COUNTIFS('Alcohol Tests'!$D$4:$D$100003,"Mar",'Alcohol Tests'!$E$4:$E$100003,dCrit)</f>
        <v>0</v>
      </c>
      <c r="Y958" s="22">
        <f>COUNTIFS('Alcohol Tests'!$D$4:$D$100003,"Apr",'Alcohol Tests'!$E$4:$E$100003,dCrit)</f>
        <v>0</v>
      </c>
      <c r="Z958" s="22">
        <f>COUNTIFS('Alcohol Tests'!$D$4:$D$100003,"May",'Alcohol Tests'!$E$4:$E$100003,dCrit)</f>
        <v>0</v>
      </c>
      <c r="AA958" s="22">
        <f>COUNTIFS('Alcohol Tests'!$D$4:$D$100003,"Jun",'Alcohol Tests'!$E$4:$E$100003,dCrit)</f>
        <v>0</v>
      </c>
      <c r="AB958" s="22">
        <f>COUNTIFS('Alcohol Tests'!$D$4:$D$100003,"Jul",'Alcohol Tests'!$E$4:$E$100003,dCrit)</f>
        <v>0</v>
      </c>
      <c r="AC958" s="22">
        <f>COUNTIFS('Alcohol Tests'!$D$4:$D$100003,"Aug",'Alcohol Tests'!$E$4:$E$100003,dCrit)</f>
        <v>0</v>
      </c>
      <c r="AD958" s="22">
        <f>COUNTIFS('Alcohol Tests'!$D$4:$D$100003,"Sep",'Alcohol Tests'!$E$4:$E$100003,dCrit)</f>
        <v>0</v>
      </c>
      <c r="AE958" s="22">
        <f>COUNTIFS('Alcohol Tests'!$D$4:$D$100003,"Oct",'Alcohol Tests'!$E$4:$E$100003,dCrit)</f>
        <v>0</v>
      </c>
      <c r="AF958" s="22">
        <f>COUNTIFS('Alcohol Tests'!$D$4:$D$100003,"Nov",'Alcohol Tests'!$E$4:$E$100003,dCrit)</f>
        <v>0</v>
      </c>
      <c r="AG958" s="22">
        <f>COUNTIFS('Alcohol Tests'!$D$4:$D$100003,"Dec",'Alcohol Tests'!$E$4:$E$100003,dCrit)</f>
        <v>0</v>
      </c>
      <c r="AH958" s="22">
        <f>SUM(V958:AG958)</f>
        <v>0</v>
      </c>
    </row>
    <row r="959" spans="2:34">
      <c r="B959" s="23" t="s">
        <v>19</v>
      </c>
      <c r="C959" s="22">
        <f>COUNTIFS('Alcohol Tests'!$D$4:$D$100003,"Feb",'Alcohol Tests'!$E$4:$E$100003,dCrit)</f>
        <v>0</v>
      </c>
      <c r="E959" s="13" t="s">
        <v>1139</v>
      </c>
      <c r="F959" s="22">
        <f>COUNTIFS('Alcohol Tests'!$G$4:$G$100003,"Random",'Alcohol Tests'!$D$4:$D$100003,mCrit,'Alcohol Tests'!$E$4:$E$100003,dCrit)</f>
        <v>0</v>
      </c>
      <c r="G959" s="13" t="s">
        <v>1143</v>
      </c>
      <c r="H959" s="22">
        <f>COUNTIFS('Alcohol Tests'!$H$4:$H$100003,"Positive",'Alcohol Tests'!$D$4:$D$100003,mCrit,'Alcohol Tests'!$E$4:$E$100003,dCrit)</f>
        <v>0</v>
      </c>
      <c r="J959" s="13" t="s">
        <v>1144</v>
      </c>
      <c r="K959" s="22">
        <f>COUNTIFS('Alcohol Tests'!$J$4:$J$100003,"Open",'Alcohol Tests'!$D$4:$D$100003,mCrit,'Alcohol Tests'!$E$4:$E$100003,dCrit)</f>
        <v>0</v>
      </c>
      <c r="M959" s="13" t="s">
        <v>1140</v>
      </c>
      <c r="N959" s="22">
        <f>COUNTIFS('Alcohol Tests'!$H$4:$H$100003,"Negative",'Alcohol Tests'!$D$4:$D$100003,mCrit,'Alcohol Tests'!$E$4:$E$100003,dCrit)</f>
        <v>0</v>
      </c>
      <c r="P959" s="13" t="s">
        <v>92</v>
      </c>
      <c r="Q959" s="22">
        <f>COUNTIFS('Alcohol Tests'!$D$4:$D$100003,mCrit,'Alcohol Tests'!$E$4:$E$100003,"Maintenance")</f>
        <v>0</v>
      </c>
      <c r="R959" s="25">
        <f>IFERROR((COUNTIFS('Alcohol Tests'!$J$4:$J$100003,"Closed",'Alcohol Tests'!$D$4:$D$100003,mCrit,'Alcohol Tests'!$E$4:$E$100003,"Maintenance"))/COUNTIFS('Alcohol Tests'!$D$4:$D$100003,mCrit,'Alcohol Tests'!$E$4:$E$100003,"Maintenance")*100,0)</f>
        <v>0</v>
      </c>
      <c r="S959" s="22">
        <f>COUNTIFS('Alcohol Tests'!$D$4:$D$100003,mCrit,'Alcohol Tests'!$E$4:$E$100003,"Maintenance")</f>
        <v>0</v>
      </c>
      <c r="U959" s="13" t="s">
        <v>2072</v>
      </c>
      <c r="V959" s="25">
        <f>IFERROR((COUNTIFS('Alcohol Tests'!$J$4:$J$100003,"Closed",'Alcohol Tests'!$D$4:$D$100003,"Jan",'Alcohol Tests'!$E$4:$E$100003,dCrit))/COUNTIFS('Alcohol Tests'!$D$4:$D$100003,"Jan",'Alcohol Tests'!$E$4:$E$100003,dCrit)*100,0)</f>
        <v>0</v>
      </c>
      <c r="W959" s="25">
        <f>IFERROR((COUNTIFS('Alcohol Tests'!$J$4:$J$100003,"Closed",'Alcohol Tests'!$D$4:$D$100003,"Feb",'Alcohol Tests'!$E$4:$E$100003,dCrit))/COUNTIFS('Alcohol Tests'!$D$4:$D$100003,"Feb",'Alcohol Tests'!$E$4:$E$100003,dCrit)*100,0)</f>
        <v>0</v>
      </c>
      <c r="X959" s="25">
        <f>IFERROR((COUNTIFS('Alcohol Tests'!$J$4:$J$100003,"Closed",'Alcohol Tests'!$D$4:$D$100003,"Mar",'Alcohol Tests'!$E$4:$E$100003,dCrit))/COUNTIFS('Alcohol Tests'!$D$4:$D$100003,"Mar",'Alcohol Tests'!$E$4:$E$100003,dCrit)*100,0)</f>
        <v>0</v>
      </c>
      <c r="Y959" s="25">
        <f>IFERROR((COUNTIFS('Alcohol Tests'!$J$4:$J$100003,"Closed",'Alcohol Tests'!$D$4:$D$100003,"Apr",'Alcohol Tests'!$E$4:$E$100003,dCrit))/COUNTIFS('Alcohol Tests'!$D$4:$D$100003,"Apr",'Alcohol Tests'!$E$4:$E$100003,dCrit)*100,0)</f>
        <v>0</v>
      </c>
      <c r="Z959" s="25">
        <f>IFERROR((COUNTIFS('Alcohol Tests'!$J$4:$J$100003,"Closed",'Alcohol Tests'!$D$4:$D$100003,"May",'Alcohol Tests'!$E$4:$E$100003,dCrit))/COUNTIFS('Alcohol Tests'!$D$4:$D$100003,"May",'Alcohol Tests'!$E$4:$E$100003,dCrit)*100,0)</f>
        <v>0</v>
      </c>
      <c r="AA959" s="25">
        <f>IFERROR((COUNTIFS('Alcohol Tests'!$J$4:$J$100003,"Closed",'Alcohol Tests'!$D$4:$D$100003,"Jun",'Alcohol Tests'!$E$4:$E$100003,dCrit))/COUNTIFS('Alcohol Tests'!$D$4:$D$100003,"Jun",'Alcohol Tests'!$E$4:$E$100003,dCrit)*100,0)</f>
        <v>0</v>
      </c>
      <c r="AB959" s="25">
        <f>IFERROR((COUNTIFS('Alcohol Tests'!$J$4:$J$100003,"Closed",'Alcohol Tests'!$D$4:$D$100003,"Jul",'Alcohol Tests'!$E$4:$E$100003,dCrit))/COUNTIFS('Alcohol Tests'!$D$4:$D$100003,"Jul",'Alcohol Tests'!$E$4:$E$100003,dCrit)*100,0)</f>
        <v>0</v>
      </c>
      <c r="AC959" s="25">
        <f>IFERROR((COUNTIFS('Alcohol Tests'!$J$4:$J$100003,"Closed",'Alcohol Tests'!$D$4:$D$100003,"Aug",'Alcohol Tests'!$E$4:$E$100003,dCrit))/COUNTIFS('Alcohol Tests'!$D$4:$D$100003,"Aug",'Alcohol Tests'!$E$4:$E$100003,dCrit)*100,0)</f>
        <v>0</v>
      </c>
      <c r="AD959" s="25">
        <f>IFERROR((COUNTIFS('Alcohol Tests'!$J$4:$J$100003,"Closed",'Alcohol Tests'!$D$4:$D$100003,"Sep",'Alcohol Tests'!$E$4:$E$100003,dCrit))/COUNTIFS('Alcohol Tests'!$D$4:$D$100003,"Sep",'Alcohol Tests'!$E$4:$E$100003,dCrit)*100,0)</f>
        <v>0</v>
      </c>
      <c r="AE959" s="25">
        <f>IFERROR((COUNTIFS('Alcohol Tests'!$J$4:$J$100003,"Closed",'Alcohol Tests'!$D$4:$D$100003,"Oct",'Alcohol Tests'!$E$4:$E$100003,dCrit))/COUNTIFS('Alcohol Tests'!$D$4:$D$100003,"Oct",'Alcohol Tests'!$E$4:$E$100003,dCrit)*100,0)</f>
        <v>0</v>
      </c>
      <c r="AF959" s="25">
        <f>IFERROR((COUNTIFS('Alcohol Tests'!$J$4:$J$100003,"Closed",'Alcohol Tests'!$D$4:$D$100003,"Nov",'Alcohol Tests'!$E$4:$E$100003,dCrit))/COUNTIFS('Alcohol Tests'!$D$4:$D$100003,"Nov",'Alcohol Tests'!$E$4:$E$100003,dCrit)*100,0)</f>
        <v>0</v>
      </c>
      <c r="AG959" s="25">
        <f>IFERROR((COUNTIFS('Alcohol Tests'!$J$4:$J$100003,"Closed",'Alcohol Tests'!$D$4:$D$100003,"Dec",'Alcohol Tests'!$E$4:$E$100003,dCrit))/COUNTIFS('Alcohol Tests'!$D$4:$D$100003,"Dec",'Alcohol Tests'!$E$4:$E$100003,dCrit)*100,0)</f>
        <v>0</v>
      </c>
      <c r="AH959" s="25">
        <f>IFERROR(AVERAGE(V959:AG959),0)</f>
        <v>0</v>
      </c>
    </row>
    <row r="960" spans="2:34">
      <c r="B960" s="23" t="s">
        <v>44</v>
      </c>
      <c r="C960" s="22">
        <f>COUNTIFS('Alcohol Tests'!$D$4:$D$100003,"Mar",'Alcohol Tests'!$E$4:$E$100003,dCrit)</f>
        <v>0</v>
      </c>
      <c r="E960" s="13" t="s">
        <v>1152</v>
      </c>
      <c r="F960" s="22">
        <f>COUNTIFS('Alcohol Tests'!$G$4:$G$100003,"Post-Incident",'Alcohol Tests'!$D$4:$D$100003,mCrit,'Alcohol Tests'!$E$4:$E$100003,dCrit)</f>
        <v>0</v>
      </c>
      <c r="J960" s="13" t="s">
        <v>226</v>
      </c>
      <c r="K960" s="22">
        <f>COUNTIFS('Alcohol Tests'!$J$4:$J$100003,"In Progress",'Alcohol Tests'!$D$4:$D$100003,mCrit,'Alcohol Tests'!$E$4:$E$100003,dCrit)</f>
        <v>0</v>
      </c>
      <c r="M960" s="13" t="s">
        <v>1143</v>
      </c>
      <c r="N960" s="22">
        <f>COUNTIFS('Alcohol Tests'!$H$4:$H$100003,"Positive",'Alcohol Tests'!$D$4:$D$100003,mCrit,'Alcohol Tests'!$E$4:$E$100003,dCrit)</f>
        <v>0</v>
      </c>
      <c r="P960" s="13" t="s">
        <v>39</v>
      </c>
      <c r="Q960" s="22">
        <f>COUNTIFS('Alcohol Tests'!$D$4:$D$100003,mCrit,'Alcohol Tests'!$E$4:$E$100003,"Engineering")</f>
        <v>0</v>
      </c>
      <c r="R960" s="25">
        <f>IFERROR((COUNTIFS('Alcohol Tests'!$J$4:$J$100003,"Closed",'Alcohol Tests'!$D$4:$D$100003,mCrit,'Alcohol Tests'!$E$4:$E$100003,"Engineering"))/COUNTIFS('Alcohol Tests'!$D$4:$D$100003,mCrit,'Alcohol Tests'!$E$4:$E$100003,"Engineering")*100,0)</f>
        <v>0</v>
      </c>
      <c r="S960" s="22">
        <f>COUNTIFS('Alcohol Tests'!$D$4:$D$100003,mCrit,'Alcohol Tests'!$E$4:$E$100003,"Engineering")</f>
        <v>0</v>
      </c>
    </row>
    <row r="961" spans="2:19">
      <c r="B961" s="23" t="s">
        <v>53</v>
      </c>
      <c r="C961" s="22">
        <f>COUNTIFS('Alcohol Tests'!$D$4:$D$100003,"Apr",'Alcohol Tests'!$E$4:$E$100003,dCrit)</f>
        <v>0</v>
      </c>
      <c r="E961" s="13" t="s">
        <v>1147</v>
      </c>
      <c r="F961" s="22">
        <f>COUNTIFS('Alcohol Tests'!$G$4:$G$100003,"Reasonable Suspicion",'Alcohol Tests'!$D$4:$D$100003,mCrit,'Alcohol Tests'!$E$4:$E$100003,dCrit)</f>
        <v>0</v>
      </c>
      <c r="J961" s="13" t="s">
        <v>331</v>
      </c>
      <c r="K961" s="22">
        <f>COUNTIFS('Alcohol Tests'!$J$4:$J$100003,"Overdue",'Alcohol Tests'!$D$4:$D$100003,mCrit,'Alcohol Tests'!$E$4:$E$100003,dCrit)</f>
        <v>0</v>
      </c>
      <c r="M961" s="13" t="s">
        <v>2076</v>
      </c>
      <c r="N961" s="25">
        <f>IFERROR((COUNTIFS('Alcohol Tests'!$H$4:$H$100003,"Negative",'Alcohol Tests'!$D$4:$D$100003,mCrit,'Alcohol Tests'!$E$4:$E$100003,dCrit))/(COUNTIFS('Alcohol Tests'!$D$4:$D$100003,mCrit,'Alcohol Tests'!$E$4:$E$100003,dCrit))*100,0)</f>
        <v>0</v>
      </c>
      <c r="P961" s="13" t="s">
        <v>89</v>
      </c>
      <c r="Q961" s="22">
        <f>COUNTIFS('Alcohol Tests'!$D$4:$D$100003,mCrit,'Alcohol Tests'!$E$4:$E$100003,"Construction")</f>
        <v>0</v>
      </c>
      <c r="R961" s="25">
        <f>IFERROR((COUNTIFS('Alcohol Tests'!$J$4:$J$100003,"Closed",'Alcohol Tests'!$D$4:$D$100003,mCrit,'Alcohol Tests'!$E$4:$E$100003,"Construction"))/COUNTIFS('Alcohol Tests'!$D$4:$D$100003,mCrit,'Alcohol Tests'!$E$4:$E$100003,"Construction")*100,0)</f>
        <v>0</v>
      </c>
      <c r="S961" s="22">
        <f>COUNTIFS('Alcohol Tests'!$D$4:$D$100003,mCrit,'Alcohol Tests'!$E$4:$E$100003,"Construction")</f>
        <v>0</v>
      </c>
    </row>
    <row r="962" spans="2:19">
      <c r="B962" s="23" t="s">
        <v>60</v>
      </c>
      <c r="C962" s="22">
        <f>COUNTIFS('Alcohol Tests'!$D$4:$D$100003,"May",'Alcohol Tests'!$E$4:$E$100003,dCrit)</f>
        <v>0</v>
      </c>
      <c r="M962" s="13" t="s">
        <v>2129</v>
      </c>
      <c r="N962" s="22">
        <f>COUNTIFS('Alcohol Tests'!$G$4:$G$100003,"Random",'Alcohol Tests'!$D$4:$D$100003,mCrit,'Alcohol Tests'!$E$4:$E$100003,dCrit)</f>
        <v>0</v>
      </c>
      <c r="P962" s="13" t="s">
        <v>65</v>
      </c>
      <c r="Q962" s="22">
        <f>COUNTIFS('Alcohol Tests'!$D$4:$D$100003,mCrit,'Alcohol Tests'!$E$4:$E$100003,"Safety")</f>
        <v>0</v>
      </c>
      <c r="R962" s="25">
        <f>IFERROR((COUNTIFS('Alcohol Tests'!$J$4:$J$100003,"Closed",'Alcohol Tests'!$D$4:$D$100003,mCrit,'Alcohol Tests'!$E$4:$E$100003,"Safety"))/COUNTIFS('Alcohol Tests'!$D$4:$D$100003,mCrit,'Alcohol Tests'!$E$4:$E$100003,"Safety")*100,0)</f>
        <v>0</v>
      </c>
      <c r="S962" s="22">
        <f>COUNTIFS('Alcohol Tests'!$D$4:$D$100003,mCrit,'Alcohol Tests'!$E$4:$E$100003,"Safety")</f>
        <v>0</v>
      </c>
    </row>
    <row r="963" spans="2:19">
      <c r="B963" s="23" t="s">
        <v>73</v>
      </c>
      <c r="C963" s="22">
        <f>COUNTIFS('Alcohol Tests'!$D$4:$D$100003,"Jun",'Alcohol Tests'!$E$4:$E$100003,dCrit)</f>
        <v>0</v>
      </c>
      <c r="M963" s="13" t="s">
        <v>1142</v>
      </c>
      <c r="N963" s="22">
        <f>COUNTIFS('Alcohol Tests'!$G$4:$G$100003,"Pre-Shift",'Alcohol Tests'!$D$4:$D$100003,mCrit,'Alcohol Tests'!$E$4:$E$100003,dCrit)</f>
        <v>0</v>
      </c>
      <c r="P963" s="13" t="s">
        <v>5</v>
      </c>
      <c r="Q963" s="22">
        <f>COUNTIFS('Alcohol Tests'!$D$4:$D$100003,mCrit,'Alcohol Tests'!$E$4:$E$100003,"Logistics")</f>
        <v>0</v>
      </c>
      <c r="R963" s="25">
        <f>IFERROR((COUNTIFS('Alcohol Tests'!$J$4:$J$100003,"Closed",'Alcohol Tests'!$D$4:$D$100003,mCrit,'Alcohol Tests'!$E$4:$E$100003,"Logistics"))/COUNTIFS('Alcohol Tests'!$D$4:$D$100003,mCrit,'Alcohol Tests'!$E$4:$E$100003,"Logistics")*100,0)</f>
        <v>0</v>
      </c>
      <c r="S963" s="22">
        <f>COUNTIFS('Alcohol Tests'!$D$4:$D$100003,mCrit,'Alcohol Tests'!$E$4:$E$100003,"Logistics")</f>
        <v>0</v>
      </c>
    </row>
    <row r="964" spans="2:19">
      <c r="B964" s="23" t="s">
        <v>76</v>
      </c>
      <c r="C964" s="22">
        <f>COUNTIFS('Alcohol Tests'!$D$4:$D$100003,"Jul",'Alcohol Tests'!$E$4:$E$100003,dCrit)</f>
        <v>0</v>
      </c>
      <c r="M964" s="13" t="s">
        <v>1152</v>
      </c>
      <c r="N964" s="22">
        <f>COUNTIFS('Alcohol Tests'!$G$4:$G$100003,"Post-Incident",'Alcohol Tests'!$D$4:$D$100003,mCrit,'Alcohol Tests'!$E$4:$E$100003,dCrit)</f>
        <v>0</v>
      </c>
      <c r="P964" s="13" t="s">
        <v>50</v>
      </c>
      <c r="Q964" s="22">
        <f>COUNTIFS('Alcohol Tests'!$D$4:$D$100003,mCrit,'Alcohol Tests'!$E$4:$E$100003,"Quality")</f>
        <v>0</v>
      </c>
      <c r="R964" s="25">
        <f>IFERROR((COUNTIFS('Alcohol Tests'!$J$4:$J$100003,"Closed",'Alcohol Tests'!$D$4:$D$100003,mCrit,'Alcohol Tests'!$E$4:$E$100003,"Quality"))/COUNTIFS('Alcohol Tests'!$D$4:$D$100003,mCrit,'Alcohol Tests'!$E$4:$E$100003,"Quality")*100,0)</f>
        <v>0</v>
      </c>
      <c r="S964" s="22">
        <f>COUNTIFS('Alcohol Tests'!$D$4:$D$100003,mCrit,'Alcohol Tests'!$E$4:$E$100003,"Quality")</f>
        <v>0</v>
      </c>
    </row>
    <row r="965" spans="2:19">
      <c r="B965" s="23" t="s">
        <v>86</v>
      </c>
      <c r="C965" s="22">
        <f>COUNTIFS('Alcohol Tests'!$D$4:$D$100003,"Aug",'Alcohol Tests'!$E$4:$E$100003,dCrit)</f>
        <v>0</v>
      </c>
      <c r="M965" s="13" t="s">
        <v>2130</v>
      </c>
      <c r="N965" s="22">
        <f>COUNTIFS('Alcohol Tests'!$G$4:$G$100003,"Reasonable Suspicion",'Alcohol Tests'!$D$4:$D$100003,mCrit,'Alcohol Tests'!$E$4:$E$100003,dCrit)</f>
        <v>0</v>
      </c>
      <c r="P965" s="13" t="s">
        <v>46</v>
      </c>
      <c r="Q965" s="22">
        <f>COUNTIFS('Alcohol Tests'!$D$4:$D$100003,mCrit,'Alcohol Tests'!$E$4:$E$100003,"Admin")</f>
        <v>0</v>
      </c>
      <c r="R965" s="25">
        <f>IFERROR((COUNTIFS('Alcohol Tests'!$J$4:$J$100003,"Closed",'Alcohol Tests'!$D$4:$D$100003,mCrit,'Alcohol Tests'!$E$4:$E$100003,"Admin"))/COUNTIFS('Alcohol Tests'!$D$4:$D$100003,mCrit,'Alcohol Tests'!$E$4:$E$100003,"Admin")*100,0)</f>
        <v>0</v>
      </c>
      <c r="S965" s="22">
        <f>COUNTIFS('Alcohol Tests'!$D$4:$D$100003,mCrit,'Alcohol Tests'!$E$4:$E$100003,"Admin")</f>
        <v>0</v>
      </c>
    </row>
    <row r="966" spans="2:19">
      <c r="B966" s="23" t="s">
        <v>102</v>
      </c>
      <c r="C966" s="22">
        <f>COUNTIFS('Alcohol Tests'!$D$4:$D$100003,"Sep",'Alcohol Tests'!$E$4:$E$100003,dCrit)</f>
        <v>0</v>
      </c>
      <c r="P966" s="13" t="s">
        <v>13</v>
      </c>
      <c r="Q966" s="22">
        <f>COUNTIFS('Alcohol Tests'!$D$4:$D$100003,mCrit,'Alcohol Tests'!$E$4:$E$100003,"Projects")</f>
        <v>0</v>
      </c>
      <c r="R966" s="25">
        <f>IFERROR((COUNTIFS('Alcohol Tests'!$J$4:$J$100003,"Closed",'Alcohol Tests'!$D$4:$D$100003,mCrit,'Alcohol Tests'!$E$4:$E$100003,"Projects"))/COUNTIFS('Alcohol Tests'!$D$4:$D$100003,mCrit,'Alcohol Tests'!$E$4:$E$100003,"Projects")*100,0)</f>
        <v>0</v>
      </c>
      <c r="S966" s="22">
        <f>COUNTIFS('Alcohol Tests'!$D$4:$D$100003,mCrit,'Alcohol Tests'!$E$4:$E$100003,"Projects")</f>
        <v>0</v>
      </c>
    </row>
    <row r="967" spans="2:19">
      <c r="B967" s="23" t="s">
        <v>106</v>
      </c>
      <c r="C967" s="22">
        <f>COUNTIFS('Alcohol Tests'!$D$4:$D$100003,"Oct",'Alcohol Tests'!$E$4:$E$100003,dCrit)</f>
        <v>0</v>
      </c>
      <c r="P967" s="13" t="s">
        <v>58</v>
      </c>
      <c r="Q967" s="22">
        <f>COUNTIFS('Alcohol Tests'!$D$4:$D$100003,mCrit,'Alcohol Tests'!$E$4:$E$100003,"Contractor")</f>
        <v>0</v>
      </c>
      <c r="R967" s="25">
        <f>IFERROR((COUNTIFS('Alcohol Tests'!$J$4:$J$100003,"Closed",'Alcohol Tests'!$D$4:$D$100003,mCrit,'Alcohol Tests'!$E$4:$E$100003,"Contractor"))/COUNTIFS('Alcohol Tests'!$D$4:$D$100003,mCrit,'Alcohol Tests'!$E$4:$E$100003,"Contractor")*100,0)</f>
        <v>0</v>
      </c>
      <c r="S967" s="22">
        <f>COUNTIFS('Alcohol Tests'!$D$4:$D$100003,mCrit,'Alcohol Tests'!$E$4:$E$100003,"Contractor")</f>
        <v>0</v>
      </c>
    </row>
    <row r="968" spans="2:19">
      <c r="B968" s="23" t="s">
        <v>111</v>
      </c>
      <c r="C968" s="22">
        <f>COUNTIFS('Alcohol Tests'!$D$4:$D$100003,"Nov",'Alcohol Tests'!$E$4:$E$100003,dCrit)</f>
        <v>0</v>
      </c>
    </row>
    <row r="969" spans="2:19">
      <c r="B969" s="23" t="s">
        <v>122</v>
      </c>
      <c r="C969" s="22">
        <f>COUNTIFS('Alcohol Tests'!$D$4:$D$100003,"Dec",'Alcohol Tests'!$E$4:$E$100003,dCrit)</f>
        <v>0</v>
      </c>
    </row>
    <row r="982" spans="2:34">
      <c r="B982" s="17" t="s">
        <v>2131</v>
      </c>
    </row>
    <row r="983" spans="2:34">
      <c r="B983" s="12" t="s">
        <v>127</v>
      </c>
      <c r="C983" s="12" t="s">
        <v>1965</v>
      </c>
      <c r="E983" s="12" t="s">
        <v>1252</v>
      </c>
      <c r="F983" s="12" t="s">
        <v>1965</v>
      </c>
      <c r="J983" s="12" t="s">
        <v>1258</v>
      </c>
      <c r="K983" s="12" t="s">
        <v>1965</v>
      </c>
      <c r="M983" s="12" t="s">
        <v>1927</v>
      </c>
      <c r="N983" s="12" t="s">
        <v>2039</v>
      </c>
      <c r="P983" s="12" t="s">
        <v>129</v>
      </c>
      <c r="Q983" s="12" t="s">
        <v>1965</v>
      </c>
      <c r="R983" s="12" t="s">
        <v>2071</v>
      </c>
      <c r="S983" s="12" t="s">
        <v>2009</v>
      </c>
      <c r="U983" s="12" t="s">
        <v>2038</v>
      </c>
      <c r="V983" s="12" t="s">
        <v>3</v>
      </c>
      <c r="W983" s="12" t="s">
        <v>19</v>
      </c>
      <c r="X983" s="12" t="s">
        <v>44</v>
      </c>
      <c r="Y983" s="12" t="s">
        <v>53</v>
      </c>
      <c r="Z983" s="12" t="s">
        <v>60</v>
      </c>
      <c r="AA983" s="12" t="s">
        <v>73</v>
      </c>
      <c r="AB983" s="12" t="s">
        <v>76</v>
      </c>
      <c r="AC983" s="12" t="s">
        <v>86</v>
      </c>
      <c r="AD983" s="12" t="s">
        <v>102</v>
      </c>
      <c r="AE983" s="12" t="s">
        <v>106</v>
      </c>
      <c r="AF983" s="12" t="s">
        <v>111</v>
      </c>
      <c r="AG983" s="12" t="s">
        <v>122</v>
      </c>
      <c r="AH983" s="12" t="s">
        <v>2063</v>
      </c>
    </row>
    <row r="984" spans="2:34">
      <c r="B984" s="23" t="s">
        <v>3</v>
      </c>
      <c r="C984" s="22">
        <f>COUNTIFS('PTW Audits'!$D$4:$D$100003,"Jan",'PTW Audits'!$F$4:$F$100003,dCrit)</f>
        <v>0</v>
      </c>
      <c r="E984" s="13" t="s">
        <v>30</v>
      </c>
      <c r="F984" s="22">
        <f>COUNTIFS('PTW Audits'!$E$4:$E$100003,"Hot Work",'PTW Audits'!$D$4:$D$100003,mCrit,'PTW Audits'!$F$4:$F$100003,dCrit)</f>
        <v>0</v>
      </c>
      <c r="J984" s="13" t="s">
        <v>159</v>
      </c>
      <c r="K984" s="22">
        <f>COUNTIFS('PTW Audits'!$M$4:$M$100003,"Compliant",'PTW Audits'!$D$4:$D$100003,mCrit,'PTW Audits'!$F$4:$F$100003,dCrit)</f>
        <v>0</v>
      </c>
      <c r="M984" s="13" t="s">
        <v>2103</v>
      </c>
      <c r="N984" s="22">
        <f>COUNTIFS('PTW Audits'!$D$4:$D$100003,mCrit,'PTW Audits'!$F$4:$F$100003,dCrit)</f>
        <v>0</v>
      </c>
      <c r="P984" s="13" t="s">
        <v>27</v>
      </c>
      <c r="Q984" s="22">
        <f>COUNTIFS('PTW Audits'!$D$4:$D$100003,mCrit,'PTW Audits'!$F$4:$F$100003,"Operations")</f>
        <v>0</v>
      </c>
      <c r="R984" s="25">
        <f>IFERROR((COUNTIFS('PTW Audits'!$M$4:$M$100003,"Compliant",'PTW Audits'!$D$4:$D$100003,mCrit,'PTW Audits'!$F$4:$F$100003,"Operations"))/COUNTIFS('PTW Audits'!$D$4:$D$100003,mCrit,'PTW Audits'!$F$4:$F$100003,"Operations")*100,0)</f>
        <v>0</v>
      </c>
      <c r="S984" s="25">
        <f>IFERROR(AVERAGEIFS('PTW Audits'!$L$4:$L$100003,'PTW Audits'!$D$4:$D$100003,mCrit,'PTW Audits'!$F$4:$F$100003,"Operations"),0)</f>
        <v>0</v>
      </c>
      <c r="U984" s="13" t="s">
        <v>1770</v>
      </c>
      <c r="V984" s="22">
        <f>COUNTIFS('PTW Audits'!$D$4:$D$100003,"Jan",'PTW Audits'!$F$4:$F$100003,dCrit)</f>
        <v>0</v>
      </c>
      <c r="W984" s="22">
        <f>COUNTIFS('PTW Audits'!$D$4:$D$100003,"Feb",'PTW Audits'!$F$4:$F$100003,dCrit)</f>
        <v>0</v>
      </c>
      <c r="X984" s="22">
        <f>COUNTIFS('PTW Audits'!$D$4:$D$100003,"Mar",'PTW Audits'!$F$4:$F$100003,dCrit)</f>
        <v>0</v>
      </c>
      <c r="Y984" s="22">
        <f>COUNTIFS('PTW Audits'!$D$4:$D$100003,"Apr",'PTW Audits'!$F$4:$F$100003,dCrit)</f>
        <v>0</v>
      </c>
      <c r="Z984" s="22">
        <f>COUNTIFS('PTW Audits'!$D$4:$D$100003,"May",'PTW Audits'!$F$4:$F$100003,dCrit)</f>
        <v>0</v>
      </c>
      <c r="AA984" s="22">
        <f>COUNTIFS('PTW Audits'!$D$4:$D$100003,"Jun",'PTW Audits'!$F$4:$F$100003,dCrit)</f>
        <v>0</v>
      </c>
      <c r="AB984" s="22">
        <f>COUNTIFS('PTW Audits'!$D$4:$D$100003,"Jul",'PTW Audits'!$F$4:$F$100003,dCrit)</f>
        <v>0</v>
      </c>
      <c r="AC984" s="22">
        <f>COUNTIFS('PTW Audits'!$D$4:$D$100003,"Aug",'PTW Audits'!$F$4:$F$100003,dCrit)</f>
        <v>0</v>
      </c>
      <c r="AD984" s="22">
        <f>COUNTIFS('PTW Audits'!$D$4:$D$100003,"Sep",'PTW Audits'!$F$4:$F$100003,dCrit)</f>
        <v>0</v>
      </c>
      <c r="AE984" s="22">
        <f>COUNTIFS('PTW Audits'!$D$4:$D$100003,"Oct",'PTW Audits'!$F$4:$F$100003,dCrit)</f>
        <v>0</v>
      </c>
      <c r="AF984" s="22">
        <f>COUNTIFS('PTW Audits'!$D$4:$D$100003,"Nov",'PTW Audits'!$F$4:$F$100003,dCrit)</f>
        <v>0</v>
      </c>
      <c r="AG984" s="22">
        <f>COUNTIFS('PTW Audits'!$D$4:$D$100003,"Dec",'PTW Audits'!$F$4:$F$100003,dCrit)</f>
        <v>0</v>
      </c>
      <c r="AH984" s="22">
        <f>SUM(V984:AG984)</f>
        <v>0</v>
      </c>
    </row>
    <row r="985" spans="2:34">
      <c r="B985" s="23" t="s">
        <v>19</v>
      </c>
      <c r="C985" s="22">
        <f>COUNTIFS('PTW Audits'!$D$4:$D$100003,"Feb",'PTW Audits'!$F$4:$F$100003,dCrit)</f>
        <v>0</v>
      </c>
      <c r="E985" s="13" t="s">
        <v>61</v>
      </c>
      <c r="F985" s="22">
        <f>COUNTIFS('PTW Audits'!$E$4:$E$100003,"Confined Space",'PTW Audits'!$D$4:$D$100003,mCrit,'PTW Audits'!$F$4:$F$100003,dCrit)</f>
        <v>0</v>
      </c>
      <c r="J985" s="13" t="s">
        <v>149</v>
      </c>
      <c r="K985" s="22">
        <f>COUNTIFS('PTW Audits'!$M$4:$M$100003,"Non-Compliant",'PTW Audits'!$D$4:$D$100003,mCrit,'PTW Audits'!$F$4:$F$100003,dCrit)</f>
        <v>0</v>
      </c>
      <c r="M985" s="13" t="s">
        <v>159</v>
      </c>
      <c r="N985" s="22">
        <f>COUNTIFS('PTW Audits'!$M$4:$M$100003,"Compliant",'PTW Audits'!$D$4:$D$100003,mCrit,'PTW Audits'!$F$4:$F$100003,dCrit)</f>
        <v>0</v>
      </c>
      <c r="P985" s="13" t="s">
        <v>92</v>
      </c>
      <c r="Q985" s="22">
        <f>COUNTIFS('PTW Audits'!$D$4:$D$100003,mCrit,'PTW Audits'!$F$4:$F$100003,"Maintenance")</f>
        <v>0</v>
      </c>
      <c r="R985" s="25">
        <f>IFERROR((COUNTIFS('PTW Audits'!$M$4:$M$100003,"Compliant",'PTW Audits'!$D$4:$D$100003,mCrit,'PTW Audits'!$F$4:$F$100003,"Maintenance"))/COUNTIFS('PTW Audits'!$D$4:$D$100003,mCrit,'PTW Audits'!$F$4:$F$100003,"Maintenance")*100,0)</f>
        <v>0</v>
      </c>
      <c r="S985" s="25">
        <f>IFERROR(AVERAGEIFS('PTW Audits'!$L$4:$L$100003,'PTW Audits'!$D$4:$D$100003,mCrit,'PTW Audits'!$F$4:$F$100003,"Maintenance"),0)</f>
        <v>0</v>
      </c>
      <c r="U985" s="13" t="s">
        <v>2072</v>
      </c>
      <c r="V985" s="25">
        <f>IFERROR((COUNTIFS('PTW Audits'!$M$4:$M$100003,"Compliant",'PTW Audits'!$D$4:$D$100003,"Jan",'PTW Audits'!$F$4:$F$100003,dCrit))/COUNTIFS('PTW Audits'!$D$4:$D$100003,"Jan",'PTW Audits'!$F$4:$F$100003,dCrit)*100,0)</f>
        <v>0</v>
      </c>
      <c r="W985" s="25">
        <f>IFERROR((COUNTIFS('PTW Audits'!$M$4:$M$100003,"Compliant",'PTW Audits'!$D$4:$D$100003,"Feb",'PTW Audits'!$F$4:$F$100003,dCrit))/COUNTIFS('PTW Audits'!$D$4:$D$100003,"Feb",'PTW Audits'!$F$4:$F$100003,dCrit)*100,0)</f>
        <v>0</v>
      </c>
      <c r="X985" s="25">
        <f>IFERROR((COUNTIFS('PTW Audits'!$M$4:$M$100003,"Compliant",'PTW Audits'!$D$4:$D$100003,"Mar",'PTW Audits'!$F$4:$F$100003,dCrit))/COUNTIFS('PTW Audits'!$D$4:$D$100003,"Mar",'PTW Audits'!$F$4:$F$100003,dCrit)*100,0)</f>
        <v>0</v>
      </c>
      <c r="Y985" s="25">
        <f>IFERROR((COUNTIFS('PTW Audits'!$M$4:$M$100003,"Compliant",'PTW Audits'!$D$4:$D$100003,"Apr",'PTW Audits'!$F$4:$F$100003,dCrit))/COUNTIFS('PTW Audits'!$D$4:$D$100003,"Apr",'PTW Audits'!$F$4:$F$100003,dCrit)*100,0)</f>
        <v>0</v>
      </c>
      <c r="Z985" s="25">
        <f>IFERROR((COUNTIFS('PTW Audits'!$M$4:$M$100003,"Compliant",'PTW Audits'!$D$4:$D$100003,"May",'PTW Audits'!$F$4:$F$100003,dCrit))/COUNTIFS('PTW Audits'!$D$4:$D$100003,"May",'PTW Audits'!$F$4:$F$100003,dCrit)*100,0)</f>
        <v>0</v>
      </c>
      <c r="AA985" s="25">
        <f>IFERROR((COUNTIFS('PTW Audits'!$M$4:$M$100003,"Compliant",'PTW Audits'!$D$4:$D$100003,"Jun",'PTW Audits'!$F$4:$F$100003,dCrit))/COUNTIFS('PTW Audits'!$D$4:$D$100003,"Jun",'PTW Audits'!$F$4:$F$100003,dCrit)*100,0)</f>
        <v>0</v>
      </c>
      <c r="AB985" s="25">
        <f>IFERROR((COUNTIFS('PTW Audits'!$M$4:$M$100003,"Compliant",'PTW Audits'!$D$4:$D$100003,"Jul",'PTW Audits'!$F$4:$F$100003,dCrit))/COUNTIFS('PTW Audits'!$D$4:$D$100003,"Jul",'PTW Audits'!$F$4:$F$100003,dCrit)*100,0)</f>
        <v>0</v>
      </c>
      <c r="AC985" s="25">
        <f>IFERROR((COUNTIFS('PTW Audits'!$M$4:$M$100003,"Compliant",'PTW Audits'!$D$4:$D$100003,"Aug",'PTW Audits'!$F$4:$F$100003,dCrit))/COUNTIFS('PTW Audits'!$D$4:$D$100003,"Aug",'PTW Audits'!$F$4:$F$100003,dCrit)*100,0)</f>
        <v>0</v>
      </c>
      <c r="AD985" s="25">
        <f>IFERROR((COUNTIFS('PTW Audits'!$M$4:$M$100003,"Compliant",'PTW Audits'!$D$4:$D$100003,"Sep",'PTW Audits'!$F$4:$F$100003,dCrit))/COUNTIFS('PTW Audits'!$D$4:$D$100003,"Sep",'PTW Audits'!$F$4:$F$100003,dCrit)*100,0)</f>
        <v>0</v>
      </c>
      <c r="AE985" s="25">
        <f>IFERROR((COUNTIFS('PTW Audits'!$M$4:$M$100003,"Compliant",'PTW Audits'!$D$4:$D$100003,"Oct",'PTW Audits'!$F$4:$F$100003,dCrit))/COUNTIFS('PTW Audits'!$D$4:$D$100003,"Oct",'PTW Audits'!$F$4:$F$100003,dCrit)*100,0)</f>
        <v>0</v>
      </c>
      <c r="AF985" s="25">
        <f>IFERROR((COUNTIFS('PTW Audits'!$M$4:$M$100003,"Compliant",'PTW Audits'!$D$4:$D$100003,"Nov",'PTW Audits'!$F$4:$F$100003,dCrit))/COUNTIFS('PTW Audits'!$D$4:$D$100003,"Nov",'PTW Audits'!$F$4:$F$100003,dCrit)*100,0)</f>
        <v>0</v>
      </c>
      <c r="AG985" s="25">
        <f>IFERROR((COUNTIFS('PTW Audits'!$M$4:$M$100003,"Compliant",'PTW Audits'!$D$4:$D$100003,"Dec",'PTW Audits'!$F$4:$F$100003,dCrit))/COUNTIFS('PTW Audits'!$D$4:$D$100003,"Dec",'PTW Audits'!$F$4:$F$100003,dCrit)*100,0)</f>
        <v>0</v>
      </c>
      <c r="AH985" s="25">
        <f>IFERROR(AVERAGE(V985:AG985),0)</f>
        <v>0</v>
      </c>
    </row>
    <row r="986" spans="2:34">
      <c r="B986" s="23" t="s">
        <v>44</v>
      </c>
      <c r="C986" s="22">
        <f>COUNTIFS('PTW Audits'!$D$4:$D$100003,"Mar",'PTW Audits'!$F$4:$F$100003,dCrit)</f>
        <v>0</v>
      </c>
      <c r="E986" s="13" t="s">
        <v>1208</v>
      </c>
      <c r="F986" s="22">
        <f>COUNTIFS('PTW Audits'!$E$4:$E$100003,"Working at Height",'PTW Audits'!$D$4:$D$100003,mCrit,'PTW Audits'!$F$4:$F$100003,dCrit)</f>
        <v>0</v>
      </c>
      <c r="J986" s="13" t="s">
        <v>145</v>
      </c>
      <c r="K986" s="22">
        <f>COUNTIFS('PTW Audits'!$M$4:$M$100003,"Partially Compliant",'PTW Audits'!$D$4:$D$100003,mCrit,'PTW Audits'!$F$4:$F$100003,dCrit)</f>
        <v>0</v>
      </c>
      <c r="M986" s="13" t="s">
        <v>149</v>
      </c>
      <c r="N986" s="22">
        <f>COUNTIFS('PTW Audits'!$M$4:$M$100003,"Non-Compliant",'PTW Audits'!$D$4:$D$100003,mCrit,'PTW Audits'!$F$4:$F$100003,dCrit)</f>
        <v>0</v>
      </c>
      <c r="P986" s="13" t="s">
        <v>39</v>
      </c>
      <c r="Q986" s="22">
        <f>COUNTIFS('PTW Audits'!$D$4:$D$100003,mCrit,'PTW Audits'!$F$4:$F$100003,"Engineering")</f>
        <v>0</v>
      </c>
      <c r="R986" s="25">
        <f>IFERROR((COUNTIFS('PTW Audits'!$M$4:$M$100003,"Compliant",'PTW Audits'!$D$4:$D$100003,mCrit,'PTW Audits'!$F$4:$F$100003,"Engineering"))/COUNTIFS('PTW Audits'!$D$4:$D$100003,mCrit,'PTW Audits'!$F$4:$F$100003,"Engineering")*100,0)</f>
        <v>0</v>
      </c>
      <c r="S986" s="25">
        <f>IFERROR(AVERAGEIFS('PTW Audits'!$L$4:$L$100003,'PTW Audits'!$D$4:$D$100003,mCrit,'PTW Audits'!$F$4:$F$100003,"Engineering"),0)</f>
        <v>0</v>
      </c>
      <c r="U986" s="13" t="s">
        <v>2009</v>
      </c>
      <c r="V986" s="25">
        <f>IFERROR(AVERAGEIFS('PTW Audits'!$L$4:$L$100003,'PTW Audits'!$D$4:$D$100003,"Jan",'PTW Audits'!$F$4:$F$100003,dCrit),0)</f>
        <v>0</v>
      </c>
      <c r="W986" s="25">
        <f>IFERROR(AVERAGEIFS('PTW Audits'!$L$4:$L$100003,'PTW Audits'!$D$4:$D$100003,"Feb",'PTW Audits'!$F$4:$F$100003,dCrit),0)</f>
        <v>0</v>
      </c>
      <c r="X986" s="25">
        <f>IFERROR(AVERAGEIFS('PTW Audits'!$L$4:$L$100003,'PTW Audits'!$D$4:$D$100003,"Mar",'PTW Audits'!$F$4:$F$100003,dCrit),0)</f>
        <v>0</v>
      </c>
      <c r="Y986" s="25">
        <f>IFERROR(AVERAGEIFS('PTW Audits'!$L$4:$L$100003,'PTW Audits'!$D$4:$D$100003,"Apr",'PTW Audits'!$F$4:$F$100003,dCrit),0)</f>
        <v>0</v>
      </c>
      <c r="Z986" s="25">
        <f>IFERROR(AVERAGEIFS('PTW Audits'!$L$4:$L$100003,'PTW Audits'!$D$4:$D$100003,"May",'PTW Audits'!$F$4:$F$100003,dCrit),0)</f>
        <v>0</v>
      </c>
      <c r="AA986" s="25">
        <f>IFERROR(AVERAGEIFS('PTW Audits'!$L$4:$L$100003,'PTW Audits'!$D$4:$D$100003,"Jun",'PTW Audits'!$F$4:$F$100003,dCrit),0)</f>
        <v>0</v>
      </c>
      <c r="AB986" s="25">
        <f>IFERROR(AVERAGEIFS('PTW Audits'!$L$4:$L$100003,'PTW Audits'!$D$4:$D$100003,"Jul",'PTW Audits'!$F$4:$F$100003,dCrit),0)</f>
        <v>0</v>
      </c>
      <c r="AC986" s="25">
        <f>IFERROR(AVERAGEIFS('PTW Audits'!$L$4:$L$100003,'PTW Audits'!$D$4:$D$100003,"Aug",'PTW Audits'!$F$4:$F$100003,dCrit),0)</f>
        <v>0</v>
      </c>
      <c r="AD986" s="25">
        <f>IFERROR(AVERAGEIFS('PTW Audits'!$L$4:$L$100003,'PTW Audits'!$D$4:$D$100003,"Sep",'PTW Audits'!$F$4:$F$100003,dCrit),0)</f>
        <v>0</v>
      </c>
      <c r="AE986" s="25">
        <f>IFERROR(AVERAGEIFS('PTW Audits'!$L$4:$L$100003,'PTW Audits'!$D$4:$D$100003,"Oct",'PTW Audits'!$F$4:$F$100003,dCrit),0)</f>
        <v>0</v>
      </c>
      <c r="AF986" s="25">
        <f>IFERROR(AVERAGEIFS('PTW Audits'!$L$4:$L$100003,'PTW Audits'!$D$4:$D$100003,"Nov",'PTW Audits'!$F$4:$F$100003,dCrit),0)</f>
        <v>0</v>
      </c>
      <c r="AG986" s="25">
        <f>IFERROR(AVERAGEIFS('PTW Audits'!$L$4:$L$100003,'PTW Audits'!$D$4:$D$100003,"Dec",'PTW Audits'!$F$4:$F$100003,dCrit),0)</f>
        <v>0</v>
      </c>
      <c r="AH986" s="25">
        <f>IFERROR(AVERAGE(V986:AG986),0)</f>
        <v>0</v>
      </c>
    </row>
    <row r="987" spans="2:34">
      <c r="B987" s="23" t="s">
        <v>53</v>
      </c>
      <c r="C987" s="22">
        <f>COUNTIFS('PTW Audits'!$D$4:$D$100003,"Apr",'PTW Audits'!$F$4:$F$100003,dCrit)</f>
        <v>0</v>
      </c>
      <c r="E987" s="13" t="s">
        <v>1203</v>
      </c>
      <c r="F987" s="22">
        <f>COUNTIFS('PTW Audits'!$E$4:$E$100003,"Electrical",'PTW Audits'!$D$4:$D$100003,mCrit,'PTW Audits'!$F$4:$F$100003,dCrit)</f>
        <v>0</v>
      </c>
      <c r="M987" s="13" t="s">
        <v>2132</v>
      </c>
      <c r="N987" s="22">
        <f>COUNTIFS('PTW Audits'!$M$4:$M$100003,"Partially Compliant",'PTW Audits'!$D$4:$D$100003,mCrit,'PTW Audits'!$F$4:$F$100003,dCrit)</f>
        <v>0</v>
      </c>
      <c r="P987" s="13" t="s">
        <v>89</v>
      </c>
      <c r="Q987" s="22">
        <f>COUNTIFS('PTW Audits'!$D$4:$D$100003,mCrit,'PTW Audits'!$F$4:$F$100003,"Construction")</f>
        <v>0</v>
      </c>
      <c r="R987" s="25">
        <f>IFERROR((COUNTIFS('PTW Audits'!$M$4:$M$100003,"Compliant",'PTW Audits'!$D$4:$D$100003,mCrit,'PTW Audits'!$F$4:$F$100003,"Construction"))/COUNTIFS('PTW Audits'!$D$4:$D$100003,mCrit,'PTW Audits'!$F$4:$F$100003,"Construction")*100,0)</f>
        <v>0</v>
      </c>
      <c r="S987" s="25">
        <f>IFERROR(AVERAGEIFS('PTW Audits'!$L$4:$L$100003,'PTW Audits'!$D$4:$D$100003,mCrit,'PTW Audits'!$F$4:$F$100003,"Construction"),0)</f>
        <v>0</v>
      </c>
    </row>
    <row r="988" spans="2:34">
      <c r="B988" s="23" t="s">
        <v>60</v>
      </c>
      <c r="C988" s="22">
        <f>COUNTIFS('PTW Audits'!$D$4:$D$100003,"May",'PTW Audits'!$F$4:$F$100003,dCrit)</f>
        <v>0</v>
      </c>
      <c r="E988" s="13" t="s">
        <v>1218</v>
      </c>
      <c r="F988" s="22">
        <f>COUNTIFS('PTW Audits'!$E$4:$E$100003,"Cold Work",'PTW Audits'!$D$4:$D$100003,mCrit,'PTW Audits'!$F$4:$F$100003,dCrit)</f>
        <v>0</v>
      </c>
      <c r="M988" s="13" t="s">
        <v>1254</v>
      </c>
      <c r="N988" s="22">
        <f>SUMIFS('PTW Audits'!$I$4:$I$100003,'PTW Audits'!$D$4:$D$100003,mCrit,'PTW Audits'!$F$4:$F$100003,dCrit)</f>
        <v>0</v>
      </c>
      <c r="P988" s="13" t="s">
        <v>65</v>
      </c>
      <c r="Q988" s="22">
        <f>COUNTIFS('PTW Audits'!$D$4:$D$100003,mCrit,'PTW Audits'!$F$4:$F$100003,"Safety")</f>
        <v>0</v>
      </c>
      <c r="R988" s="25">
        <f>IFERROR((COUNTIFS('PTW Audits'!$M$4:$M$100003,"Compliant",'PTW Audits'!$D$4:$D$100003,mCrit,'PTW Audits'!$F$4:$F$100003,"Safety"))/COUNTIFS('PTW Audits'!$D$4:$D$100003,mCrit,'PTW Audits'!$F$4:$F$100003,"Safety")*100,0)</f>
        <v>0</v>
      </c>
      <c r="S988" s="25">
        <f>IFERROR(AVERAGEIFS('PTW Audits'!$L$4:$L$100003,'PTW Audits'!$D$4:$D$100003,mCrit,'PTW Audits'!$F$4:$F$100003,"Safety"),0)</f>
        <v>0</v>
      </c>
    </row>
    <row r="989" spans="2:34">
      <c r="B989" s="23" t="s">
        <v>73</v>
      </c>
      <c r="C989" s="22">
        <f>COUNTIFS('PTW Audits'!$D$4:$D$100003,"Jun",'PTW Audits'!$F$4:$F$100003,dCrit)</f>
        <v>0</v>
      </c>
      <c r="E989" s="13" t="s">
        <v>1200</v>
      </c>
      <c r="F989" s="22">
        <f>COUNTIFS('PTW Audits'!$E$4:$E$100003,"Lifting",'PTW Audits'!$D$4:$D$100003,mCrit,'PTW Audits'!$F$4:$F$100003,dCrit)</f>
        <v>0</v>
      </c>
      <c r="M989" s="13" t="s">
        <v>2052</v>
      </c>
      <c r="N989" s="22">
        <f>SUMIFS('PTW Audits'!$J$4:$J$100003,'PTW Audits'!$D$4:$D$100003,mCrit,'PTW Audits'!$F$4:$F$100003,dCrit)</f>
        <v>0</v>
      </c>
      <c r="P989" s="13" t="s">
        <v>5</v>
      </c>
      <c r="Q989" s="22">
        <f>COUNTIFS('PTW Audits'!$D$4:$D$100003,mCrit,'PTW Audits'!$F$4:$F$100003,"Logistics")</f>
        <v>0</v>
      </c>
      <c r="R989" s="25">
        <f>IFERROR((COUNTIFS('PTW Audits'!$M$4:$M$100003,"Compliant",'PTW Audits'!$D$4:$D$100003,mCrit,'PTW Audits'!$F$4:$F$100003,"Logistics"))/COUNTIFS('PTW Audits'!$D$4:$D$100003,mCrit,'PTW Audits'!$F$4:$F$100003,"Logistics")*100,0)</f>
        <v>0</v>
      </c>
      <c r="S989" s="25">
        <f>IFERROR(AVERAGEIFS('PTW Audits'!$L$4:$L$100003,'PTW Audits'!$D$4:$D$100003,mCrit,'PTW Audits'!$F$4:$F$100003,"Logistics"),0)</f>
        <v>0</v>
      </c>
    </row>
    <row r="990" spans="2:34">
      <c r="B990" s="23" t="s">
        <v>76</v>
      </c>
      <c r="C990" s="22">
        <f>COUNTIFS('PTW Audits'!$D$4:$D$100003,"Jul",'PTW Audits'!$F$4:$F$100003,dCrit)</f>
        <v>0</v>
      </c>
      <c r="E990" s="13" t="s">
        <v>1212</v>
      </c>
      <c r="F990" s="22">
        <f>COUNTIFS('PTW Audits'!$E$4:$E$100003,"Excavation",'PTW Audits'!$D$4:$D$100003,mCrit,'PTW Audits'!$F$4:$F$100003,dCrit)</f>
        <v>0</v>
      </c>
      <c r="M990" s="13" t="s">
        <v>2133</v>
      </c>
      <c r="N990" s="25">
        <f>IFERROR(AVERAGEIFS('PTW Audits'!$L$4:$L$100003,'PTW Audits'!$D$4:$D$100003,mCrit,'PTW Audits'!$F$4:$F$100003,dCrit),0)</f>
        <v>0</v>
      </c>
      <c r="P990" s="13" t="s">
        <v>50</v>
      </c>
      <c r="Q990" s="22">
        <f>COUNTIFS('PTW Audits'!$D$4:$D$100003,mCrit,'PTW Audits'!$F$4:$F$100003,"Quality")</f>
        <v>0</v>
      </c>
      <c r="R990" s="25">
        <f>IFERROR((COUNTIFS('PTW Audits'!$M$4:$M$100003,"Compliant",'PTW Audits'!$D$4:$D$100003,mCrit,'PTW Audits'!$F$4:$F$100003,"Quality"))/COUNTIFS('PTW Audits'!$D$4:$D$100003,mCrit,'PTW Audits'!$F$4:$F$100003,"Quality")*100,0)</f>
        <v>0</v>
      </c>
      <c r="S990" s="25">
        <f>IFERROR(AVERAGEIFS('PTW Audits'!$L$4:$L$100003,'PTW Audits'!$D$4:$D$100003,mCrit,'PTW Audits'!$F$4:$F$100003,"Quality"),0)</f>
        <v>0</v>
      </c>
    </row>
    <row r="991" spans="2:34">
      <c r="B991" s="23" t="s">
        <v>86</v>
      </c>
      <c r="C991" s="22">
        <f>COUNTIFS('PTW Audits'!$D$4:$D$100003,"Aug",'PTW Audits'!$F$4:$F$100003,dCrit)</f>
        <v>0</v>
      </c>
      <c r="M991" s="13" t="s">
        <v>2134</v>
      </c>
      <c r="N991" s="25">
        <f>IFERROR((COUNTIFS('PTW Audits'!$M$4:$M$100003,"Compliant",'PTW Audits'!$D$4:$D$100003,mCrit,'PTW Audits'!$F$4:$F$100003,dCrit))/(COUNTIFS('PTW Audits'!$D$4:$D$100003,mCrit,'PTW Audits'!$F$4:$F$100003,dCrit))*100,0)</f>
        <v>0</v>
      </c>
      <c r="P991" s="13" t="s">
        <v>46</v>
      </c>
      <c r="Q991" s="22">
        <f>COUNTIFS('PTW Audits'!$D$4:$D$100003,mCrit,'PTW Audits'!$F$4:$F$100003,"Admin")</f>
        <v>0</v>
      </c>
      <c r="R991" s="25">
        <f>IFERROR((COUNTIFS('PTW Audits'!$M$4:$M$100003,"Compliant",'PTW Audits'!$D$4:$D$100003,mCrit,'PTW Audits'!$F$4:$F$100003,"Admin"))/COUNTIFS('PTW Audits'!$D$4:$D$100003,mCrit,'PTW Audits'!$F$4:$F$100003,"Admin")*100,0)</f>
        <v>0</v>
      </c>
      <c r="S991" s="25">
        <f>IFERROR(AVERAGEIFS('PTW Audits'!$L$4:$L$100003,'PTW Audits'!$D$4:$D$100003,mCrit,'PTW Audits'!$F$4:$F$100003,"Admin"),0)</f>
        <v>0</v>
      </c>
    </row>
    <row r="992" spans="2:34">
      <c r="B992" s="23" t="s">
        <v>102</v>
      </c>
      <c r="C992" s="22">
        <f>COUNTIFS('PTW Audits'!$D$4:$D$100003,"Sep",'PTW Audits'!$F$4:$F$100003,dCrit)</f>
        <v>0</v>
      </c>
      <c r="P992" s="13" t="s">
        <v>13</v>
      </c>
      <c r="Q992" s="22">
        <f>COUNTIFS('PTW Audits'!$D$4:$D$100003,mCrit,'PTW Audits'!$F$4:$F$100003,"Projects")</f>
        <v>0</v>
      </c>
      <c r="R992" s="25">
        <f>IFERROR((COUNTIFS('PTW Audits'!$M$4:$M$100003,"Compliant",'PTW Audits'!$D$4:$D$100003,mCrit,'PTW Audits'!$F$4:$F$100003,"Projects"))/COUNTIFS('PTW Audits'!$D$4:$D$100003,mCrit,'PTW Audits'!$F$4:$F$100003,"Projects")*100,0)</f>
        <v>0</v>
      </c>
      <c r="S992" s="25">
        <f>IFERROR(AVERAGEIFS('PTW Audits'!$L$4:$L$100003,'PTW Audits'!$D$4:$D$100003,mCrit,'PTW Audits'!$F$4:$F$100003,"Projects"),0)</f>
        <v>0</v>
      </c>
    </row>
    <row r="993" spans="2:19">
      <c r="B993" s="23" t="s">
        <v>106</v>
      </c>
      <c r="C993" s="22">
        <f>COUNTIFS('PTW Audits'!$D$4:$D$100003,"Oct",'PTW Audits'!$F$4:$F$100003,dCrit)</f>
        <v>0</v>
      </c>
      <c r="P993" s="13" t="s">
        <v>58</v>
      </c>
      <c r="Q993" s="22">
        <f>COUNTIFS('PTW Audits'!$D$4:$D$100003,mCrit,'PTW Audits'!$F$4:$F$100003,"Contractor")</f>
        <v>0</v>
      </c>
      <c r="R993" s="25">
        <f>IFERROR((COUNTIFS('PTW Audits'!$M$4:$M$100003,"Compliant",'PTW Audits'!$D$4:$D$100003,mCrit,'PTW Audits'!$F$4:$F$100003,"Contractor"))/COUNTIFS('PTW Audits'!$D$4:$D$100003,mCrit,'PTW Audits'!$F$4:$F$100003,"Contractor")*100,0)</f>
        <v>0</v>
      </c>
      <c r="S993" s="25">
        <f>IFERROR(AVERAGEIFS('PTW Audits'!$L$4:$L$100003,'PTW Audits'!$D$4:$D$100003,mCrit,'PTW Audits'!$F$4:$F$100003,"Contractor"),0)</f>
        <v>0</v>
      </c>
    </row>
    <row r="994" spans="2:19">
      <c r="B994" s="23" t="s">
        <v>111</v>
      </c>
      <c r="C994" s="22">
        <f>COUNTIFS('PTW Audits'!$D$4:$D$100003,"Nov",'PTW Audits'!$F$4:$F$100003,dCrit)</f>
        <v>0</v>
      </c>
    </row>
    <row r="995" spans="2:19">
      <c r="B995" s="23" t="s">
        <v>122</v>
      </c>
      <c r="C995" s="22">
        <f>COUNTIFS('PTW Audits'!$D$4:$D$100003,"Dec",'PTW Audits'!$F$4:$F$100003,dCrit)</f>
        <v>0</v>
      </c>
    </row>
    <row r="1008" spans="2:19">
      <c r="B1008" s="17" t="s">
        <v>2135</v>
      </c>
    </row>
    <row r="1009" spans="2:34">
      <c r="B1009" s="12" t="s">
        <v>127</v>
      </c>
      <c r="C1009" s="12" t="s">
        <v>1965</v>
      </c>
      <c r="E1009" s="12" t="s">
        <v>1317</v>
      </c>
      <c r="F1009" s="12" t="s">
        <v>1965</v>
      </c>
      <c r="G1009" s="12" t="s">
        <v>647</v>
      </c>
      <c r="H1009" s="12" t="s">
        <v>1965</v>
      </c>
      <c r="J1009" s="12" t="s">
        <v>288</v>
      </c>
      <c r="K1009" s="12" t="s">
        <v>1965</v>
      </c>
      <c r="M1009" s="12" t="s">
        <v>1927</v>
      </c>
      <c r="N1009" s="12" t="s">
        <v>2039</v>
      </c>
      <c r="P1009" s="12" t="s">
        <v>129</v>
      </c>
      <c r="Q1009" s="12" t="s">
        <v>1965</v>
      </c>
      <c r="R1009" s="12" t="s">
        <v>2071</v>
      </c>
      <c r="S1009" s="12" t="s">
        <v>1770</v>
      </c>
      <c r="U1009" s="12" t="s">
        <v>2038</v>
      </c>
      <c r="V1009" s="12" t="s">
        <v>3</v>
      </c>
      <c r="W1009" s="12" t="s">
        <v>19</v>
      </c>
      <c r="X1009" s="12" t="s">
        <v>44</v>
      </c>
      <c r="Y1009" s="12" t="s">
        <v>53</v>
      </c>
      <c r="Z1009" s="12" t="s">
        <v>60</v>
      </c>
      <c r="AA1009" s="12" t="s">
        <v>73</v>
      </c>
      <c r="AB1009" s="12" t="s">
        <v>76</v>
      </c>
      <c r="AC1009" s="12" t="s">
        <v>86</v>
      </c>
      <c r="AD1009" s="12" t="s">
        <v>102</v>
      </c>
      <c r="AE1009" s="12" t="s">
        <v>106</v>
      </c>
      <c r="AF1009" s="12" t="s">
        <v>111</v>
      </c>
      <c r="AG1009" s="12" t="s">
        <v>122</v>
      </c>
      <c r="AH1009" s="12" t="s">
        <v>2063</v>
      </c>
    </row>
    <row r="1010" spans="2:34">
      <c r="B1010" s="23" t="s">
        <v>3</v>
      </c>
      <c r="C1010" s="22">
        <f>COUNTIFS('Corrective Actions'!$D$4:$D$100003,"Jan",'Corrective Actions'!$F$4:$F$100003,dCrit)</f>
        <v>0</v>
      </c>
      <c r="E1010" s="13" t="s">
        <v>1263</v>
      </c>
      <c r="F1010" s="22">
        <f>COUNTIFS('Corrective Actions'!$E$4:$E$100003,"Audit Finding",'Corrective Actions'!$D$4:$D$100003,mCrit,'Corrective Actions'!$F$4:$F$100003,dCrit)</f>
        <v>0</v>
      </c>
      <c r="G1010" s="13" t="s">
        <v>151</v>
      </c>
      <c r="H1010" s="22">
        <f>COUNTIFS('Corrective Actions'!$I$4:$I$100003,"Critical",'Corrective Actions'!$D$4:$D$100003,mCrit,'Corrective Actions'!$F$4:$F$100003,dCrit)</f>
        <v>0</v>
      </c>
      <c r="J1010" s="13" t="s">
        <v>303</v>
      </c>
      <c r="K1010" s="22">
        <f>COUNTIFS('Corrective Actions'!$N$4:$N$100003,"Pending",'Corrective Actions'!$D$4:$D$100003,mCrit,'Corrective Actions'!$F$4:$F$100003,dCrit)</f>
        <v>0</v>
      </c>
      <c r="M1010" s="13" t="s">
        <v>2136</v>
      </c>
      <c r="N1010" s="22">
        <f>COUNTIFS('Corrective Actions'!$D$4:$D$100003,mCrit,'Corrective Actions'!$F$4:$F$100003,dCrit)</f>
        <v>0</v>
      </c>
      <c r="P1010" s="13" t="s">
        <v>27</v>
      </c>
      <c r="Q1010" s="22">
        <f>COUNTIFS('Corrective Actions'!$D$4:$D$100003,mCrit,'Corrective Actions'!$F$4:$F$100003,"Operations")</f>
        <v>0</v>
      </c>
      <c r="R1010" s="25">
        <f>IFERROR((COUNTIFS('Corrective Actions'!$N$4:$N$100003,"Completed",'Corrective Actions'!$D$4:$D$100003,mCrit,'Corrective Actions'!$F$4:$F$100003,"Operations"))/COUNTIFS('Corrective Actions'!$D$4:$D$100003,mCrit,'Corrective Actions'!$F$4:$F$100003,"Operations")*100,0)</f>
        <v>0</v>
      </c>
      <c r="S1010" s="22">
        <f>COUNTIFS('Corrective Actions'!$D$4:$D$100003,mCrit,'Corrective Actions'!$F$4:$F$100003,"Operations")</f>
        <v>0</v>
      </c>
      <c r="U1010" s="13" t="s">
        <v>1770</v>
      </c>
      <c r="V1010" s="22">
        <f>COUNTIFS('Corrective Actions'!$D$4:$D$100003,"Jan",'Corrective Actions'!$F$4:$F$100003,dCrit)</f>
        <v>0</v>
      </c>
      <c r="W1010" s="22">
        <f>COUNTIFS('Corrective Actions'!$D$4:$D$100003,"Feb",'Corrective Actions'!$F$4:$F$100003,dCrit)</f>
        <v>0</v>
      </c>
      <c r="X1010" s="22">
        <f>COUNTIFS('Corrective Actions'!$D$4:$D$100003,"Mar",'Corrective Actions'!$F$4:$F$100003,dCrit)</f>
        <v>0</v>
      </c>
      <c r="Y1010" s="22">
        <f>COUNTIFS('Corrective Actions'!$D$4:$D$100003,"Apr",'Corrective Actions'!$F$4:$F$100003,dCrit)</f>
        <v>0</v>
      </c>
      <c r="Z1010" s="22">
        <f>COUNTIFS('Corrective Actions'!$D$4:$D$100003,"May",'Corrective Actions'!$F$4:$F$100003,dCrit)</f>
        <v>0</v>
      </c>
      <c r="AA1010" s="22">
        <f>COUNTIFS('Corrective Actions'!$D$4:$D$100003,"Jun",'Corrective Actions'!$F$4:$F$100003,dCrit)</f>
        <v>0</v>
      </c>
      <c r="AB1010" s="22">
        <f>COUNTIFS('Corrective Actions'!$D$4:$D$100003,"Jul",'Corrective Actions'!$F$4:$F$100003,dCrit)</f>
        <v>0</v>
      </c>
      <c r="AC1010" s="22">
        <f>COUNTIFS('Corrective Actions'!$D$4:$D$100003,"Aug",'Corrective Actions'!$F$4:$F$100003,dCrit)</f>
        <v>0</v>
      </c>
      <c r="AD1010" s="22">
        <f>COUNTIFS('Corrective Actions'!$D$4:$D$100003,"Sep",'Corrective Actions'!$F$4:$F$100003,dCrit)</f>
        <v>0</v>
      </c>
      <c r="AE1010" s="22">
        <f>COUNTIFS('Corrective Actions'!$D$4:$D$100003,"Oct",'Corrective Actions'!$F$4:$F$100003,dCrit)</f>
        <v>0</v>
      </c>
      <c r="AF1010" s="22">
        <f>COUNTIFS('Corrective Actions'!$D$4:$D$100003,"Nov",'Corrective Actions'!$F$4:$F$100003,dCrit)</f>
        <v>0</v>
      </c>
      <c r="AG1010" s="22">
        <f>COUNTIFS('Corrective Actions'!$D$4:$D$100003,"Dec",'Corrective Actions'!$F$4:$F$100003,dCrit)</f>
        <v>0</v>
      </c>
      <c r="AH1010" s="22">
        <f>SUM(V1010:AG1010)</f>
        <v>0</v>
      </c>
    </row>
    <row r="1011" spans="2:34">
      <c r="B1011" s="23" t="s">
        <v>19</v>
      </c>
      <c r="C1011" s="22">
        <f>COUNTIFS('Corrective Actions'!$D$4:$D$100003,"Feb",'Corrective Actions'!$F$4:$F$100003,dCrit)</f>
        <v>0</v>
      </c>
      <c r="E1011" s="13" t="s">
        <v>1265</v>
      </c>
      <c r="F1011" s="22">
        <f>COUNTIFS('Corrective Actions'!$E$4:$E$100003,"Inspection Finding",'Corrective Actions'!$D$4:$D$100003,mCrit,'Corrective Actions'!$F$4:$F$100003,dCrit)</f>
        <v>0</v>
      </c>
      <c r="G1011" s="13" t="s">
        <v>164</v>
      </c>
      <c r="H1011" s="22">
        <f>COUNTIFS('Corrective Actions'!$I$4:$I$100003,"High",'Corrective Actions'!$D$4:$D$100003,mCrit,'Corrective Actions'!$F$4:$F$100003,dCrit)</f>
        <v>0</v>
      </c>
      <c r="J1011" s="13" t="s">
        <v>222</v>
      </c>
      <c r="K1011" s="22">
        <f>COUNTIFS('Corrective Actions'!$N$4:$N$100003,"Completed",'Corrective Actions'!$D$4:$D$100003,mCrit,'Corrective Actions'!$F$4:$F$100003,dCrit)</f>
        <v>0</v>
      </c>
      <c r="M1011" s="13" t="s">
        <v>222</v>
      </c>
      <c r="N1011" s="22">
        <f>COUNTIFS('Corrective Actions'!$N$4:$N$100003,"Completed",'Corrective Actions'!$D$4:$D$100003,mCrit,'Corrective Actions'!$F$4:$F$100003,dCrit)</f>
        <v>0</v>
      </c>
      <c r="P1011" s="13" t="s">
        <v>92</v>
      </c>
      <c r="Q1011" s="22">
        <f>COUNTIFS('Corrective Actions'!$D$4:$D$100003,mCrit,'Corrective Actions'!$F$4:$F$100003,"Maintenance")</f>
        <v>0</v>
      </c>
      <c r="R1011" s="25">
        <f>IFERROR((COUNTIFS('Corrective Actions'!$N$4:$N$100003,"Completed",'Corrective Actions'!$D$4:$D$100003,mCrit,'Corrective Actions'!$F$4:$F$100003,"Maintenance"))/COUNTIFS('Corrective Actions'!$D$4:$D$100003,mCrit,'Corrective Actions'!$F$4:$F$100003,"Maintenance")*100,0)</f>
        <v>0</v>
      </c>
      <c r="S1011" s="22">
        <f>COUNTIFS('Corrective Actions'!$D$4:$D$100003,mCrit,'Corrective Actions'!$F$4:$F$100003,"Maintenance")</f>
        <v>0</v>
      </c>
      <c r="U1011" s="13" t="s">
        <v>2072</v>
      </c>
      <c r="V1011" s="25">
        <f>IFERROR((COUNTIFS('Corrective Actions'!$N$4:$N$100003,"Completed",'Corrective Actions'!$D$4:$D$100003,"Jan",'Corrective Actions'!$F$4:$F$100003,dCrit))/COUNTIFS('Corrective Actions'!$D$4:$D$100003,"Jan",'Corrective Actions'!$F$4:$F$100003,dCrit)*100,0)</f>
        <v>0</v>
      </c>
      <c r="W1011" s="25">
        <f>IFERROR((COUNTIFS('Corrective Actions'!$N$4:$N$100003,"Completed",'Corrective Actions'!$D$4:$D$100003,"Feb",'Corrective Actions'!$F$4:$F$100003,dCrit))/COUNTIFS('Corrective Actions'!$D$4:$D$100003,"Feb",'Corrective Actions'!$F$4:$F$100003,dCrit)*100,0)</f>
        <v>0</v>
      </c>
      <c r="X1011" s="25">
        <f>IFERROR((COUNTIFS('Corrective Actions'!$N$4:$N$100003,"Completed",'Corrective Actions'!$D$4:$D$100003,"Mar",'Corrective Actions'!$F$4:$F$100003,dCrit))/COUNTIFS('Corrective Actions'!$D$4:$D$100003,"Mar",'Corrective Actions'!$F$4:$F$100003,dCrit)*100,0)</f>
        <v>0</v>
      </c>
      <c r="Y1011" s="25">
        <f>IFERROR((COUNTIFS('Corrective Actions'!$N$4:$N$100003,"Completed",'Corrective Actions'!$D$4:$D$100003,"Apr",'Corrective Actions'!$F$4:$F$100003,dCrit))/COUNTIFS('Corrective Actions'!$D$4:$D$100003,"Apr",'Corrective Actions'!$F$4:$F$100003,dCrit)*100,0)</f>
        <v>0</v>
      </c>
      <c r="Z1011" s="25">
        <f>IFERROR((COUNTIFS('Corrective Actions'!$N$4:$N$100003,"Completed",'Corrective Actions'!$D$4:$D$100003,"May",'Corrective Actions'!$F$4:$F$100003,dCrit))/COUNTIFS('Corrective Actions'!$D$4:$D$100003,"May",'Corrective Actions'!$F$4:$F$100003,dCrit)*100,0)</f>
        <v>0</v>
      </c>
      <c r="AA1011" s="25">
        <f>IFERROR((COUNTIFS('Corrective Actions'!$N$4:$N$100003,"Completed",'Corrective Actions'!$D$4:$D$100003,"Jun",'Corrective Actions'!$F$4:$F$100003,dCrit))/COUNTIFS('Corrective Actions'!$D$4:$D$100003,"Jun",'Corrective Actions'!$F$4:$F$100003,dCrit)*100,0)</f>
        <v>0</v>
      </c>
      <c r="AB1011" s="25">
        <f>IFERROR((COUNTIFS('Corrective Actions'!$N$4:$N$100003,"Completed",'Corrective Actions'!$D$4:$D$100003,"Jul",'Corrective Actions'!$F$4:$F$100003,dCrit))/COUNTIFS('Corrective Actions'!$D$4:$D$100003,"Jul",'Corrective Actions'!$F$4:$F$100003,dCrit)*100,0)</f>
        <v>0</v>
      </c>
      <c r="AC1011" s="25">
        <f>IFERROR((COUNTIFS('Corrective Actions'!$N$4:$N$100003,"Completed",'Corrective Actions'!$D$4:$D$100003,"Aug",'Corrective Actions'!$F$4:$F$100003,dCrit))/COUNTIFS('Corrective Actions'!$D$4:$D$100003,"Aug",'Corrective Actions'!$F$4:$F$100003,dCrit)*100,0)</f>
        <v>0</v>
      </c>
      <c r="AD1011" s="25">
        <f>IFERROR((COUNTIFS('Corrective Actions'!$N$4:$N$100003,"Completed",'Corrective Actions'!$D$4:$D$100003,"Sep",'Corrective Actions'!$F$4:$F$100003,dCrit))/COUNTIFS('Corrective Actions'!$D$4:$D$100003,"Sep",'Corrective Actions'!$F$4:$F$100003,dCrit)*100,0)</f>
        <v>0</v>
      </c>
      <c r="AE1011" s="25">
        <f>IFERROR((COUNTIFS('Corrective Actions'!$N$4:$N$100003,"Completed",'Corrective Actions'!$D$4:$D$100003,"Oct",'Corrective Actions'!$F$4:$F$100003,dCrit))/COUNTIFS('Corrective Actions'!$D$4:$D$100003,"Oct",'Corrective Actions'!$F$4:$F$100003,dCrit)*100,0)</f>
        <v>0</v>
      </c>
      <c r="AF1011" s="25">
        <f>IFERROR((COUNTIFS('Corrective Actions'!$N$4:$N$100003,"Completed",'Corrective Actions'!$D$4:$D$100003,"Nov",'Corrective Actions'!$F$4:$F$100003,dCrit))/COUNTIFS('Corrective Actions'!$D$4:$D$100003,"Nov",'Corrective Actions'!$F$4:$F$100003,dCrit)*100,0)</f>
        <v>0</v>
      </c>
      <c r="AG1011" s="25">
        <f>IFERROR((COUNTIFS('Corrective Actions'!$N$4:$N$100003,"Completed",'Corrective Actions'!$D$4:$D$100003,"Dec",'Corrective Actions'!$F$4:$F$100003,dCrit))/COUNTIFS('Corrective Actions'!$D$4:$D$100003,"Dec",'Corrective Actions'!$F$4:$F$100003,dCrit)*100,0)</f>
        <v>0</v>
      </c>
      <c r="AH1011" s="25">
        <f>IFERROR(AVERAGE(V1011:AG1011),0)</f>
        <v>0</v>
      </c>
    </row>
    <row r="1012" spans="2:34">
      <c r="B1012" s="23" t="s">
        <v>44</v>
      </c>
      <c r="C1012" s="22">
        <f>COUNTIFS('Corrective Actions'!$D$4:$D$100003,"Mar",'Corrective Actions'!$F$4:$F$100003,dCrit)</f>
        <v>0</v>
      </c>
      <c r="E1012" s="13" t="s">
        <v>1271</v>
      </c>
      <c r="F1012" s="22">
        <f>COUNTIFS('Corrective Actions'!$E$4:$E$100003,"Incident Follow-up",'Corrective Actions'!$D$4:$D$100003,mCrit,'Corrective Actions'!$F$4:$F$100003,dCrit)</f>
        <v>0</v>
      </c>
      <c r="G1012" s="13" t="s">
        <v>147</v>
      </c>
      <c r="H1012" s="22">
        <f>COUNTIFS('Corrective Actions'!$I$4:$I$100003,"Medium",'Corrective Actions'!$D$4:$D$100003,mCrit,'Corrective Actions'!$F$4:$F$100003,dCrit)</f>
        <v>0</v>
      </c>
      <c r="J1012" s="13" t="s">
        <v>1266</v>
      </c>
      <c r="K1012" s="22">
        <f>COUNTIFS('Corrective Actions'!$N$4:$N$100003,"Cancelled",'Corrective Actions'!$D$4:$D$100003,mCrit,'Corrective Actions'!$F$4:$F$100003,dCrit)</f>
        <v>0</v>
      </c>
      <c r="M1012" s="13" t="s">
        <v>226</v>
      </c>
      <c r="N1012" s="22">
        <f>COUNTIFS('Corrective Actions'!$N$4:$N$100003,"In Progress",'Corrective Actions'!$D$4:$D$100003,mCrit,'Corrective Actions'!$F$4:$F$100003,dCrit)</f>
        <v>0</v>
      </c>
      <c r="P1012" s="13" t="s">
        <v>39</v>
      </c>
      <c r="Q1012" s="22">
        <f>COUNTIFS('Corrective Actions'!$D$4:$D$100003,mCrit,'Corrective Actions'!$F$4:$F$100003,"Engineering")</f>
        <v>0</v>
      </c>
      <c r="R1012" s="25">
        <f>IFERROR((COUNTIFS('Corrective Actions'!$N$4:$N$100003,"Completed",'Corrective Actions'!$D$4:$D$100003,mCrit,'Corrective Actions'!$F$4:$F$100003,"Engineering"))/COUNTIFS('Corrective Actions'!$D$4:$D$100003,mCrit,'Corrective Actions'!$F$4:$F$100003,"Engineering")*100,0)</f>
        <v>0</v>
      </c>
      <c r="S1012" s="22">
        <f>COUNTIFS('Corrective Actions'!$D$4:$D$100003,mCrit,'Corrective Actions'!$F$4:$F$100003,"Engineering")</f>
        <v>0</v>
      </c>
    </row>
    <row r="1013" spans="2:34">
      <c r="B1013" s="23" t="s">
        <v>53</v>
      </c>
      <c r="C1013" s="22">
        <f>COUNTIFS('Corrective Actions'!$D$4:$D$100003,"Apr",'Corrective Actions'!$F$4:$F$100003,dCrit)</f>
        <v>0</v>
      </c>
      <c r="E1013" s="13" t="s">
        <v>1279</v>
      </c>
      <c r="F1013" s="22">
        <f>COUNTIFS('Corrective Actions'!$E$4:$E$100003,"Observation",'Corrective Actions'!$D$4:$D$100003,mCrit,'Corrective Actions'!$F$4:$F$100003,dCrit)</f>
        <v>0</v>
      </c>
      <c r="G1013" s="13" t="s">
        <v>142</v>
      </c>
      <c r="H1013" s="22">
        <f>COUNTIFS('Corrective Actions'!$I$4:$I$100003,"Low",'Corrective Actions'!$D$4:$D$100003,mCrit,'Corrective Actions'!$F$4:$F$100003,dCrit)</f>
        <v>0</v>
      </c>
      <c r="J1013" s="13" t="s">
        <v>226</v>
      </c>
      <c r="K1013" s="22">
        <f>COUNTIFS('Corrective Actions'!$N$4:$N$100003,"In Progress",'Corrective Actions'!$D$4:$D$100003,mCrit,'Corrective Actions'!$F$4:$F$100003,dCrit)</f>
        <v>0</v>
      </c>
      <c r="M1013" s="13" t="s">
        <v>331</v>
      </c>
      <c r="N1013" s="22">
        <f>COUNTIFS('Corrective Actions'!$N$4:$N$100003,"Overdue",'Corrective Actions'!$D$4:$D$100003,mCrit,'Corrective Actions'!$F$4:$F$100003,dCrit)</f>
        <v>0</v>
      </c>
      <c r="P1013" s="13" t="s">
        <v>89</v>
      </c>
      <c r="Q1013" s="22">
        <f>COUNTIFS('Corrective Actions'!$D$4:$D$100003,mCrit,'Corrective Actions'!$F$4:$F$100003,"Construction")</f>
        <v>0</v>
      </c>
      <c r="R1013" s="25">
        <f>IFERROR((COUNTIFS('Corrective Actions'!$N$4:$N$100003,"Completed",'Corrective Actions'!$D$4:$D$100003,mCrit,'Corrective Actions'!$F$4:$F$100003,"Construction"))/COUNTIFS('Corrective Actions'!$D$4:$D$100003,mCrit,'Corrective Actions'!$F$4:$F$100003,"Construction")*100,0)</f>
        <v>0</v>
      </c>
      <c r="S1013" s="22">
        <f>COUNTIFS('Corrective Actions'!$D$4:$D$100003,mCrit,'Corrective Actions'!$F$4:$F$100003,"Construction")</f>
        <v>0</v>
      </c>
    </row>
    <row r="1014" spans="2:34">
      <c r="B1014" s="23" t="s">
        <v>60</v>
      </c>
      <c r="C1014" s="22">
        <f>COUNTIFS('Corrective Actions'!$D$4:$D$100003,"May",'Corrective Actions'!$F$4:$F$100003,dCrit)</f>
        <v>0</v>
      </c>
      <c r="E1014" s="13" t="s">
        <v>1269</v>
      </c>
      <c r="F1014" s="22">
        <f>COUNTIFS('Corrective Actions'!$E$4:$E$100003,"Drill Finding",'Corrective Actions'!$D$4:$D$100003,mCrit,'Corrective Actions'!$F$4:$F$100003,dCrit)</f>
        <v>0</v>
      </c>
      <c r="J1014" s="13" t="s">
        <v>331</v>
      </c>
      <c r="K1014" s="22">
        <f>COUNTIFS('Corrective Actions'!$N$4:$N$100003,"Overdue",'Corrective Actions'!$D$4:$D$100003,mCrit,'Corrective Actions'!$F$4:$F$100003,dCrit)</f>
        <v>0</v>
      </c>
      <c r="M1014" s="13" t="s">
        <v>2081</v>
      </c>
      <c r="N1014" s="25">
        <f>IFERROR((COUNTIFS('Corrective Actions'!$N$4:$N$100003,"Completed",'Corrective Actions'!$D$4:$D$100003,mCrit,'Corrective Actions'!$F$4:$F$100003,dCrit))/(COUNTIFS('Corrective Actions'!$D$4:$D$100003,mCrit,'Corrective Actions'!$F$4:$F$100003,dCrit))*100,0)</f>
        <v>0</v>
      </c>
      <c r="P1014" s="13" t="s">
        <v>65</v>
      </c>
      <c r="Q1014" s="22">
        <f>COUNTIFS('Corrective Actions'!$D$4:$D$100003,mCrit,'Corrective Actions'!$F$4:$F$100003,"Safety")</f>
        <v>0</v>
      </c>
      <c r="R1014" s="25">
        <f>IFERROR((COUNTIFS('Corrective Actions'!$N$4:$N$100003,"Completed",'Corrective Actions'!$D$4:$D$100003,mCrit,'Corrective Actions'!$F$4:$F$100003,"Safety"))/COUNTIFS('Corrective Actions'!$D$4:$D$100003,mCrit,'Corrective Actions'!$F$4:$F$100003,"Safety")*100,0)</f>
        <v>0</v>
      </c>
      <c r="S1014" s="22">
        <f>COUNTIFS('Corrective Actions'!$D$4:$D$100003,mCrit,'Corrective Actions'!$F$4:$F$100003,"Safety")</f>
        <v>0</v>
      </c>
    </row>
    <row r="1015" spans="2:34">
      <c r="B1015" s="23" t="s">
        <v>73</v>
      </c>
      <c r="C1015" s="22">
        <f>COUNTIFS('Corrective Actions'!$D$4:$D$100003,"Jun",'Corrective Actions'!$F$4:$F$100003,dCrit)</f>
        <v>0</v>
      </c>
      <c r="E1015" s="13" t="s">
        <v>1261</v>
      </c>
      <c r="F1015" s="22">
        <f>COUNTIFS('Corrective Actions'!$E$4:$E$100003,"Management Review",'Corrective Actions'!$D$4:$D$100003,mCrit,'Corrective Actions'!$F$4:$F$100003,dCrit)</f>
        <v>0</v>
      </c>
      <c r="M1015" s="13" t="s">
        <v>2093</v>
      </c>
      <c r="N1015" s="22">
        <f>COUNTIFS('Corrective Actions'!$I$4:$I$100003,"High",'Corrective Actions'!$D$4:$D$100003,mCrit,'Corrective Actions'!$F$4:$F$100003,dCrit)</f>
        <v>0</v>
      </c>
      <c r="P1015" s="13" t="s">
        <v>5</v>
      </c>
      <c r="Q1015" s="22">
        <f>COUNTIFS('Corrective Actions'!$D$4:$D$100003,mCrit,'Corrective Actions'!$F$4:$F$100003,"Logistics")</f>
        <v>0</v>
      </c>
      <c r="R1015" s="25">
        <f>IFERROR((COUNTIFS('Corrective Actions'!$N$4:$N$100003,"Completed",'Corrective Actions'!$D$4:$D$100003,mCrit,'Corrective Actions'!$F$4:$F$100003,"Logistics"))/COUNTIFS('Corrective Actions'!$D$4:$D$100003,mCrit,'Corrective Actions'!$F$4:$F$100003,"Logistics")*100,0)</f>
        <v>0</v>
      </c>
      <c r="S1015" s="22">
        <f>COUNTIFS('Corrective Actions'!$D$4:$D$100003,mCrit,'Corrective Actions'!$F$4:$F$100003,"Logistics")</f>
        <v>0</v>
      </c>
    </row>
    <row r="1016" spans="2:34">
      <c r="B1016" s="23" t="s">
        <v>76</v>
      </c>
      <c r="C1016" s="22">
        <f>COUNTIFS('Corrective Actions'!$D$4:$D$100003,"Jul",'Corrective Actions'!$F$4:$F$100003,dCrit)</f>
        <v>0</v>
      </c>
      <c r="M1016" s="13" t="s">
        <v>147</v>
      </c>
      <c r="N1016" s="22">
        <f>COUNTIFS('Corrective Actions'!$I$4:$I$100003,"Medium",'Corrective Actions'!$D$4:$D$100003,mCrit,'Corrective Actions'!$F$4:$F$100003,dCrit)</f>
        <v>0</v>
      </c>
      <c r="P1016" s="13" t="s">
        <v>50</v>
      </c>
      <c r="Q1016" s="22">
        <f>COUNTIFS('Corrective Actions'!$D$4:$D$100003,mCrit,'Corrective Actions'!$F$4:$F$100003,"Quality")</f>
        <v>0</v>
      </c>
      <c r="R1016" s="25">
        <f>IFERROR((COUNTIFS('Corrective Actions'!$N$4:$N$100003,"Completed",'Corrective Actions'!$D$4:$D$100003,mCrit,'Corrective Actions'!$F$4:$F$100003,"Quality"))/COUNTIFS('Corrective Actions'!$D$4:$D$100003,mCrit,'Corrective Actions'!$F$4:$F$100003,"Quality")*100,0)</f>
        <v>0</v>
      </c>
      <c r="S1016" s="22">
        <f>COUNTIFS('Corrective Actions'!$D$4:$D$100003,mCrit,'Corrective Actions'!$F$4:$F$100003,"Quality")</f>
        <v>0</v>
      </c>
    </row>
    <row r="1017" spans="2:34">
      <c r="B1017" s="23" t="s">
        <v>86</v>
      </c>
      <c r="C1017" s="22">
        <f>COUNTIFS('Corrective Actions'!$D$4:$D$100003,"Aug",'Corrective Actions'!$F$4:$F$100003,dCrit)</f>
        <v>0</v>
      </c>
      <c r="M1017" s="13" t="s">
        <v>142</v>
      </c>
      <c r="N1017" s="22">
        <f>COUNTIFS('Corrective Actions'!$I$4:$I$100003,"Low",'Corrective Actions'!$D$4:$D$100003,mCrit,'Corrective Actions'!$F$4:$F$100003,dCrit)</f>
        <v>0</v>
      </c>
      <c r="P1017" s="13" t="s">
        <v>46</v>
      </c>
      <c r="Q1017" s="22">
        <f>COUNTIFS('Corrective Actions'!$D$4:$D$100003,mCrit,'Corrective Actions'!$F$4:$F$100003,"Admin")</f>
        <v>0</v>
      </c>
      <c r="R1017" s="25">
        <f>IFERROR((COUNTIFS('Corrective Actions'!$N$4:$N$100003,"Completed",'Corrective Actions'!$D$4:$D$100003,mCrit,'Corrective Actions'!$F$4:$F$100003,"Admin"))/COUNTIFS('Corrective Actions'!$D$4:$D$100003,mCrit,'Corrective Actions'!$F$4:$F$100003,"Admin")*100,0)</f>
        <v>0</v>
      </c>
      <c r="S1017" s="22">
        <f>COUNTIFS('Corrective Actions'!$D$4:$D$100003,mCrit,'Corrective Actions'!$F$4:$F$100003,"Admin")</f>
        <v>0</v>
      </c>
    </row>
    <row r="1018" spans="2:34">
      <c r="B1018" s="23" t="s">
        <v>102</v>
      </c>
      <c r="C1018" s="22">
        <f>COUNTIFS('Corrective Actions'!$D$4:$D$100003,"Sep",'Corrective Actions'!$F$4:$F$100003,dCrit)</f>
        <v>0</v>
      </c>
      <c r="P1018" s="13" t="s">
        <v>13</v>
      </c>
      <c r="Q1018" s="22">
        <f>COUNTIFS('Corrective Actions'!$D$4:$D$100003,mCrit,'Corrective Actions'!$F$4:$F$100003,"Projects")</f>
        <v>0</v>
      </c>
      <c r="R1018" s="25">
        <f>IFERROR((COUNTIFS('Corrective Actions'!$N$4:$N$100003,"Completed",'Corrective Actions'!$D$4:$D$100003,mCrit,'Corrective Actions'!$F$4:$F$100003,"Projects"))/COUNTIFS('Corrective Actions'!$D$4:$D$100003,mCrit,'Corrective Actions'!$F$4:$F$100003,"Projects")*100,0)</f>
        <v>0</v>
      </c>
      <c r="S1018" s="22">
        <f>COUNTIFS('Corrective Actions'!$D$4:$D$100003,mCrit,'Corrective Actions'!$F$4:$F$100003,"Projects")</f>
        <v>0</v>
      </c>
    </row>
    <row r="1019" spans="2:34">
      <c r="B1019" s="23" t="s">
        <v>106</v>
      </c>
      <c r="C1019" s="22">
        <f>COUNTIFS('Corrective Actions'!$D$4:$D$100003,"Oct",'Corrective Actions'!$F$4:$F$100003,dCrit)</f>
        <v>0</v>
      </c>
      <c r="P1019" s="13" t="s">
        <v>58</v>
      </c>
      <c r="Q1019" s="22">
        <f>COUNTIFS('Corrective Actions'!$D$4:$D$100003,mCrit,'Corrective Actions'!$F$4:$F$100003,"Contractor")</f>
        <v>0</v>
      </c>
      <c r="R1019" s="25">
        <f>IFERROR((COUNTIFS('Corrective Actions'!$N$4:$N$100003,"Completed",'Corrective Actions'!$D$4:$D$100003,mCrit,'Corrective Actions'!$F$4:$F$100003,"Contractor"))/COUNTIFS('Corrective Actions'!$D$4:$D$100003,mCrit,'Corrective Actions'!$F$4:$F$100003,"Contractor")*100,0)</f>
        <v>0</v>
      </c>
      <c r="S1019" s="22">
        <f>COUNTIFS('Corrective Actions'!$D$4:$D$100003,mCrit,'Corrective Actions'!$F$4:$F$100003,"Contractor")</f>
        <v>0</v>
      </c>
    </row>
    <row r="1020" spans="2:34">
      <c r="B1020" s="23" t="s">
        <v>111</v>
      </c>
      <c r="C1020" s="22">
        <f>COUNTIFS('Corrective Actions'!$D$4:$D$100003,"Nov",'Corrective Actions'!$F$4:$F$100003,dCrit)</f>
        <v>0</v>
      </c>
    </row>
    <row r="1021" spans="2:34">
      <c r="B1021" s="23" t="s">
        <v>122</v>
      </c>
      <c r="C1021" s="22">
        <f>COUNTIFS('Corrective Actions'!$D$4:$D$100003,"Dec",'Corrective Actions'!$F$4:$F$100003,dCrit)</f>
        <v>0</v>
      </c>
    </row>
    <row r="1034" spans="2:34">
      <c r="B1034" s="17" t="s">
        <v>2137</v>
      </c>
    </row>
    <row r="1035" spans="2:34">
      <c r="B1035" s="12" t="s">
        <v>127</v>
      </c>
      <c r="C1035" s="12" t="s">
        <v>1965</v>
      </c>
      <c r="E1035" s="12" t="s">
        <v>1134</v>
      </c>
      <c r="F1035" s="12" t="s">
        <v>1965</v>
      </c>
      <c r="G1035" s="12" t="s">
        <v>1317</v>
      </c>
      <c r="H1035" s="12" t="s">
        <v>1965</v>
      </c>
      <c r="J1035" s="12" t="s">
        <v>288</v>
      </c>
      <c r="K1035" s="12" t="s">
        <v>1965</v>
      </c>
      <c r="M1035" s="12" t="s">
        <v>1927</v>
      </c>
      <c r="N1035" s="12" t="s">
        <v>2039</v>
      </c>
      <c r="P1035" s="12" t="s">
        <v>129</v>
      </c>
      <c r="Q1035" s="12" t="s">
        <v>1965</v>
      </c>
      <c r="R1035" s="12" t="s">
        <v>2071</v>
      </c>
      <c r="S1035" s="12" t="s">
        <v>1770</v>
      </c>
      <c r="U1035" s="12" t="s">
        <v>2038</v>
      </c>
      <c r="V1035" s="12" t="s">
        <v>3</v>
      </c>
      <c r="W1035" s="12" t="s">
        <v>19</v>
      </c>
      <c r="X1035" s="12" t="s">
        <v>44</v>
      </c>
      <c r="Y1035" s="12" t="s">
        <v>53</v>
      </c>
      <c r="Z1035" s="12" t="s">
        <v>60</v>
      </c>
      <c r="AA1035" s="12" t="s">
        <v>73</v>
      </c>
      <c r="AB1035" s="12" t="s">
        <v>76</v>
      </c>
      <c r="AC1035" s="12" t="s">
        <v>86</v>
      </c>
      <c r="AD1035" s="12" t="s">
        <v>102</v>
      </c>
      <c r="AE1035" s="12" t="s">
        <v>106</v>
      </c>
      <c r="AF1035" s="12" t="s">
        <v>111</v>
      </c>
      <c r="AG1035" s="12" t="s">
        <v>122</v>
      </c>
      <c r="AH1035" s="12" t="s">
        <v>2063</v>
      </c>
    </row>
    <row r="1036" spans="2:34">
      <c r="B1036" s="23" t="s">
        <v>3</v>
      </c>
      <c r="C1036" s="22">
        <f>COUNTIFS('NC Management'!$D$4:$D$100003,"Jan",'NC Management'!$G$4:$G$100003,dCrit)</f>
        <v>0</v>
      </c>
      <c r="E1036" s="13" t="s">
        <v>151</v>
      </c>
      <c r="F1036" s="22">
        <f>COUNTIFS('NC Management'!$F$4:$F$100003,"Critical",'NC Management'!$D$4:$D$100003,mCrit,'NC Management'!$G$4:$G$100003,dCrit)</f>
        <v>0</v>
      </c>
      <c r="G1036" s="13" t="s">
        <v>1263</v>
      </c>
      <c r="H1036" s="22">
        <f>COUNTIFS('NC Management'!$E$4:$E$100003,"Audit Finding",'NC Management'!$D$4:$D$100003,mCrit,'NC Management'!$G$4:$G$100003,dCrit)</f>
        <v>0</v>
      </c>
      <c r="J1036" s="13" t="s">
        <v>582</v>
      </c>
      <c r="K1036" s="22">
        <f>COUNTIFS('NC Management'!$M$4:$M$100003,"Closed",'NC Management'!$D$4:$D$100003,mCrit,'NC Management'!$G$4:$G$100003,dCrit)</f>
        <v>0</v>
      </c>
      <c r="M1036" s="13" t="s">
        <v>2138</v>
      </c>
      <c r="N1036" s="22">
        <f>COUNTIFS('NC Management'!$D$4:$D$100003,mCrit,'NC Management'!$G$4:$G$100003,dCrit)</f>
        <v>0</v>
      </c>
      <c r="P1036" s="13" t="s">
        <v>27</v>
      </c>
      <c r="Q1036" s="22">
        <f>COUNTIFS('NC Management'!$D$4:$D$100003,mCrit,'NC Management'!$G$4:$G$100003,"Operations")</f>
        <v>0</v>
      </c>
      <c r="R1036" s="25">
        <f>IFERROR((COUNTIFS('NC Management'!$M$4:$M$100003,"Closed",'NC Management'!$D$4:$D$100003,mCrit,'NC Management'!$G$4:$G$100003,"Operations"))/COUNTIFS('NC Management'!$D$4:$D$100003,mCrit,'NC Management'!$G$4:$G$100003,"Operations")*100,0)</f>
        <v>0</v>
      </c>
      <c r="S1036" s="22">
        <f>COUNTIFS('NC Management'!$D$4:$D$100003,mCrit,'NC Management'!$G$4:$G$100003,"Operations")</f>
        <v>0</v>
      </c>
      <c r="U1036" s="13" t="s">
        <v>1770</v>
      </c>
      <c r="V1036" s="22">
        <f>COUNTIFS('NC Management'!$D$4:$D$100003,"Jan",'NC Management'!$G$4:$G$100003,dCrit)</f>
        <v>0</v>
      </c>
      <c r="W1036" s="22">
        <f>COUNTIFS('NC Management'!$D$4:$D$100003,"Feb",'NC Management'!$G$4:$G$100003,dCrit)</f>
        <v>0</v>
      </c>
      <c r="X1036" s="22">
        <f>COUNTIFS('NC Management'!$D$4:$D$100003,"Mar",'NC Management'!$G$4:$G$100003,dCrit)</f>
        <v>0</v>
      </c>
      <c r="Y1036" s="22">
        <f>COUNTIFS('NC Management'!$D$4:$D$100003,"Apr",'NC Management'!$G$4:$G$100003,dCrit)</f>
        <v>0</v>
      </c>
      <c r="Z1036" s="22">
        <f>COUNTIFS('NC Management'!$D$4:$D$100003,"May",'NC Management'!$G$4:$G$100003,dCrit)</f>
        <v>0</v>
      </c>
      <c r="AA1036" s="22">
        <f>COUNTIFS('NC Management'!$D$4:$D$100003,"Jun",'NC Management'!$G$4:$G$100003,dCrit)</f>
        <v>0</v>
      </c>
      <c r="AB1036" s="22">
        <f>COUNTIFS('NC Management'!$D$4:$D$100003,"Jul",'NC Management'!$G$4:$G$100003,dCrit)</f>
        <v>0</v>
      </c>
      <c r="AC1036" s="22">
        <f>COUNTIFS('NC Management'!$D$4:$D$100003,"Aug",'NC Management'!$G$4:$G$100003,dCrit)</f>
        <v>0</v>
      </c>
      <c r="AD1036" s="22">
        <f>COUNTIFS('NC Management'!$D$4:$D$100003,"Sep",'NC Management'!$G$4:$G$100003,dCrit)</f>
        <v>0</v>
      </c>
      <c r="AE1036" s="22">
        <f>COUNTIFS('NC Management'!$D$4:$D$100003,"Oct",'NC Management'!$G$4:$G$100003,dCrit)</f>
        <v>0</v>
      </c>
      <c r="AF1036" s="22">
        <f>COUNTIFS('NC Management'!$D$4:$D$100003,"Nov",'NC Management'!$G$4:$G$100003,dCrit)</f>
        <v>0</v>
      </c>
      <c r="AG1036" s="22">
        <f>COUNTIFS('NC Management'!$D$4:$D$100003,"Dec",'NC Management'!$G$4:$G$100003,dCrit)</f>
        <v>0</v>
      </c>
      <c r="AH1036" s="22">
        <f>SUM(V1036:AG1036)</f>
        <v>0</v>
      </c>
    </row>
    <row r="1037" spans="2:34">
      <c r="B1037" s="23" t="s">
        <v>19</v>
      </c>
      <c r="C1037" s="22">
        <f>COUNTIFS('NC Management'!$D$4:$D$100003,"Feb",'NC Management'!$G$4:$G$100003,dCrit)</f>
        <v>0</v>
      </c>
      <c r="E1037" s="13" t="s">
        <v>164</v>
      </c>
      <c r="F1037" s="22">
        <f>COUNTIFS('NC Management'!$F$4:$F$100003,"High",'NC Management'!$D$4:$D$100003,mCrit,'NC Management'!$G$4:$G$100003,dCrit)</f>
        <v>0</v>
      </c>
      <c r="G1037" s="13" t="s">
        <v>1265</v>
      </c>
      <c r="H1037" s="22">
        <f>COUNTIFS('NC Management'!$E$4:$E$100003,"Inspection Finding",'NC Management'!$D$4:$D$100003,mCrit,'NC Management'!$G$4:$G$100003,dCrit)</f>
        <v>0</v>
      </c>
      <c r="J1037" s="13" t="s">
        <v>1144</v>
      </c>
      <c r="K1037" s="22">
        <f>COUNTIFS('NC Management'!$M$4:$M$100003,"Open",'NC Management'!$D$4:$D$100003,mCrit,'NC Management'!$G$4:$G$100003,dCrit)</f>
        <v>0</v>
      </c>
      <c r="M1037" s="13" t="s">
        <v>582</v>
      </c>
      <c r="N1037" s="22">
        <f>COUNTIFS('NC Management'!$M$4:$M$100003,"Closed",'NC Management'!$D$4:$D$100003,mCrit,'NC Management'!$G$4:$G$100003,dCrit)</f>
        <v>0</v>
      </c>
      <c r="P1037" s="13" t="s">
        <v>92</v>
      </c>
      <c r="Q1037" s="22">
        <f>COUNTIFS('NC Management'!$D$4:$D$100003,mCrit,'NC Management'!$G$4:$G$100003,"Maintenance")</f>
        <v>0</v>
      </c>
      <c r="R1037" s="25">
        <f>IFERROR((COUNTIFS('NC Management'!$M$4:$M$100003,"Closed",'NC Management'!$D$4:$D$100003,mCrit,'NC Management'!$G$4:$G$100003,"Maintenance"))/COUNTIFS('NC Management'!$D$4:$D$100003,mCrit,'NC Management'!$G$4:$G$100003,"Maintenance")*100,0)</f>
        <v>0</v>
      </c>
      <c r="S1037" s="22">
        <f>COUNTIFS('NC Management'!$D$4:$D$100003,mCrit,'NC Management'!$G$4:$G$100003,"Maintenance")</f>
        <v>0</v>
      </c>
      <c r="U1037" s="13" t="s">
        <v>2072</v>
      </c>
      <c r="V1037" s="25">
        <f>IFERROR((COUNTIFS('NC Management'!$M$4:$M$100003,"Closed",'NC Management'!$D$4:$D$100003,"Jan",'NC Management'!$G$4:$G$100003,dCrit))/COUNTIFS('NC Management'!$D$4:$D$100003,"Jan",'NC Management'!$G$4:$G$100003,dCrit)*100,0)</f>
        <v>0</v>
      </c>
      <c r="W1037" s="25">
        <f>IFERROR((COUNTIFS('NC Management'!$M$4:$M$100003,"Closed",'NC Management'!$D$4:$D$100003,"Feb",'NC Management'!$G$4:$G$100003,dCrit))/COUNTIFS('NC Management'!$D$4:$D$100003,"Feb",'NC Management'!$G$4:$G$100003,dCrit)*100,0)</f>
        <v>0</v>
      </c>
      <c r="X1037" s="25">
        <f>IFERROR((COUNTIFS('NC Management'!$M$4:$M$100003,"Closed",'NC Management'!$D$4:$D$100003,"Mar",'NC Management'!$G$4:$G$100003,dCrit))/COUNTIFS('NC Management'!$D$4:$D$100003,"Mar",'NC Management'!$G$4:$G$100003,dCrit)*100,0)</f>
        <v>0</v>
      </c>
      <c r="Y1037" s="25">
        <f>IFERROR((COUNTIFS('NC Management'!$M$4:$M$100003,"Closed",'NC Management'!$D$4:$D$100003,"Apr",'NC Management'!$G$4:$G$100003,dCrit))/COUNTIFS('NC Management'!$D$4:$D$100003,"Apr",'NC Management'!$G$4:$G$100003,dCrit)*100,0)</f>
        <v>0</v>
      </c>
      <c r="Z1037" s="25">
        <f>IFERROR((COUNTIFS('NC Management'!$M$4:$M$100003,"Closed",'NC Management'!$D$4:$D$100003,"May",'NC Management'!$G$4:$G$100003,dCrit))/COUNTIFS('NC Management'!$D$4:$D$100003,"May",'NC Management'!$G$4:$G$100003,dCrit)*100,0)</f>
        <v>0</v>
      </c>
      <c r="AA1037" s="25">
        <f>IFERROR((COUNTIFS('NC Management'!$M$4:$M$100003,"Closed",'NC Management'!$D$4:$D$100003,"Jun",'NC Management'!$G$4:$G$100003,dCrit))/COUNTIFS('NC Management'!$D$4:$D$100003,"Jun",'NC Management'!$G$4:$G$100003,dCrit)*100,0)</f>
        <v>0</v>
      </c>
      <c r="AB1037" s="25">
        <f>IFERROR((COUNTIFS('NC Management'!$M$4:$M$100003,"Closed",'NC Management'!$D$4:$D$100003,"Jul",'NC Management'!$G$4:$G$100003,dCrit))/COUNTIFS('NC Management'!$D$4:$D$100003,"Jul",'NC Management'!$G$4:$G$100003,dCrit)*100,0)</f>
        <v>0</v>
      </c>
      <c r="AC1037" s="25">
        <f>IFERROR((COUNTIFS('NC Management'!$M$4:$M$100003,"Closed",'NC Management'!$D$4:$D$100003,"Aug",'NC Management'!$G$4:$G$100003,dCrit))/COUNTIFS('NC Management'!$D$4:$D$100003,"Aug",'NC Management'!$G$4:$G$100003,dCrit)*100,0)</f>
        <v>0</v>
      </c>
      <c r="AD1037" s="25">
        <f>IFERROR((COUNTIFS('NC Management'!$M$4:$M$100003,"Closed",'NC Management'!$D$4:$D$100003,"Sep",'NC Management'!$G$4:$G$100003,dCrit))/COUNTIFS('NC Management'!$D$4:$D$100003,"Sep",'NC Management'!$G$4:$G$100003,dCrit)*100,0)</f>
        <v>0</v>
      </c>
      <c r="AE1037" s="25">
        <f>IFERROR((COUNTIFS('NC Management'!$M$4:$M$100003,"Closed",'NC Management'!$D$4:$D$100003,"Oct",'NC Management'!$G$4:$G$100003,dCrit))/COUNTIFS('NC Management'!$D$4:$D$100003,"Oct",'NC Management'!$G$4:$G$100003,dCrit)*100,0)</f>
        <v>0</v>
      </c>
      <c r="AF1037" s="25">
        <f>IFERROR((COUNTIFS('NC Management'!$M$4:$M$100003,"Closed",'NC Management'!$D$4:$D$100003,"Nov",'NC Management'!$G$4:$G$100003,dCrit))/COUNTIFS('NC Management'!$D$4:$D$100003,"Nov",'NC Management'!$G$4:$G$100003,dCrit)*100,0)</f>
        <v>0</v>
      </c>
      <c r="AG1037" s="25">
        <f>IFERROR((COUNTIFS('NC Management'!$M$4:$M$100003,"Closed",'NC Management'!$D$4:$D$100003,"Dec",'NC Management'!$G$4:$G$100003,dCrit))/COUNTIFS('NC Management'!$D$4:$D$100003,"Dec",'NC Management'!$G$4:$G$100003,dCrit)*100,0)</f>
        <v>0</v>
      </c>
      <c r="AH1037" s="25">
        <f>IFERROR(AVERAGE(V1037:AG1037),0)</f>
        <v>0</v>
      </c>
    </row>
    <row r="1038" spans="2:34">
      <c r="B1038" s="23" t="s">
        <v>44</v>
      </c>
      <c r="C1038" s="22">
        <f>COUNTIFS('NC Management'!$D$4:$D$100003,"Mar",'NC Management'!$G$4:$G$100003,dCrit)</f>
        <v>0</v>
      </c>
      <c r="E1038" s="13" t="s">
        <v>147</v>
      </c>
      <c r="F1038" s="22">
        <f>COUNTIFS('NC Management'!$F$4:$F$100003,"Medium",'NC Management'!$D$4:$D$100003,mCrit,'NC Management'!$G$4:$G$100003,dCrit)</f>
        <v>0</v>
      </c>
      <c r="G1038" s="13" t="s">
        <v>1271</v>
      </c>
      <c r="H1038" s="22">
        <f>COUNTIFS('NC Management'!$E$4:$E$100003,"Incident Follow-up",'NC Management'!$D$4:$D$100003,mCrit,'NC Management'!$G$4:$G$100003,dCrit)</f>
        <v>0</v>
      </c>
      <c r="J1038" s="13" t="s">
        <v>949</v>
      </c>
      <c r="K1038" s="22">
        <f>COUNTIFS('NC Management'!$M$4:$M$100003,"Under Review",'NC Management'!$D$4:$D$100003,mCrit,'NC Management'!$G$4:$G$100003,dCrit)</f>
        <v>0</v>
      </c>
      <c r="M1038" s="13" t="s">
        <v>1144</v>
      </c>
      <c r="N1038" s="22">
        <f>COUNTIFS('NC Management'!$M$4:$M$100003,"Open",'NC Management'!$D$4:$D$100003,mCrit,'NC Management'!$G$4:$G$100003,dCrit)</f>
        <v>0</v>
      </c>
      <c r="P1038" s="13" t="s">
        <v>39</v>
      </c>
      <c r="Q1038" s="22">
        <f>COUNTIFS('NC Management'!$D$4:$D$100003,mCrit,'NC Management'!$G$4:$G$100003,"Engineering")</f>
        <v>0</v>
      </c>
      <c r="R1038" s="25">
        <f>IFERROR((COUNTIFS('NC Management'!$M$4:$M$100003,"Closed",'NC Management'!$D$4:$D$100003,mCrit,'NC Management'!$G$4:$G$100003,"Engineering"))/COUNTIFS('NC Management'!$D$4:$D$100003,mCrit,'NC Management'!$G$4:$G$100003,"Engineering")*100,0)</f>
        <v>0</v>
      </c>
      <c r="S1038" s="22">
        <f>COUNTIFS('NC Management'!$D$4:$D$100003,mCrit,'NC Management'!$G$4:$G$100003,"Engineering")</f>
        <v>0</v>
      </c>
    </row>
    <row r="1039" spans="2:34">
      <c r="B1039" s="23" t="s">
        <v>53</v>
      </c>
      <c r="C1039" s="22">
        <f>COUNTIFS('NC Management'!$D$4:$D$100003,"Apr",'NC Management'!$G$4:$G$100003,dCrit)</f>
        <v>0</v>
      </c>
      <c r="E1039" s="13" t="s">
        <v>142</v>
      </c>
      <c r="F1039" s="22">
        <f>COUNTIFS('NC Management'!$F$4:$F$100003,"Low",'NC Management'!$D$4:$D$100003,mCrit,'NC Management'!$G$4:$G$100003,dCrit)</f>
        <v>0</v>
      </c>
      <c r="G1039" s="13" t="s">
        <v>1279</v>
      </c>
      <c r="H1039" s="22">
        <f>COUNTIFS('NC Management'!$E$4:$E$100003,"Observation",'NC Management'!$D$4:$D$100003,mCrit,'NC Management'!$G$4:$G$100003,dCrit)</f>
        <v>0</v>
      </c>
      <c r="J1039" s="13" t="s">
        <v>331</v>
      </c>
      <c r="K1039" s="22">
        <f>COUNTIFS('NC Management'!$M$4:$M$100003,"Overdue",'NC Management'!$D$4:$D$100003,mCrit,'NC Management'!$G$4:$G$100003,dCrit)</f>
        <v>0</v>
      </c>
      <c r="M1039" s="13" t="s">
        <v>331</v>
      </c>
      <c r="N1039" s="22">
        <f>COUNTIFS('NC Management'!$M$4:$M$100003,"Overdue",'NC Management'!$D$4:$D$100003,mCrit,'NC Management'!$G$4:$G$100003,dCrit)</f>
        <v>0</v>
      </c>
      <c r="P1039" s="13" t="s">
        <v>89</v>
      </c>
      <c r="Q1039" s="22">
        <f>COUNTIFS('NC Management'!$D$4:$D$100003,mCrit,'NC Management'!$G$4:$G$100003,"Construction")</f>
        <v>0</v>
      </c>
      <c r="R1039" s="25">
        <f>IFERROR((COUNTIFS('NC Management'!$M$4:$M$100003,"Closed",'NC Management'!$D$4:$D$100003,mCrit,'NC Management'!$G$4:$G$100003,"Construction"))/COUNTIFS('NC Management'!$D$4:$D$100003,mCrit,'NC Management'!$G$4:$G$100003,"Construction")*100,0)</f>
        <v>0</v>
      </c>
      <c r="S1039" s="22">
        <f>COUNTIFS('NC Management'!$D$4:$D$100003,mCrit,'NC Management'!$G$4:$G$100003,"Construction")</f>
        <v>0</v>
      </c>
    </row>
    <row r="1040" spans="2:34">
      <c r="B1040" s="23" t="s">
        <v>60</v>
      </c>
      <c r="C1040" s="22">
        <f>COUNTIFS('NC Management'!$D$4:$D$100003,"May",'NC Management'!$G$4:$G$100003,dCrit)</f>
        <v>0</v>
      </c>
      <c r="G1040" s="13" t="s">
        <v>1269</v>
      </c>
      <c r="H1040" s="22">
        <f>COUNTIFS('NC Management'!$E$4:$E$100003,"Drill Finding",'NC Management'!$D$4:$D$100003,mCrit,'NC Management'!$G$4:$G$100003,dCrit)</f>
        <v>0</v>
      </c>
      <c r="M1040" s="13" t="s">
        <v>2139</v>
      </c>
      <c r="N1040" s="25">
        <f>IFERROR((COUNTIFS('NC Management'!$M$4:$M$100003,"Closed",'NC Management'!$D$4:$D$100003,mCrit,'NC Management'!$G$4:$G$100003,dCrit))/(COUNTIFS('NC Management'!$D$4:$D$100003,mCrit,'NC Management'!$G$4:$G$100003,dCrit))*100,0)</f>
        <v>0</v>
      </c>
      <c r="P1040" s="13" t="s">
        <v>65</v>
      </c>
      <c r="Q1040" s="22">
        <f>COUNTIFS('NC Management'!$D$4:$D$100003,mCrit,'NC Management'!$G$4:$G$100003,"Safety")</f>
        <v>0</v>
      </c>
      <c r="R1040" s="25">
        <f>IFERROR((COUNTIFS('NC Management'!$M$4:$M$100003,"Closed",'NC Management'!$D$4:$D$100003,mCrit,'NC Management'!$G$4:$G$100003,"Safety"))/COUNTIFS('NC Management'!$D$4:$D$100003,mCrit,'NC Management'!$G$4:$G$100003,"Safety")*100,0)</f>
        <v>0</v>
      </c>
      <c r="S1040" s="22">
        <f>COUNTIFS('NC Management'!$D$4:$D$100003,mCrit,'NC Management'!$G$4:$G$100003,"Safety")</f>
        <v>0</v>
      </c>
    </row>
    <row r="1041" spans="2:19">
      <c r="B1041" s="23" t="s">
        <v>73</v>
      </c>
      <c r="C1041" s="22">
        <f>COUNTIFS('NC Management'!$D$4:$D$100003,"Jun",'NC Management'!$G$4:$G$100003,dCrit)</f>
        <v>0</v>
      </c>
      <c r="G1041" s="13" t="s">
        <v>1261</v>
      </c>
      <c r="H1041" s="22">
        <f>COUNTIFS('NC Management'!$E$4:$E$100003,"Management Review",'NC Management'!$D$4:$D$100003,mCrit,'NC Management'!$G$4:$G$100003,dCrit)</f>
        <v>0</v>
      </c>
      <c r="M1041" s="13" t="s">
        <v>1324</v>
      </c>
      <c r="N1041" s="22">
        <f>COUNTIFS('NC Management'!$F$4:$F$100003,"Major",'NC Management'!$D$4:$D$100003,mCrit,'NC Management'!$G$4:$G$100003,dCrit)</f>
        <v>0</v>
      </c>
      <c r="P1041" s="13" t="s">
        <v>5</v>
      </c>
      <c r="Q1041" s="22">
        <f>COUNTIFS('NC Management'!$D$4:$D$100003,mCrit,'NC Management'!$G$4:$G$100003,"Logistics")</f>
        <v>0</v>
      </c>
      <c r="R1041" s="25">
        <f>IFERROR((COUNTIFS('NC Management'!$M$4:$M$100003,"Closed",'NC Management'!$D$4:$D$100003,mCrit,'NC Management'!$G$4:$G$100003,"Logistics"))/COUNTIFS('NC Management'!$D$4:$D$100003,mCrit,'NC Management'!$G$4:$G$100003,"Logistics")*100,0)</f>
        <v>0</v>
      </c>
      <c r="S1041" s="22">
        <f>COUNTIFS('NC Management'!$D$4:$D$100003,mCrit,'NC Management'!$G$4:$G$100003,"Logistics")</f>
        <v>0</v>
      </c>
    </row>
    <row r="1042" spans="2:19">
      <c r="B1042" s="23" t="s">
        <v>76</v>
      </c>
      <c r="C1042" s="22">
        <f>COUNTIFS('NC Management'!$D$4:$D$100003,"Jul",'NC Management'!$G$4:$G$100003,dCrit)</f>
        <v>0</v>
      </c>
      <c r="M1042" s="13" t="s">
        <v>1329</v>
      </c>
      <c r="N1042" s="22">
        <f>COUNTIFS('NC Management'!$F$4:$F$100003,"Minor",'NC Management'!$D$4:$D$100003,mCrit,'NC Management'!$G$4:$G$100003,dCrit)</f>
        <v>0</v>
      </c>
      <c r="P1042" s="13" t="s">
        <v>50</v>
      </c>
      <c r="Q1042" s="22">
        <f>COUNTIFS('NC Management'!$D$4:$D$100003,mCrit,'NC Management'!$G$4:$G$100003,"Quality")</f>
        <v>0</v>
      </c>
      <c r="R1042" s="25">
        <f>IFERROR((COUNTIFS('NC Management'!$M$4:$M$100003,"Closed",'NC Management'!$D$4:$D$100003,mCrit,'NC Management'!$G$4:$G$100003,"Quality"))/COUNTIFS('NC Management'!$D$4:$D$100003,mCrit,'NC Management'!$G$4:$G$100003,"Quality")*100,0)</f>
        <v>0</v>
      </c>
      <c r="S1042" s="22">
        <f>COUNTIFS('NC Management'!$D$4:$D$100003,mCrit,'NC Management'!$G$4:$G$100003,"Quality")</f>
        <v>0</v>
      </c>
    </row>
    <row r="1043" spans="2:19">
      <c r="B1043" s="23" t="s">
        <v>86</v>
      </c>
      <c r="C1043" s="22">
        <f>COUNTIFS('NC Management'!$D$4:$D$100003,"Aug",'NC Management'!$G$4:$G$100003,dCrit)</f>
        <v>0</v>
      </c>
      <c r="M1043" s="13" t="s">
        <v>779</v>
      </c>
      <c r="N1043" s="22">
        <f>COUNTIFS('NC Management'!$F$4:$F$100003,"Observation",'NC Management'!$D$4:$D$100003,mCrit,'NC Management'!$G$4:$G$100003,dCrit)</f>
        <v>0</v>
      </c>
      <c r="P1043" s="13" t="s">
        <v>46</v>
      </c>
      <c r="Q1043" s="22">
        <f>COUNTIFS('NC Management'!$D$4:$D$100003,mCrit,'NC Management'!$G$4:$G$100003,"Admin")</f>
        <v>0</v>
      </c>
      <c r="R1043" s="25">
        <f>IFERROR((COUNTIFS('NC Management'!$M$4:$M$100003,"Closed",'NC Management'!$D$4:$D$100003,mCrit,'NC Management'!$G$4:$G$100003,"Admin"))/COUNTIFS('NC Management'!$D$4:$D$100003,mCrit,'NC Management'!$G$4:$G$100003,"Admin")*100,0)</f>
        <v>0</v>
      </c>
      <c r="S1043" s="22">
        <f>COUNTIFS('NC Management'!$D$4:$D$100003,mCrit,'NC Management'!$G$4:$G$100003,"Admin")</f>
        <v>0</v>
      </c>
    </row>
    <row r="1044" spans="2:19">
      <c r="B1044" s="23" t="s">
        <v>102</v>
      </c>
      <c r="C1044" s="22">
        <f>COUNTIFS('NC Management'!$D$4:$D$100003,"Sep",'NC Management'!$G$4:$G$100003,dCrit)</f>
        <v>0</v>
      </c>
      <c r="P1044" s="13" t="s">
        <v>13</v>
      </c>
      <c r="Q1044" s="22">
        <f>COUNTIFS('NC Management'!$D$4:$D$100003,mCrit,'NC Management'!$G$4:$G$100003,"Projects")</f>
        <v>0</v>
      </c>
      <c r="R1044" s="25">
        <f>IFERROR((COUNTIFS('NC Management'!$M$4:$M$100003,"Closed",'NC Management'!$D$4:$D$100003,mCrit,'NC Management'!$G$4:$G$100003,"Projects"))/COUNTIFS('NC Management'!$D$4:$D$100003,mCrit,'NC Management'!$G$4:$G$100003,"Projects")*100,0)</f>
        <v>0</v>
      </c>
      <c r="S1044" s="22">
        <f>COUNTIFS('NC Management'!$D$4:$D$100003,mCrit,'NC Management'!$G$4:$G$100003,"Projects")</f>
        <v>0</v>
      </c>
    </row>
    <row r="1045" spans="2:19">
      <c r="B1045" s="23" t="s">
        <v>106</v>
      </c>
      <c r="C1045" s="22">
        <f>COUNTIFS('NC Management'!$D$4:$D$100003,"Oct",'NC Management'!$G$4:$G$100003,dCrit)</f>
        <v>0</v>
      </c>
      <c r="P1045" s="13" t="s">
        <v>58</v>
      </c>
      <c r="Q1045" s="22">
        <f>COUNTIFS('NC Management'!$D$4:$D$100003,mCrit,'NC Management'!$G$4:$G$100003,"Contractor")</f>
        <v>0</v>
      </c>
      <c r="R1045" s="25">
        <f>IFERROR((COUNTIFS('NC Management'!$M$4:$M$100003,"Closed",'NC Management'!$D$4:$D$100003,mCrit,'NC Management'!$G$4:$G$100003,"Contractor"))/COUNTIFS('NC Management'!$D$4:$D$100003,mCrit,'NC Management'!$G$4:$G$100003,"Contractor")*100,0)</f>
        <v>0</v>
      </c>
      <c r="S1045" s="22">
        <f>COUNTIFS('NC Management'!$D$4:$D$100003,mCrit,'NC Management'!$G$4:$G$100003,"Contractor")</f>
        <v>0</v>
      </c>
    </row>
    <row r="1046" spans="2:19">
      <c r="B1046" s="23" t="s">
        <v>111</v>
      </c>
      <c r="C1046" s="22">
        <f>COUNTIFS('NC Management'!$D$4:$D$100003,"Nov",'NC Management'!$G$4:$G$100003,dCrit)</f>
        <v>0</v>
      </c>
    </row>
    <row r="1047" spans="2:19">
      <c r="B1047" s="23" t="s">
        <v>122</v>
      </c>
      <c r="C1047" s="22">
        <f>COUNTIFS('NC Management'!$D$4:$D$100003,"Dec",'NC Management'!$G$4:$G$100003,dCrit)</f>
        <v>0</v>
      </c>
    </row>
    <row r="1060" spans="2:34">
      <c r="B1060" s="17" t="s">
        <v>2140</v>
      </c>
    </row>
    <row r="1061" spans="2:34">
      <c r="B1061" s="12" t="s">
        <v>127</v>
      </c>
      <c r="C1061" s="12" t="s">
        <v>1965</v>
      </c>
      <c r="E1061" s="12" t="s">
        <v>210</v>
      </c>
      <c r="F1061" s="12" t="s">
        <v>1965</v>
      </c>
      <c r="G1061" s="12" t="s">
        <v>355</v>
      </c>
      <c r="H1061" s="12" t="s">
        <v>1965</v>
      </c>
      <c r="J1061" s="12" t="s">
        <v>288</v>
      </c>
      <c r="K1061" s="12" t="s">
        <v>1965</v>
      </c>
      <c r="M1061" s="12" t="s">
        <v>1927</v>
      </c>
      <c r="N1061" s="12" t="s">
        <v>2039</v>
      </c>
      <c r="P1061" s="12" t="s">
        <v>129</v>
      </c>
      <c r="Q1061" s="12" t="s">
        <v>1965</v>
      </c>
      <c r="R1061" s="12" t="s">
        <v>2071</v>
      </c>
      <c r="S1061" s="12" t="s">
        <v>1770</v>
      </c>
      <c r="U1061" s="12" t="s">
        <v>2038</v>
      </c>
      <c r="V1061" s="12" t="s">
        <v>3</v>
      </c>
      <c r="W1061" s="12" t="s">
        <v>19</v>
      </c>
      <c r="X1061" s="12" t="s">
        <v>44</v>
      </c>
      <c r="Y1061" s="12" t="s">
        <v>53</v>
      </c>
      <c r="Z1061" s="12" t="s">
        <v>60</v>
      </c>
      <c r="AA1061" s="12" t="s">
        <v>73</v>
      </c>
      <c r="AB1061" s="12" t="s">
        <v>76</v>
      </c>
      <c r="AC1061" s="12" t="s">
        <v>86</v>
      </c>
      <c r="AD1061" s="12" t="s">
        <v>102</v>
      </c>
      <c r="AE1061" s="12" t="s">
        <v>106</v>
      </c>
      <c r="AF1061" s="12" t="s">
        <v>111</v>
      </c>
      <c r="AG1061" s="12" t="s">
        <v>122</v>
      </c>
      <c r="AH1061" s="12" t="s">
        <v>2063</v>
      </c>
    </row>
    <row r="1062" spans="2:34">
      <c r="B1062" s="23" t="s">
        <v>3</v>
      </c>
      <c r="C1062" s="22">
        <f>COUNTIFS('Unsafe Acts'!$D$4:$D$100003,"Jan",'Unsafe Acts'!$F$4:$F$100003,dCrit)</f>
        <v>0</v>
      </c>
      <c r="E1062" s="13" t="s">
        <v>151</v>
      </c>
      <c r="F1062" s="22">
        <f>COUNTIFS('Unsafe Acts'!$I$4:$I$100003,"Critical",'Unsafe Acts'!$D$4:$D$100003,mCrit,'Unsafe Acts'!$F$4:$F$100003,dCrit)</f>
        <v>0</v>
      </c>
      <c r="G1062" s="13" t="s">
        <v>1386</v>
      </c>
      <c r="H1062" s="22">
        <f>COUNTIFS('Unsafe Acts'!$E$4:$E$100003,"Operating Without Authorization",'Unsafe Acts'!$D$4:$D$100003,mCrit,'Unsafe Acts'!$F$4:$F$100003,dCrit)</f>
        <v>0</v>
      </c>
      <c r="J1062" s="13" t="s">
        <v>226</v>
      </c>
      <c r="K1062" s="22">
        <f>COUNTIFS('Unsafe Acts'!$M$4:$M$100003,"In Progress",'Unsafe Acts'!$D$4:$D$100003,mCrit,'Unsafe Acts'!$F$4:$F$100003,dCrit)</f>
        <v>0</v>
      </c>
      <c r="M1062" s="13" t="s">
        <v>2141</v>
      </c>
      <c r="N1062" s="22">
        <f>COUNTIFS('Unsafe Acts'!$D$4:$D$100003,mCrit,'Unsafe Acts'!$F$4:$F$100003,dCrit)</f>
        <v>0</v>
      </c>
      <c r="P1062" s="13" t="s">
        <v>27</v>
      </c>
      <c r="Q1062" s="22">
        <f>COUNTIFS('Unsafe Acts'!$D$4:$D$100003,mCrit,'Unsafe Acts'!$F$4:$F$100003,"Operations")</f>
        <v>0</v>
      </c>
      <c r="R1062" s="25">
        <f>IFERROR((COUNTIFS('Unsafe Acts'!$M$4:$M$100003,"Completed",'Unsafe Acts'!$D$4:$D$100003,mCrit,'Unsafe Acts'!$F$4:$F$100003,"Operations"))/COUNTIFS('Unsafe Acts'!$D$4:$D$100003,mCrit,'Unsafe Acts'!$F$4:$F$100003,"Operations")*100,0)</f>
        <v>0</v>
      </c>
      <c r="S1062" s="22">
        <f>COUNTIFS('Unsafe Acts'!$D$4:$D$100003,mCrit,'Unsafe Acts'!$F$4:$F$100003,"Operations")</f>
        <v>0</v>
      </c>
      <c r="U1062" s="13" t="s">
        <v>1770</v>
      </c>
      <c r="V1062" s="22">
        <f>COUNTIFS('Unsafe Acts'!$D$4:$D$100003,"Jan",'Unsafe Acts'!$F$4:$F$100003,dCrit)</f>
        <v>0</v>
      </c>
      <c r="W1062" s="22">
        <f>COUNTIFS('Unsafe Acts'!$D$4:$D$100003,"Feb",'Unsafe Acts'!$F$4:$F$100003,dCrit)</f>
        <v>0</v>
      </c>
      <c r="X1062" s="22">
        <f>COUNTIFS('Unsafe Acts'!$D$4:$D$100003,"Mar",'Unsafe Acts'!$F$4:$F$100003,dCrit)</f>
        <v>0</v>
      </c>
      <c r="Y1062" s="22">
        <f>COUNTIFS('Unsafe Acts'!$D$4:$D$100003,"Apr",'Unsafe Acts'!$F$4:$F$100003,dCrit)</f>
        <v>0</v>
      </c>
      <c r="Z1062" s="22">
        <f>COUNTIFS('Unsafe Acts'!$D$4:$D$100003,"May",'Unsafe Acts'!$F$4:$F$100003,dCrit)</f>
        <v>0</v>
      </c>
      <c r="AA1062" s="22">
        <f>COUNTIFS('Unsafe Acts'!$D$4:$D$100003,"Jun",'Unsafe Acts'!$F$4:$F$100003,dCrit)</f>
        <v>0</v>
      </c>
      <c r="AB1062" s="22">
        <f>COUNTIFS('Unsafe Acts'!$D$4:$D$100003,"Jul",'Unsafe Acts'!$F$4:$F$100003,dCrit)</f>
        <v>0</v>
      </c>
      <c r="AC1062" s="22">
        <f>COUNTIFS('Unsafe Acts'!$D$4:$D$100003,"Aug",'Unsafe Acts'!$F$4:$F$100003,dCrit)</f>
        <v>0</v>
      </c>
      <c r="AD1062" s="22">
        <f>COUNTIFS('Unsafe Acts'!$D$4:$D$100003,"Sep",'Unsafe Acts'!$F$4:$F$100003,dCrit)</f>
        <v>0</v>
      </c>
      <c r="AE1062" s="22">
        <f>COUNTIFS('Unsafe Acts'!$D$4:$D$100003,"Oct",'Unsafe Acts'!$F$4:$F$100003,dCrit)</f>
        <v>0</v>
      </c>
      <c r="AF1062" s="22">
        <f>COUNTIFS('Unsafe Acts'!$D$4:$D$100003,"Nov",'Unsafe Acts'!$F$4:$F$100003,dCrit)</f>
        <v>0</v>
      </c>
      <c r="AG1062" s="22">
        <f>COUNTIFS('Unsafe Acts'!$D$4:$D$100003,"Dec",'Unsafe Acts'!$F$4:$F$100003,dCrit)</f>
        <v>0</v>
      </c>
      <c r="AH1062" s="22">
        <f>SUM(V1062:AG1062)</f>
        <v>0</v>
      </c>
    </row>
    <row r="1063" spans="2:34">
      <c r="B1063" s="23" t="s">
        <v>19</v>
      </c>
      <c r="C1063" s="22">
        <f>COUNTIFS('Unsafe Acts'!$D$4:$D$100003,"Feb",'Unsafe Acts'!$F$4:$F$100003,dCrit)</f>
        <v>0</v>
      </c>
      <c r="E1063" s="13" t="s">
        <v>164</v>
      </c>
      <c r="F1063" s="22">
        <f>COUNTIFS('Unsafe Acts'!$I$4:$I$100003,"High",'Unsafe Acts'!$D$4:$D$100003,mCrit,'Unsafe Acts'!$F$4:$F$100003,dCrit)</f>
        <v>0</v>
      </c>
      <c r="G1063" s="13" t="s">
        <v>1388</v>
      </c>
      <c r="H1063" s="22">
        <f>COUNTIFS('Unsafe Acts'!$E$4:$E$100003,"Wrong Tool for the Job",'Unsafe Acts'!$D$4:$D$100003,mCrit,'Unsafe Acts'!$F$4:$F$100003,dCrit)</f>
        <v>0</v>
      </c>
      <c r="J1063" s="13" t="s">
        <v>222</v>
      </c>
      <c r="K1063" s="22">
        <f>COUNTIFS('Unsafe Acts'!$M$4:$M$100003,"Completed",'Unsafe Acts'!$D$4:$D$100003,mCrit,'Unsafe Acts'!$F$4:$F$100003,dCrit)</f>
        <v>0</v>
      </c>
      <c r="M1063" s="13" t="s">
        <v>222</v>
      </c>
      <c r="N1063" s="22">
        <f>COUNTIFS('Unsafe Acts'!$M$4:$M$100003,"Completed",'Unsafe Acts'!$D$4:$D$100003,mCrit,'Unsafe Acts'!$F$4:$F$100003,dCrit)</f>
        <v>0</v>
      </c>
      <c r="P1063" s="13" t="s">
        <v>92</v>
      </c>
      <c r="Q1063" s="22">
        <f>COUNTIFS('Unsafe Acts'!$D$4:$D$100003,mCrit,'Unsafe Acts'!$F$4:$F$100003,"Maintenance")</f>
        <v>0</v>
      </c>
      <c r="R1063" s="25">
        <f>IFERROR((COUNTIFS('Unsafe Acts'!$M$4:$M$100003,"Completed",'Unsafe Acts'!$D$4:$D$100003,mCrit,'Unsafe Acts'!$F$4:$F$100003,"Maintenance"))/COUNTIFS('Unsafe Acts'!$D$4:$D$100003,mCrit,'Unsafe Acts'!$F$4:$F$100003,"Maintenance")*100,0)</f>
        <v>0</v>
      </c>
      <c r="S1063" s="22">
        <f>COUNTIFS('Unsafe Acts'!$D$4:$D$100003,mCrit,'Unsafe Acts'!$F$4:$F$100003,"Maintenance")</f>
        <v>0</v>
      </c>
      <c r="U1063" s="13" t="s">
        <v>2072</v>
      </c>
      <c r="V1063" s="25">
        <f>IFERROR((COUNTIFS('Unsafe Acts'!$M$4:$M$100003,"Completed",'Unsafe Acts'!$D$4:$D$100003,"Jan",'Unsafe Acts'!$F$4:$F$100003,dCrit))/COUNTIFS('Unsafe Acts'!$D$4:$D$100003,"Jan",'Unsafe Acts'!$F$4:$F$100003,dCrit)*100,0)</f>
        <v>0</v>
      </c>
      <c r="W1063" s="25">
        <f>IFERROR((COUNTIFS('Unsafe Acts'!$M$4:$M$100003,"Completed",'Unsafe Acts'!$D$4:$D$100003,"Feb",'Unsafe Acts'!$F$4:$F$100003,dCrit))/COUNTIFS('Unsafe Acts'!$D$4:$D$100003,"Feb",'Unsafe Acts'!$F$4:$F$100003,dCrit)*100,0)</f>
        <v>0</v>
      </c>
      <c r="X1063" s="25">
        <f>IFERROR((COUNTIFS('Unsafe Acts'!$M$4:$M$100003,"Completed",'Unsafe Acts'!$D$4:$D$100003,"Mar",'Unsafe Acts'!$F$4:$F$100003,dCrit))/COUNTIFS('Unsafe Acts'!$D$4:$D$100003,"Mar",'Unsafe Acts'!$F$4:$F$100003,dCrit)*100,0)</f>
        <v>0</v>
      </c>
      <c r="Y1063" s="25">
        <f>IFERROR((COUNTIFS('Unsafe Acts'!$M$4:$M$100003,"Completed",'Unsafe Acts'!$D$4:$D$100003,"Apr",'Unsafe Acts'!$F$4:$F$100003,dCrit))/COUNTIFS('Unsafe Acts'!$D$4:$D$100003,"Apr",'Unsafe Acts'!$F$4:$F$100003,dCrit)*100,0)</f>
        <v>0</v>
      </c>
      <c r="Z1063" s="25">
        <f>IFERROR((COUNTIFS('Unsafe Acts'!$M$4:$M$100003,"Completed",'Unsafe Acts'!$D$4:$D$100003,"May",'Unsafe Acts'!$F$4:$F$100003,dCrit))/COUNTIFS('Unsafe Acts'!$D$4:$D$100003,"May",'Unsafe Acts'!$F$4:$F$100003,dCrit)*100,0)</f>
        <v>0</v>
      </c>
      <c r="AA1063" s="25">
        <f>IFERROR((COUNTIFS('Unsafe Acts'!$M$4:$M$100003,"Completed",'Unsafe Acts'!$D$4:$D$100003,"Jun",'Unsafe Acts'!$F$4:$F$100003,dCrit))/COUNTIFS('Unsafe Acts'!$D$4:$D$100003,"Jun",'Unsafe Acts'!$F$4:$F$100003,dCrit)*100,0)</f>
        <v>0</v>
      </c>
      <c r="AB1063" s="25">
        <f>IFERROR((COUNTIFS('Unsafe Acts'!$M$4:$M$100003,"Completed",'Unsafe Acts'!$D$4:$D$100003,"Jul",'Unsafe Acts'!$F$4:$F$100003,dCrit))/COUNTIFS('Unsafe Acts'!$D$4:$D$100003,"Jul",'Unsafe Acts'!$F$4:$F$100003,dCrit)*100,0)</f>
        <v>0</v>
      </c>
      <c r="AC1063" s="25">
        <f>IFERROR((COUNTIFS('Unsafe Acts'!$M$4:$M$100003,"Completed",'Unsafe Acts'!$D$4:$D$100003,"Aug",'Unsafe Acts'!$F$4:$F$100003,dCrit))/COUNTIFS('Unsafe Acts'!$D$4:$D$100003,"Aug",'Unsafe Acts'!$F$4:$F$100003,dCrit)*100,0)</f>
        <v>0</v>
      </c>
      <c r="AD1063" s="25">
        <f>IFERROR((COUNTIFS('Unsafe Acts'!$M$4:$M$100003,"Completed",'Unsafe Acts'!$D$4:$D$100003,"Sep",'Unsafe Acts'!$F$4:$F$100003,dCrit))/COUNTIFS('Unsafe Acts'!$D$4:$D$100003,"Sep",'Unsafe Acts'!$F$4:$F$100003,dCrit)*100,0)</f>
        <v>0</v>
      </c>
      <c r="AE1063" s="25">
        <f>IFERROR((COUNTIFS('Unsafe Acts'!$M$4:$M$100003,"Completed",'Unsafe Acts'!$D$4:$D$100003,"Oct",'Unsafe Acts'!$F$4:$F$100003,dCrit))/COUNTIFS('Unsafe Acts'!$D$4:$D$100003,"Oct",'Unsafe Acts'!$F$4:$F$100003,dCrit)*100,0)</f>
        <v>0</v>
      </c>
      <c r="AF1063" s="25">
        <f>IFERROR((COUNTIFS('Unsafe Acts'!$M$4:$M$100003,"Completed",'Unsafe Acts'!$D$4:$D$100003,"Nov",'Unsafe Acts'!$F$4:$F$100003,dCrit))/COUNTIFS('Unsafe Acts'!$D$4:$D$100003,"Nov",'Unsafe Acts'!$F$4:$F$100003,dCrit)*100,0)</f>
        <v>0</v>
      </c>
      <c r="AG1063" s="25">
        <f>IFERROR((COUNTIFS('Unsafe Acts'!$M$4:$M$100003,"Completed",'Unsafe Acts'!$D$4:$D$100003,"Dec",'Unsafe Acts'!$F$4:$F$100003,dCrit))/COUNTIFS('Unsafe Acts'!$D$4:$D$100003,"Dec",'Unsafe Acts'!$F$4:$F$100003,dCrit)*100,0)</f>
        <v>0</v>
      </c>
      <c r="AH1063" s="25">
        <f>IFERROR(AVERAGE(V1063:AG1063),0)</f>
        <v>0</v>
      </c>
    </row>
    <row r="1064" spans="2:34">
      <c r="B1064" s="23" t="s">
        <v>44</v>
      </c>
      <c r="C1064" s="22">
        <f>COUNTIFS('Unsafe Acts'!$D$4:$D$100003,"Mar",'Unsafe Acts'!$F$4:$F$100003,dCrit)</f>
        <v>0</v>
      </c>
      <c r="E1064" s="13" t="s">
        <v>147</v>
      </c>
      <c r="F1064" s="22">
        <f>COUNTIFS('Unsafe Acts'!$I$4:$I$100003,"Medium",'Unsafe Acts'!$D$4:$D$100003,mCrit,'Unsafe Acts'!$F$4:$F$100003,dCrit)</f>
        <v>0</v>
      </c>
      <c r="G1064" s="13" t="s">
        <v>1391</v>
      </c>
      <c r="H1064" s="22">
        <f>COUNTIFS('Unsafe Acts'!$E$4:$E$100003,"Improper Lifting Technique",'Unsafe Acts'!$D$4:$D$100003,mCrit,'Unsafe Acts'!$F$4:$F$100003,dCrit)</f>
        <v>0</v>
      </c>
      <c r="J1064" s="13" t="s">
        <v>331</v>
      </c>
      <c r="K1064" s="22">
        <f>COUNTIFS('Unsafe Acts'!$M$4:$M$100003,"Overdue",'Unsafe Acts'!$D$4:$D$100003,mCrit,'Unsafe Acts'!$F$4:$F$100003,dCrit)</f>
        <v>0</v>
      </c>
      <c r="M1064" s="13" t="s">
        <v>226</v>
      </c>
      <c r="N1064" s="22">
        <f>COUNTIFS('Unsafe Acts'!$M$4:$M$100003,"In Progress",'Unsafe Acts'!$D$4:$D$100003,mCrit,'Unsafe Acts'!$F$4:$F$100003,dCrit)</f>
        <v>0</v>
      </c>
      <c r="P1064" s="13" t="s">
        <v>39</v>
      </c>
      <c r="Q1064" s="22">
        <f>COUNTIFS('Unsafe Acts'!$D$4:$D$100003,mCrit,'Unsafe Acts'!$F$4:$F$100003,"Engineering")</f>
        <v>0</v>
      </c>
      <c r="R1064" s="25">
        <f>IFERROR((COUNTIFS('Unsafe Acts'!$M$4:$M$100003,"Completed",'Unsafe Acts'!$D$4:$D$100003,mCrit,'Unsafe Acts'!$F$4:$F$100003,"Engineering"))/COUNTIFS('Unsafe Acts'!$D$4:$D$100003,mCrit,'Unsafe Acts'!$F$4:$F$100003,"Engineering")*100,0)</f>
        <v>0</v>
      </c>
      <c r="S1064" s="22">
        <f>COUNTIFS('Unsafe Acts'!$D$4:$D$100003,mCrit,'Unsafe Acts'!$F$4:$F$100003,"Engineering")</f>
        <v>0</v>
      </c>
    </row>
    <row r="1065" spans="2:34">
      <c r="B1065" s="23" t="s">
        <v>53</v>
      </c>
      <c r="C1065" s="22">
        <f>COUNTIFS('Unsafe Acts'!$D$4:$D$100003,"Apr",'Unsafe Acts'!$F$4:$F$100003,dCrit)</f>
        <v>0</v>
      </c>
      <c r="E1065" s="13" t="s">
        <v>142</v>
      </c>
      <c r="F1065" s="22">
        <f>COUNTIFS('Unsafe Acts'!$I$4:$I$100003,"Low",'Unsafe Acts'!$D$4:$D$100003,mCrit,'Unsafe Acts'!$F$4:$F$100003,dCrit)</f>
        <v>0</v>
      </c>
      <c r="G1065" s="13" t="s">
        <v>1393</v>
      </c>
      <c r="H1065" s="22">
        <f>COUNTIFS('Unsafe Acts'!$E$4:$E$100003,"Bypassing Safety Device",'Unsafe Acts'!$D$4:$D$100003,mCrit,'Unsafe Acts'!$F$4:$F$100003,dCrit)</f>
        <v>0</v>
      </c>
      <c r="J1065" s="13" t="s">
        <v>303</v>
      </c>
      <c r="K1065" s="22">
        <f>COUNTIFS('Unsafe Acts'!$M$4:$M$100003,"Pending",'Unsafe Acts'!$D$4:$D$100003,mCrit,'Unsafe Acts'!$F$4:$F$100003,dCrit)</f>
        <v>0</v>
      </c>
      <c r="M1065" s="13" t="s">
        <v>331</v>
      </c>
      <c r="N1065" s="22">
        <f>COUNTIFS('Unsafe Acts'!$M$4:$M$100003,"Overdue",'Unsafe Acts'!$D$4:$D$100003,mCrit,'Unsafe Acts'!$F$4:$F$100003,dCrit)</f>
        <v>0</v>
      </c>
      <c r="P1065" s="13" t="s">
        <v>89</v>
      </c>
      <c r="Q1065" s="22">
        <f>COUNTIFS('Unsafe Acts'!$D$4:$D$100003,mCrit,'Unsafe Acts'!$F$4:$F$100003,"Construction")</f>
        <v>0</v>
      </c>
      <c r="R1065" s="25">
        <f>IFERROR((COUNTIFS('Unsafe Acts'!$M$4:$M$100003,"Completed",'Unsafe Acts'!$D$4:$D$100003,mCrit,'Unsafe Acts'!$F$4:$F$100003,"Construction"))/COUNTIFS('Unsafe Acts'!$D$4:$D$100003,mCrit,'Unsafe Acts'!$F$4:$F$100003,"Construction")*100,0)</f>
        <v>0</v>
      </c>
      <c r="S1065" s="22">
        <f>COUNTIFS('Unsafe Acts'!$D$4:$D$100003,mCrit,'Unsafe Acts'!$F$4:$F$100003,"Construction")</f>
        <v>0</v>
      </c>
    </row>
    <row r="1066" spans="2:34">
      <c r="B1066" s="23" t="s">
        <v>60</v>
      </c>
      <c r="C1066" s="22">
        <f>COUNTIFS('Unsafe Acts'!$D$4:$D$100003,"May",'Unsafe Acts'!$F$4:$F$100003,dCrit)</f>
        <v>0</v>
      </c>
      <c r="G1066" s="13" t="s">
        <v>1395</v>
      </c>
      <c r="H1066" s="22">
        <f>COUNTIFS('Unsafe Acts'!$E$4:$E$100003,"Using Defective Equipment",'Unsafe Acts'!$D$4:$D$100003,mCrit,'Unsafe Acts'!$F$4:$F$100003,dCrit)</f>
        <v>0</v>
      </c>
      <c r="M1066" s="13" t="s">
        <v>2066</v>
      </c>
      <c r="N1066" s="22">
        <f>COUNTIFS('Unsafe Acts'!$I$4:$I$100003,"High",'Unsafe Acts'!$D$4:$D$100003,mCrit,'Unsafe Acts'!$F$4:$F$100003,dCrit)</f>
        <v>0</v>
      </c>
      <c r="P1066" s="13" t="s">
        <v>65</v>
      </c>
      <c r="Q1066" s="22">
        <f>COUNTIFS('Unsafe Acts'!$D$4:$D$100003,mCrit,'Unsafe Acts'!$F$4:$F$100003,"Safety")</f>
        <v>0</v>
      </c>
      <c r="R1066" s="25">
        <f>IFERROR((COUNTIFS('Unsafe Acts'!$M$4:$M$100003,"Completed",'Unsafe Acts'!$D$4:$D$100003,mCrit,'Unsafe Acts'!$F$4:$F$100003,"Safety"))/COUNTIFS('Unsafe Acts'!$D$4:$D$100003,mCrit,'Unsafe Acts'!$F$4:$F$100003,"Safety")*100,0)</f>
        <v>0</v>
      </c>
      <c r="S1066" s="22">
        <f>COUNTIFS('Unsafe Acts'!$D$4:$D$100003,mCrit,'Unsafe Acts'!$F$4:$F$100003,"Safety")</f>
        <v>0</v>
      </c>
    </row>
    <row r="1067" spans="2:34">
      <c r="B1067" s="23" t="s">
        <v>73</v>
      </c>
      <c r="C1067" s="22">
        <f>COUNTIFS('Unsafe Acts'!$D$4:$D$100003,"Jun",'Unsafe Acts'!$F$4:$F$100003,dCrit)</f>
        <v>0</v>
      </c>
      <c r="G1067" s="13" t="s">
        <v>1398</v>
      </c>
      <c r="H1067" s="22">
        <f>COUNTIFS('Unsafe Acts'!$E$4:$E$100003,"Horseplay",'Unsafe Acts'!$D$4:$D$100003,mCrit,'Unsafe Acts'!$F$4:$F$100003,dCrit)</f>
        <v>0</v>
      </c>
      <c r="M1067" s="13" t="s">
        <v>2067</v>
      </c>
      <c r="N1067" s="22">
        <f>COUNTIFS('Unsafe Acts'!$I$4:$I$100003,"Medium",'Unsafe Acts'!$D$4:$D$100003,mCrit,'Unsafe Acts'!$F$4:$F$100003,dCrit)</f>
        <v>0</v>
      </c>
      <c r="P1067" s="13" t="s">
        <v>5</v>
      </c>
      <c r="Q1067" s="22">
        <f>COUNTIFS('Unsafe Acts'!$D$4:$D$100003,mCrit,'Unsafe Acts'!$F$4:$F$100003,"Logistics")</f>
        <v>0</v>
      </c>
      <c r="R1067" s="25">
        <f>IFERROR((COUNTIFS('Unsafe Acts'!$M$4:$M$100003,"Completed",'Unsafe Acts'!$D$4:$D$100003,mCrit,'Unsafe Acts'!$F$4:$F$100003,"Logistics"))/COUNTIFS('Unsafe Acts'!$D$4:$D$100003,mCrit,'Unsafe Acts'!$F$4:$F$100003,"Logistics")*100,0)</f>
        <v>0</v>
      </c>
      <c r="S1067" s="22">
        <f>COUNTIFS('Unsafe Acts'!$D$4:$D$100003,mCrit,'Unsafe Acts'!$F$4:$F$100003,"Logistics")</f>
        <v>0</v>
      </c>
    </row>
    <row r="1068" spans="2:34">
      <c r="B1068" s="23" t="s">
        <v>76</v>
      </c>
      <c r="C1068" s="22">
        <f>COUNTIFS('Unsafe Acts'!$D$4:$D$100003,"Jul",'Unsafe Acts'!$F$4:$F$100003,dCrit)</f>
        <v>0</v>
      </c>
      <c r="G1068" s="13" t="s">
        <v>1401</v>
      </c>
      <c r="H1068" s="22">
        <f>COUNTIFS('Unsafe Acts'!$E$4:$E$100003,"Not Using PPE",'Unsafe Acts'!$D$4:$D$100003,mCrit,'Unsafe Acts'!$F$4:$F$100003,dCrit)</f>
        <v>0</v>
      </c>
      <c r="M1068" s="13" t="s">
        <v>2068</v>
      </c>
      <c r="N1068" s="22">
        <f>COUNTIFS('Unsafe Acts'!$I$4:$I$100003,"Low",'Unsafe Acts'!$D$4:$D$100003,mCrit,'Unsafe Acts'!$F$4:$F$100003,dCrit)</f>
        <v>0</v>
      </c>
      <c r="P1068" s="13" t="s">
        <v>50</v>
      </c>
      <c r="Q1068" s="22">
        <f>COUNTIFS('Unsafe Acts'!$D$4:$D$100003,mCrit,'Unsafe Acts'!$F$4:$F$100003,"Quality")</f>
        <v>0</v>
      </c>
      <c r="R1068" s="25">
        <f>IFERROR((COUNTIFS('Unsafe Acts'!$M$4:$M$100003,"Completed",'Unsafe Acts'!$D$4:$D$100003,mCrit,'Unsafe Acts'!$F$4:$F$100003,"Quality"))/COUNTIFS('Unsafe Acts'!$D$4:$D$100003,mCrit,'Unsafe Acts'!$F$4:$F$100003,"Quality")*100,0)</f>
        <v>0</v>
      </c>
      <c r="S1068" s="22">
        <f>COUNTIFS('Unsafe Acts'!$D$4:$D$100003,mCrit,'Unsafe Acts'!$F$4:$F$100003,"Quality")</f>
        <v>0</v>
      </c>
    </row>
    <row r="1069" spans="2:34">
      <c r="B1069" s="23" t="s">
        <v>86</v>
      </c>
      <c r="C1069" s="22">
        <f>COUNTIFS('Unsafe Acts'!$D$4:$D$100003,"Aug",'Unsafe Acts'!$F$4:$F$100003,dCrit)</f>
        <v>0</v>
      </c>
      <c r="G1069" s="13" t="s">
        <v>1411</v>
      </c>
      <c r="H1069" s="22">
        <f>COUNTIFS('Unsafe Acts'!$E$4:$E$100003,"LOTO Not Followed",'Unsafe Acts'!$D$4:$D$100003,mCrit,'Unsafe Acts'!$F$4:$F$100003,dCrit)</f>
        <v>0</v>
      </c>
      <c r="M1069" s="13" t="s">
        <v>2139</v>
      </c>
      <c r="N1069" s="25">
        <f>IFERROR((COUNTIFS('Unsafe Acts'!$M$4:$M$100003,"Completed",'Unsafe Acts'!$D$4:$D$100003,mCrit,'Unsafe Acts'!$F$4:$F$100003,dCrit))/(COUNTIFS('Unsafe Acts'!$D$4:$D$100003,mCrit,'Unsafe Acts'!$F$4:$F$100003,dCrit))*100,0)</f>
        <v>0</v>
      </c>
      <c r="P1069" s="13" t="s">
        <v>46</v>
      </c>
      <c r="Q1069" s="22">
        <f>COUNTIFS('Unsafe Acts'!$D$4:$D$100003,mCrit,'Unsafe Acts'!$F$4:$F$100003,"Admin")</f>
        <v>0</v>
      </c>
      <c r="R1069" s="25">
        <f>IFERROR((COUNTIFS('Unsafe Acts'!$M$4:$M$100003,"Completed",'Unsafe Acts'!$D$4:$D$100003,mCrit,'Unsafe Acts'!$F$4:$F$100003,"Admin"))/COUNTIFS('Unsafe Acts'!$D$4:$D$100003,mCrit,'Unsafe Acts'!$F$4:$F$100003,"Admin")*100,0)</f>
        <v>0</v>
      </c>
      <c r="S1069" s="22">
        <f>COUNTIFS('Unsafe Acts'!$D$4:$D$100003,mCrit,'Unsafe Acts'!$F$4:$F$100003,"Admin")</f>
        <v>0</v>
      </c>
    </row>
    <row r="1070" spans="2:34">
      <c r="B1070" s="23" t="s">
        <v>102</v>
      </c>
      <c r="C1070" s="22">
        <f>COUNTIFS('Unsafe Acts'!$D$4:$D$100003,"Sep",'Unsafe Acts'!$F$4:$F$100003,dCrit)</f>
        <v>0</v>
      </c>
      <c r="P1070" s="13" t="s">
        <v>13</v>
      </c>
      <c r="Q1070" s="22">
        <f>COUNTIFS('Unsafe Acts'!$D$4:$D$100003,mCrit,'Unsafe Acts'!$F$4:$F$100003,"Projects")</f>
        <v>0</v>
      </c>
      <c r="R1070" s="25">
        <f>IFERROR((COUNTIFS('Unsafe Acts'!$M$4:$M$100003,"Completed",'Unsafe Acts'!$D$4:$D$100003,mCrit,'Unsafe Acts'!$F$4:$F$100003,"Projects"))/COUNTIFS('Unsafe Acts'!$D$4:$D$100003,mCrit,'Unsafe Acts'!$F$4:$F$100003,"Projects")*100,0)</f>
        <v>0</v>
      </c>
      <c r="S1070" s="22">
        <f>COUNTIFS('Unsafe Acts'!$D$4:$D$100003,mCrit,'Unsafe Acts'!$F$4:$F$100003,"Projects")</f>
        <v>0</v>
      </c>
    </row>
    <row r="1071" spans="2:34">
      <c r="B1071" s="23" t="s">
        <v>106</v>
      </c>
      <c r="C1071" s="22">
        <f>COUNTIFS('Unsafe Acts'!$D$4:$D$100003,"Oct",'Unsafe Acts'!$F$4:$F$100003,dCrit)</f>
        <v>0</v>
      </c>
      <c r="P1071" s="13" t="s">
        <v>58</v>
      </c>
      <c r="Q1071" s="22">
        <f>COUNTIFS('Unsafe Acts'!$D$4:$D$100003,mCrit,'Unsafe Acts'!$F$4:$F$100003,"Contractor")</f>
        <v>0</v>
      </c>
      <c r="R1071" s="25">
        <f>IFERROR((COUNTIFS('Unsafe Acts'!$M$4:$M$100003,"Completed",'Unsafe Acts'!$D$4:$D$100003,mCrit,'Unsafe Acts'!$F$4:$F$100003,"Contractor"))/COUNTIFS('Unsafe Acts'!$D$4:$D$100003,mCrit,'Unsafe Acts'!$F$4:$F$100003,"Contractor")*100,0)</f>
        <v>0</v>
      </c>
      <c r="S1071" s="22">
        <f>COUNTIFS('Unsafe Acts'!$D$4:$D$100003,mCrit,'Unsafe Acts'!$F$4:$F$100003,"Contractor")</f>
        <v>0</v>
      </c>
    </row>
    <row r="1072" spans="2:34">
      <c r="B1072" s="23" t="s">
        <v>111</v>
      </c>
      <c r="C1072" s="22">
        <f>COUNTIFS('Unsafe Acts'!$D$4:$D$100003,"Nov",'Unsafe Acts'!$F$4:$F$100003,dCrit)</f>
        <v>0</v>
      </c>
    </row>
    <row r="1073" spans="2:34">
      <c r="B1073" s="23" t="s">
        <v>122</v>
      </c>
      <c r="C1073" s="22">
        <f>COUNTIFS('Unsafe Acts'!$D$4:$D$100003,"Dec",'Unsafe Acts'!$F$4:$F$100003,dCrit)</f>
        <v>0</v>
      </c>
    </row>
    <row r="1086" spans="2:34">
      <c r="B1086" s="17" t="s">
        <v>2142</v>
      </c>
    </row>
    <row r="1087" spans="2:34">
      <c r="B1087" s="12" t="s">
        <v>127</v>
      </c>
      <c r="C1087" s="12" t="s">
        <v>1965</v>
      </c>
      <c r="E1087" s="12" t="s">
        <v>210</v>
      </c>
      <c r="F1087" s="12" t="s">
        <v>1965</v>
      </c>
      <c r="G1087" s="12" t="s">
        <v>355</v>
      </c>
      <c r="H1087" s="12" t="s">
        <v>1965</v>
      </c>
      <c r="J1087" s="12" t="s">
        <v>288</v>
      </c>
      <c r="K1087" s="12" t="s">
        <v>1965</v>
      </c>
      <c r="M1087" s="12" t="s">
        <v>1927</v>
      </c>
      <c r="N1087" s="12" t="s">
        <v>2039</v>
      </c>
      <c r="P1087" s="12" t="s">
        <v>129</v>
      </c>
      <c r="Q1087" s="12" t="s">
        <v>1965</v>
      </c>
      <c r="R1087" s="12" t="s">
        <v>2071</v>
      </c>
      <c r="S1087" s="12" t="s">
        <v>1770</v>
      </c>
      <c r="U1087" s="12" t="s">
        <v>2038</v>
      </c>
      <c r="V1087" s="12" t="s">
        <v>3</v>
      </c>
      <c r="W1087" s="12" t="s">
        <v>19</v>
      </c>
      <c r="X1087" s="12" t="s">
        <v>44</v>
      </c>
      <c r="Y1087" s="12" t="s">
        <v>53</v>
      </c>
      <c r="Z1087" s="12" t="s">
        <v>60</v>
      </c>
      <c r="AA1087" s="12" t="s">
        <v>73</v>
      </c>
      <c r="AB1087" s="12" t="s">
        <v>76</v>
      </c>
      <c r="AC1087" s="12" t="s">
        <v>86</v>
      </c>
      <c r="AD1087" s="12" t="s">
        <v>102</v>
      </c>
      <c r="AE1087" s="12" t="s">
        <v>106</v>
      </c>
      <c r="AF1087" s="12" t="s">
        <v>111</v>
      </c>
      <c r="AG1087" s="12" t="s">
        <v>122</v>
      </c>
      <c r="AH1087" s="12" t="s">
        <v>2063</v>
      </c>
    </row>
    <row r="1088" spans="2:34">
      <c r="B1088" s="23" t="s">
        <v>3</v>
      </c>
      <c r="C1088" s="22">
        <f>COUNTIFS('Unsafe Conditions'!$D$4:$D$100003,"Jan",'Unsafe Conditions'!$F$4:$F$100003,dCrit)</f>
        <v>0</v>
      </c>
      <c r="E1088" s="13" t="s">
        <v>151</v>
      </c>
      <c r="F1088" s="22">
        <f>COUNTIFS('Unsafe Conditions'!$I$4:$I$100003,"Critical",'Unsafe Conditions'!$D$4:$D$100003,mCrit,'Unsafe Conditions'!$F$4:$F$100003,dCrit)</f>
        <v>0</v>
      </c>
      <c r="G1088" s="13" t="s">
        <v>1448</v>
      </c>
      <c r="H1088" s="22">
        <f>COUNTIFS('Unsafe Conditions'!$E$4:$E$100003,"Inadequate Lighting",'Unsafe Conditions'!$D$4:$D$100003,mCrit,'Unsafe Conditions'!$F$4:$F$100003,dCrit)</f>
        <v>0</v>
      </c>
      <c r="J1088" s="13" t="s">
        <v>222</v>
      </c>
      <c r="K1088" s="22">
        <f>COUNTIFS('Unsafe Conditions'!$M$4:$M$100003,"Completed",'Unsafe Conditions'!$D$4:$D$100003,mCrit,'Unsafe Conditions'!$F$4:$F$100003,dCrit)</f>
        <v>0</v>
      </c>
      <c r="M1088" s="13" t="s">
        <v>2141</v>
      </c>
      <c r="N1088" s="22">
        <f>COUNTIFS('Unsafe Conditions'!$D$4:$D$100003,mCrit,'Unsafe Conditions'!$F$4:$F$100003,dCrit)</f>
        <v>0</v>
      </c>
      <c r="P1088" s="13" t="s">
        <v>27</v>
      </c>
      <c r="Q1088" s="22">
        <f>COUNTIFS('Unsafe Conditions'!$D$4:$D$100003,mCrit,'Unsafe Conditions'!$F$4:$F$100003,"Operations")</f>
        <v>0</v>
      </c>
      <c r="R1088" s="25">
        <f>IFERROR((COUNTIFS('Unsafe Conditions'!$M$4:$M$100003,"Completed",'Unsafe Conditions'!$D$4:$D$100003,mCrit,'Unsafe Conditions'!$F$4:$F$100003,"Operations"))/COUNTIFS('Unsafe Conditions'!$D$4:$D$100003,mCrit,'Unsafe Conditions'!$F$4:$F$100003,"Operations")*100,0)</f>
        <v>0</v>
      </c>
      <c r="S1088" s="22">
        <f>COUNTIFS('Unsafe Conditions'!$D$4:$D$100003,mCrit,'Unsafe Conditions'!$F$4:$F$100003,"Operations")</f>
        <v>0</v>
      </c>
      <c r="U1088" s="13" t="s">
        <v>1770</v>
      </c>
      <c r="V1088" s="22">
        <f>COUNTIFS('Unsafe Conditions'!$D$4:$D$100003,"Jan",'Unsafe Conditions'!$F$4:$F$100003,dCrit)</f>
        <v>0</v>
      </c>
      <c r="W1088" s="22">
        <f>COUNTIFS('Unsafe Conditions'!$D$4:$D$100003,"Feb",'Unsafe Conditions'!$F$4:$F$100003,dCrit)</f>
        <v>0</v>
      </c>
      <c r="X1088" s="22">
        <f>COUNTIFS('Unsafe Conditions'!$D$4:$D$100003,"Mar",'Unsafe Conditions'!$F$4:$F$100003,dCrit)</f>
        <v>0</v>
      </c>
      <c r="Y1088" s="22">
        <f>COUNTIFS('Unsafe Conditions'!$D$4:$D$100003,"Apr",'Unsafe Conditions'!$F$4:$F$100003,dCrit)</f>
        <v>0</v>
      </c>
      <c r="Z1088" s="22">
        <f>COUNTIFS('Unsafe Conditions'!$D$4:$D$100003,"May",'Unsafe Conditions'!$F$4:$F$100003,dCrit)</f>
        <v>0</v>
      </c>
      <c r="AA1088" s="22">
        <f>COUNTIFS('Unsafe Conditions'!$D$4:$D$100003,"Jun",'Unsafe Conditions'!$F$4:$F$100003,dCrit)</f>
        <v>0</v>
      </c>
      <c r="AB1088" s="22">
        <f>COUNTIFS('Unsafe Conditions'!$D$4:$D$100003,"Jul",'Unsafe Conditions'!$F$4:$F$100003,dCrit)</f>
        <v>0</v>
      </c>
      <c r="AC1088" s="22">
        <f>COUNTIFS('Unsafe Conditions'!$D$4:$D$100003,"Aug",'Unsafe Conditions'!$F$4:$F$100003,dCrit)</f>
        <v>0</v>
      </c>
      <c r="AD1088" s="22">
        <f>COUNTIFS('Unsafe Conditions'!$D$4:$D$100003,"Sep",'Unsafe Conditions'!$F$4:$F$100003,dCrit)</f>
        <v>0</v>
      </c>
      <c r="AE1088" s="22">
        <f>COUNTIFS('Unsafe Conditions'!$D$4:$D$100003,"Oct",'Unsafe Conditions'!$F$4:$F$100003,dCrit)</f>
        <v>0</v>
      </c>
      <c r="AF1088" s="22">
        <f>COUNTIFS('Unsafe Conditions'!$D$4:$D$100003,"Nov",'Unsafe Conditions'!$F$4:$F$100003,dCrit)</f>
        <v>0</v>
      </c>
      <c r="AG1088" s="22">
        <f>COUNTIFS('Unsafe Conditions'!$D$4:$D$100003,"Dec",'Unsafe Conditions'!$F$4:$F$100003,dCrit)</f>
        <v>0</v>
      </c>
      <c r="AH1088" s="22">
        <f>SUM(V1088:AG1088)</f>
        <v>0</v>
      </c>
    </row>
    <row r="1089" spans="2:34">
      <c r="B1089" s="23" t="s">
        <v>19</v>
      </c>
      <c r="C1089" s="22">
        <f>COUNTIFS('Unsafe Conditions'!$D$4:$D$100003,"Feb",'Unsafe Conditions'!$F$4:$F$100003,dCrit)</f>
        <v>0</v>
      </c>
      <c r="E1089" s="13" t="s">
        <v>164</v>
      </c>
      <c r="F1089" s="22">
        <f>COUNTIFS('Unsafe Conditions'!$I$4:$I$100003,"High",'Unsafe Conditions'!$D$4:$D$100003,mCrit,'Unsafe Conditions'!$F$4:$F$100003,dCrit)</f>
        <v>0</v>
      </c>
      <c r="G1089" s="13" t="s">
        <v>1334</v>
      </c>
      <c r="H1089" s="22">
        <f>COUNTIFS('Unsafe Conditions'!$E$4:$E$100003,"Poor Housekeeping",'Unsafe Conditions'!$D$4:$D$100003,mCrit,'Unsafe Conditions'!$F$4:$F$100003,dCrit)</f>
        <v>0</v>
      </c>
      <c r="J1089" s="13" t="s">
        <v>226</v>
      </c>
      <c r="K1089" s="22">
        <f>COUNTIFS('Unsafe Conditions'!$M$4:$M$100003,"In Progress",'Unsafe Conditions'!$D$4:$D$100003,mCrit,'Unsafe Conditions'!$F$4:$F$100003,dCrit)</f>
        <v>0</v>
      </c>
      <c r="M1089" s="13" t="s">
        <v>222</v>
      </c>
      <c r="N1089" s="22">
        <f>COUNTIFS('Unsafe Conditions'!$M$4:$M$100003,"Completed",'Unsafe Conditions'!$D$4:$D$100003,mCrit,'Unsafe Conditions'!$F$4:$F$100003,dCrit)</f>
        <v>0</v>
      </c>
      <c r="P1089" s="13" t="s">
        <v>92</v>
      </c>
      <c r="Q1089" s="22">
        <f>COUNTIFS('Unsafe Conditions'!$D$4:$D$100003,mCrit,'Unsafe Conditions'!$F$4:$F$100003,"Maintenance")</f>
        <v>0</v>
      </c>
      <c r="R1089" s="25">
        <f>IFERROR((COUNTIFS('Unsafe Conditions'!$M$4:$M$100003,"Completed",'Unsafe Conditions'!$D$4:$D$100003,mCrit,'Unsafe Conditions'!$F$4:$F$100003,"Maintenance"))/COUNTIFS('Unsafe Conditions'!$D$4:$D$100003,mCrit,'Unsafe Conditions'!$F$4:$F$100003,"Maintenance")*100,0)</f>
        <v>0</v>
      </c>
      <c r="S1089" s="22">
        <f>COUNTIFS('Unsafe Conditions'!$D$4:$D$100003,mCrit,'Unsafe Conditions'!$F$4:$F$100003,"Maintenance")</f>
        <v>0</v>
      </c>
      <c r="U1089" s="13" t="s">
        <v>2072</v>
      </c>
      <c r="V1089" s="25">
        <f>IFERROR((COUNTIFS('Unsafe Conditions'!$M$4:$M$100003,"Completed",'Unsafe Conditions'!$D$4:$D$100003,"Jan",'Unsafe Conditions'!$F$4:$F$100003,dCrit))/COUNTIFS('Unsafe Conditions'!$D$4:$D$100003,"Jan",'Unsafe Conditions'!$F$4:$F$100003,dCrit)*100,0)</f>
        <v>0</v>
      </c>
      <c r="W1089" s="25">
        <f>IFERROR((COUNTIFS('Unsafe Conditions'!$M$4:$M$100003,"Completed",'Unsafe Conditions'!$D$4:$D$100003,"Feb",'Unsafe Conditions'!$F$4:$F$100003,dCrit))/COUNTIFS('Unsafe Conditions'!$D$4:$D$100003,"Feb",'Unsafe Conditions'!$F$4:$F$100003,dCrit)*100,0)</f>
        <v>0</v>
      </c>
      <c r="X1089" s="25">
        <f>IFERROR((COUNTIFS('Unsafe Conditions'!$M$4:$M$100003,"Completed",'Unsafe Conditions'!$D$4:$D$100003,"Mar",'Unsafe Conditions'!$F$4:$F$100003,dCrit))/COUNTIFS('Unsafe Conditions'!$D$4:$D$100003,"Mar",'Unsafe Conditions'!$F$4:$F$100003,dCrit)*100,0)</f>
        <v>0</v>
      </c>
      <c r="Y1089" s="25">
        <f>IFERROR((COUNTIFS('Unsafe Conditions'!$M$4:$M$100003,"Completed",'Unsafe Conditions'!$D$4:$D$100003,"Apr",'Unsafe Conditions'!$F$4:$F$100003,dCrit))/COUNTIFS('Unsafe Conditions'!$D$4:$D$100003,"Apr",'Unsafe Conditions'!$F$4:$F$100003,dCrit)*100,0)</f>
        <v>0</v>
      </c>
      <c r="Z1089" s="25">
        <f>IFERROR((COUNTIFS('Unsafe Conditions'!$M$4:$M$100003,"Completed",'Unsafe Conditions'!$D$4:$D$100003,"May",'Unsafe Conditions'!$F$4:$F$100003,dCrit))/COUNTIFS('Unsafe Conditions'!$D$4:$D$100003,"May",'Unsafe Conditions'!$F$4:$F$100003,dCrit)*100,0)</f>
        <v>0</v>
      </c>
      <c r="AA1089" s="25">
        <f>IFERROR((COUNTIFS('Unsafe Conditions'!$M$4:$M$100003,"Completed",'Unsafe Conditions'!$D$4:$D$100003,"Jun",'Unsafe Conditions'!$F$4:$F$100003,dCrit))/COUNTIFS('Unsafe Conditions'!$D$4:$D$100003,"Jun",'Unsafe Conditions'!$F$4:$F$100003,dCrit)*100,0)</f>
        <v>0</v>
      </c>
      <c r="AB1089" s="25">
        <f>IFERROR((COUNTIFS('Unsafe Conditions'!$M$4:$M$100003,"Completed",'Unsafe Conditions'!$D$4:$D$100003,"Jul",'Unsafe Conditions'!$F$4:$F$100003,dCrit))/COUNTIFS('Unsafe Conditions'!$D$4:$D$100003,"Jul",'Unsafe Conditions'!$F$4:$F$100003,dCrit)*100,0)</f>
        <v>0</v>
      </c>
      <c r="AC1089" s="25">
        <f>IFERROR((COUNTIFS('Unsafe Conditions'!$M$4:$M$100003,"Completed",'Unsafe Conditions'!$D$4:$D$100003,"Aug",'Unsafe Conditions'!$F$4:$F$100003,dCrit))/COUNTIFS('Unsafe Conditions'!$D$4:$D$100003,"Aug",'Unsafe Conditions'!$F$4:$F$100003,dCrit)*100,0)</f>
        <v>0</v>
      </c>
      <c r="AD1089" s="25">
        <f>IFERROR((COUNTIFS('Unsafe Conditions'!$M$4:$M$100003,"Completed",'Unsafe Conditions'!$D$4:$D$100003,"Sep",'Unsafe Conditions'!$F$4:$F$100003,dCrit))/COUNTIFS('Unsafe Conditions'!$D$4:$D$100003,"Sep",'Unsafe Conditions'!$F$4:$F$100003,dCrit)*100,0)</f>
        <v>0</v>
      </c>
      <c r="AE1089" s="25">
        <f>IFERROR((COUNTIFS('Unsafe Conditions'!$M$4:$M$100003,"Completed",'Unsafe Conditions'!$D$4:$D$100003,"Oct",'Unsafe Conditions'!$F$4:$F$100003,dCrit))/COUNTIFS('Unsafe Conditions'!$D$4:$D$100003,"Oct",'Unsafe Conditions'!$F$4:$F$100003,dCrit)*100,0)</f>
        <v>0</v>
      </c>
      <c r="AF1089" s="25">
        <f>IFERROR((COUNTIFS('Unsafe Conditions'!$M$4:$M$100003,"Completed",'Unsafe Conditions'!$D$4:$D$100003,"Nov",'Unsafe Conditions'!$F$4:$F$100003,dCrit))/COUNTIFS('Unsafe Conditions'!$D$4:$D$100003,"Nov",'Unsafe Conditions'!$F$4:$F$100003,dCrit)*100,0)</f>
        <v>0</v>
      </c>
      <c r="AG1089" s="25">
        <f>IFERROR((COUNTIFS('Unsafe Conditions'!$M$4:$M$100003,"Completed",'Unsafe Conditions'!$D$4:$D$100003,"Dec",'Unsafe Conditions'!$F$4:$F$100003,dCrit))/COUNTIFS('Unsafe Conditions'!$D$4:$D$100003,"Dec",'Unsafe Conditions'!$F$4:$F$100003,dCrit)*100,0)</f>
        <v>0</v>
      </c>
      <c r="AH1089" s="25">
        <f>IFERROR(AVERAGE(V1089:AG1089),0)</f>
        <v>0</v>
      </c>
    </row>
    <row r="1090" spans="2:34">
      <c r="B1090" s="23" t="s">
        <v>44</v>
      </c>
      <c r="C1090" s="22">
        <f>COUNTIFS('Unsafe Conditions'!$D$4:$D$100003,"Mar",'Unsafe Conditions'!$F$4:$F$100003,dCrit)</f>
        <v>0</v>
      </c>
      <c r="E1090" s="13" t="s">
        <v>147</v>
      </c>
      <c r="F1090" s="22">
        <f>COUNTIFS('Unsafe Conditions'!$I$4:$I$100003,"Medium",'Unsafe Conditions'!$D$4:$D$100003,mCrit,'Unsafe Conditions'!$F$4:$F$100003,dCrit)</f>
        <v>0</v>
      </c>
      <c r="G1090" s="13" t="s">
        <v>1451</v>
      </c>
      <c r="H1090" s="22">
        <f>COUNTIFS('Unsafe Conditions'!$E$4:$E$100003,"Exposed Wiring",'Unsafe Conditions'!$D$4:$D$100003,mCrit,'Unsafe Conditions'!$F$4:$F$100003,dCrit)</f>
        <v>0</v>
      </c>
      <c r="J1090" s="13" t="s">
        <v>303</v>
      </c>
      <c r="K1090" s="22">
        <f>COUNTIFS('Unsafe Conditions'!$M$4:$M$100003,"Pending",'Unsafe Conditions'!$D$4:$D$100003,mCrit,'Unsafe Conditions'!$F$4:$F$100003,dCrit)</f>
        <v>0</v>
      </c>
      <c r="M1090" s="13" t="s">
        <v>226</v>
      </c>
      <c r="N1090" s="22">
        <f>COUNTIFS('Unsafe Conditions'!$M$4:$M$100003,"In Progress",'Unsafe Conditions'!$D$4:$D$100003,mCrit,'Unsafe Conditions'!$F$4:$F$100003,dCrit)</f>
        <v>0</v>
      </c>
      <c r="P1090" s="13" t="s">
        <v>39</v>
      </c>
      <c r="Q1090" s="22">
        <f>COUNTIFS('Unsafe Conditions'!$D$4:$D$100003,mCrit,'Unsafe Conditions'!$F$4:$F$100003,"Engineering")</f>
        <v>0</v>
      </c>
      <c r="R1090" s="25">
        <f>IFERROR((COUNTIFS('Unsafe Conditions'!$M$4:$M$100003,"Completed",'Unsafe Conditions'!$D$4:$D$100003,mCrit,'Unsafe Conditions'!$F$4:$F$100003,"Engineering"))/COUNTIFS('Unsafe Conditions'!$D$4:$D$100003,mCrit,'Unsafe Conditions'!$F$4:$F$100003,"Engineering")*100,0)</f>
        <v>0</v>
      </c>
      <c r="S1090" s="22">
        <f>COUNTIFS('Unsafe Conditions'!$D$4:$D$100003,mCrit,'Unsafe Conditions'!$F$4:$F$100003,"Engineering")</f>
        <v>0</v>
      </c>
    </row>
    <row r="1091" spans="2:34">
      <c r="B1091" s="23" t="s">
        <v>53</v>
      </c>
      <c r="C1091" s="22">
        <f>COUNTIFS('Unsafe Conditions'!$D$4:$D$100003,"Apr",'Unsafe Conditions'!$F$4:$F$100003,dCrit)</f>
        <v>0</v>
      </c>
      <c r="E1091" s="13" t="s">
        <v>142</v>
      </c>
      <c r="F1091" s="22">
        <f>COUNTIFS('Unsafe Conditions'!$I$4:$I$100003,"Low",'Unsafe Conditions'!$D$4:$D$100003,mCrit,'Unsafe Conditions'!$F$4:$F$100003,dCrit)</f>
        <v>0</v>
      </c>
      <c r="G1091" s="13" t="s">
        <v>1453</v>
      </c>
      <c r="H1091" s="22">
        <f>COUNTIFS('Unsafe Conditions'!$E$4:$E$100003,"Missing Signage",'Unsafe Conditions'!$D$4:$D$100003,mCrit,'Unsafe Conditions'!$F$4:$F$100003,dCrit)</f>
        <v>0</v>
      </c>
      <c r="J1091" s="13" t="s">
        <v>331</v>
      </c>
      <c r="K1091" s="22">
        <f>COUNTIFS('Unsafe Conditions'!$M$4:$M$100003,"Overdue",'Unsafe Conditions'!$D$4:$D$100003,mCrit,'Unsafe Conditions'!$F$4:$F$100003,dCrit)</f>
        <v>0</v>
      </c>
      <c r="M1091" s="13" t="s">
        <v>331</v>
      </c>
      <c r="N1091" s="22">
        <f>COUNTIFS('Unsafe Conditions'!$M$4:$M$100003,"Overdue",'Unsafe Conditions'!$D$4:$D$100003,mCrit,'Unsafe Conditions'!$F$4:$F$100003,dCrit)</f>
        <v>0</v>
      </c>
      <c r="P1091" s="13" t="s">
        <v>89</v>
      </c>
      <c r="Q1091" s="22">
        <f>COUNTIFS('Unsafe Conditions'!$D$4:$D$100003,mCrit,'Unsafe Conditions'!$F$4:$F$100003,"Construction")</f>
        <v>0</v>
      </c>
      <c r="R1091" s="25">
        <f>IFERROR((COUNTIFS('Unsafe Conditions'!$M$4:$M$100003,"Completed",'Unsafe Conditions'!$D$4:$D$100003,mCrit,'Unsafe Conditions'!$F$4:$F$100003,"Construction"))/COUNTIFS('Unsafe Conditions'!$D$4:$D$100003,mCrit,'Unsafe Conditions'!$F$4:$F$100003,"Construction")*100,0)</f>
        <v>0</v>
      </c>
      <c r="S1091" s="22">
        <f>COUNTIFS('Unsafe Conditions'!$D$4:$D$100003,mCrit,'Unsafe Conditions'!$F$4:$F$100003,"Construction")</f>
        <v>0</v>
      </c>
    </row>
    <row r="1092" spans="2:34">
      <c r="B1092" s="23" t="s">
        <v>60</v>
      </c>
      <c r="C1092" s="22">
        <f>COUNTIFS('Unsafe Conditions'!$D$4:$D$100003,"May",'Unsafe Conditions'!$F$4:$F$100003,dCrit)</f>
        <v>0</v>
      </c>
      <c r="G1092" s="13" t="s">
        <v>1455</v>
      </c>
      <c r="H1092" s="22">
        <f>COUNTIFS('Unsafe Conditions'!$E$4:$E$100003,"Slippery Floor",'Unsafe Conditions'!$D$4:$D$100003,mCrit,'Unsafe Conditions'!$F$4:$F$100003,dCrit)</f>
        <v>0</v>
      </c>
      <c r="M1092" s="13" t="s">
        <v>2066</v>
      </c>
      <c r="N1092" s="22">
        <f>COUNTIFS('Unsafe Conditions'!$I$4:$I$100003,"High",'Unsafe Conditions'!$D$4:$D$100003,mCrit,'Unsafe Conditions'!$F$4:$F$100003,dCrit)</f>
        <v>0</v>
      </c>
      <c r="P1092" s="13" t="s">
        <v>65</v>
      </c>
      <c r="Q1092" s="22">
        <f>COUNTIFS('Unsafe Conditions'!$D$4:$D$100003,mCrit,'Unsafe Conditions'!$F$4:$F$100003,"Safety")</f>
        <v>0</v>
      </c>
      <c r="R1092" s="25">
        <f>IFERROR((COUNTIFS('Unsafe Conditions'!$M$4:$M$100003,"Completed",'Unsafe Conditions'!$D$4:$D$100003,mCrit,'Unsafe Conditions'!$F$4:$F$100003,"Safety"))/COUNTIFS('Unsafe Conditions'!$D$4:$D$100003,mCrit,'Unsafe Conditions'!$F$4:$F$100003,"Safety")*100,0)</f>
        <v>0</v>
      </c>
      <c r="S1092" s="22">
        <f>COUNTIFS('Unsafe Conditions'!$D$4:$D$100003,mCrit,'Unsafe Conditions'!$F$4:$F$100003,"Safety")</f>
        <v>0</v>
      </c>
    </row>
    <row r="1093" spans="2:34">
      <c r="B1093" s="23" t="s">
        <v>73</v>
      </c>
      <c r="C1093" s="22">
        <f>COUNTIFS('Unsafe Conditions'!$D$4:$D$100003,"Jun",'Unsafe Conditions'!$F$4:$F$100003,dCrit)</f>
        <v>0</v>
      </c>
      <c r="G1093" s="13" t="s">
        <v>1458</v>
      </c>
      <c r="H1093" s="22">
        <f>COUNTIFS('Unsafe Conditions'!$E$4:$E$100003,"Faulty Ladder/Scaffold",'Unsafe Conditions'!$D$4:$D$100003,mCrit,'Unsafe Conditions'!$F$4:$F$100003,dCrit)</f>
        <v>0</v>
      </c>
      <c r="M1093" s="13" t="s">
        <v>2067</v>
      </c>
      <c r="N1093" s="22">
        <f>COUNTIFS('Unsafe Conditions'!$I$4:$I$100003,"Medium",'Unsafe Conditions'!$D$4:$D$100003,mCrit,'Unsafe Conditions'!$F$4:$F$100003,dCrit)</f>
        <v>0</v>
      </c>
      <c r="P1093" s="13" t="s">
        <v>5</v>
      </c>
      <c r="Q1093" s="22">
        <f>COUNTIFS('Unsafe Conditions'!$D$4:$D$100003,mCrit,'Unsafe Conditions'!$F$4:$F$100003,"Logistics")</f>
        <v>0</v>
      </c>
      <c r="R1093" s="25">
        <f>IFERROR((COUNTIFS('Unsafe Conditions'!$M$4:$M$100003,"Completed",'Unsafe Conditions'!$D$4:$D$100003,mCrit,'Unsafe Conditions'!$F$4:$F$100003,"Logistics"))/COUNTIFS('Unsafe Conditions'!$D$4:$D$100003,mCrit,'Unsafe Conditions'!$F$4:$F$100003,"Logistics")*100,0)</f>
        <v>0</v>
      </c>
      <c r="S1093" s="22">
        <f>COUNTIFS('Unsafe Conditions'!$D$4:$D$100003,mCrit,'Unsafe Conditions'!$F$4:$F$100003,"Logistics")</f>
        <v>0</v>
      </c>
    </row>
    <row r="1094" spans="2:34">
      <c r="B1094" s="23" t="s">
        <v>76</v>
      </c>
      <c r="C1094" s="22">
        <f>COUNTIFS('Unsafe Conditions'!$D$4:$D$100003,"Jul",'Unsafe Conditions'!$F$4:$F$100003,dCrit)</f>
        <v>0</v>
      </c>
      <c r="G1094" s="13" t="s">
        <v>1463</v>
      </c>
      <c r="H1094" s="22">
        <f>COUNTIFS('Unsafe Conditions'!$E$4:$E$100003,"Damaged Machine Guard",'Unsafe Conditions'!$D$4:$D$100003,mCrit,'Unsafe Conditions'!$F$4:$F$100003,dCrit)</f>
        <v>0</v>
      </c>
      <c r="M1094" s="13" t="s">
        <v>2068</v>
      </c>
      <c r="N1094" s="22">
        <f>COUNTIFS('Unsafe Conditions'!$I$4:$I$100003,"Low",'Unsafe Conditions'!$D$4:$D$100003,mCrit,'Unsafe Conditions'!$F$4:$F$100003,dCrit)</f>
        <v>0</v>
      </c>
      <c r="P1094" s="13" t="s">
        <v>50</v>
      </c>
      <c r="Q1094" s="22">
        <f>COUNTIFS('Unsafe Conditions'!$D$4:$D$100003,mCrit,'Unsafe Conditions'!$F$4:$F$100003,"Quality")</f>
        <v>0</v>
      </c>
      <c r="R1094" s="25">
        <f>IFERROR((COUNTIFS('Unsafe Conditions'!$M$4:$M$100003,"Completed",'Unsafe Conditions'!$D$4:$D$100003,mCrit,'Unsafe Conditions'!$F$4:$F$100003,"Quality"))/COUNTIFS('Unsafe Conditions'!$D$4:$D$100003,mCrit,'Unsafe Conditions'!$F$4:$F$100003,"Quality")*100,0)</f>
        <v>0</v>
      </c>
      <c r="S1094" s="22">
        <f>COUNTIFS('Unsafe Conditions'!$D$4:$D$100003,mCrit,'Unsafe Conditions'!$F$4:$F$100003,"Quality")</f>
        <v>0</v>
      </c>
    </row>
    <row r="1095" spans="2:34">
      <c r="B1095" s="23" t="s">
        <v>86</v>
      </c>
      <c r="C1095" s="22">
        <f>COUNTIFS('Unsafe Conditions'!$D$4:$D$100003,"Aug",'Unsafe Conditions'!$F$4:$F$100003,dCrit)</f>
        <v>0</v>
      </c>
      <c r="G1095" s="13" t="s">
        <v>1465</v>
      </c>
      <c r="H1095" s="22">
        <f>COUNTIFS('Unsafe Conditions'!$E$4:$E$100003,"Blocked Walkway/Aisle",'Unsafe Conditions'!$D$4:$D$100003,mCrit,'Unsafe Conditions'!$F$4:$F$100003,dCrit)</f>
        <v>0</v>
      </c>
      <c r="M1095" s="13" t="s">
        <v>2139</v>
      </c>
      <c r="N1095" s="25">
        <f>IFERROR((COUNTIFS('Unsafe Conditions'!$M$4:$M$100003,"Completed",'Unsafe Conditions'!$D$4:$D$100003,mCrit,'Unsafe Conditions'!$F$4:$F$100003,dCrit))/(COUNTIFS('Unsafe Conditions'!$D$4:$D$100003,mCrit,'Unsafe Conditions'!$F$4:$F$100003,dCrit))*100,0)</f>
        <v>0</v>
      </c>
      <c r="P1095" s="13" t="s">
        <v>46</v>
      </c>
      <c r="Q1095" s="22">
        <f>COUNTIFS('Unsafe Conditions'!$D$4:$D$100003,mCrit,'Unsafe Conditions'!$F$4:$F$100003,"Admin")</f>
        <v>0</v>
      </c>
      <c r="R1095" s="25">
        <f>IFERROR((COUNTIFS('Unsafe Conditions'!$M$4:$M$100003,"Completed",'Unsafe Conditions'!$D$4:$D$100003,mCrit,'Unsafe Conditions'!$F$4:$F$100003,"Admin"))/COUNTIFS('Unsafe Conditions'!$D$4:$D$100003,mCrit,'Unsafe Conditions'!$F$4:$F$100003,"Admin")*100,0)</f>
        <v>0</v>
      </c>
      <c r="S1095" s="22">
        <f>COUNTIFS('Unsafe Conditions'!$D$4:$D$100003,mCrit,'Unsafe Conditions'!$F$4:$F$100003,"Admin")</f>
        <v>0</v>
      </c>
    </row>
    <row r="1096" spans="2:34">
      <c r="B1096" s="23" t="s">
        <v>102</v>
      </c>
      <c r="C1096" s="22">
        <f>COUNTIFS('Unsafe Conditions'!$D$4:$D$100003,"Sep",'Unsafe Conditions'!$F$4:$F$100003,dCrit)</f>
        <v>0</v>
      </c>
      <c r="P1096" s="13" t="s">
        <v>13</v>
      </c>
      <c r="Q1096" s="22">
        <f>COUNTIFS('Unsafe Conditions'!$D$4:$D$100003,mCrit,'Unsafe Conditions'!$F$4:$F$100003,"Projects")</f>
        <v>0</v>
      </c>
      <c r="R1096" s="25">
        <f>IFERROR((COUNTIFS('Unsafe Conditions'!$M$4:$M$100003,"Completed",'Unsafe Conditions'!$D$4:$D$100003,mCrit,'Unsafe Conditions'!$F$4:$F$100003,"Projects"))/COUNTIFS('Unsafe Conditions'!$D$4:$D$100003,mCrit,'Unsafe Conditions'!$F$4:$F$100003,"Projects")*100,0)</f>
        <v>0</v>
      </c>
      <c r="S1096" s="22">
        <f>COUNTIFS('Unsafe Conditions'!$D$4:$D$100003,mCrit,'Unsafe Conditions'!$F$4:$F$100003,"Projects")</f>
        <v>0</v>
      </c>
    </row>
    <row r="1097" spans="2:34">
      <c r="B1097" s="23" t="s">
        <v>106</v>
      </c>
      <c r="C1097" s="22">
        <f>COUNTIFS('Unsafe Conditions'!$D$4:$D$100003,"Oct",'Unsafe Conditions'!$F$4:$F$100003,dCrit)</f>
        <v>0</v>
      </c>
      <c r="P1097" s="13" t="s">
        <v>58</v>
      </c>
      <c r="Q1097" s="22">
        <f>COUNTIFS('Unsafe Conditions'!$D$4:$D$100003,mCrit,'Unsafe Conditions'!$F$4:$F$100003,"Contractor")</f>
        <v>0</v>
      </c>
      <c r="R1097" s="25">
        <f>IFERROR((COUNTIFS('Unsafe Conditions'!$M$4:$M$100003,"Completed",'Unsafe Conditions'!$D$4:$D$100003,mCrit,'Unsafe Conditions'!$F$4:$F$100003,"Contractor"))/COUNTIFS('Unsafe Conditions'!$D$4:$D$100003,mCrit,'Unsafe Conditions'!$F$4:$F$100003,"Contractor")*100,0)</f>
        <v>0</v>
      </c>
      <c r="S1097" s="22">
        <f>COUNTIFS('Unsafe Conditions'!$D$4:$D$100003,mCrit,'Unsafe Conditions'!$F$4:$F$100003,"Contractor")</f>
        <v>0</v>
      </c>
    </row>
    <row r="1098" spans="2:34">
      <c r="B1098" s="23" t="s">
        <v>111</v>
      </c>
      <c r="C1098" s="22">
        <f>COUNTIFS('Unsafe Conditions'!$D$4:$D$100003,"Nov",'Unsafe Conditions'!$F$4:$F$100003,dCrit)</f>
        <v>0</v>
      </c>
    </row>
    <row r="1099" spans="2:34">
      <c r="B1099" s="23" t="s">
        <v>122</v>
      </c>
      <c r="C1099" s="22">
        <f>COUNTIFS('Unsafe Conditions'!$D$4:$D$100003,"Dec",'Unsafe Conditions'!$F$4:$F$100003,dCrit)</f>
        <v>0</v>
      </c>
    </row>
    <row r="1112" spans="2:34">
      <c r="B1112" s="17" t="s">
        <v>2143</v>
      </c>
    </row>
    <row r="1113" spans="2:34">
      <c r="B1113" s="12" t="s">
        <v>127</v>
      </c>
      <c r="C1113" s="12" t="s">
        <v>1965</v>
      </c>
      <c r="E1113" s="12" t="s">
        <v>1599</v>
      </c>
      <c r="F1113" s="12" t="s">
        <v>1965</v>
      </c>
      <c r="G1113" s="12" t="s">
        <v>1598</v>
      </c>
      <c r="H1113" s="12" t="s">
        <v>1965</v>
      </c>
      <c r="J1113" s="12" t="s">
        <v>288</v>
      </c>
      <c r="K1113" s="12" t="s">
        <v>1965</v>
      </c>
      <c r="M1113" s="12" t="s">
        <v>1927</v>
      </c>
      <c r="N1113" s="12" t="s">
        <v>2039</v>
      </c>
      <c r="P1113" s="12" t="s">
        <v>129</v>
      </c>
      <c r="Q1113" s="12" t="s">
        <v>1965</v>
      </c>
      <c r="R1113" s="12" t="s">
        <v>2071</v>
      </c>
      <c r="S1113" s="12" t="s">
        <v>1770</v>
      </c>
      <c r="U1113" s="12" t="s">
        <v>2038</v>
      </c>
      <c r="V1113" s="12" t="s">
        <v>3</v>
      </c>
      <c r="W1113" s="12" t="s">
        <v>19</v>
      </c>
      <c r="X1113" s="12" t="s">
        <v>44</v>
      </c>
      <c r="Y1113" s="12" t="s">
        <v>53</v>
      </c>
      <c r="Z1113" s="12" t="s">
        <v>60</v>
      </c>
      <c r="AA1113" s="12" t="s">
        <v>73</v>
      </c>
      <c r="AB1113" s="12" t="s">
        <v>76</v>
      </c>
      <c r="AC1113" s="12" t="s">
        <v>86</v>
      </c>
      <c r="AD1113" s="12" t="s">
        <v>102</v>
      </c>
      <c r="AE1113" s="12" t="s">
        <v>106</v>
      </c>
      <c r="AF1113" s="12" t="s">
        <v>111</v>
      </c>
      <c r="AG1113" s="12" t="s">
        <v>122</v>
      </c>
      <c r="AH1113" s="12" t="s">
        <v>2063</v>
      </c>
    </row>
    <row r="1114" spans="2:34">
      <c r="B1114" s="23" t="s">
        <v>3</v>
      </c>
      <c r="C1114" s="22">
        <f>COUNTIFS('Incident'!$D$4:$D$100003,"Jan",'Incident'!$H$4:$H$100003,dCrit)</f>
        <v>0</v>
      </c>
      <c r="E1114" s="13" t="s">
        <v>310</v>
      </c>
      <c r="F1114" s="22">
        <f>COUNTIFS('Incident'!$N$4:$N$100003,"Near Miss",'Incident'!$D$4:$D$100003,mCrit,'Incident'!$H$4:$H$100003,dCrit)</f>
        <v>0</v>
      </c>
      <c r="G1114" s="13" t="s">
        <v>1543</v>
      </c>
      <c r="H1114" s="22">
        <f>COUNTIFS('Incident'!$M$4:$M$100003,"Injury/Illness",'Incident'!$D$4:$D$100003,mCrit,'Incident'!$H$4:$H$100003,dCrit)</f>
        <v>0</v>
      </c>
      <c r="J1114" s="13" t="s">
        <v>582</v>
      </c>
      <c r="K1114" s="22">
        <f>COUNTIFS('Incident'!$AB$4:$AB$100003,"Closed",'Incident'!$D$4:$D$100003,mCrit,'Incident'!$H$4:$H$100003,dCrit)</f>
        <v>0</v>
      </c>
      <c r="M1114" s="13" t="s">
        <v>2054</v>
      </c>
      <c r="N1114" s="22">
        <f>COUNTIFS('Incident'!$D$4:$D$100003,mCrit,'Incident'!$H$4:$H$100003,dCrit)</f>
        <v>0</v>
      </c>
      <c r="P1114" s="13" t="s">
        <v>27</v>
      </c>
      <c r="Q1114" s="22">
        <f>COUNTIFS('Incident'!$D$4:$D$100003,mCrit,'Incident'!$H$4:$H$100003,"Operations")</f>
        <v>0</v>
      </c>
      <c r="R1114" s="25">
        <f>IFERROR((COUNTIFS('Incident'!$AB$4:$AB$100003,"Closed",'Incident'!$D$4:$D$100003,mCrit,'Incident'!$H$4:$H$100003,"Operations"))/COUNTIFS('Incident'!$D$4:$D$100003,mCrit,'Incident'!$H$4:$H$100003,"Operations")*100,0)</f>
        <v>0</v>
      </c>
      <c r="S1114" s="22">
        <f>COUNTIFS('Incident'!$D$4:$D$100003,mCrit,'Incident'!$H$4:$H$100003,"Operations")</f>
        <v>0</v>
      </c>
      <c r="U1114" s="13" t="s">
        <v>1770</v>
      </c>
      <c r="V1114" s="22">
        <f>COUNTIFS('Incident'!$D$4:$D$100003,"Jan",'Incident'!$H$4:$H$100003,dCrit)</f>
        <v>0</v>
      </c>
      <c r="W1114" s="22">
        <f>COUNTIFS('Incident'!$D$4:$D$100003,"Feb",'Incident'!$H$4:$H$100003,dCrit)</f>
        <v>0</v>
      </c>
      <c r="X1114" s="22">
        <f>COUNTIFS('Incident'!$D$4:$D$100003,"Mar",'Incident'!$H$4:$H$100003,dCrit)</f>
        <v>0</v>
      </c>
      <c r="Y1114" s="22">
        <f>COUNTIFS('Incident'!$D$4:$D$100003,"Apr",'Incident'!$H$4:$H$100003,dCrit)</f>
        <v>0</v>
      </c>
      <c r="Z1114" s="22">
        <f>COUNTIFS('Incident'!$D$4:$D$100003,"May",'Incident'!$H$4:$H$100003,dCrit)</f>
        <v>0</v>
      </c>
      <c r="AA1114" s="22">
        <f>COUNTIFS('Incident'!$D$4:$D$100003,"Jun",'Incident'!$H$4:$H$100003,dCrit)</f>
        <v>0</v>
      </c>
      <c r="AB1114" s="22">
        <f>COUNTIFS('Incident'!$D$4:$D$100003,"Jul",'Incident'!$H$4:$H$100003,dCrit)</f>
        <v>0</v>
      </c>
      <c r="AC1114" s="22">
        <f>COUNTIFS('Incident'!$D$4:$D$100003,"Aug",'Incident'!$H$4:$H$100003,dCrit)</f>
        <v>0</v>
      </c>
      <c r="AD1114" s="22">
        <f>COUNTIFS('Incident'!$D$4:$D$100003,"Sep",'Incident'!$H$4:$H$100003,dCrit)</f>
        <v>0</v>
      </c>
      <c r="AE1114" s="22">
        <f>COUNTIFS('Incident'!$D$4:$D$100003,"Oct",'Incident'!$H$4:$H$100003,dCrit)</f>
        <v>0</v>
      </c>
      <c r="AF1114" s="22">
        <f>COUNTIFS('Incident'!$D$4:$D$100003,"Nov",'Incident'!$H$4:$H$100003,dCrit)</f>
        <v>0</v>
      </c>
      <c r="AG1114" s="22">
        <f>COUNTIFS('Incident'!$D$4:$D$100003,"Dec",'Incident'!$H$4:$H$100003,dCrit)</f>
        <v>0</v>
      </c>
      <c r="AH1114" s="22">
        <f>SUM(V1114:AG1114)</f>
        <v>0</v>
      </c>
    </row>
    <row r="1115" spans="2:34">
      <c r="B1115" s="23" t="s">
        <v>19</v>
      </c>
      <c r="C1115" s="22">
        <f>COUNTIFS('Incident'!$D$4:$D$100003,"Feb",'Incident'!$H$4:$H$100003,dCrit)</f>
        <v>0</v>
      </c>
      <c r="E1115" s="13" t="s">
        <v>1530</v>
      </c>
      <c r="F1115" s="22">
        <f>COUNTIFS('Incident'!$N$4:$N$100003,"First Aid",'Incident'!$D$4:$D$100003,mCrit,'Incident'!$H$4:$H$100003,dCrit)</f>
        <v>0</v>
      </c>
      <c r="G1115" s="13" t="s">
        <v>1517</v>
      </c>
      <c r="H1115" s="22">
        <f>COUNTIFS('Incident'!$M$4:$M$100003,"Property Damage",'Incident'!$D$4:$D$100003,mCrit,'Incident'!$H$4:$H$100003,dCrit)</f>
        <v>0</v>
      </c>
      <c r="J1115" s="13" t="s">
        <v>226</v>
      </c>
      <c r="K1115" s="22">
        <f>COUNTIFS('Incident'!$AB$4:$AB$100003,"In Progress",'Incident'!$D$4:$D$100003,mCrit,'Incident'!$H$4:$H$100003,dCrit)</f>
        <v>0</v>
      </c>
      <c r="M1115" s="13" t="s">
        <v>1144</v>
      </c>
      <c r="N1115" s="22">
        <f>COUNTIFS('Incident'!$AB$4:$AB$100003,"Open",'Incident'!$D$4:$D$100003,mCrit,'Incident'!$H$4:$H$100003,dCrit)</f>
        <v>0</v>
      </c>
      <c r="P1115" s="13" t="s">
        <v>92</v>
      </c>
      <c r="Q1115" s="22">
        <f>COUNTIFS('Incident'!$D$4:$D$100003,mCrit,'Incident'!$H$4:$H$100003,"Maintenance")</f>
        <v>0</v>
      </c>
      <c r="R1115" s="25">
        <f>IFERROR((COUNTIFS('Incident'!$AB$4:$AB$100003,"Closed",'Incident'!$D$4:$D$100003,mCrit,'Incident'!$H$4:$H$100003,"Maintenance"))/COUNTIFS('Incident'!$D$4:$D$100003,mCrit,'Incident'!$H$4:$H$100003,"Maintenance")*100,0)</f>
        <v>0</v>
      </c>
      <c r="S1115" s="22">
        <f>COUNTIFS('Incident'!$D$4:$D$100003,mCrit,'Incident'!$H$4:$H$100003,"Maintenance")</f>
        <v>0</v>
      </c>
      <c r="U1115" s="13" t="s">
        <v>2072</v>
      </c>
      <c r="V1115" s="25">
        <f>IFERROR((COUNTIFS('Incident'!$AB$4:$AB$100003,"Closed",'Incident'!$D$4:$D$100003,"Jan",'Incident'!$H$4:$H$100003,dCrit))/COUNTIFS('Incident'!$D$4:$D$100003,"Jan",'Incident'!$H$4:$H$100003,dCrit)*100,0)</f>
        <v>0</v>
      </c>
      <c r="W1115" s="25">
        <f>IFERROR((COUNTIFS('Incident'!$AB$4:$AB$100003,"Closed",'Incident'!$D$4:$D$100003,"Feb",'Incident'!$H$4:$H$100003,dCrit))/COUNTIFS('Incident'!$D$4:$D$100003,"Feb",'Incident'!$H$4:$H$100003,dCrit)*100,0)</f>
        <v>0</v>
      </c>
      <c r="X1115" s="25">
        <f>IFERROR((COUNTIFS('Incident'!$AB$4:$AB$100003,"Closed",'Incident'!$D$4:$D$100003,"Mar",'Incident'!$H$4:$H$100003,dCrit))/COUNTIFS('Incident'!$D$4:$D$100003,"Mar",'Incident'!$H$4:$H$100003,dCrit)*100,0)</f>
        <v>0</v>
      </c>
      <c r="Y1115" s="25">
        <f>IFERROR((COUNTIFS('Incident'!$AB$4:$AB$100003,"Closed",'Incident'!$D$4:$D$100003,"Apr",'Incident'!$H$4:$H$100003,dCrit))/COUNTIFS('Incident'!$D$4:$D$100003,"Apr",'Incident'!$H$4:$H$100003,dCrit)*100,0)</f>
        <v>0</v>
      </c>
      <c r="Z1115" s="25">
        <f>IFERROR((COUNTIFS('Incident'!$AB$4:$AB$100003,"Closed",'Incident'!$D$4:$D$100003,"May",'Incident'!$H$4:$H$100003,dCrit))/COUNTIFS('Incident'!$D$4:$D$100003,"May",'Incident'!$H$4:$H$100003,dCrit)*100,0)</f>
        <v>0</v>
      </c>
      <c r="AA1115" s="25">
        <f>IFERROR((COUNTIFS('Incident'!$AB$4:$AB$100003,"Closed",'Incident'!$D$4:$D$100003,"Jun",'Incident'!$H$4:$H$100003,dCrit))/COUNTIFS('Incident'!$D$4:$D$100003,"Jun",'Incident'!$H$4:$H$100003,dCrit)*100,0)</f>
        <v>0</v>
      </c>
      <c r="AB1115" s="25">
        <f>IFERROR((COUNTIFS('Incident'!$AB$4:$AB$100003,"Closed",'Incident'!$D$4:$D$100003,"Jul",'Incident'!$H$4:$H$100003,dCrit))/COUNTIFS('Incident'!$D$4:$D$100003,"Jul",'Incident'!$H$4:$H$100003,dCrit)*100,0)</f>
        <v>0</v>
      </c>
      <c r="AC1115" s="25">
        <f>IFERROR((COUNTIFS('Incident'!$AB$4:$AB$100003,"Closed",'Incident'!$D$4:$D$100003,"Aug",'Incident'!$H$4:$H$100003,dCrit))/COUNTIFS('Incident'!$D$4:$D$100003,"Aug",'Incident'!$H$4:$H$100003,dCrit)*100,0)</f>
        <v>0</v>
      </c>
      <c r="AD1115" s="25">
        <f>IFERROR((COUNTIFS('Incident'!$AB$4:$AB$100003,"Closed",'Incident'!$D$4:$D$100003,"Sep",'Incident'!$H$4:$H$100003,dCrit))/COUNTIFS('Incident'!$D$4:$D$100003,"Sep",'Incident'!$H$4:$H$100003,dCrit)*100,0)</f>
        <v>0</v>
      </c>
      <c r="AE1115" s="25">
        <f>IFERROR((COUNTIFS('Incident'!$AB$4:$AB$100003,"Closed",'Incident'!$D$4:$D$100003,"Oct",'Incident'!$H$4:$H$100003,dCrit))/COUNTIFS('Incident'!$D$4:$D$100003,"Oct",'Incident'!$H$4:$H$100003,dCrit)*100,0)</f>
        <v>0</v>
      </c>
      <c r="AF1115" s="25">
        <f>IFERROR((COUNTIFS('Incident'!$AB$4:$AB$100003,"Closed",'Incident'!$D$4:$D$100003,"Nov",'Incident'!$H$4:$H$100003,dCrit))/COUNTIFS('Incident'!$D$4:$D$100003,"Nov",'Incident'!$H$4:$H$100003,dCrit)*100,0)</f>
        <v>0</v>
      </c>
      <c r="AG1115" s="25">
        <f>IFERROR((COUNTIFS('Incident'!$AB$4:$AB$100003,"Closed",'Incident'!$D$4:$D$100003,"Dec",'Incident'!$H$4:$H$100003,dCrit))/COUNTIFS('Incident'!$D$4:$D$100003,"Dec",'Incident'!$H$4:$H$100003,dCrit)*100,0)</f>
        <v>0</v>
      </c>
      <c r="AH1115" s="25">
        <f>IFERROR(AVERAGE(V1115:AG1115),0)</f>
        <v>0</v>
      </c>
    </row>
    <row r="1116" spans="2:34">
      <c r="B1116" s="23" t="s">
        <v>44</v>
      </c>
      <c r="C1116" s="22">
        <f>COUNTIFS('Incident'!$D$4:$D$100003,"Mar",'Incident'!$H$4:$H$100003,dCrit)</f>
        <v>0</v>
      </c>
      <c r="E1116" s="13" t="s">
        <v>1518</v>
      </c>
      <c r="F1116" s="22">
        <f>COUNTIFS('Incident'!$N$4:$N$100003,"Medical Treatment",'Incident'!$D$4:$D$100003,mCrit,'Incident'!$H$4:$H$100003,dCrit)</f>
        <v>0</v>
      </c>
      <c r="G1116" s="13" t="s">
        <v>1522</v>
      </c>
      <c r="H1116" s="22">
        <f>COUNTIFS('Incident'!$M$4:$M$100003,"Environmental",'Incident'!$D$4:$D$100003,mCrit,'Incident'!$H$4:$H$100003,dCrit)</f>
        <v>0</v>
      </c>
      <c r="J1116" s="13" t="s">
        <v>1144</v>
      </c>
      <c r="K1116" s="22">
        <f>COUNTIFS('Incident'!$AB$4:$AB$100003,"Open",'Incident'!$D$4:$D$100003,mCrit,'Incident'!$H$4:$H$100003,dCrit)</f>
        <v>0</v>
      </c>
      <c r="M1116" s="13" t="s">
        <v>582</v>
      </c>
      <c r="N1116" s="22">
        <f>COUNTIFS('Incident'!$AB$4:$AB$100003,"Closed",'Incident'!$D$4:$D$100003,mCrit,'Incident'!$H$4:$H$100003,dCrit)</f>
        <v>0</v>
      </c>
      <c r="P1116" s="13" t="s">
        <v>39</v>
      </c>
      <c r="Q1116" s="22">
        <f>COUNTIFS('Incident'!$D$4:$D$100003,mCrit,'Incident'!$H$4:$H$100003,"Engineering")</f>
        <v>0</v>
      </c>
      <c r="R1116" s="25">
        <f>IFERROR((COUNTIFS('Incident'!$AB$4:$AB$100003,"Closed",'Incident'!$D$4:$D$100003,mCrit,'Incident'!$H$4:$H$100003,"Engineering"))/COUNTIFS('Incident'!$D$4:$D$100003,mCrit,'Incident'!$H$4:$H$100003,"Engineering")*100,0)</f>
        <v>0</v>
      </c>
      <c r="S1116" s="22">
        <f>COUNTIFS('Incident'!$D$4:$D$100003,mCrit,'Incident'!$H$4:$H$100003,"Engineering")</f>
        <v>0</v>
      </c>
      <c r="U1116" s="13" t="s">
        <v>1606</v>
      </c>
      <c r="V1116" s="22">
        <f>SUMIFS('Incident'!$V$4:$V$100003,'Incident'!$D$4:$D$100003,"Jan",'Incident'!$H$4:$H$100003,dCrit)</f>
        <v>0</v>
      </c>
      <c r="W1116" s="22">
        <f>SUMIFS('Incident'!$V$4:$V$100003,'Incident'!$D$4:$D$100003,"Feb",'Incident'!$H$4:$H$100003,dCrit)</f>
        <v>0</v>
      </c>
      <c r="X1116" s="22">
        <f>SUMIFS('Incident'!$V$4:$V$100003,'Incident'!$D$4:$D$100003,"Mar",'Incident'!$H$4:$H$100003,dCrit)</f>
        <v>0</v>
      </c>
      <c r="Y1116" s="22">
        <f>SUMIFS('Incident'!$V$4:$V$100003,'Incident'!$D$4:$D$100003,"Apr",'Incident'!$H$4:$H$100003,dCrit)</f>
        <v>0</v>
      </c>
      <c r="Z1116" s="22">
        <f>SUMIFS('Incident'!$V$4:$V$100003,'Incident'!$D$4:$D$100003,"May",'Incident'!$H$4:$H$100003,dCrit)</f>
        <v>0</v>
      </c>
      <c r="AA1116" s="22">
        <f>SUMIFS('Incident'!$V$4:$V$100003,'Incident'!$D$4:$D$100003,"Jun",'Incident'!$H$4:$H$100003,dCrit)</f>
        <v>0</v>
      </c>
      <c r="AB1116" s="22">
        <f>SUMIFS('Incident'!$V$4:$V$100003,'Incident'!$D$4:$D$100003,"Jul",'Incident'!$H$4:$H$100003,dCrit)</f>
        <v>0</v>
      </c>
      <c r="AC1116" s="22">
        <f>SUMIFS('Incident'!$V$4:$V$100003,'Incident'!$D$4:$D$100003,"Aug",'Incident'!$H$4:$H$100003,dCrit)</f>
        <v>0</v>
      </c>
      <c r="AD1116" s="22">
        <f>SUMIFS('Incident'!$V$4:$V$100003,'Incident'!$D$4:$D$100003,"Sep",'Incident'!$H$4:$H$100003,dCrit)</f>
        <v>0</v>
      </c>
      <c r="AE1116" s="22">
        <f>SUMIFS('Incident'!$V$4:$V$100003,'Incident'!$D$4:$D$100003,"Oct",'Incident'!$H$4:$H$100003,dCrit)</f>
        <v>0</v>
      </c>
      <c r="AF1116" s="22">
        <f>SUMIFS('Incident'!$V$4:$V$100003,'Incident'!$D$4:$D$100003,"Nov",'Incident'!$H$4:$H$100003,dCrit)</f>
        <v>0</v>
      </c>
      <c r="AG1116" s="22">
        <f>SUMIFS('Incident'!$V$4:$V$100003,'Incident'!$D$4:$D$100003,"Dec",'Incident'!$H$4:$H$100003,dCrit)</f>
        <v>0</v>
      </c>
      <c r="AH1116" s="22">
        <f>SUM(V1116:AG1116)</f>
        <v>0</v>
      </c>
    </row>
    <row r="1117" spans="2:34">
      <c r="B1117" s="23" t="s">
        <v>53</v>
      </c>
      <c r="C1117" s="22">
        <f>COUNTIFS('Incident'!$D$4:$D$100003,"Apr",'Incident'!$H$4:$H$100003,dCrit)</f>
        <v>0</v>
      </c>
      <c r="E1117" s="13" t="s">
        <v>1527</v>
      </c>
      <c r="F1117" s="22">
        <f>COUNTIFS('Incident'!$N$4:$N$100003,"Restricted Work",'Incident'!$D$4:$D$100003,mCrit,'Incident'!$H$4:$H$100003,dCrit)</f>
        <v>0</v>
      </c>
      <c r="G1117" s="13" t="s">
        <v>1538</v>
      </c>
      <c r="H1117" s="22">
        <f>COUNTIFS('Incident'!$M$4:$M$100003,"Fire",'Incident'!$D$4:$D$100003,mCrit,'Incident'!$H$4:$H$100003,dCrit)</f>
        <v>0</v>
      </c>
      <c r="M1117" s="13" t="s">
        <v>331</v>
      </c>
      <c r="N1117" s="22">
        <f>COUNTIFS('Incident'!$AB$4:$AB$100003,"&lt;&gt;Closed",'Incident'!$AC$4:$AC$100003,"&gt;30",'Incident'!$D$4:$D$100003,mCrit,'Incident'!$H$4:$H$100003,dCrit)</f>
        <v>0</v>
      </c>
      <c r="P1117" s="13" t="s">
        <v>89</v>
      </c>
      <c r="Q1117" s="22">
        <f>COUNTIFS('Incident'!$D$4:$D$100003,mCrit,'Incident'!$H$4:$H$100003,"Construction")</f>
        <v>0</v>
      </c>
      <c r="R1117" s="25">
        <f>IFERROR((COUNTIFS('Incident'!$AB$4:$AB$100003,"Closed",'Incident'!$D$4:$D$100003,mCrit,'Incident'!$H$4:$H$100003,"Construction"))/COUNTIFS('Incident'!$D$4:$D$100003,mCrit,'Incident'!$H$4:$H$100003,"Construction")*100,0)</f>
        <v>0</v>
      </c>
      <c r="S1117" s="22">
        <f>COUNTIFS('Incident'!$D$4:$D$100003,mCrit,'Incident'!$H$4:$H$100003,"Construction")</f>
        <v>0</v>
      </c>
    </row>
    <row r="1118" spans="2:34">
      <c r="B1118" s="23" t="s">
        <v>60</v>
      </c>
      <c r="C1118" s="22">
        <f>COUNTIFS('Incident'!$D$4:$D$100003,"May",'Incident'!$H$4:$H$100003,dCrit)</f>
        <v>0</v>
      </c>
      <c r="E1118" s="13" t="s">
        <v>1562</v>
      </c>
      <c r="F1118" s="22">
        <f>COUNTIFS('Incident'!$N$4:$N$100003,"Lost Time Injury",'Incident'!$D$4:$D$100003,mCrit,'Incident'!$H$4:$H$100003,dCrit)</f>
        <v>0</v>
      </c>
      <c r="G1118" s="13" t="s">
        <v>1511</v>
      </c>
      <c r="H1118" s="22">
        <f>COUNTIFS('Incident'!$M$4:$M$100003,"Vehicle",'Incident'!$D$4:$D$100003,mCrit,'Incident'!$H$4:$H$100003,dCrit)</f>
        <v>0</v>
      </c>
      <c r="M1118" s="13" t="s">
        <v>310</v>
      </c>
      <c r="N1118" s="22">
        <f>COUNTIFS('Incident'!$N$4:$N$100003,"Near Miss",'Incident'!$D$4:$D$100003,mCrit,'Incident'!$H$4:$H$100003,dCrit)</f>
        <v>0</v>
      </c>
      <c r="P1118" s="13" t="s">
        <v>65</v>
      </c>
      <c r="Q1118" s="22">
        <f>COUNTIFS('Incident'!$D$4:$D$100003,mCrit,'Incident'!$H$4:$H$100003,"Safety")</f>
        <v>0</v>
      </c>
      <c r="R1118" s="25">
        <f>IFERROR((COUNTIFS('Incident'!$AB$4:$AB$100003,"Closed",'Incident'!$D$4:$D$100003,mCrit,'Incident'!$H$4:$H$100003,"Safety"))/COUNTIFS('Incident'!$D$4:$D$100003,mCrit,'Incident'!$H$4:$H$100003,"Safety")*100,0)</f>
        <v>0</v>
      </c>
      <c r="S1118" s="22">
        <f>COUNTIFS('Incident'!$D$4:$D$100003,mCrit,'Incident'!$H$4:$H$100003,"Safety")</f>
        <v>0</v>
      </c>
    </row>
    <row r="1119" spans="2:34">
      <c r="B1119" s="23" t="s">
        <v>73</v>
      </c>
      <c r="C1119" s="22">
        <f>COUNTIFS('Incident'!$D$4:$D$100003,"Jun",'Incident'!$H$4:$H$100003,dCrit)</f>
        <v>0</v>
      </c>
      <c r="E1119" s="13" t="s">
        <v>1966</v>
      </c>
      <c r="F1119" s="22">
        <f>COUNTIFS('Incident'!$N$4:$N$100003,"Fatality",'Incident'!$D$4:$D$100003,mCrit,'Incident'!$H$4:$H$100003,dCrit)</f>
        <v>0</v>
      </c>
      <c r="M1119" s="13" t="s">
        <v>1932</v>
      </c>
      <c r="N1119" s="22">
        <f>COUNTIFS('Incident'!$N$4:$N$100003,"Lost Time Injury",'Incident'!$D$4:$D$100003,mCrit,'Incident'!$H$4:$H$100003,dCrit)+COUNTIFS('Incident'!$N$4:$N$100003,"Medical Treatment",'Incident'!$D$4:$D$100003,mCrit,'Incident'!$H$4:$H$100003,dCrit)+COUNTIFS('Incident'!$N$4:$N$100003,"Restricted Work",'Incident'!$D$4:$D$100003,mCrit,'Incident'!$H$4:$H$100003,dCrit)+COUNTIFS('Incident'!$N$4:$N$100003,"Fatality",'Incident'!$D$4:$D$100003,mCrit,'Incident'!$H$4:$H$100003,dCrit)</f>
        <v>0</v>
      </c>
      <c r="P1119" s="13" t="s">
        <v>5</v>
      </c>
      <c r="Q1119" s="22">
        <f>COUNTIFS('Incident'!$D$4:$D$100003,mCrit,'Incident'!$H$4:$H$100003,"Logistics")</f>
        <v>0</v>
      </c>
      <c r="R1119" s="25">
        <f>IFERROR((COUNTIFS('Incident'!$AB$4:$AB$100003,"Closed",'Incident'!$D$4:$D$100003,mCrit,'Incident'!$H$4:$H$100003,"Logistics"))/COUNTIFS('Incident'!$D$4:$D$100003,mCrit,'Incident'!$H$4:$H$100003,"Logistics")*100,0)</f>
        <v>0</v>
      </c>
      <c r="S1119" s="22">
        <f>COUNTIFS('Incident'!$D$4:$D$100003,mCrit,'Incident'!$H$4:$H$100003,"Logistics")</f>
        <v>0</v>
      </c>
    </row>
    <row r="1120" spans="2:34">
      <c r="B1120" s="23" t="s">
        <v>76</v>
      </c>
      <c r="C1120" s="22">
        <f>COUNTIFS('Incident'!$D$4:$D$100003,"Jul",'Incident'!$H$4:$H$100003,dCrit)</f>
        <v>0</v>
      </c>
      <c r="M1120" s="13" t="s">
        <v>2144</v>
      </c>
      <c r="N1120" s="22">
        <f>COUNTIFS('Incident'!$N$4:$N$100003,"Lost Time Injury",'Incident'!$D$4:$D$100003,mCrit,'Incident'!$H$4:$H$100003,dCrit)+COUNTIFS('Incident'!$N$4:$N$100003,"Fatality",'Incident'!$D$4:$D$100003,mCrit,'Incident'!$H$4:$H$100003,dCrit)</f>
        <v>0</v>
      </c>
      <c r="P1120" s="13" t="s">
        <v>50</v>
      </c>
      <c r="Q1120" s="22">
        <f>COUNTIFS('Incident'!$D$4:$D$100003,mCrit,'Incident'!$H$4:$H$100003,"Quality")</f>
        <v>0</v>
      </c>
      <c r="R1120" s="25">
        <f>IFERROR((COUNTIFS('Incident'!$AB$4:$AB$100003,"Closed",'Incident'!$D$4:$D$100003,mCrit,'Incident'!$H$4:$H$100003,"Quality"))/COUNTIFS('Incident'!$D$4:$D$100003,mCrit,'Incident'!$H$4:$H$100003,"Quality")*100,0)</f>
        <v>0</v>
      </c>
      <c r="S1120" s="22">
        <f>COUNTIFS('Incident'!$D$4:$D$100003,mCrit,'Incident'!$H$4:$H$100003,"Quality")</f>
        <v>0</v>
      </c>
    </row>
    <row r="1121" spans="2:19">
      <c r="B1121" s="23" t="s">
        <v>86</v>
      </c>
      <c r="C1121" s="22">
        <f>COUNTIFS('Incident'!$D$4:$D$100003,"Aug",'Incident'!$H$4:$H$100003,dCrit)</f>
        <v>0</v>
      </c>
      <c r="M1121" s="13" t="s">
        <v>2145</v>
      </c>
      <c r="N1121" s="22">
        <f>IFERROR(AVERAGEIFS('Incident'!$AC$4:$AC$100003,'Incident'!$AB$4:$AB$100003,"Closed",'Incident'!$D$4:$D$100003,mCrit,'Incident'!$H$4:$H$100003,dCrit),0)</f>
        <v>0</v>
      </c>
      <c r="P1121" s="13" t="s">
        <v>46</v>
      </c>
      <c r="Q1121" s="22">
        <f>COUNTIFS('Incident'!$D$4:$D$100003,mCrit,'Incident'!$H$4:$H$100003,"Admin")</f>
        <v>0</v>
      </c>
      <c r="R1121" s="25">
        <f>IFERROR((COUNTIFS('Incident'!$AB$4:$AB$100003,"Closed",'Incident'!$D$4:$D$100003,mCrit,'Incident'!$H$4:$H$100003,"Admin"))/COUNTIFS('Incident'!$D$4:$D$100003,mCrit,'Incident'!$H$4:$H$100003,"Admin")*100,0)</f>
        <v>0</v>
      </c>
      <c r="S1121" s="22">
        <f>COUNTIFS('Incident'!$D$4:$D$100003,mCrit,'Incident'!$H$4:$H$100003,"Admin")</f>
        <v>0</v>
      </c>
    </row>
    <row r="1122" spans="2:19">
      <c r="B1122" s="23" t="s">
        <v>102</v>
      </c>
      <c r="C1122" s="22">
        <f>COUNTIFS('Incident'!$D$4:$D$100003,"Sep",'Incident'!$H$4:$H$100003,dCrit)</f>
        <v>0</v>
      </c>
      <c r="P1122" s="13" t="s">
        <v>13</v>
      </c>
      <c r="Q1122" s="22">
        <f>COUNTIFS('Incident'!$D$4:$D$100003,mCrit,'Incident'!$H$4:$H$100003,"Projects")</f>
        <v>0</v>
      </c>
      <c r="R1122" s="25">
        <f>IFERROR((COUNTIFS('Incident'!$AB$4:$AB$100003,"Closed",'Incident'!$D$4:$D$100003,mCrit,'Incident'!$H$4:$H$100003,"Projects"))/COUNTIFS('Incident'!$D$4:$D$100003,mCrit,'Incident'!$H$4:$H$100003,"Projects")*100,0)</f>
        <v>0</v>
      </c>
      <c r="S1122" s="22">
        <f>COUNTIFS('Incident'!$D$4:$D$100003,mCrit,'Incident'!$H$4:$H$100003,"Projects")</f>
        <v>0</v>
      </c>
    </row>
    <row r="1123" spans="2:19">
      <c r="B1123" s="23" t="s">
        <v>106</v>
      </c>
      <c r="C1123" s="22">
        <f>COUNTIFS('Incident'!$D$4:$D$100003,"Oct",'Incident'!$H$4:$H$100003,dCrit)</f>
        <v>0</v>
      </c>
      <c r="P1123" s="13" t="s">
        <v>58</v>
      </c>
      <c r="Q1123" s="22">
        <f>COUNTIFS('Incident'!$D$4:$D$100003,mCrit,'Incident'!$H$4:$H$100003,"Contractor")</f>
        <v>0</v>
      </c>
      <c r="R1123" s="25">
        <f>IFERROR((COUNTIFS('Incident'!$AB$4:$AB$100003,"Closed",'Incident'!$D$4:$D$100003,mCrit,'Incident'!$H$4:$H$100003,"Contractor"))/COUNTIFS('Incident'!$D$4:$D$100003,mCrit,'Incident'!$H$4:$H$100003,"Contractor")*100,0)</f>
        <v>0</v>
      </c>
      <c r="S1123" s="22">
        <f>COUNTIFS('Incident'!$D$4:$D$100003,mCrit,'Incident'!$H$4:$H$100003,"Contractor")</f>
        <v>0</v>
      </c>
    </row>
    <row r="1124" spans="2:19">
      <c r="B1124" s="23" t="s">
        <v>111</v>
      </c>
      <c r="C1124" s="22">
        <f>COUNTIFS('Incident'!$D$4:$D$100003,"Nov",'Incident'!$H$4:$H$100003,dCrit)</f>
        <v>0</v>
      </c>
    </row>
    <row r="1125" spans="2:19">
      <c r="B1125" s="23" t="s">
        <v>122</v>
      </c>
      <c r="C1125" s="22">
        <f>COUNTIFS('Incident'!$D$4:$D$100003,"Dec",'Incident'!$H$4:$H$100003,dCrit)</f>
        <v>0</v>
      </c>
    </row>
    <row r="1138" spans="2:34">
      <c r="B1138" s="17" t="s">
        <v>2146</v>
      </c>
    </row>
    <row r="1139" spans="2:34">
      <c r="B1139" s="12" t="s">
        <v>127</v>
      </c>
      <c r="C1139" s="12" t="s">
        <v>1965</v>
      </c>
      <c r="E1139" s="12" t="s">
        <v>1677</v>
      </c>
      <c r="F1139" s="12" t="s">
        <v>1965</v>
      </c>
      <c r="M1139" s="12" t="s">
        <v>1927</v>
      </c>
      <c r="N1139" s="12" t="s">
        <v>2039</v>
      </c>
      <c r="P1139" s="12" t="s">
        <v>129</v>
      </c>
      <c r="Q1139" s="12" t="s">
        <v>1965</v>
      </c>
      <c r="R1139" s="12" t="s">
        <v>1770</v>
      </c>
      <c r="S1139" s="12" t="s">
        <v>2153</v>
      </c>
      <c r="U1139" s="12" t="s">
        <v>2038</v>
      </c>
      <c r="V1139" s="12" t="s">
        <v>3</v>
      </c>
      <c r="W1139" s="12" t="s">
        <v>19</v>
      </c>
      <c r="X1139" s="12" t="s">
        <v>44</v>
      </c>
      <c r="Y1139" s="12" t="s">
        <v>53</v>
      </c>
      <c r="Z1139" s="12" t="s">
        <v>60</v>
      </c>
      <c r="AA1139" s="12" t="s">
        <v>73</v>
      </c>
      <c r="AB1139" s="12" t="s">
        <v>76</v>
      </c>
      <c r="AC1139" s="12" t="s">
        <v>86</v>
      </c>
      <c r="AD1139" s="12" t="s">
        <v>102</v>
      </c>
      <c r="AE1139" s="12" t="s">
        <v>106</v>
      </c>
      <c r="AF1139" s="12" t="s">
        <v>111</v>
      </c>
      <c r="AG1139" s="12" t="s">
        <v>122</v>
      </c>
      <c r="AH1139" s="12" t="s">
        <v>2063</v>
      </c>
    </row>
    <row r="1140" spans="2:34">
      <c r="B1140" s="23" t="s">
        <v>3</v>
      </c>
      <c r="C1140" s="22">
        <f>COUNTIFS('Environmental Perf'!$D$4:$D$100003,"Jan",'Environmental Perf'!$E$4:$E$100003,dCrit)</f>
        <v>0</v>
      </c>
      <c r="E1140" s="13" t="s">
        <v>1615</v>
      </c>
      <c r="F1140" s="22">
        <f>COUNTIFS('Environmental Perf'!$G$4:$G$100003,"Organic/Food Waste",'Environmental Perf'!$D$4:$D$100003,mCrit,'Environmental Perf'!$E$4:$E$100003,dCrit)</f>
        <v>0</v>
      </c>
      <c r="M1140" s="13" t="s">
        <v>2147</v>
      </c>
      <c r="N1140" s="22">
        <f>COUNTIFS('Environmental Perf'!$D$4:$D$100003,mCrit,'Environmental Perf'!$E$4:$E$100003,dCrit)</f>
        <v>0</v>
      </c>
      <c r="P1140" s="13" t="s">
        <v>27</v>
      </c>
      <c r="Q1140" s="22">
        <f>COUNTIFS('Environmental Perf'!$D$4:$D$100003,mCrit,'Environmental Perf'!$E$4:$E$100003,"Operations")</f>
        <v>0</v>
      </c>
      <c r="R1140" s="22">
        <f>COUNTIFS('Environmental Perf'!$D$4:$D$100003,mCrit,'Environmental Perf'!$E$4:$E$100003,"Operations")</f>
        <v>0</v>
      </c>
      <c r="S1140" s="25">
        <f>IFERROR(AVERAGEIFS('Environmental Perf'!$J$4:$J$100003,'Environmental Perf'!$D$4:$D$100003,mCrit,'Environmental Perf'!$E$4:$E$100003,"Operations"),0)</f>
        <v>0</v>
      </c>
      <c r="U1140" s="13" t="s">
        <v>1770</v>
      </c>
      <c r="V1140" s="22">
        <f>COUNTIFS('Environmental Perf'!$D$4:$D$100003,"Jan",'Environmental Perf'!$E$4:$E$100003,dCrit)</f>
        <v>0</v>
      </c>
      <c r="W1140" s="22">
        <f>COUNTIFS('Environmental Perf'!$D$4:$D$100003,"Feb",'Environmental Perf'!$E$4:$E$100003,dCrit)</f>
        <v>0</v>
      </c>
      <c r="X1140" s="22">
        <f>COUNTIFS('Environmental Perf'!$D$4:$D$100003,"Mar",'Environmental Perf'!$E$4:$E$100003,dCrit)</f>
        <v>0</v>
      </c>
      <c r="Y1140" s="22">
        <f>COUNTIFS('Environmental Perf'!$D$4:$D$100003,"Apr",'Environmental Perf'!$E$4:$E$100003,dCrit)</f>
        <v>0</v>
      </c>
      <c r="Z1140" s="22">
        <f>COUNTIFS('Environmental Perf'!$D$4:$D$100003,"May",'Environmental Perf'!$E$4:$E$100003,dCrit)</f>
        <v>0</v>
      </c>
      <c r="AA1140" s="22">
        <f>COUNTIFS('Environmental Perf'!$D$4:$D$100003,"Jun",'Environmental Perf'!$E$4:$E$100003,dCrit)</f>
        <v>0</v>
      </c>
      <c r="AB1140" s="22">
        <f>COUNTIFS('Environmental Perf'!$D$4:$D$100003,"Jul",'Environmental Perf'!$E$4:$E$100003,dCrit)</f>
        <v>0</v>
      </c>
      <c r="AC1140" s="22">
        <f>COUNTIFS('Environmental Perf'!$D$4:$D$100003,"Aug",'Environmental Perf'!$E$4:$E$100003,dCrit)</f>
        <v>0</v>
      </c>
      <c r="AD1140" s="22">
        <f>COUNTIFS('Environmental Perf'!$D$4:$D$100003,"Sep",'Environmental Perf'!$E$4:$E$100003,dCrit)</f>
        <v>0</v>
      </c>
      <c r="AE1140" s="22">
        <f>COUNTIFS('Environmental Perf'!$D$4:$D$100003,"Oct",'Environmental Perf'!$E$4:$E$100003,dCrit)</f>
        <v>0</v>
      </c>
      <c r="AF1140" s="22">
        <f>COUNTIFS('Environmental Perf'!$D$4:$D$100003,"Nov",'Environmental Perf'!$E$4:$E$100003,dCrit)</f>
        <v>0</v>
      </c>
      <c r="AG1140" s="22">
        <f>COUNTIFS('Environmental Perf'!$D$4:$D$100003,"Dec",'Environmental Perf'!$E$4:$E$100003,dCrit)</f>
        <v>0</v>
      </c>
      <c r="AH1140" s="22">
        <f>SUM(V1140:AG1140)</f>
        <v>0</v>
      </c>
    </row>
    <row r="1141" spans="2:34">
      <c r="B1141" s="23" t="s">
        <v>19</v>
      </c>
      <c r="C1141" s="22">
        <f>COUNTIFS('Environmental Perf'!$D$4:$D$100003,"Feb",'Environmental Perf'!$E$4:$E$100003,dCrit)</f>
        <v>0</v>
      </c>
      <c r="E1141" s="13" t="s">
        <v>1621</v>
      </c>
      <c r="F1141" s="22">
        <f>COUNTIFS('Environmental Perf'!$G$4:$G$100003,"General Waste",'Environmental Perf'!$D$4:$D$100003,mCrit,'Environmental Perf'!$E$4:$E$100003,dCrit)</f>
        <v>0</v>
      </c>
      <c r="M1141" s="13" t="s">
        <v>1678</v>
      </c>
      <c r="N1141" s="22">
        <f>SUMIFS('Environmental Perf'!$H$4:$H$100003,'Environmental Perf'!$D$4:$D$100003,mCrit,'Environmental Perf'!$E$4:$E$100003,dCrit)</f>
        <v>0</v>
      </c>
      <c r="P1141" s="13" t="s">
        <v>92</v>
      </c>
      <c r="Q1141" s="22">
        <f>COUNTIFS('Environmental Perf'!$D$4:$D$100003,mCrit,'Environmental Perf'!$E$4:$E$100003,"Maintenance")</f>
        <v>0</v>
      </c>
      <c r="R1141" s="22">
        <f>COUNTIFS('Environmental Perf'!$D$4:$D$100003,mCrit,'Environmental Perf'!$E$4:$E$100003,"Maintenance")</f>
        <v>0</v>
      </c>
      <c r="S1141" s="25">
        <f>IFERROR(AVERAGEIFS('Environmental Perf'!$J$4:$J$100003,'Environmental Perf'!$D$4:$D$100003,mCrit,'Environmental Perf'!$E$4:$E$100003,"Maintenance"),0)</f>
        <v>0</v>
      </c>
      <c r="U1141" s="13" t="s">
        <v>2153</v>
      </c>
      <c r="V1141" s="25">
        <f>IFERROR(AVERAGEIFS('Environmental Perf'!$J$4:$J$100003,'Environmental Perf'!$D$4:$D$100003,"Jan",'Environmental Perf'!$E$4:$E$100003,dCrit),0)</f>
        <v>0</v>
      </c>
      <c r="W1141" s="25">
        <f>IFERROR(AVERAGEIFS('Environmental Perf'!$J$4:$J$100003,'Environmental Perf'!$D$4:$D$100003,"Feb",'Environmental Perf'!$E$4:$E$100003,dCrit),0)</f>
        <v>0</v>
      </c>
      <c r="X1141" s="25">
        <f>IFERROR(AVERAGEIFS('Environmental Perf'!$J$4:$J$100003,'Environmental Perf'!$D$4:$D$100003,"Mar",'Environmental Perf'!$E$4:$E$100003,dCrit),0)</f>
        <v>0</v>
      </c>
      <c r="Y1141" s="25">
        <f>IFERROR(AVERAGEIFS('Environmental Perf'!$J$4:$J$100003,'Environmental Perf'!$D$4:$D$100003,"Apr",'Environmental Perf'!$E$4:$E$100003,dCrit),0)</f>
        <v>0</v>
      </c>
      <c r="Z1141" s="25">
        <f>IFERROR(AVERAGEIFS('Environmental Perf'!$J$4:$J$100003,'Environmental Perf'!$D$4:$D$100003,"May",'Environmental Perf'!$E$4:$E$100003,dCrit),0)</f>
        <v>0</v>
      </c>
      <c r="AA1141" s="25">
        <f>IFERROR(AVERAGEIFS('Environmental Perf'!$J$4:$J$100003,'Environmental Perf'!$D$4:$D$100003,"Jun",'Environmental Perf'!$E$4:$E$100003,dCrit),0)</f>
        <v>0</v>
      </c>
      <c r="AB1141" s="25">
        <f>IFERROR(AVERAGEIFS('Environmental Perf'!$J$4:$J$100003,'Environmental Perf'!$D$4:$D$100003,"Jul",'Environmental Perf'!$E$4:$E$100003,dCrit),0)</f>
        <v>0</v>
      </c>
      <c r="AC1141" s="25">
        <f>IFERROR(AVERAGEIFS('Environmental Perf'!$J$4:$J$100003,'Environmental Perf'!$D$4:$D$100003,"Aug",'Environmental Perf'!$E$4:$E$100003,dCrit),0)</f>
        <v>0</v>
      </c>
      <c r="AD1141" s="25">
        <f>IFERROR(AVERAGEIFS('Environmental Perf'!$J$4:$J$100003,'Environmental Perf'!$D$4:$D$100003,"Sep",'Environmental Perf'!$E$4:$E$100003,dCrit),0)</f>
        <v>0</v>
      </c>
      <c r="AE1141" s="25">
        <f>IFERROR(AVERAGEIFS('Environmental Perf'!$J$4:$J$100003,'Environmental Perf'!$D$4:$D$100003,"Oct",'Environmental Perf'!$E$4:$E$100003,dCrit),0)</f>
        <v>0</v>
      </c>
      <c r="AF1141" s="25">
        <f>IFERROR(AVERAGEIFS('Environmental Perf'!$J$4:$J$100003,'Environmental Perf'!$D$4:$D$100003,"Nov",'Environmental Perf'!$E$4:$E$100003,dCrit),0)</f>
        <v>0</v>
      </c>
      <c r="AG1141" s="25">
        <f>IFERROR(AVERAGEIFS('Environmental Perf'!$J$4:$J$100003,'Environmental Perf'!$D$4:$D$100003,"Dec",'Environmental Perf'!$E$4:$E$100003,dCrit),0)</f>
        <v>0</v>
      </c>
      <c r="AH1141" s="25">
        <f>IFERROR(AVERAGE(V1141:AG1141),0)</f>
        <v>0</v>
      </c>
    </row>
    <row r="1142" spans="2:34">
      <c r="B1142" s="23" t="s">
        <v>44</v>
      </c>
      <c r="C1142" s="22">
        <f>COUNTIFS('Environmental Perf'!$D$4:$D$100003,"Mar",'Environmental Perf'!$E$4:$E$100003,dCrit)</f>
        <v>0</v>
      </c>
      <c r="E1142" s="13" t="s">
        <v>1624</v>
      </c>
      <c r="F1142" s="22">
        <f>COUNTIFS('Environmental Perf'!$G$4:$G$100003,"Metal Scrap",'Environmental Perf'!$D$4:$D$100003,mCrit,'Environmental Perf'!$E$4:$E$100003,dCrit)</f>
        <v>0</v>
      </c>
      <c r="M1142" s="13" t="s">
        <v>1679</v>
      </c>
      <c r="N1142" s="22">
        <f>SUMIFS('Environmental Perf'!$I$4:$I$100003,'Environmental Perf'!$D$4:$D$100003,mCrit,'Environmental Perf'!$E$4:$E$100003,dCrit)</f>
        <v>0</v>
      </c>
      <c r="P1142" s="13" t="s">
        <v>39</v>
      </c>
      <c r="Q1142" s="22">
        <f>COUNTIFS('Environmental Perf'!$D$4:$D$100003,mCrit,'Environmental Perf'!$E$4:$E$100003,"Engineering")</f>
        <v>0</v>
      </c>
      <c r="R1142" s="22">
        <f>COUNTIFS('Environmental Perf'!$D$4:$D$100003,mCrit,'Environmental Perf'!$E$4:$E$100003,"Engineering")</f>
        <v>0</v>
      </c>
      <c r="S1142" s="25">
        <f>IFERROR(AVERAGEIFS('Environmental Perf'!$J$4:$J$100003,'Environmental Perf'!$D$4:$D$100003,mCrit,'Environmental Perf'!$E$4:$E$100003,"Engineering"),0)</f>
        <v>0</v>
      </c>
    </row>
    <row r="1143" spans="2:34">
      <c r="B1143" s="23" t="s">
        <v>53</v>
      </c>
      <c r="C1143" s="22">
        <f>COUNTIFS('Environmental Perf'!$D$4:$D$100003,"Apr",'Environmental Perf'!$E$4:$E$100003,dCrit)</f>
        <v>0</v>
      </c>
      <c r="E1143" s="13" t="s">
        <v>1627</v>
      </c>
      <c r="F1143" s="22">
        <f>COUNTIFS('Environmental Perf'!$G$4:$G$100003,"Hazardous Waste",'Environmental Perf'!$D$4:$D$100003,mCrit,'Environmental Perf'!$E$4:$E$100003,dCrit)</f>
        <v>0</v>
      </c>
      <c r="M1143" s="13" t="s">
        <v>2148</v>
      </c>
      <c r="N1143" s="25">
        <f>IFERROR(AVERAGEIFS('Environmental Perf'!$J$4:$J$100003,'Environmental Perf'!$D$4:$D$100003,mCrit,'Environmental Perf'!$E$4:$E$100003,dCrit),0)</f>
        <v>0</v>
      </c>
      <c r="P1143" s="13" t="s">
        <v>89</v>
      </c>
      <c r="Q1143" s="22">
        <f>COUNTIFS('Environmental Perf'!$D$4:$D$100003,mCrit,'Environmental Perf'!$E$4:$E$100003,"Construction")</f>
        <v>0</v>
      </c>
      <c r="R1143" s="22">
        <f>COUNTIFS('Environmental Perf'!$D$4:$D$100003,mCrit,'Environmental Perf'!$E$4:$E$100003,"Construction")</f>
        <v>0</v>
      </c>
      <c r="S1143" s="25">
        <f>IFERROR(AVERAGEIFS('Environmental Perf'!$J$4:$J$100003,'Environmental Perf'!$D$4:$D$100003,mCrit,'Environmental Perf'!$E$4:$E$100003,"Construction"),0)</f>
        <v>0</v>
      </c>
    </row>
    <row r="1144" spans="2:34">
      <c r="B1144" s="23" t="s">
        <v>60</v>
      </c>
      <c r="C1144" s="22">
        <f>COUNTIFS('Environmental Perf'!$D$4:$D$100003,"May",'Environmental Perf'!$E$4:$E$100003,dCrit)</f>
        <v>0</v>
      </c>
      <c r="E1144" s="13" t="s">
        <v>1633</v>
      </c>
      <c r="F1144" s="22">
        <f>COUNTIFS('Environmental Perf'!$G$4:$G$100003,"Plastic",'Environmental Perf'!$D$4:$D$100003,mCrit,'Environmental Perf'!$E$4:$E$100003,dCrit)</f>
        <v>0</v>
      </c>
      <c r="M1144" s="13" t="s">
        <v>2149</v>
      </c>
      <c r="N1144" s="22">
        <f>SUMIFS('Environmental Perf'!$K$4:$K$100003,'Environmental Perf'!$D$4:$D$100003,mCrit,'Environmental Perf'!$E$4:$E$100003,dCrit)</f>
        <v>0</v>
      </c>
      <c r="P1144" s="13" t="s">
        <v>65</v>
      </c>
      <c r="Q1144" s="22">
        <f>COUNTIFS('Environmental Perf'!$D$4:$D$100003,mCrit,'Environmental Perf'!$E$4:$E$100003,"Safety")</f>
        <v>0</v>
      </c>
      <c r="R1144" s="22">
        <f>COUNTIFS('Environmental Perf'!$D$4:$D$100003,mCrit,'Environmental Perf'!$E$4:$E$100003,"Safety")</f>
        <v>0</v>
      </c>
      <c r="S1144" s="25">
        <f>IFERROR(AVERAGEIFS('Environmental Perf'!$J$4:$J$100003,'Environmental Perf'!$D$4:$D$100003,mCrit,'Environmental Perf'!$E$4:$E$100003,"Safety"),0)</f>
        <v>0</v>
      </c>
    </row>
    <row r="1145" spans="2:34">
      <c r="B1145" s="23" t="s">
        <v>73</v>
      </c>
      <c r="C1145" s="22">
        <f>COUNTIFS('Environmental Perf'!$D$4:$D$100003,"Jun",'Environmental Perf'!$E$4:$E$100003,dCrit)</f>
        <v>0</v>
      </c>
      <c r="E1145" s="13" t="s">
        <v>1641</v>
      </c>
      <c r="F1145" s="22">
        <f>COUNTIFS('Environmental Perf'!$G$4:$G$100003,"E-Waste",'Environmental Perf'!$D$4:$D$100003,mCrit,'Environmental Perf'!$E$4:$E$100003,dCrit)</f>
        <v>0</v>
      </c>
      <c r="M1145" s="13" t="s">
        <v>2150</v>
      </c>
      <c r="N1145" s="22">
        <f>SUMIFS('Environmental Perf'!$L$4:$L$100003,'Environmental Perf'!$D$4:$D$100003,mCrit,'Environmental Perf'!$E$4:$E$100003,dCrit)</f>
        <v>0</v>
      </c>
      <c r="P1145" s="13" t="s">
        <v>5</v>
      </c>
      <c r="Q1145" s="22">
        <f>COUNTIFS('Environmental Perf'!$D$4:$D$100003,mCrit,'Environmental Perf'!$E$4:$E$100003,"Logistics")</f>
        <v>0</v>
      </c>
      <c r="R1145" s="22">
        <f>COUNTIFS('Environmental Perf'!$D$4:$D$100003,mCrit,'Environmental Perf'!$E$4:$E$100003,"Logistics")</f>
        <v>0</v>
      </c>
      <c r="S1145" s="25">
        <f>IFERROR(AVERAGEIFS('Environmental Perf'!$J$4:$J$100003,'Environmental Perf'!$D$4:$D$100003,mCrit,'Environmental Perf'!$E$4:$E$100003,"Logistics"),0)</f>
        <v>0</v>
      </c>
    </row>
    <row r="1146" spans="2:34">
      <c r="B1146" s="23" t="s">
        <v>76</v>
      </c>
      <c r="C1146" s="22">
        <f>COUNTIFS('Environmental Perf'!$D$4:$D$100003,"Jul",'Environmental Perf'!$E$4:$E$100003,dCrit)</f>
        <v>0</v>
      </c>
      <c r="M1146" s="13" t="s">
        <v>2151</v>
      </c>
      <c r="N1146" s="22">
        <f>SUMIFS('Environmental Perf'!$M$4:$M$100003,'Environmental Perf'!$D$4:$D$100003,mCrit,'Environmental Perf'!$E$4:$E$100003,dCrit)</f>
        <v>0</v>
      </c>
      <c r="P1146" s="13" t="s">
        <v>50</v>
      </c>
      <c r="Q1146" s="22">
        <f>COUNTIFS('Environmental Perf'!$D$4:$D$100003,mCrit,'Environmental Perf'!$E$4:$E$100003,"Quality")</f>
        <v>0</v>
      </c>
      <c r="R1146" s="22">
        <f>COUNTIFS('Environmental Perf'!$D$4:$D$100003,mCrit,'Environmental Perf'!$E$4:$E$100003,"Quality")</f>
        <v>0</v>
      </c>
      <c r="S1146" s="25">
        <f>IFERROR(AVERAGEIFS('Environmental Perf'!$J$4:$J$100003,'Environmental Perf'!$D$4:$D$100003,mCrit,'Environmental Perf'!$E$4:$E$100003,"Quality"),0)</f>
        <v>0</v>
      </c>
    </row>
    <row r="1147" spans="2:34">
      <c r="B1147" s="23" t="s">
        <v>86</v>
      </c>
      <c r="C1147" s="22">
        <f>COUNTIFS('Environmental Perf'!$D$4:$D$100003,"Aug",'Environmental Perf'!$E$4:$E$100003,dCrit)</f>
        <v>0</v>
      </c>
      <c r="M1147" s="13" t="s">
        <v>2152</v>
      </c>
      <c r="N1147" s="22">
        <f>COUNTIFS('Environmental Perf'!$G$4:$G$100003,"Hazardous Waste",'Environmental Perf'!$D$4:$D$100003,mCrit,'Environmental Perf'!$E$4:$E$100003,dCrit)</f>
        <v>0</v>
      </c>
      <c r="P1147" s="13" t="s">
        <v>46</v>
      </c>
      <c r="Q1147" s="22">
        <f>COUNTIFS('Environmental Perf'!$D$4:$D$100003,mCrit,'Environmental Perf'!$E$4:$E$100003,"Admin")</f>
        <v>0</v>
      </c>
      <c r="R1147" s="22">
        <f>COUNTIFS('Environmental Perf'!$D$4:$D$100003,mCrit,'Environmental Perf'!$E$4:$E$100003,"Admin")</f>
        <v>0</v>
      </c>
      <c r="S1147" s="25">
        <f>IFERROR(AVERAGEIFS('Environmental Perf'!$J$4:$J$100003,'Environmental Perf'!$D$4:$D$100003,mCrit,'Environmental Perf'!$E$4:$E$100003,"Admin"),0)</f>
        <v>0</v>
      </c>
    </row>
    <row r="1148" spans="2:34">
      <c r="B1148" s="23" t="s">
        <v>102</v>
      </c>
      <c r="C1148" s="22">
        <f>COUNTIFS('Environmental Perf'!$D$4:$D$100003,"Sep",'Environmental Perf'!$E$4:$E$100003,dCrit)</f>
        <v>0</v>
      </c>
      <c r="P1148" s="13" t="s">
        <v>13</v>
      </c>
      <c r="Q1148" s="22">
        <f>COUNTIFS('Environmental Perf'!$D$4:$D$100003,mCrit,'Environmental Perf'!$E$4:$E$100003,"Projects")</f>
        <v>0</v>
      </c>
      <c r="R1148" s="22">
        <f>COUNTIFS('Environmental Perf'!$D$4:$D$100003,mCrit,'Environmental Perf'!$E$4:$E$100003,"Projects")</f>
        <v>0</v>
      </c>
      <c r="S1148" s="25">
        <f>IFERROR(AVERAGEIFS('Environmental Perf'!$J$4:$J$100003,'Environmental Perf'!$D$4:$D$100003,mCrit,'Environmental Perf'!$E$4:$E$100003,"Projects"),0)</f>
        <v>0</v>
      </c>
    </row>
    <row r="1149" spans="2:34">
      <c r="B1149" s="23" t="s">
        <v>106</v>
      </c>
      <c r="C1149" s="22">
        <f>COUNTIFS('Environmental Perf'!$D$4:$D$100003,"Oct",'Environmental Perf'!$E$4:$E$100003,dCrit)</f>
        <v>0</v>
      </c>
      <c r="P1149" s="13" t="s">
        <v>58</v>
      </c>
      <c r="Q1149" s="22">
        <f>COUNTIFS('Environmental Perf'!$D$4:$D$100003,mCrit,'Environmental Perf'!$E$4:$E$100003,"Contractor")</f>
        <v>0</v>
      </c>
      <c r="R1149" s="22">
        <f>COUNTIFS('Environmental Perf'!$D$4:$D$100003,mCrit,'Environmental Perf'!$E$4:$E$100003,"Contractor")</f>
        <v>0</v>
      </c>
      <c r="S1149" s="25">
        <f>IFERROR(AVERAGEIFS('Environmental Perf'!$J$4:$J$100003,'Environmental Perf'!$D$4:$D$100003,mCrit,'Environmental Perf'!$E$4:$E$100003,"Contractor"),0)</f>
        <v>0</v>
      </c>
    </row>
    <row r="1150" spans="2:34">
      <c r="B1150" s="23" t="s">
        <v>111</v>
      </c>
      <c r="C1150" s="22">
        <f>COUNTIFS('Environmental Perf'!$D$4:$D$100003,"Nov",'Environmental Perf'!$E$4:$E$100003,dCrit)</f>
        <v>0</v>
      </c>
    </row>
    <row r="1151" spans="2:34">
      <c r="B1151" s="23" t="s">
        <v>122</v>
      </c>
      <c r="C1151" s="22">
        <f>COUNTIFS('Environmental Perf'!$D$4:$D$100003,"Dec",'Environmental Perf'!$E$4:$E$100003,dCrit)</f>
        <v>0</v>
      </c>
    </row>
  </sheetData>
  <mergeCells count="2">
    <mergeCell ref="B2:H2"/>
    <mergeCell ref="B134:K134"/>
  </mergeCells>
  <conditionalFormatting sqref="C158:H161">
    <cfRule type="colorScale" priority="1">
      <colorScale>
        <cfvo type="min" val="0"/>
        <cfvo type="percentile" val="50"/>
        <cfvo type="max" val="0"/>
        <color rgb="FFDCFCE7"/>
        <color rgb="FFFEF08A"/>
        <color rgb="FFDC2626"/>
      </colorScale>
    </cfRule>
  </conditionalFormatting>
  <conditionalFormatting sqref="C277:H284">
    <cfRule type="colorScale" priority="2">
      <colorScale>
        <cfvo type="min" val="0"/>
        <cfvo type="percentile" val="50"/>
        <cfvo type="max" val="0"/>
        <color rgb="FFFFFFFF"/>
        <color rgb="FFE8F1FA"/>
        <color rgb="FF0F3D6E"/>
      </colorScale>
    </cfRule>
  </conditionalFormatting>
  <hyperlinks>
    <hyperlink ref="B1" location="'Home'!A1" display="Home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3">
    <tabColor rgb="FF14B8A6"/>
    <pageSetUpPr fitToPage="1"/>
  </sheetPr>
  <dimension ref="A1:O30"/>
  <sheetViews>
    <sheetView showGridLines="0" workbookViewId="0"/>
  </sheetViews>
  <sheetFormatPr defaultRowHeight="15"/>
  <cols>
    <col min="1" max="1" width="3.7109375" style="29" customWidth="1"/>
    <col min="2" max="13" width="10.7109375" style="29" customWidth="1"/>
  </cols>
  <sheetData>
    <row r="1" spans="2:13" ht="26" customHeight="1"/>
    <row r="2" spans="2:13" ht="26" customHeight="1"/>
    <row r="3" spans="2:13" ht="26" customHeight="1"/>
    <row r="4" spans="2:13" ht="26" customHeight="1">
      <c r="B4" s="30" t="s">
        <v>2154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2:13" ht="26" customHeight="1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2:13" ht="26" customHeight="1"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2:13" ht="26" customHeight="1"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2:13" ht="26" customHeight="1"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2:13" ht="26" customHeight="1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2:13" ht="26" customHeight="1">
      <c r="B10" s="31" t="s">
        <v>2155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2:13" ht="26" customHeight="1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2:13" ht="26" customHeight="1"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2:13" ht="26" customHeight="1"/>
    <row r="14" spans="2:13" ht="26" customHeight="1">
      <c r="F14" s="33" t="s">
        <v>2156</v>
      </c>
      <c r="H14" s="34" t="s">
        <v>2157</v>
      </c>
    </row>
    <row r="15" spans="2:13" ht="26" customHeight="1">
      <c r="F15" s="33" t="s">
        <v>2158</v>
      </c>
      <c r="H15" s="34">
        <f>SelPeriod</f>
        <v>0</v>
      </c>
    </row>
    <row r="16" spans="2:13" ht="26" customHeight="1">
      <c r="F16" s="33" t="s">
        <v>2159</v>
      </c>
      <c r="H16" s="35">
        <f>LastRefresh</f>
        <v>0</v>
      </c>
    </row>
    <row r="19" spans="4:15">
      <c r="D19" s="36" t="s">
        <v>2160</v>
      </c>
      <c r="E19" s="36"/>
      <c r="F19" s="36"/>
      <c r="G19" s="36"/>
      <c r="H19" s="36"/>
      <c r="I19" s="36"/>
      <c r="J19" s="36"/>
    </row>
    <row r="20" spans="4:15" ht="4" customHeight="1">
      <c r="D20" s="37"/>
      <c r="E20" s="37"/>
      <c r="F20" s="37"/>
      <c r="G20" s="37"/>
      <c r="H20" s="37"/>
      <c r="I20" s="37"/>
      <c r="J20" s="38"/>
      <c r="K20" s="38"/>
      <c r="L20" s="38"/>
      <c r="M20" s="32"/>
      <c r="N20" s="32"/>
      <c r="O20" s="32"/>
    </row>
    <row r="21" spans="4:15">
      <c r="D21" s="39" t="s">
        <v>1757</v>
      </c>
      <c r="E21" s="39"/>
      <c r="F21" s="39"/>
      <c r="G21" s="39" t="s">
        <v>1759</v>
      </c>
      <c r="H21" s="39"/>
      <c r="I21" s="39"/>
      <c r="J21" s="39" t="s">
        <v>2161</v>
      </c>
      <c r="K21" s="39"/>
      <c r="L21" s="39"/>
      <c r="M21" s="39" t="s">
        <v>2162</v>
      </c>
      <c r="N21" s="39"/>
      <c r="O21" s="39"/>
    </row>
    <row r="22" spans="4:15">
      <c r="D22" s="40">
        <f>Calculations!$DL$12</f>
        <v>0</v>
      </c>
      <c r="E22" s="40"/>
      <c r="F22" s="40"/>
      <c r="G22" s="40">
        <f>Calculations!$DL$13</f>
        <v>0</v>
      </c>
      <c r="H22" s="40"/>
      <c r="I22" s="40"/>
      <c r="J22" s="41">
        <f>Calculations!$DL$14</f>
        <v>0</v>
      </c>
      <c r="K22" s="41"/>
      <c r="L22" s="41"/>
      <c r="M22" s="42">
        <f>Calculations!$DL$29</f>
        <v>0</v>
      </c>
      <c r="N22" s="42"/>
      <c r="O22" s="42"/>
    </row>
    <row r="23" spans="4:15">
      <c r="D23" s="40"/>
      <c r="E23" s="40"/>
      <c r="F23" s="40"/>
      <c r="G23" s="40"/>
      <c r="H23" s="40"/>
      <c r="I23" s="40"/>
      <c r="J23" s="41"/>
      <c r="K23" s="41"/>
      <c r="L23" s="41"/>
      <c r="M23" s="42"/>
      <c r="N23" s="42"/>
      <c r="O23" s="42"/>
    </row>
    <row r="24" spans="4:15"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</row>
    <row r="27" spans="4:15">
      <c r="D27" s="44" t="s">
        <v>2163</v>
      </c>
      <c r="E27" s="44"/>
      <c r="F27" s="44"/>
      <c r="G27" s="44"/>
      <c r="H27" s="44"/>
      <c r="I27" s="44"/>
      <c r="J27" s="44"/>
    </row>
    <row r="28" spans="4:15">
      <c r="D28" s="44"/>
      <c r="E28" s="44"/>
      <c r="F28" s="44"/>
      <c r="G28" s="44"/>
      <c r="H28" s="44"/>
      <c r="I28" s="44"/>
      <c r="J28" s="44"/>
    </row>
    <row r="29" spans="4:15">
      <c r="D29" s="44"/>
      <c r="E29" s="44"/>
      <c r="F29" s="44"/>
      <c r="G29" s="44"/>
      <c r="H29" s="44"/>
      <c r="I29" s="44"/>
      <c r="J29" s="44"/>
    </row>
    <row r="30" spans="4:15">
      <c r="D30" s="44"/>
      <c r="E30" s="44"/>
      <c r="F30" s="44"/>
      <c r="G30" s="44"/>
      <c r="H30" s="44"/>
      <c r="I30" s="44"/>
      <c r="J30" s="44"/>
    </row>
  </sheetData>
  <mergeCells count="21">
    <mergeCell ref="B4:M9"/>
    <mergeCell ref="B10:M11"/>
    <mergeCell ref="B12:M12"/>
    <mergeCell ref="D19:J19"/>
    <mergeCell ref="D20:F20"/>
    <mergeCell ref="D21:F21"/>
    <mergeCell ref="D22:F23"/>
    <mergeCell ref="D24:F24"/>
    <mergeCell ref="G20:I20"/>
    <mergeCell ref="G21:I21"/>
    <mergeCell ref="G22:I23"/>
    <mergeCell ref="G24:I24"/>
    <mergeCell ref="J20:L20"/>
    <mergeCell ref="J21:L21"/>
    <mergeCell ref="J22:L23"/>
    <mergeCell ref="J24:L24"/>
    <mergeCell ref="M20:O20"/>
    <mergeCell ref="M21:O21"/>
    <mergeCell ref="M22:O23"/>
    <mergeCell ref="M24:O24"/>
    <mergeCell ref="D27:J30"/>
  </mergeCells>
  <hyperlinks>
    <hyperlink ref="B4" location="'Home'!A1" display="RCPL INTEGRATED EHS MANAGEMENT SYSTEM"/>
  </hyperlinks>
  <pageMargins left="0.3" right="0.3" top="0.4" bottom="0.4" header="0.3" footer="0.3"/>
  <pageSetup fitToHeight="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>
    <tabColor rgb="FF14B8A6"/>
    <pageSetUpPr fitToPage="1"/>
  </sheetPr>
  <dimension ref="A2:R39"/>
  <sheetViews>
    <sheetView showGridLines="0" workbookViewId="0"/>
  </sheetViews>
  <sheetFormatPr defaultRowHeight="15"/>
  <cols>
    <col min="1" max="1" width="2.7109375" style="29" customWidth="1"/>
    <col min="2" max="13" width="11.7109375" style="29" customWidth="1"/>
  </cols>
  <sheetData>
    <row r="2" spans="2:13" ht="8" customHeight="1"/>
    <row r="3" spans="2:13">
      <c r="B3" s="45" t="s">
        <v>2154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2:13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2:13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2:13">
      <c r="B6" s="46" t="s">
        <v>2164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2:13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</row>
    <row r="8" spans="2:13" ht="4" customHeight="1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10" spans="2:13">
      <c r="I10" s="33" t="s">
        <v>2165</v>
      </c>
      <c r="K10" s="35">
        <v>46217.11357501327</v>
      </c>
    </row>
    <row r="11" spans="2:13">
      <c r="B11" s="36" t="s">
        <v>2166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2:13">
      <c r="B12" s="47" t="s">
        <v>2167</v>
      </c>
      <c r="C12" s="47"/>
      <c r="D12" s="47"/>
      <c r="F12" s="48" t="s">
        <v>2168</v>
      </c>
      <c r="G12" s="48"/>
      <c r="H12" s="48"/>
      <c r="J12" s="49" t="s">
        <v>2169</v>
      </c>
      <c r="K12" s="49"/>
      <c r="L12" s="49"/>
      <c r="M12" s="49"/>
    </row>
    <row r="13" spans="2:13">
      <c r="B13" s="47"/>
      <c r="C13" s="47"/>
      <c r="D13" s="47"/>
      <c r="F13" s="48"/>
      <c r="G13" s="48"/>
      <c r="H13" s="48"/>
      <c r="J13" s="49"/>
      <c r="K13" s="49"/>
      <c r="L13" s="49"/>
      <c r="M13" s="49"/>
    </row>
    <row r="14" spans="2:13" ht="32" customHeight="1"/>
    <row r="15" spans="2:13" ht="32" customHeight="1"/>
    <row r="16" spans="2:13">
      <c r="B16" s="36" t="s">
        <v>2170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8" spans="2:18">
      <c r="B18" s="50" t="s">
        <v>2171</v>
      </c>
      <c r="C18" s="50"/>
      <c r="D18" s="50"/>
      <c r="E18" s="50"/>
      <c r="F18" s="51" t="s">
        <v>1769</v>
      </c>
      <c r="G18" s="51"/>
      <c r="H18" s="51" t="s">
        <v>2172</v>
      </c>
      <c r="I18" s="51"/>
      <c r="K18" s="50" t="s">
        <v>2173</v>
      </c>
      <c r="L18" s="50"/>
      <c r="M18" s="50"/>
      <c r="N18" s="50"/>
      <c r="O18" s="51" t="s">
        <v>1769</v>
      </c>
      <c r="P18" s="51"/>
      <c r="Q18" s="51" t="s">
        <v>2172</v>
      </c>
      <c r="R18" s="51"/>
    </row>
    <row r="19" spans="2:18">
      <c r="B19" s="50" t="s">
        <v>2174</v>
      </c>
      <c r="C19" s="50"/>
      <c r="D19" s="50"/>
      <c r="E19" s="50"/>
      <c r="F19" s="51" t="s">
        <v>1769</v>
      </c>
      <c r="G19" s="51"/>
      <c r="H19" s="51" t="s">
        <v>2172</v>
      </c>
      <c r="I19" s="51"/>
      <c r="K19" s="50" t="s">
        <v>2175</v>
      </c>
      <c r="L19" s="50"/>
      <c r="M19" s="50"/>
      <c r="N19" s="50"/>
      <c r="O19" s="51" t="s">
        <v>1769</v>
      </c>
      <c r="P19" s="51"/>
      <c r="Q19" s="51" t="s">
        <v>2172</v>
      </c>
      <c r="R19" s="51"/>
    </row>
    <row r="20" spans="2:18">
      <c r="B20" s="50" t="s">
        <v>2176</v>
      </c>
      <c r="C20" s="50"/>
      <c r="D20" s="50"/>
      <c r="E20" s="50"/>
      <c r="F20" s="51" t="s">
        <v>1769</v>
      </c>
      <c r="G20" s="51"/>
      <c r="H20" s="51" t="s">
        <v>2172</v>
      </c>
      <c r="I20" s="51"/>
      <c r="K20" s="50" t="s">
        <v>2177</v>
      </c>
      <c r="L20" s="50"/>
      <c r="M20" s="50"/>
      <c r="N20" s="50"/>
      <c r="O20" s="51" t="s">
        <v>1769</v>
      </c>
      <c r="P20" s="51"/>
      <c r="Q20" s="51" t="s">
        <v>2172</v>
      </c>
      <c r="R20" s="51"/>
    </row>
    <row r="21" spans="2:18">
      <c r="B21" s="50" t="s">
        <v>2178</v>
      </c>
      <c r="C21" s="50"/>
      <c r="D21" s="50"/>
      <c r="E21" s="50"/>
      <c r="F21" s="51" t="s">
        <v>1769</v>
      </c>
      <c r="G21" s="51"/>
      <c r="H21" s="51" t="s">
        <v>2172</v>
      </c>
      <c r="I21" s="51"/>
      <c r="K21" s="50" t="s">
        <v>2179</v>
      </c>
      <c r="L21" s="50"/>
      <c r="M21" s="50"/>
      <c r="N21" s="50"/>
      <c r="O21" s="51" t="s">
        <v>1769</v>
      </c>
      <c r="P21" s="51"/>
      <c r="Q21" s="51" t="s">
        <v>2172</v>
      </c>
      <c r="R21" s="51"/>
    </row>
    <row r="22" spans="2:18">
      <c r="B22" s="50" t="s">
        <v>2180</v>
      </c>
      <c r="C22" s="50"/>
      <c r="D22" s="50"/>
      <c r="E22" s="50"/>
      <c r="F22" s="51" t="s">
        <v>1769</v>
      </c>
      <c r="G22" s="51"/>
      <c r="H22" s="51" t="s">
        <v>2172</v>
      </c>
      <c r="I22" s="51"/>
      <c r="K22" s="50" t="s">
        <v>2181</v>
      </c>
      <c r="L22" s="50"/>
      <c r="M22" s="50"/>
      <c r="N22" s="50"/>
      <c r="O22" s="51" t="s">
        <v>1769</v>
      </c>
      <c r="P22" s="51"/>
      <c r="Q22" s="51" t="s">
        <v>2172</v>
      </c>
      <c r="R22" s="51"/>
    </row>
    <row r="23" spans="2:18">
      <c r="B23" s="50" t="s">
        <v>2182</v>
      </c>
      <c r="C23" s="50"/>
      <c r="D23" s="50"/>
      <c r="E23" s="50"/>
      <c r="F23" s="51" t="s">
        <v>1769</v>
      </c>
      <c r="G23" s="51"/>
      <c r="H23" s="51" t="s">
        <v>2172</v>
      </c>
      <c r="I23" s="51"/>
      <c r="K23" s="50" t="s">
        <v>2183</v>
      </c>
      <c r="L23" s="50"/>
      <c r="M23" s="50"/>
      <c r="N23" s="50"/>
      <c r="O23" s="51" t="s">
        <v>1769</v>
      </c>
      <c r="P23" s="51"/>
      <c r="Q23" s="51" t="s">
        <v>2172</v>
      </c>
      <c r="R23" s="51"/>
    </row>
    <row r="24" spans="2:18">
      <c r="B24" s="50" t="s">
        <v>2184</v>
      </c>
      <c r="C24" s="50"/>
      <c r="D24" s="50"/>
      <c r="E24" s="50"/>
      <c r="F24" s="51" t="s">
        <v>1769</v>
      </c>
      <c r="G24" s="51"/>
      <c r="H24" s="51" t="s">
        <v>2172</v>
      </c>
      <c r="I24" s="51"/>
      <c r="K24" s="50" t="s">
        <v>2185</v>
      </c>
      <c r="L24" s="50"/>
      <c r="M24" s="50"/>
      <c r="N24" s="50"/>
      <c r="O24" s="51" t="s">
        <v>1769</v>
      </c>
      <c r="P24" s="51"/>
      <c r="Q24" s="51" t="s">
        <v>2172</v>
      </c>
      <c r="R24" s="51"/>
    </row>
    <row r="25" spans="2:18">
      <c r="B25" s="50" t="s">
        <v>2186</v>
      </c>
      <c r="C25" s="50"/>
      <c r="D25" s="50"/>
      <c r="E25" s="50"/>
      <c r="F25" s="51" t="s">
        <v>1769</v>
      </c>
      <c r="G25" s="51"/>
      <c r="H25" s="51" t="s">
        <v>2172</v>
      </c>
      <c r="I25" s="51"/>
      <c r="K25" s="50" t="s">
        <v>2187</v>
      </c>
      <c r="L25" s="50"/>
      <c r="M25" s="50"/>
      <c r="N25" s="50"/>
      <c r="O25" s="51" t="s">
        <v>1769</v>
      </c>
      <c r="P25" s="51"/>
      <c r="Q25" s="51" t="s">
        <v>2172</v>
      </c>
      <c r="R25" s="51"/>
    </row>
    <row r="26" spans="2:18">
      <c r="B26" s="50" t="s">
        <v>2188</v>
      </c>
      <c r="C26" s="50"/>
      <c r="D26" s="50"/>
      <c r="E26" s="50"/>
      <c r="F26" s="51" t="s">
        <v>1769</v>
      </c>
      <c r="G26" s="51"/>
      <c r="H26" s="51" t="s">
        <v>2172</v>
      </c>
      <c r="I26" s="51"/>
      <c r="K26" s="50" t="s">
        <v>2189</v>
      </c>
      <c r="L26" s="50"/>
      <c r="M26" s="50"/>
      <c r="N26" s="50"/>
      <c r="O26" s="51" t="s">
        <v>1769</v>
      </c>
      <c r="P26" s="51"/>
      <c r="Q26" s="51" t="s">
        <v>2172</v>
      </c>
      <c r="R26" s="51"/>
    </row>
    <row r="27" spans="2:18">
      <c r="B27" s="50" t="s">
        <v>2190</v>
      </c>
      <c r="C27" s="50"/>
      <c r="D27" s="50"/>
      <c r="E27" s="50"/>
      <c r="F27" s="51" t="s">
        <v>1769</v>
      </c>
      <c r="G27" s="51"/>
      <c r="H27" s="51" t="s">
        <v>2172</v>
      </c>
      <c r="I27" s="51"/>
      <c r="K27" s="50" t="s">
        <v>2191</v>
      </c>
      <c r="L27" s="50"/>
      <c r="M27" s="50"/>
      <c r="N27" s="50"/>
      <c r="O27" s="51" t="s">
        <v>1769</v>
      </c>
      <c r="P27" s="51"/>
      <c r="Q27" s="51" t="s">
        <v>2172</v>
      </c>
      <c r="R27" s="51"/>
    </row>
    <row r="28" spans="2:18">
      <c r="B28" s="50" t="s">
        <v>2192</v>
      </c>
      <c r="C28" s="50"/>
      <c r="D28" s="50"/>
      <c r="E28" s="50"/>
      <c r="F28" s="51" t="s">
        <v>1769</v>
      </c>
      <c r="G28" s="51"/>
      <c r="H28" s="51" t="s">
        <v>2172</v>
      </c>
      <c r="I28" s="51"/>
      <c r="K28" s="50" t="s">
        <v>2193</v>
      </c>
      <c r="L28" s="50"/>
      <c r="M28" s="50"/>
      <c r="N28" s="50"/>
      <c r="O28" s="51" t="s">
        <v>1769</v>
      </c>
      <c r="P28" s="51"/>
      <c r="Q28" s="51" t="s">
        <v>2172</v>
      </c>
      <c r="R28" s="51"/>
    </row>
    <row r="29" spans="2:18">
      <c r="B29" s="50" t="s">
        <v>2194</v>
      </c>
      <c r="C29" s="50"/>
      <c r="D29" s="50"/>
      <c r="E29" s="50"/>
      <c r="F29" s="51" t="s">
        <v>1769</v>
      </c>
      <c r="G29" s="51"/>
      <c r="H29" s="51" t="s">
        <v>2172</v>
      </c>
      <c r="I29" s="51"/>
      <c r="K29" s="50" t="s">
        <v>2195</v>
      </c>
      <c r="L29" s="50"/>
      <c r="M29" s="50"/>
      <c r="N29" s="50"/>
      <c r="O29" s="51" t="s">
        <v>1769</v>
      </c>
      <c r="P29" s="51"/>
      <c r="Q29" s="51" t="s">
        <v>2172</v>
      </c>
      <c r="R29" s="51"/>
    </row>
    <row r="30" spans="2:18">
      <c r="B30" s="50" t="s">
        <v>2196</v>
      </c>
      <c r="C30" s="50"/>
      <c r="D30" s="50"/>
      <c r="E30" s="50"/>
      <c r="F30" s="51" t="s">
        <v>1769</v>
      </c>
      <c r="G30" s="51"/>
      <c r="H30" s="51" t="s">
        <v>2172</v>
      </c>
      <c r="I30" s="51"/>
    </row>
    <row r="32" spans="2:18">
      <c r="B32" s="36" t="s">
        <v>2197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</row>
    <row r="33" spans="2:13">
      <c r="B33" s="52" t="s">
        <v>2198</v>
      </c>
      <c r="C33" s="52"/>
      <c r="D33" s="52"/>
      <c r="E33" s="52"/>
      <c r="F33" s="52" t="s">
        <v>2199</v>
      </c>
      <c r="G33" s="52"/>
      <c r="H33" s="52"/>
      <c r="I33" s="52"/>
      <c r="J33" s="52" t="s">
        <v>2200</v>
      </c>
      <c r="K33" s="52"/>
      <c r="L33" s="52"/>
      <c r="M33" s="52"/>
    </row>
    <row r="34" spans="2:13">
      <c r="B34" s="52" t="s">
        <v>2201</v>
      </c>
      <c r="C34" s="52"/>
      <c r="D34" s="52"/>
      <c r="E34" s="52"/>
      <c r="F34" s="52" t="s">
        <v>2202</v>
      </c>
      <c r="G34" s="52"/>
      <c r="H34" s="52"/>
      <c r="I34" s="52"/>
      <c r="J34" s="52" t="s">
        <v>1797</v>
      </c>
      <c r="K34" s="52"/>
      <c r="L34" s="52"/>
      <c r="M34" s="52"/>
    </row>
    <row r="35" spans="2:13">
      <c r="B35" s="52" t="s">
        <v>2203</v>
      </c>
      <c r="C35" s="52"/>
      <c r="D35" s="52"/>
      <c r="E35" s="52"/>
      <c r="F35" s="52" t="s">
        <v>2204</v>
      </c>
      <c r="G35" s="52"/>
      <c r="H35" s="52"/>
      <c r="I35" s="52"/>
    </row>
    <row r="37" spans="2:13">
      <c r="B37" s="44" t="s">
        <v>2205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2:13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2:13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</sheetData>
  <mergeCells count="93">
    <mergeCell ref="B3:M5"/>
    <mergeCell ref="B6:M7"/>
    <mergeCell ref="B8:M8"/>
    <mergeCell ref="B11:M11"/>
    <mergeCell ref="B12:D13"/>
    <mergeCell ref="F12:H13"/>
    <mergeCell ref="J12:M13"/>
    <mergeCell ref="B16:M16"/>
    <mergeCell ref="B18:E18"/>
    <mergeCell ref="F18:G18"/>
    <mergeCell ref="H18:I18"/>
    <mergeCell ref="K18:N18"/>
    <mergeCell ref="O18:P18"/>
    <mergeCell ref="Q18:R18"/>
    <mergeCell ref="B19:E19"/>
    <mergeCell ref="F19:G19"/>
    <mergeCell ref="H19:I19"/>
    <mergeCell ref="K19:N19"/>
    <mergeCell ref="O19:P19"/>
    <mergeCell ref="Q19:R19"/>
    <mergeCell ref="B20:E20"/>
    <mergeCell ref="F20:G20"/>
    <mergeCell ref="H20:I20"/>
    <mergeCell ref="K20:N20"/>
    <mergeCell ref="O20:P20"/>
    <mergeCell ref="Q20:R20"/>
    <mergeCell ref="B21:E21"/>
    <mergeCell ref="F21:G21"/>
    <mergeCell ref="H21:I21"/>
    <mergeCell ref="K21:N21"/>
    <mergeCell ref="O21:P21"/>
    <mergeCell ref="Q21:R21"/>
    <mergeCell ref="B22:E22"/>
    <mergeCell ref="F22:G22"/>
    <mergeCell ref="H22:I22"/>
    <mergeCell ref="K22:N22"/>
    <mergeCell ref="O22:P22"/>
    <mergeCell ref="Q22:R22"/>
    <mergeCell ref="B23:E23"/>
    <mergeCell ref="F23:G23"/>
    <mergeCell ref="H23:I23"/>
    <mergeCell ref="K23:N23"/>
    <mergeCell ref="O23:P23"/>
    <mergeCell ref="Q23:R23"/>
    <mergeCell ref="B24:E24"/>
    <mergeCell ref="F24:G24"/>
    <mergeCell ref="H24:I24"/>
    <mergeCell ref="K24:N24"/>
    <mergeCell ref="O24:P24"/>
    <mergeCell ref="Q24:R24"/>
    <mergeCell ref="B25:E25"/>
    <mergeCell ref="F25:G25"/>
    <mergeCell ref="H25:I25"/>
    <mergeCell ref="K25:N25"/>
    <mergeCell ref="O25:P25"/>
    <mergeCell ref="Q25:R25"/>
    <mergeCell ref="B26:E26"/>
    <mergeCell ref="F26:G26"/>
    <mergeCell ref="H26:I26"/>
    <mergeCell ref="K26:N26"/>
    <mergeCell ref="O26:P26"/>
    <mergeCell ref="Q26:R26"/>
    <mergeCell ref="B27:E27"/>
    <mergeCell ref="F27:G27"/>
    <mergeCell ref="H27:I27"/>
    <mergeCell ref="K27:N27"/>
    <mergeCell ref="O27:P27"/>
    <mergeCell ref="Q27:R27"/>
    <mergeCell ref="B28:E28"/>
    <mergeCell ref="F28:G28"/>
    <mergeCell ref="H28:I28"/>
    <mergeCell ref="K28:N28"/>
    <mergeCell ref="O28:P28"/>
    <mergeCell ref="Q28:R28"/>
    <mergeCell ref="B29:E29"/>
    <mergeCell ref="F29:G29"/>
    <mergeCell ref="H29:I29"/>
    <mergeCell ref="K29:N29"/>
    <mergeCell ref="O29:P29"/>
    <mergeCell ref="Q29:R29"/>
    <mergeCell ref="B30:E30"/>
    <mergeCell ref="F30:G30"/>
    <mergeCell ref="H30:I30"/>
    <mergeCell ref="B32:M32"/>
    <mergeCell ref="B33:E33"/>
    <mergeCell ref="F33:I33"/>
    <mergeCell ref="J33:M33"/>
    <mergeCell ref="B34:E34"/>
    <mergeCell ref="F34:I34"/>
    <mergeCell ref="J34:M34"/>
    <mergeCell ref="B35:E35"/>
    <mergeCell ref="F35:I35"/>
    <mergeCell ref="B37:M39"/>
  </mergeCells>
  <hyperlinks>
    <hyperlink ref="B12" location="'Executive Dashboard'!A1" display="🏆  EXECUTIVE DASHBOARD"/>
    <hyperlink ref="F12" location="'Leadership Review'!A1" display="🧭  LEADERSHIP REVIEW"/>
    <hyperlink ref="J12" location="'Executive Snapshot'!A1" display="📸  EXECUTIVE SNAPSHOT"/>
    <hyperlink ref="F18" location="'Toolbox Talks'!A1" display="Register"/>
    <hyperlink ref="H18" location="'Dash · Toolbox Talks'!A1" display="Dashboard"/>
    <hyperlink ref="O18" location="'JSA Risk Assessment'!A1" display="Register"/>
    <hyperlink ref="Q18" location="'Dash · JSA Risk Assessment'!A1" display="Dashboard"/>
    <hyperlink ref="F19" location="'Training'!A1" display="Register"/>
    <hyperlink ref="H19" location="'Dash · Training'!A1" display="Dashboard"/>
    <hyperlink ref="O19" location="'HSE Observations'!A1" display="Register"/>
    <hyperlink ref="Q19" location="'Dash · HSE Observations'!A1" display="Dashboard"/>
    <hyperlink ref="F20" location="'Workplace Inspections'!A1" display="Register"/>
    <hyperlink ref="H20" location="'Dash · Workplace Inspections'!A1" display="Dashboard"/>
    <hyperlink ref="O20" location="'Equipment Inspections'!A1" display="Register"/>
    <hyperlink ref="Q20" location="'Dash · Equipment Inspections'!A1" display="Dashboard"/>
    <hyperlink ref="F21" location="'Safety Walkthroughs'!A1" display="Register"/>
    <hyperlink ref="H21" location="'Dash · Safety Walkthroughs'!A1" display="Dashboard"/>
    <hyperlink ref="O21" location="'Safety Meetings'!A1" display="Register"/>
    <hyperlink ref="Q21" location="'Dash · Safety Meetings'!A1" display="Dashboard"/>
    <hyperlink ref="F22" location="'Safety Bulletins'!A1" display="Register"/>
    <hyperlink ref="H22" location="'Dash · Safety Bulletins'!A1" display="Dashboard"/>
    <hyperlink ref="O22" location="'Emergency Drills'!A1" display="Register"/>
    <hyperlink ref="Q22" location="'Dash · Emergency Drills'!A1" display="Dashboard"/>
    <hyperlink ref="F23" location="'Internal Audits'!A1" display="Register"/>
    <hyperlink ref="H23" location="'Dash · Internal Audits'!A1" display="Dashboard"/>
    <hyperlink ref="O23" location="'External Audits'!A1" display="Register"/>
    <hyperlink ref="Q23" location="'Dash · External Audits'!A1" display="Dashboard"/>
    <hyperlink ref="F24" location="'Management Visits'!A1" display="Register"/>
    <hyperlink ref="H24" location="'Dash · Management Visits'!A1" display="Dashboard"/>
    <hyperlink ref="O24" location="'Management Reviews'!A1" display="Register"/>
    <hyperlink ref="Q24" location="'Dash · Management Reviews'!A1" display="Dashboard"/>
    <hyperlink ref="F25" location="'Disciplinary Actions'!A1" display="Register"/>
    <hyperlink ref="H25" location="'Dash · Disciplinary Actions'!A1" display="Dashboard"/>
    <hyperlink ref="O25" location="'Safety Awards'!A1" display="Register"/>
    <hyperlink ref="Q25" location="'Dash · Safety Awards'!A1" display="Dashboard"/>
    <hyperlink ref="F26" location="'Stop Work Authority'!A1" display="Register"/>
    <hyperlink ref="H26" location="'Dash · Stop Work Authority'!A1" display="Dashboard"/>
    <hyperlink ref="O26" location="'Alcohol Tests'!A1" display="Register"/>
    <hyperlink ref="Q26" location="'Dash · Alcohol Tests'!A1" display="Dashboard"/>
    <hyperlink ref="F27" location="'PTW Audits'!A1" display="Register"/>
    <hyperlink ref="H27" location="'Dash · PTW Audits'!A1" display="Dashboard"/>
    <hyperlink ref="O27" location="'Corrective Actions'!A1" display="Register"/>
    <hyperlink ref="Q27" location="'Dash · Corrective Actions'!A1" display="Dashboard"/>
    <hyperlink ref="F28" location="'NC Management'!A1" display="Register"/>
    <hyperlink ref="H28" location="'Dash · NC Management'!A1" display="Dashboard"/>
    <hyperlink ref="O28" location="'Unsafe Acts'!A1" display="Register"/>
    <hyperlink ref="Q28" location="'Dash · Unsafe Acts'!A1" display="Dashboard"/>
    <hyperlink ref="F29" location="'Unsafe Conditions'!A1" display="Register"/>
    <hyperlink ref="H29" location="'Dash · Unsafe Conditions'!A1" display="Dashboard"/>
    <hyperlink ref="O29" location="'Incident'!A1" display="Register"/>
    <hyperlink ref="Q29" location="'Dash · Incident'!A1" display="Dashboard"/>
    <hyperlink ref="F30" location="'Environmental Perf'!A1" display="Register"/>
    <hyperlink ref="H30" location="'Dash · Environmental Perf'!A1" display="Dashboard"/>
    <hyperlink ref="B33" location="'Master Data'!A1" display="Master Data"/>
    <hyperlink ref="F33" location="'Settings'!A1" display="Settings"/>
    <hyperlink ref="J33" location="'Help'!A1" display="Help"/>
    <hyperlink ref="B34" location="'Calculations'!A1" display="Calculations"/>
    <hyperlink ref="F34" location="'Incident'!A1" display="Incident Register"/>
    <hyperlink ref="J34" location="'Corrective Actions'!A1" display="Corrective Actions"/>
    <hyperlink ref="B35" location="'Data Quality'!A1" display="Data Quality"/>
    <hyperlink ref="F35" location="'Investigation Log'!A1" display="Investigation Log"/>
  </hyperlinks>
  <pageMargins left="0.3" right="0.3" top="0.4" bottom="0.4" header="0.3" footer="0.3"/>
  <pageSetup fitToHeight="0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5">
    <tabColor rgb="FF14B8A6"/>
    <pageSetUpPr fitToPage="1"/>
  </sheetPr>
  <dimension ref="A1:S197"/>
  <sheetViews>
    <sheetView showGridLines="0" zoomScale="75" zoomScaleNormal="75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2206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2207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</row>
    <row r="11" spans="2:19">
      <c r="B11" s="36" t="s">
        <v>2212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>
      <c r="B12" s="57" t="s">
        <v>1922</v>
      </c>
      <c r="C12" s="58" t="s">
        <v>73</v>
      </c>
      <c r="D12" s="58"/>
      <c r="F12" s="57" t="s">
        <v>129</v>
      </c>
      <c r="G12" s="58" t="s">
        <v>1688</v>
      </c>
      <c r="H12" s="58"/>
      <c r="J12" s="57" t="s">
        <v>2213</v>
      </c>
      <c r="K12" s="58" t="s">
        <v>1688</v>
      </c>
      <c r="L12" s="58"/>
      <c r="N12" s="44" t="s">
        <v>2214</v>
      </c>
      <c r="O12" s="44"/>
      <c r="P12" s="44"/>
      <c r="Q12" s="44"/>
      <c r="R12" s="44"/>
      <c r="S12" s="44"/>
    </row>
    <row r="14" spans="2:19" ht="20" customHeight="1">
      <c r="B14" s="59" t="s">
        <v>2215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</row>
    <row r="15" spans="2:19" ht="4" customHeight="1"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</row>
    <row r="16" spans="2:19">
      <c r="B16" s="39" t="s">
        <v>1757</v>
      </c>
      <c r="C16" s="39"/>
      <c r="D16" s="39"/>
      <c r="E16" s="39" t="s">
        <v>1759</v>
      </c>
      <c r="F16" s="39"/>
      <c r="G16" s="39"/>
      <c r="H16" s="39" t="s">
        <v>2161</v>
      </c>
      <c r="I16" s="39"/>
      <c r="J16" s="39"/>
      <c r="K16" s="39" t="s">
        <v>2216</v>
      </c>
      <c r="L16" s="39"/>
      <c r="M16" s="39"/>
      <c r="N16" s="39" t="s">
        <v>2217</v>
      </c>
      <c r="O16" s="39"/>
      <c r="P16" s="39"/>
      <c r="Q16" s="39" t="s">
        <v>2218</v>
      </c>
      <c r="R16" s="39"/>
      <c r="S16" s="39"/>
    </row>
    <row r="17" spans="2:19">
      <c r="B17" s="40">
        <f>Calculations!$DL$12</f>
        <v>0</v>
      </c>
      <c r="C17" s="40"/>
      <c r="E17" s="40">
        <f>Calculations!$DL$13</f>
        <v>0</v>
      </c>
      <c r="F17" s="40"/>
      <c r="H17" s="41">
        <f>Calculations!$DL$14</f>
        <v>0</v>
      </c>
      <c r="I17" s="41"/>
      <c r="K17" s="41">
        <f>Calculations!$DL$15</f>
        <v>0</v>
      </c>
      <c r="L17" s="41"/>
      <c r="N17" s="41">
        <f>Calculations!$DL$16</f>
        <v>0</v>
      </c>
      <c r="O17" s="41"/>
      <c r="Q17" s="41">
        <f>Calculations!$DL$17</f>
        <v>0</v>
      </c>
      <c r="R17" s="41"/>
    </row>
    <row r="18" spans="2:19">
      <c r="B18" s="40"/>
      <c r="C18" s="40"/>
      <c r="D18" s="40"/>
      <c r="E18" s="40"/>
      <c r="F18" s="40"/>
      <c r="G18" s="40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</row>
    <row r="19" spans="2:19">
      <c r="B19" s="61">
        <f>IF(Calculations!$DM$12=0,IF(Calculations!$DL$12&gt;0,"▲ new","● flat"),IF(Calculations!$DL$12=Calculations!$DM$12,"● flat",(IF(Calculations!$DL$12&gt;Calculations!$DM$12,"▲ ","▼ "))&amp;TEXT(ABS(Calculations!$DN$12),"0.0%")&amp;" vs prior"))</f>
        <v>0</v>
      </c>
      <c r="C19" s="61"/>
      <c r="D19" s="61"/>
      <c r="E19" s="61">
        <f>IF(Calculations!$DM$13=0,IF(Calculations!$DL$13&gt;0,"▲ new","● flat"),IF(Calculations!$DL$13=Calculations!$DM$13,"● flat",(IF(Calculations!$DL$13&gt;Calculations!$DM$13,"▲ ","▼ "))&amp;TEXT(ABS(Calculations!$DN$13),"0.0%")&amp;" vs prior"))</f>
        <v>0</v>
      </c>
      <c r="F19" s="61"/>
      <c r="G19" s="61"/>
      <c r="H19" s="61">
        <f>IF(Calculations!$DM$14=0,IF(Calculations!$DL$14&gt;0,"▲ new","● flat"),IF(Calculations!$DL$14=Calculations!$DM$14,"● flat",(IF(Calculations!$DL$14&gt;Calculations!$DM$14,"▲ ","▼ "))&amp;TEXT(ABS(Calculations!$DN$14),"0.0%")&amp;" vs prior"))</f>
        <v>0</v>
      </c>
      <c r="I19" s="61"/>
      <c r="J19" s="61"/>
      <c r="K19" s="61">
        <f>IF(Calculations!$DM$15=0,IF(Calculations!$DL$15&gt;0,"▲ new","● flat"),IF(Calculations!$DL$15=Calculations!$DM$15,"● flat",(IF(Calculations!$DL$15&gt;Calculations!$DM$15,"▲ ","▼ "))&amp;TEXT(ABS(Calculations!$DN$15),"0.0%")&amp;" vs prior"))</f>
        <v>0</v>
      </c>
      <c r="L19" s="61"/>
      <c r="M19" s="61"/>
      <c r="N19" s="61">
        <f>IF(Calculations!$DM$16=0,IF(Calculations!$DL$16&gt;0,"▲ new","● flat"),IF(Calculations!$DL$16=Calculations!$DM$16,"● flat",(IF(Calculations!$DL$16&gt;Calculations!$DM$16,"▲ ","▼ "))&amp;TEXT(ABS(Calculations!$DN$16),"0.0%")&amp;" vs prior"))</f>
        <v>0</v>
      </c>
      <c r="O19" s="61"/>
      <c r="P19" s="61"/>
      <c r="Q19" s="61">
        <f>IF(Calculations!$DM$17=0,IF(Calculations!$DL$17&gt;0,"▲ new","● flat"),IF(Calculations!$DL$17=Calculations!$DM$17,"● flat",(IF(Calculations!$DL$17&gt;Calculations!$DM$17,"▲ ","▼ "))&amp;TEXT(ABS(Calculations!$DN$17),"0.0%")&amp;" vs prior"))</f>
        <v>0</v>
      </c>
      <c r="R19" s="61"/>
      <c r="S19" s="61"/>
    </row>
    <row r="21" spans="2:19" ht="4" customHeight="1"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</row>
    <row r="22" spans="2:19">
      <c r="B22" s="39" t="s">
        <v>2219</v>
      </c>
      <c r="C22" s="39"/>
      <c r="D22" s="39"/>
      <c r="E22" s="39" t="s">
        <v>2220</v>
      </c>
      <c r="F22" s="39"/>
      <c r="G22" s="39"/>
      <c r="H22" s="39" t="s">
        <v>2221</v>
      </c>
      <c r="I22" s="39"/>
      <c r="J22" s="39"/>
      <c r="K22" s="39" t="s">
        <v>2222</v>
      </c>
      <c r="L22" s="39"/>
      <c r="M22" s="39"/>
      <c r="N22" s="39" t="s">
        <v>2223</v>
      </c>
      <c r="O22" s="39"/>
      <c r="P22" s="39"/>
      <c r="Q22" s="39" t="s">
        <v>2224</v>
      </c>
      <c r="R22" s="39"/>
      <c r="S22" s="39"/>
    </row>
    <row r="23" spans="2:19">
      <c r="B23" s="41">
        <f>Calculations!$DL$18</f>
        <v>0</v>
      </c>
      <c r="C23" s="41"/>
      <c r="E23" s="41">
        <f>Calculations!$DL$19</f>
        <v>0</v>
      </c>
      <c r="F23" s="41"/>
      <c r="H23" s="41">
        <f>Calculations!$DL$20</f>
        <v>0</v>
      </c>
      <c r="I23" s="41"/>
      <c r="K23" s="41">
        <f>Calculations!$DL$21</f>
        <v>0</v>
      </c>
      <c r="L23" s="41"/>
      <c r="N23" s="42">
        <f>Calculations!$DL$22</f>
        <v>0</v>
      </c>
      <c r="O23" s="42"/>
      <c r="Q23" s="42">
        <f>Calculations!$DL$23</f>
        <v>0</v>
      </c>
      <c r="R23" s="42"/>
    </row>
    <row r="24" spans="2:19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2"/>
      <c r="O24" s="42"/>
      <c r="P24" s="42"/>
      <c r="Q24" s="42"/>
      <c r="R24" s="42"/>
      <c r="S24" s="42"/>
    </row>
    <row r="25" spans="2:19">
      <c r="B25" s="61">
        <f>IF(Calculations!$DM$18=0,IF(Calculations!$DL$18&gt;0,"▲ new","● flat"),IF(Calculations!$DL$18=Calculations!$DM$18,"● flat",(IF(Calculations!$DL$18&gt;Calculations!$DM$18,"▲ ","▼ "))&amp;TEXT(ABS(Calculations!$DN$18),"0.0%")&amp;" vs prior"))</f>
        <v>0</v>
      </c>
      <c r="C25" s="61"/>
      <c r="D25" s="61"/>
      <c r="E25" s="61">
        <f>IF(Calculations!$DM$19=0,IF(Calculations!$DL$19&gt;0,"▲ new","● flat"),IF(Calculations!$DL$19=Calculations!$DM$19,"● flat",(IF(Calculations!$DL$19&gt;Calculations!$DM$19,"▲ ","▼ "))&amp;TEXT(ABS(Calculations!$DN$19),"0.0%")&amp;" vs prior"))</f>
        <v>0</v>
      </c>
      <c r="F25" s="61"/>
      <c r="G25" s="61"/>
      <c r="H25" s="61">
        <f>IF(Calculations!$DM$20=0,IF(Calculations!$DL$20&gt;0,"▲ new","● flat"),IF(Calculations!$DL$20=Calculations!$DM$20,"● flat",(IF(Calculations!$DL$20&gt;Calculations!$DM$20,"▲ ","▼ "))&amp;TEXT(ABS(Calculations!$DN$20),"0.0%")&amp;" vs prior"))</f>
        <v>0</v>
      </c>
      <c r="I25" s="61"/>
      <c r="J25" s="61"/>
      <c r="K25" s="61">
        <f>IF(Calculations!$DM$21=0,IF(Calculations!$DL$21&gt;0,"▲ new","● flat"),IF(Calculations!$DL$21=Calculations!$DM$21,"● flat",(IF(Calculations!$DL$21&gt;Calculations!$DM$21,"▲ ","▼ "))&amp;TEXT(ABS(Calculations!$DN$21),"0.0%")&amp;" vs prior"))</f>
        <v>0</v>
      </c>
      <c r="L25" s="61"/>
      <c r="M25" s="61"/>
      <c r="N25" s="61">
        <f>IF(Calculations!$DM$22=0,IF(Calculations!$DL$22&gt;0,"▲ new","● flat"),IF(Calculations!$DL$22=Calculations!$DM$22,"● flat",(IF(Calculations!$DL$22&gt;Calculations!$DM$22,"▲ ","▼ "))&amp;TEXT(ABS(Calculations!$DN$22),"0.0%")&amp;" vs prior"))</f>
        <v>0</v>
      </c>
      <c r="O25" s="61"/>
      <c r="P25" s="61"/>
      <c r="Q25" s="61">
        <f>IF(Calculations!$DM$23=0,IF(Calculations!$DL$23&gt;0,"▲ new","● flat"),IF(Calculations!$DL$23=Calculations!$DM$23,"● flat",(IF(Calculations!$DL$23&gt;Calculations!$DM$23,"▲ ","▼ "))&amp;TEXT(ABS(Calculations!$DN$23),"0.0%")&amp;" vs prior"))</f>
        <v>0</v>
      </c>
      <c r="R25" s="61"/>
      <c r="S25" s="61"/>
    </row>
    <row r="28" spans="2:19" ht="20" customHeight="1">
      <c r="B28" s="62" t="s">
        <v>2225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</row>
    <row r="29" spans="2:19" ht="4" customHeight="1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</row>
    <row r="30" spans="2:19">
      <c r="B30" s="39" t="s">
        <v>2226</v>
      </c>
      <c r="C30" s="39"/>
      <c r="D30" s="39"/>
      <c r="E30" s="39" t="s">
        <v>2227</v>
      </c>
      <c r="F30" s="39"/>
      <c r="G30" s="39"/>
      <c r="H30" s="39" t="s">
        <v>2228</v>
      </c>
      <c r="I30" s="39"/>
      <c r="J30" s="39"/>
      <c r="K30" s="39" t="s">
        <v>2229</v>
      </c>
      <c r="L30" s="39"/>
      <c r="M30" s="39"/>
      <c r="N30" s="39" t="s">
        <v>2230</v>
      </c>
      <c r="O30" s="39"/>
      <c r="P30" s="39"/>
      <c r="Q30" s="39" t="s">
        <v>2162</v>
      </c>
      <c r="R30" s="39"/>
      <c r="S30" s="39"/>
    </row>
    <row r="31" spans="2:19">
      <c r="B31" s="41">
        <f>Calculations!$DL$24</f>
        <v>0</v>
      </c>
      <c r="C31" s="41"/>
      <c r="E31" s="42">
        <f>Calculations!$DL$25</f>
        <v>0</v>
      </c>
      <c r="F31" s="42"/>
      <c r="H31" s="41">
        <f>Calculations!$DL$26</f>
        <v>0</v>
      </c>
      <c r="I31" s="41"/>
      <c r="K31" s="42">
        <f>Calculations!$DL$27</f>
        <v>0</v>
      </c>
      <c r="L31" s="42"/>
      <c r="N31" s="41">
        <f>Calculations!$DL$28</f>
        <v>0</v>
      </c>
      <c r="O31" s="41"/>
      <c r="Q31" s="42">
        <f>Calculations!$DL$29</f>
        <v>0</v>
      </c>
      <c r="R31" s="42"/>
    </row>
    <row r="32" spans="2:19">
      <c r="B32" s="41"/>
      <c r="C32" s="41"/>
      <c r="D32" s="41"/>
      <c r="E32" s="42"/>
      <c r="F32" s="42"/>
      <c r="G32" s="42"/>
      <c r="H32" s="41"/>
      <c r="I32" s="41"/>
      <c r="J32" s="41"/>
      <c r="K32" s="42"/>
      <c r="L32" s="42"/>
      <c r="M32" s="42"/>
      <c r="N32" s="41"/>
      <c r="O32" s="41"/>
      <c r="P32" s="41"/>
      <c r="Q32" s="42"/>
      <c r="R32" s="42"/>
      <c r="S32" s="42"/>
    </row>
    <row r="33" spans="2:19">
      <c r="B33" s="61">
        <f>IF(Calculations!$DM$24=0,IF(Calculations!$DL$24&gt;0,"▲ new","● flat"),IF(Calculations!$DL$24=Calculations!$DM$24,"● flat",(IF(Calculations!$DL$24&gt;Calculations!$DM$24,"▲ ","▼ "))&amp;TEXT(ABS(Calculations!$DN$24),"0.0%")&amp;" vs prior"))</f>
        <v>0</v>
      </c>
      <c r="C33" s="61"/>
      <c r="D33" s="61"/>
      <c r="E33" s="61">
        <f>IF(Calculations!$DM$25=0,IF(Calculations!$DL$25&gt;0,"▲ new","● flat"),IF(Calculations!$DL$25=Calculations!$DM$25,"● flat",(IF(Calculations!$DL$25&gt;Calculations!$DM$25,"▲ ","▼ "))&amp;TEXT(ABS(Calculations!$DN$25),"0.0%")&amp;" vs prior"))</f>
        <v>0</v>
      </c>
      <c r="F33" s="61"/>
      <c r="G33" s="61"/>
      <c r="H33" s="61">
        <f>IF(Calculations!$DM$26=0,IF(Calculations!$DL$26&gt;0,"▲ new","● flat"),IF(Calculations!$DL$26=Calculations!$DM$26,"● flat",(IF(Calculations!$DL$26&gt;Calculations!$DM$26,"▲ ","▼ "))&amp;TEXT(ABS(Calculations!$DN$26),"0.0%")&amp;" vs prior"))</f>
        <v>0</v>
      </c>
      <c r="I33" s="61"/>
      <c r="J33" s="61"/>
      <c r="K33" s="61">
        <f>IF(Calculations!$DM$27=0,IF(Calculations!$DL$27&gt;0,"▲ new","● flat"),IF(Calculations!$DL$27=Calculations!$DM$27,"● flat",(IF(Calculations!$DL$27&gt;Calculations!$DM$27,"▲ ","▼ "))&amp;TEXT(ABS(Calculations!$DN$27),"0.0%")&amp;" vs prior"))</f>
        <v>0</v>
      </c>
      <c r="L33" s="61"/>
      <c r="M33" s="61"/>
      <c r="N33" s="61">
        <f>IF(Calculations!$DM$28=0,IF(Calculations!$DL$28&gt;0,"▲ new","● flat"),IF(Calculations!$DL$28=Calculations!$DM$28,"● flat",(IF(Calculations!$DL$28&gt;Calculations!$DM$28,"▲ ","▼ "))&amp;TEXT(ABS(Calculations!$DN$28),"0.0%")&amp;" vs prior"))</f>
        <v>0</v>
      </c>
      <c r="O33" s="61"/>
      <c r="P33" s="61"/>
      <c r="Q33" s="61">
        <f>IF(Calculations!$DM$29=0,IF(Calculations!$DL$29&gt;0,"▲ new","● flat"),IF(Calculations!$DL$29=Calculations!$DM$29,"● flat",(IF(Calculations!$DL$29&gt;Calculations!$DM$29,"▲ ","▼ "))&amp;TEXT(ABS(Calculations!$DN$29),"0.0%")&amp;" vs prior"))</f>
        <v>0</v>
      </c>
      <c r="R33" s="61"/>
      <c r="S33" s="61"/>
    </row>
    <row r="35" spans="2:19" ht="4" customHeight="1"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</row>
    <row r="36" spans="2:19">
      <c r="B36" s="39" t="s">
        <v>2231</v>
      </c>
      <c r="C36" s="39"/>
      <c r="D36" s="39"/>
      <c r="E36" s="39" t="s">
        <v>2232</v>
      </c>
      <c r="F36" s="39"/>
      <c r="G36" s="39"/>
      <c r="H36" s="39" t="s">
        <v>2233</v>
      </c>
      <c r="I36" s="39"/>
      <c r="J36" s="39"/>
      <c r="K36" s="39" t="s">
        <v>2234</v>
      </c>
      <c r="L36" s="39"/>
      <c r="M36" s="39"/>
      <c r="N36" s="39" t="s">
        <v>2235</v>
      </c>
      <c r="O36" s="39"/>
      <c r="P36" s="39"/>
      <c r="Q36" s="39" t="s">
        <v>2236</v>
      </c>
      <c r="R36" s="39"/>
      <c r="S36" s="39"/>
    </row>
    <row r="37" spans="2:19">
      <c r="B37" s="41">
        <f>Calculations!$DL$30</f>
        <v>0</v>
      </c>
      <c r="C37" s="41"/>
      <c r="E37" s="42">
        <f>Calculations!$DL$31</f>
        <v>0</v>
      </c>
      <c r="F37" s="42"/>
      <c r="H37" s="41">
        <f>Calculations!$DL$32</f>
        <v>0</v>
      </c>
      <c r="I37" s="41"/>
      <c r="K37" s="42">
        <f>Calculations!$DL$33</f>
        <v>0</v>
      </c>
      <c r="L37" s="42"/>
      <c r="N37" s="41">
        <f>Calculations!$DL$34</f>
        <v>0</v>
      </c>
      <c r="O37" s="41"/>
      <c r="Q37" s="41">
        <f>Calculations!$DL$35</f>
        <v>0</v>
      </c>
      <c r="R37" s="41"/>
    </row>
    <row r="38" spans="2:19">
      <c r="B38" s="41"/>
      <c r="C38" s="41"/>
      <c r="D38" s="41"/>
      <c r="E38" s="42"/>
      <c r="F38" s="42"/>
      <c r="G38" s="42"/>
      <c r="H38" s="41"/>
      <c r="I38" s="41"/>
      <c r="J38" s="41"/>
      <c r="K38" s="42"/>
      <c r="L38" s="42"/>
      <c r="M38" s="42"/>
      <c r="N38" s="41"/>
      <c r="O38" s="41"/>
      <c r="P38" s="41"/>
      <c r="Q38" s="41"/>
      <c r="R38" s="41"/>
      <c r="S38" s="41"/>
    </row>
    <row r="39" spans="2:19">
      <c r="B39" s="61">
        <f>IF(Calculations!$DM$30=0,IF(Calculations!$DL$30&gt;0,"▲ new","● flat"),IF(Calculations!$DL$30=Calculations!$DM$30,"● flat",(IF(Calculations!$DL$30&gt;Calculations!$DM$30,"▲ ","▼ "))&amp;TEXT(ABS(Calculations!$DN$30),"0.0%")&amp;" vs prior"))</f>
        <v>0</v>
      </c>
      <c r="C39" s="61"/>
      <c r="D39" s="61"/>
      <c r="E39" s="61">
        <f>IF(Calculations!$DM$31=0,IF(Calculations!$DL$31&gt;0,"▲ new","● flat"),IF(Calculations!$DL$31=Calculations!$DM$31,"● flat",(IF(Calculations!$DL$31&gt;Calculations!$DM$31,"▲ ","▼ "))&amp;TEXT(ABS(Calculations!$DN$31),"0.0%")&amp;" vs prior"))</f>
        <v>0</v>
      </c>
      <c r="F39" s="61"/>
      <c r="G39" s="61"/>
      <c r="H39" s="61">
        <f>IF(Calculations!$DM$32=0,IF(Calculations!$DL$32&gt;0,"▲ new","● flat"),IF(Calculations!$DL$32=Calculations!$DM$32,"● flat",(IF(Calculations!$DL$32&gt;Calculations!$DM$32,"▲ ","▼ "))&amp;TEXT(ABS(Calculations!$DN$32),"0.0%")&amp;" vs prior"))</f>
        <v>0</v>
      </c>
      <c r="I39" s="61"/>
      <c r="J39" s="61"/>
      <c r="K39" s="61">
        <f>IF(Calculations!$DM$33=0,IF(Calculations!$DL$33&gt;0,"▲ new","● flat"),IF(Calculations!$DL$33=Calculations!$DM$33,"● flat",(IF(Calculations!$DL$33&gt;Calculations!$DM$33,"▲ ","▼ "))&amp;TEXT(ABS(Calculations!$DN$33),"0.0%")&amp;" vs prior"))</f>
        <v>0</v>
      </c>
      <c r="L39" s="61"/>
      <c r="M39" s="61"/>
      <c r="N39" s="61">
        <f>IF(Calculations!$DM$34=0,IF(Calculations!$DL$34&gt;0,"▲ new","● flat"),IF(Calculations!$DL$34=Calculations!$DM$34,"● flat",(IF(Calculations!$DL$34&gt;Calculations!$DM$34,"▲ ","▼ "))&amp;TEXT(ABS(Calculations!$DN$34),"0.0%")&amp;" vs prior"))</f>
        <v>0</v>
      </c>
      <c r="O39" s="61"/>
      <c r="P39" s="61"/>
      <c r="Q39" s="61">
        <f>IF(Calculations!$DM$35=0,IF(Calculations!$DL$35&gt;0,"▲ new","● flat"),IF(Calculations!$DL$35=Calculations!$DM$35,"● flat",(IF(Calculations!$DL$35&gt;Calculations!$DM$35,"▲ ","▼ "))&amp;TEXT(ABS(Calculations!$DN$35),"0.0%")&amp;" vs prior"))</f>
        <v>0</v>
      </c>
      <c r="R39" s="61"/>
      <c r="S39" s="61"/>
    </row>
    <row r="41" spans="2:19" ht="4" customHeight="1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</row>
    <row r="42" spans="2:19">
      <c r="B42" s="39" t="s">
        <v>2237</v>
      </c>
      <c r="C42" s="39"/>
      <c r="D42" s="39"/>
      <c r="E42" s="39" t="s">
        <v>2238</v>
      </c>
      <c r="F42" s="39"/>
      <c r="G42" s="39"/>
      <c r="H42" s="39" t="s">
        <v>2239</v>
      </c>
      <c r="I42" s="39"/>
      <c r="J42" s="39"/>
      <c r="K42" s="39" t="s">
        <v>2240</v>
      </c>
      <c r="L42" s="39"/>
      <c r="M42" s="39"/>
      <c r="N42" s="39" t="s">
        <v>2241</v>
      </c>
      <c r="O42" s="39"/>
      <c r="P42" s="39"/>
      <c r="Q42" s="39" t="s">
        <v>2242</v>
      </c>
      <c r="R42" s="39"/>
      <c r="S42" s="39"/>
    </row>
    <row r="43" spans="2:19">
      <c r="B43" s="41">
        <f>Calculations!$DL$36</f>
        <v>0</v>
      </c>
      <c r="C43" s="41"/>
      <c r="E43" s="41">
        <f>Calculations!$DL$37</f>
        <v>0</v>
      </c>
      <c r="F43" s="41"/>
      <c r="H43" s="42">
        <f>Calculations!$DL$38</f>
        <v>0</v>
      </c>
      <c r="I43" s="42"/>
      <c r="K43" s="41">
        <f>Calculations!$DL$39</f>
        <v>0</v>
      </c>
      <c r="L43" s="41"/>
      <c r="N43" s="42">
        <f>Calculations!$DL$40</f>
        <v>0</v>
      </c>
      <c r="O43" s="42"/>
      <c r="Q43" s="41">
        <f>Calculations!$DL$41</f>
        <v>0</v>
      </c>
      <c r="R43" s="41"/>
    </row>
    <row r="44" spans="2:19">
      <c r="B44" s="41"/>
      <c r="C44" s="41"/>
      <c r="D44" s="41"/>
      <c r="E44" s="41"/>
      <c r="F44" s="41"/>
      <c r="G44" s="41"/>
      <c r="H44" s="42"/>
      <c r="I44" s="42"/>
      <c r="J44" s="42"/>
      <c r="K44" s="41"/>
      <c r="L44" s="41"/>
      <c r="M44" s="41"/>
      <c r="N44" s="42"/>
      <c r="O44" s="42"/>
      <c r="P44" s="42"/>
      <c r="Q44" s="41"/>
      <c r="R44" s="41"/>
      <c r="S44" s="41"/>
    </row>
    <row r="45" spans="2:19">
      <c r="B45" s="61">
        <f>IF(Calculations!$DM$36=0,IF(Calculations!$DL$36&gt;0,"▲ new","● flat"),IF(Calculations!$DL$36=Calculations!$DM$36,"● flat",(IF(Calculations!$DL$36&gt;Calculations!$DM$36,"▲ ","▼ "))&amp;TEXT(ABS(Calculations!$DN$36),"0.0%")&amp;" vs prior"))</f>
        <v>0</v>
      </c>
      <c r="C45" s="61"/>
      <c r="D45" s="61"/>
      <c r="E45" s="61">
        <f>IF(Calculations!$DM$37=0,IF(Calculations!$DL$37&gt;0,"▲ new","● flat"),IF(Calculations!$DL$37=Calculations!$DM$37,"● flat",(IF(Calculations!$DL$37&gt;Calculations!$DM$37,"▲ ","▼ "))&amp;TEXT(ABS(Calculations!$DN$37),"0.0%")&amp;" vs prior"))</f>
        <v>0</v>
      </c>
      <c r="F45" s="61"/>
      <c r="G45" s="61"/>
      <c r="H45" s="61">
        <f>IF(Calculations!$DM$38=0,IF(Calculations!$DL$38&gt;0,"▲ new","● flat"),IF(Calculations!$DL$38=Calculations!$DM$38,"● flat",(IF(Calculations!$DL$38&gt;Calculations!$DM$38,"▲ ","▼ "))&amp;TEXT(ABS(Calculations!$DN$38),"0.0%")&amp;" vs prior"))</f>
        <v>0</v>
      </c>
      <c r="I45" s="61"/>
      <c r="J45" s="61"/>
      <c r="K45" s="61">
        <f>IF(Calculations!$DM$39=0,IF(Calculations!$DL$39&gt;0,"▲ new","● flat"),IF(Calculations!$DL$39=Calculations!$DM$39,"● flat",(IF(Calculations!$DL$39&gt;Calculations!$DM$39,"▲ ","▼ "))&amp;TEXT(ABS(Calculations!$DN$39),"0.0%")&amp;" vs prior"))</f>
        <v>0</v>
      </c>
      <c r="L45" s="61"/>
      <c r="M45" s="61"/>
      <c r="N45" s="61">
        <f>IF(Calculations!$DM$40=0,IF(Calculations!$DL$40&gt;0,"▲ new","● flat"),IF(Calculations!$DL$40=Calculations!$DM$40,"● flat",(IF(Calculations!$DL$40&gt;Calculations!$DM$40,"▲ ","▼ "))&amp;TEXT(ABS(Calculations!$DN$40),"0.0%")&amp;" vs prior"))</f>
        <v>0</v>
      </c>
      <c r="O45" s="61"/>
      <c r="P45" s="61"/>
      <c r="Q45" s="61">
        <f>IF(Calculations!$DM$41=0,IF(Calculations!$DL$41&gt;0,"▲ new","● flat"),IF(Calculations!$DL$41=Calculations!$DM$41,"● flat",(IF(Calculations!$DL$41&gt;Calculations!$DM$41,"▲ ","▼ "))&amp;TEXT(ABS(Calculations!$DN$41),"0.0%")&amp;" vs prior"))</f>
        <v>0</v>
      </c>
      <c r="R45" s="61"/>
      <c r="S45" s="61"/>
    </row>
    <row r="47" spans="2:19" ht="4" customHeight="1"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</row>
    <row r="48" spans="2:19">
      <c r="B48" s="39" t="s">
        <v>2243</v>
      </c>
      <c r="C48" s="39"/>
      <c r="D48" s="39"/>
      <c r="E48" s="39" t="s">
        <v>2244</v>
      </c>
      <c r="F48" s="39"/>
      <c r="G48" s="39"/>
      <c r="H48" s="39" t="s">
        <v>2245</v>
      </c>
      <c r="I48" s="39"/>
      <c r="J48" s="39"/>
      <c r="K48" s="39" t="s">
        <v>2246</v>
      </c>
      <c r="L48" s="39"/>
      <c r="M48" s="39"/>
      <c r="N48" s="39" t="s">
        <v>2247</v>
      </c>
      <c r="O48" s="39"/>
      <c r="P48" s="39"/>
      <c r="Q48" s="39" t="s">
        <v>2248</v>
      </c>
      <c r="R48" s="39"/>
      <c r="S48" s="39"/>
    </row>
    <row r="49" spans="2:19">
      <c r="B49" s="42">
        <f>Calculations!$DL$42</f>
        <v>0</v>
      </c>
      <c r="C49" s="42"/>
      <c r="E49" s="41">
        <f>Calculations!$DL$43</f>
        <v>0</v>
      </c>
      <c r="F49" s="41"/>
      <c r="H49" s="41">
        <f>Calculations!$DL$44</f>
        <v>0</v>
      </c>
      <c r="I49" s="41"/>
      <c r="K49" s="41">
        <f>Calculations!$DL$45</f>
        <v>0</v>
      </c>
      <c r="L49" s="41"/>
      <c r="N49" s="41">
        <f>Calculations!$DL$46</f>
        <v>0</v>
      </c>
      <c r="O49" s="41"/>
      <c r="Q49" s="41">
        <f>Calculations!$DL$47</f>
        <v>0</v>
      </c>
      <c r="R49" s="41"/>
    </row>
    <row r="50" spans="2:19">
      <c r="B50" s="42"/>
      <c r="C50" s="42"/>
      <c r="D50" s="42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</row>
    <row r="51" spans="2:19">
      <c r="B51" s="61">
        <f>IF(Calculations!$DM$42=0,IF(Calculations!$DL$42&gt;0,"▲ new","● flat"),IF(Calculations!$DL$42=Calculations!$DM$42,"● flat",(IF(Calculations!$DL$42&gt;Calculations!$DM$42,"▲ ","▼ "))&amp;TEXT(ABS(Calculations!$DN$42),"0.0%")&amp;" vs prior"))</f>
        <v>0</v>
      </c>
      <c r="C51" s="61"/>
      <c r="D51" s="61"/>
      <c r="E51" s="61">
        <f>IF(Calculations!$DM$43=0,IF(Calculations!$DL$43&gt;0,"▲ new","● flat"),IF(Calculations!$DL$43=Calculations!$DM$43,"● flat",(IF(Calculations!$DL$43&gt;Calculations!$DM$43,"▲ ","▼ "))&amp;TEXT(ABS(Calculations!$DN$43),"0.0%")&amp;" vs prior"))</f>
        <v>0</v>
      </c>
      <c r="F51" s="61"/>
      <c r="G51" s="61"/>
      <c r="H51" s="61">
        <f>IF(Calculations!$DM$44=0,IF(Calculations!$DL$44&gt;0,"▲ new","● flat"),IF(Calculations!$DL$44=Calculations!$DM$44,"● flat",(IF(Calculations!$DL$44&gt;Calculations!$DM$44,"▲ ","▼ "))&amp;TEXT(ABS(Calculations!$DN$44),"0.0%")&amp;" vs prior"))</f>
        <v>0</v>
      </c>
      <c r="I51" s="61"/>
      <c r="J51" s="61"/>
      <c r="K51" s="61">
        <f>IF(Calculations!$DM$45=0,IF(Calculations!$DL$45&gt;0,"▲ new","● flat"),IF(Calculations!$DL$45=Calculations!$DM$45,"● flat",(IF(Calculations!$DL$45&gt;Calculations!$DM$45,"▲ ","▼ "))&amp;TEXT(ABS(Calculations!$DN$45),"0.0%")&amp;" vs prior"))</f>
        <v>0</v>
      </c>
      <c r="L51" s="61"/>
      <c r="M51" s="61"/>
      <c r="N51" s="61">
        <f>IF(Calculations!$DM$46=0,IF(Calculations!$DL$46&gt;0,"▲ new","● flat"),IF(Calculations!$DL$46=Calculations!$DM$46,"● flat",(IF(Calculations!$DL$46&gt;Calculations!$DM$46,"▲ ","▼ "))&amp;TEXT(ABS(Calculations!$DN$46),"0.0%")&amp;" vs prior"))</f>
        <v>0</v>
      </c>
      <c r="O51" s="61"/>
      <c r="P51" s="61"/>
      <c r="Q51" s="61">
        <f>IF(Calculations!$DM$47=0,IF(Calculations!$DL$47&gt;0,"▲ new","● flat"),IF(Calculations!$DL$47=Calculations!$DM$47,"● flat",(IF(Calculations!$DL$47&gt;Calculations!$DM$47,"▲ ","▼ "))&amp;TEXT(ABS(Calculations!$DN$47),"0.0%")&amp;" vs prior"))</f>
        <v>0</v>
      </c>
      <c r="R51" s="61"/>
      <c r="S51" s="61"/>
    </row>
    <row r="53" spans="2:19" ht="4" customHeight="1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</row>
    <row r="54" spans="2:19">
      <c r="B54" s="39" t="s">
        <v>2249</v>
      </c>
      <c r="C54" s="39"/>
      <c r="D54" s="39"/>
      <c r="E54" s="39" t="s">
        <v>2250</v>
      </c>
      <c r="F54" s="39"/>
      <c r="G54" s="39"/>
      <c r="H54" s="39" t="s">
        <v>2251</v>
      </c>
      <c r="I54" s="39"/>
      <c r="J54" s="39"/>
      <c r="K54" s="39" t="s">
        <v>2252</v>
      </c>
      <c r="L54" s="39"/>
      <c r="M54" s="39"/>
      <c r="N54" s="39" t="s">
        <v>2253</v>
      </c>
      <c r="O54" s="39"/>
      <c r="P54" s="39"/>
      <c r="Q54" s="39" t="s">
        <v>2254</v>
      </c>
      <c r="R54" s="39"/>
      <c r="S54" s="39"/>
    </row>
    <row r="55" spans="2:19">
      <c r="B55" s="42">
        <f>Calculations!$DL$48</f>
        <v>0</v>
      </c>
      <c r="C55" s="42"/>
      <c r="E55" s="41">
        <f>Calculations!$DL$49</f>
        <v>0</v>
      </c>
      <c r="F55" s="41"/>
      <c r="H55" s="42">
        <f>Calculations!$DL$50</f>
        <v>0</v>
      </c>
      <c r="I55" s="42"/>
      <c r="K55" s="41">
        <f>Calculations!$DL$51</f>
        <v>0</v>
      </c>
      <c r="L55" s="41"/>
      <c r="N55" s="41">
        <f>Calculations!$DL$52</f>
        <v>0</v>
      </c>
      <c r="O55" s="41"/>
      <c r="Q55" s="41">
        <f>Calculations!$DL$53</f>
        <v>0</v>
      </c>
      <c r="R55" s="41"/>
    </row>
    <row r="56" spans="2:19">
      <c r="B56" s="42"/>
      <c r="C56" s="42"/>
      <c r="D56" s="42"/>
      <c r="E56" s="41"/>
      <c r="F56" s="41"/>
      <c r="G56" s="41"/>
      <c r="H56" s="42"/>
      <c r="I56" s="42"/>
      <c r="J56" s="42"/>
      <c r="K56" s="41"/>
      <c r="L56" s="41"/>
      <c r="M56" s="41"/>
      <c r="N56" s="41"/>
      <c r="O56" s="41"/>
      <c r="P56" s="41"/>
      <c r="Q56" s="41"/>
      <c r="R56" s="41"/>
      <c r="S56" s="41"/>
    </row>
    <row r="57" spans="2:19">
      <c r="B57" s="61">
        <f>IF(Calculations!$DM$48=0,IF(Calculations!$DL$48&gt;0,"▲ new","● flat"),IF(Calculations!$DL$48=Calculations!$DM$48,"● flat",(IF(Calculations!$DL$48&gt;Calculations!$DM$48,"▲ ","▼ "))&amp;TEXT(ABS(Calculations!$DN$48),"0.0%")&amp;" vs prior"))</f>
        <v>0</v>
      </c>
      <c r="C57" s="61"/>
      <c r="D57" s="61"/>
      <c r="E57" s="61">
        <f>IF(Calculations!$DM$49=0,IF(Calculations!$DL$49&gt;0,"▲ new","● flat"),IF(Calculations!$DL$49=Calculations!$DM$49,"● flat",(IF(Calculations!$DL$49&gt;Calculations!$DM$49,"▲ ","▼ "))&amp;TEXT(ABS(Calculations!$DN$49),"0.0%")&amp;" vs prior"))</f>
        <v>0</v>
      </c>
      <c r="F57" s="61"/>
      <c r="G57" s="61"/>
      <c r="H57" s="61">
        <f>IF(Calculations!$DM$50=0,IF(Calculations!$DL$50&gt;0,"▲ new","● flat"),IF(Calculations!$DL$50=Calculations!$DM$50,"● flat",(IF(Calculations!$DL$50&gt;Calculations!$DM$50,"▲ ","▼ "))&amp;TEXT(ABS(Calculations!$DN$50),"0.0%")&amp;" vs prior"))</f>
        <v>0</v>
      </c>
      <c r="I57" s="61"/>
      <c r="J57" s="61"/>
      <c r="K57" s="61">
        <f>IF(Calculations!$DM$51=0,IF(Calculations!$DL$51&gt;0,"▲ new","● flat"),IF(Calculations!$DL$51=Calculations!$DM$51,"● flat",(IF(Calculations!$DL$51&gt;Calculations!$DM$51,"▲ ","▼ "))&amp;TEXT(ABS(Calculations!$DN$51),"0.0%")&amp;" vs prior"))</f>
        <v>0</v>
      </c>
      <c r="L57" s="61"/>
      <c r="M57" s="61"/>
      <c r="N57" s="61">
        <f>IF(Calculations!$DM$52=0,IF(Calculations!$DL$52&gt;0,"▲ new","● flat"),IF(Calculations!$DL$52=Calculations!$DM$52,"● flat",(IF(Calculations!$DL$52&gt;Calculations!$DM$52,"▲ ","▼ "))&amp;TEXT(ABS(Calculations!$DN$52),"0.0%")&amp;" vs prior"))</f>
        <v>0</v>
      </c>
      <c r="O57" s="61"/>
      <c r="P57" s="61"/>
      <c r="Q57" s="61">
        <f>IF(Calculations!$DM$53=0,IF(Calculations!$DL$53&gt;0,"▲ new","● flat"),IF(Calculations!$DL$53=Calculations!$DM$53,"● flat",(IF(Calculations!$DL$53&gt;Calculations!$DM$53,"▲ ","▼ "))&amp;TEXT(ABS(Calculations!$DN$53),"0.0%")&amp;" vs prior"))</f>
        <v>0</v>
      </c>
      <c r="R57" s="61"/>
      <c r="S57" s="61"/>
    </row>
    <row r="59" spans="2:19" ht="4" customHeight="1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</row>
    <row r="60" spans="2:19">
      <c r="B60" s="39" t="s">
        <v>2255</v>
      </c>
      <c r="C60" s="39"/>
      <c r="D60" s="39"/>
      <c r="E60" s="39" t="s">
        <v>2256</v>
      </c>
      <c r="F60" s="39"/>
      <c r="G60" s="39"/>
      <c r="H60" s="39" t="s">
        <v>2257</v>
      </c>
      <c r="I60" s="39"/>
      <c r="J60" s="39"/>
      <c r="K60" s="39" t="s">
        <v>2258</v>
      </c>
      <c r="L60" s="39"/>
      <c r="M60" s="39"/>
      <c r="N60" s="39" t="s">
        <v>2259</v>
      </c>
      <c r="O60" s="39"/>
      <c r="P60" s="39"/>
      <c r="Q60" s="39" t="s">
        <v>2260</v>
      </c>
      <c r="R60" s="39"/>
      <c r="S60" s="39"/>
    </row>
    <row r="61" spans="2:19">
      <c r="B61" s="41">
        <f>Calculations!$DL$54</f>
        <v>0</v>
      </c>
      <c r="C61" s="41"/>
      <c r="E61" s="42">
        <f>Calculations!$DL$55</f>
        <v>0</v>
      </c>
      <c r="F61" s="42"/>
      <c r="H61" s="41">
        <f>Calculations!$DL$56</f>
        <v>0</v>
      </c>
      <c r="I61" s="41"/>
      <c r="K61" s="42">
        <f>Calculations!$DL$57</f>
        <v>0</v>
      </c>
      <c r="L61" s="42"/>
      <c r="N61" s="41">
        <f>Calculations!$DL$58</f>
        <v>0</v>
      </c>
      <c r="O61" s="41"/>
      <c r="Q61" s="42">
        <f>Calculations!$DL$59</f>
        <v>0</v>
      </c>
      <c r="R61" s="42"/>
    </row>
    <row r="62" spans="2:19">
      <c r="B62" s="41"/>
      <c r="C62" s="41"/>
      <c r="D62" s="41"/>
      <c r="E62" s="42"/>
      <c r="F62" s="42"/>
      <c r="G62" s="42"/>
      <c r="H62" s="41"/>
      <c r="I62" s="41"/>
      <c r="J62" s="41"/>
      <c r="K62" s="42"/>
      <c r="L62" s="42"/>
      <c r="M62" s="42"/>
      <c r="N62" s="41"/>
      <c r="O62" s="41"/>
      <c r="P62" s="41"/>
      <c r="Q62" s="42"/>
      <c r="R62" s="42"/>
      <c r="S62" s="42"/>
    </row>
    <row r="63" spans="2:19">
      <c r="B63" s="61">
        <f>IF(Calculations!$DM$54=0,IF(Calculations!$DL$54&gt;0,"▲ new","● flat"),IF(Calculations!$DL$54=Calculations!$DM$54,"● flat",(IF(Calculations!$DL$54&gt;Calculations!$DM$54,"▲ ","▼ "))&amp;TEXT(ABS(Calculations!$DN$54),"0.0%")&amp;" vs prior"))</f>
        <v>0</v>
      </c>
      <c r="C63" s="61"/>
      <c r="D63" s="61"/>
      <c r="E63" s="61">
        <f>IF(Calculations!$DM$55=0,IF(Calculations!$DL$55&gt;0,"▲ new","● flat"),IF(Calculations!$DL$55=Calculations!$DM$55,"● flat",(IF(Calculations!$DL$55&gt;Calculations!$DM$55,"▲ ","▼ "))&amp;TEXT(ABS(Calculations!$DN$55),"0.0%")&amp;" vs prior"))</f>
        <v>0</v>
      </c>
      <c r="F63" s="61"/>
      <c r="G63" s="61"/>
      <c r="H63" s="61">
        <f>IF(Calculations!$DM$56=0,IF(Calculations!$DL$56&gt;0,"▲ new","● flat"),IF(Calculations!$DL$56=Calculations!$DM$56,"● flat",(IF(Calculations!$DL$56&gt;Calculations!$DM$56,"▲ ","▼ "))&amp;TEXT(ABS(Calculations!$DN$56),"0.0%")&amp;" vs prior"))</f>
        <v>0</v>
      </c>
      <c r="I63" s="61"/>
      <c r="J63" s="61"/>
      <c r="K63" s="61">
        <f>IF(Calculations!$DM$57=0,IF(Calculations!$DL$57&gt;0,"▲ new","● flat"),IF(Calculations!$DL$57=Calculations!$DM$57,"● flat",(IF(Calculations!$DL$57&gt;Calculations!$DM$57,"▲ ","▼ "))&amp;TEXT(ABS(Calculations!$DN$57),"0.0%")&amp;" vs prior"))</f>
        <v>0</v>
      </c>
      <c r="L63" s="61"/>
      <c r="M63" s="61"/>
      <c r="N63" s="61">
        <f>IF(Calculations!$DM$58=0,IF(Calculations!$DL$58&gt;0,"▲ new","● flat"),IF(Calculations!$DL$58=Calculations!$DM$58,"● flat",(IF(Calculations!$DL$58&gt;Calculations!$DM$58,"▲ ","▼ "))&amp;TEXT(ABS(Calculations!$DN$58),"0.0%")&amp;" vs prior"))</f>
        <v>0</v>
      </c>
      <c r="O63" s="61"/>
      <c r="P63" s="61"/>
      <c r="Q63" s="61">
        <f>IF(Calculations!$DM$59=0,IF(Calculations!$DL$59&gt;0,"▲ new","● flat"),IF(Calculations!$DL$59=Calculations!$DM$59,"● flat",(IF(Calculations!$DL$59&gt;Calculations!$DM$59,"▲ ","▼ "))&amp;TEXT(ABS(Calculations!$DN$59),"0.0%")&amp;" vs prior"))</f>
        <v>0</v>
      </c>
      <c r="R63" s="61"/>
      <c r="S63" s="61"/>
    </row>
    <row r="65" spans="2:19" ht="4" customHeight="1">
      <c r="B65" s="60"/>
      <c r="C65" s="60"/>
      <c r="D65" s="60"/>
      <c r="E65" s="60"/>
      <c r="F65" s="60"/>
      <c r="G65" s="60"/>
    </row>
    <row r="66" spans="2:19">
      <c r="B66" s="39" t="s">
        <v>2261</v>
      </c>
      <c r="C66" s="39"/>
      <c r="D66" s="39"/>
      <c r="E66" s="39" t="s">
        <v>2262</v>
      </c>
      <c r="F66" s="39"/>
      <c r="G66" s="39"/>
    </row>
    <row r="67" spans="2:19">
      <c r="B67" s="41">
        <f>Calculations!$DL$60</f>
        <v>0</v>
      </c>
      <c r="C67" s="41"/>
      <c r="E67" s="42">
        <f>Calculations!$DL$61</f>
        <v>0</v>
      </c>
      <c r="F67" s="42"/>
    </row>
    <row r="68" spans="2:19">
      <c r="B68" s="41"/>
      <c r="C68" s="41"/>
      <c r="D68" s="41"/>
      <c r="E68" s="42"/>
      <c r="F68" s="42"/>
      <c r="G68" s="42"/>
    </row>
    <row r="69" spans="2:19">
      <c r="B69" s="61">
        <f>IF(Calculations!$DM$60=0,IF(Calculations!$DL$60&gt;0,"▲ new","● flat"),IF(Calculations!$DL$60=Calculations!$DM$60,"● flat",(IF(Calculations!$DL$60&gt;Calculations!$DM$60,"▲ ","▼ "))&amp;TEXT(ABS(Calculations!$DN$60),"0.0%")&amp;" vs prior"))</f>
        <v>0</v>
      </c>
      <c r="C69" s="61"/>
      <c r="D69" s="61"/>
      <c r="E69" s="61">
        <f>IF(Calculations!$DM$61=0,IF(Calculations!$DL$61&gt;0,"▲ new","● flat"),IF(Calculations!$DL$61=Calculations!$DM$61,"● flat",(IF(Calculations!$DL$61&gt;Calculations!$DM$61,"▲ ","▼ "))&amp;TEXT(ABS(Calculations!$DN$61),"0.0%")&amp;" vs prior"))</f>
        <v>0</v>
      </c>
      <c r="F69" s="61"/>
      <c r="G69" s="61"/>
    </row>
    <row r="72" spans="2:19">
      <c r="B72" s="36" t="s">
        <v>2263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118" spans="2:19">
      <c r="B118" s="36" t="s">
        <v>2264</v>
      </c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</row>
    <row r="136" spans="8:19">
      <c r="H136" s="44" t="s">
        <v>2265</v>
      </c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8:19"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53" spans="2:19">
      <c r="B153" s="36" t="s">
        <v>2266</v>
      </c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</row>
    <row r="154" spans="2:19">
      <c r="B154" s="63" t="s">
        <v>2267</v>
      </c>
      <c r="C154" s="63"/>
      <c r="D154" s="57" t="s">
        <v>2268</v>
      </c>
      <c r="E154" s="57"/>
      <c r="F154" s="57"/>
      <c r="G154" s="57" t="s">
        <v>2269</v>
      </c>
      <c r="H154" s="57"/>
      <c r="I154" s="57"/>
      <c r="J154" s="57" t="s">
        <v>2270</v>
      </c>
      <c r="K154" s="57"/>
      <c r="L154" s="57"/>
      <c r="M154" s="57" t="s">
        <v>2271</v>
      </c>
      <c r="N154" s="57"/>
      <c r="O154" s="57"/>
      <c r="P154" s="57" t="s">
        <v>2272</v>
      </c>
      <c r="Q154" s="57"/>
      <c r="R154" s="57"/>
    </row>
    <row r="155" spans="2:19">
      <c r="B155" s="57" t="s">
        <v>2273</v>
      </c>
      <c r="C155" s="57"/>
      <c r="D155" s="64">
        <f>Calculations!$C$224</f>
        <v>0</v>
      </c>
      <c r="E155" s="64"/>
      <c r="F155" s="64"/>
      <c r="G155" s="65">
        <f>Calculations!$D$224</f>
        <v>0</v>
      </c>
      <c r="H155" s="65"/>
      <c r="I155" s="65"/>
      <c r="J155" s="66">
        <f>Calculations!$E$224</f>
        <v>0</v>
      </c>
      <c r="K155" s="66"/>
      <c r="L155" s="66"/>
      <c r="M155" s="66">
        <f>Calculations!$F$224</f>
        <v>0</v>
      </c>
      <c r="N155" s="66"/>
      <c r="O155" s="66"/>
      <c r="P155" s="66">
        <f>Calculations!$G$224</f>
        <v>0</v>
      </c>
      <c r="Q155" s="66"/>
      <c r="R155" s="66"/>
    </row>
    <row r="156" spans="2:19">
      <c r="B156" s="57" t="s">
        <v>2274</v>
      </c>
      <c r="C156" s="57"/>
      <c r="D156" s="67">
        <f>Calculations!$C$225</f>
        <v>0</v>
      </c>
      <c r="E156" s="67"/>
      <c r="F156" s="67"/>
      <c r="G156" s="64">
        <f>Calculations!$D$225</f>
        <v>0</v>
      </c>
      <c r="H156" s="64"/>
      <c r="I156" s="64"/>
      <c r="J156" s="65">
        <f>Calculations!$E$225</f>
        <v>0</v>
      </c>
      <c r="K156" s="65"/>
      <c r="L156" s="65"/>
      <c r="M156" s="66">
        <f>Calculations!$F$225</f>
        <v>0</v>
      </c>
      <c r="N156" s="66"/>
      <c r="O156" s="66"/>
      <c r="P156" s="66">
        <f>Calculations!$G$225</f>
        <v>0</v>
      </c>
      <c r="Q156" s="66"/>
      <c r="R156" s="66"/>
    </row>
    <row r="157" spans="2:19">
      <c r="B157" s="57" t="s">
        <v>2275</v>
      </c>
      <c r="C157" s="57"/>
      <c r="D157" s="67">
        <f>Calculations!$C$226</f>
        <v>0</v>
      </c>
      <c r="E157" s="67"/>
      <c r="F157" s="67"/>
      <c r="G157" s="64">
        <f>Calculations!$D$226</f>
        <v>0</v>
      </c>
      <c r="H157" s="64"/>
      <c r="I157" s="64"/>
      <c r="J157" s="64">
        <f>Calculations!$E$226</f>
        <v>0</v>
      </c>
      <c r="K157" s="64"/>
      <c r="L157" s="64"/>
      <c r="M157" s="65">
        <f>Calculations!$F$226</f>
        <v>0</v>
      </c>
      <c r="N157" s="65"/>
      <c r="O157" s="65"/>
      <c r="P157" s="66">
        <f>Calculations!$G$226</f>
        <v>0</v>
      </c>
      <c r="Q157" s="66"/>
      <c r="R157" s="66"/>
    </row>
    <row r="158" spans="2:19">
      <c r="B158" s="57" t="s">
        <v>2276</v>
      </c>
      <c r="C158" s="57"/>
      <c r="D158" s="67">
        <f>Calculations!$C$227</f>
        <v>0</v>
      </c>
      <c r="E158" s="67"/>
      <c r="F158" s="67"/>
      <c r="G158" s="67">
        <f>Calculations!$D$227</f>
        <v>0</v>
      </c>
      <c r="H158" s="67"/>
      <c r="I158" s="67"/>
      <c r="J158" s="64">
        <f>Calculations!$E$227</f>
        <v>0</v>
      </c>
      <c r="K158" s="64"/>
      <c r="L158" s="64"/>
      <c r="M158" s="64">
        <f>Calculations!$F$227</f>
        <v>0</v>
      </c>
      <c r="N158" s="64"/>
      <c r="O158" s="64"/>
      <c r="P158" s="65">
        <f>Calculations!$G$227</f>
        <v>0</v>
      </c>
      <c r="Q158" s="65"/>
      <c r="R158" s="65"/>
    </row>
    <row r="159" spans="2:19">
      <c r="B159" s="57" t="s">
        <v>2277</v>
      </c>
      <c r="C159" s="57"/>
      <c r="D159" s="67">
        <f>Calculations!$C$228</f>
        <v>0</v>
      </c>
      <c r="E159" s="67"/>
      <c r="F159" s="67"/>
      <c r="G159" s="67">
        <f>Calculations!$D$228</f>
        <v>0</v>
      </c>
      <c r="H159" s="67"/>
      <c r="I159" s="67"/>
      <c r="J159" s="67">
        <f>Calculations!$E$228</f>
        <v>0</v>
      </c>
      <c r="K159" s="67"/>
      <c r="L159" s="67"/>
      <c r="M159" s="67">
        <f>Calculations!$F$228</f>
        <v>0</v>
      </c>
      <c r="N159" s="67"/>
      <c r="O159" s="67"/>
      <c r="P159" s="64">
        <f>Calculations!$G$228</f>
        <v>0</v>
      </c>
      <c r="Q159" s="64"/>
      <c r="R159" s="64"/>
    </row>
    <row r="160" spans="2:19">
      <c r="B160" s="68" t="s">
        <v>2278</v>
      </c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</row>
    <row r="162" spans="2:19">
      <c r="B162" s="36" t="s">
        <v>2279</v>
      </c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</row>
    <row r="171" spans="2:19">
      <c r="B171" s="69">
        <f>Calculations!$DL$29</f>
        <v>0</v>
      </c>
      <c r="C171" s="69"/>
      <c r="D171" s="69"/>
      <c r="E171" s="69">
        <f>Calculations!$DL$55</f>
        <v>0</v>
      </c>
      <c r="F171" s="69"/>
      <c r="G171" s="69"/>
      <c r="H171" s="69">
        <f>Calculations!$DL$31</f>
        <v>0</v>
      </c>
      <c r="I171" s="69"/>
      <c r="J171" s="69"/>
      <c r="K171" s="69">
        <f>Calculations!$DL$57</f>
        <v>0</v>
      </c>
      <c r="L171" s="69"/>
      <c r="M171" s="69"/>
      <c r="N171" s="69">
        <f>Calculations!$DL$33</f>
        <v>0</v>
      </c>
      <c r="O171" s="69"/>
      <c r="P171" s="69"/>
      <c r="Q171" s="69">
        <f>Calculations!$DL$22</f>
        <v>0</v>
      </c>
      <c r="R171" s="69"/>
      <c r="S171" s="69"/>
    </row>
    <row r="190" spans="2:9">
      <c r="B190" s="36" t="s">
        <v>2280</v>
      </c>
      <c r="C190" s="36"/>
      <c r="D190" s="36"/>
      <c r="E190" s="36"/>
      <c r="F190" s="36"/>
      <c r="G190" s="36"/>
      <c r="H190" s="36"/>
      <c r="I190" s="36"/>
    </row>
    <row r="191" spans="2:9">
      <c r="B191" s="57" t="s">
        <v>2038</v>
      </c>
      <c r="C191" s="57"/>
      <c r="D191" s="57" t="s">
        <v>1924</v>
      </c>
      <c r="E191" s="57"/>
      <c r="F191" s="57" t="s">
        <v>1923</v>
      </c>
      <c r="G191" s="57"/>
      <c r="H191" s="57" t="s">
        <v>288</v>
      </c>
      <c r="I191" s="57"/>
    </row>
    <row r="192" spans="2:9">
      <c r="B192" s="70">
        <f>Calculations!$DS$41</f>
        <v>0</v>
      </c>
      <c r="C192" s="70"/>
      <c r="D192" s="71">
        <f>Calculations!$DT$41</f>
        <v>0</v>
      </c>
      <c r="E192" s="71"/>
      <c r="F192" s="71">
        <f>Calculations!$DU$41</f>
        <v>0</v>
      </c>
      <c r="G192" s="71"/>
      <c r="H192" s="70">
        <f>Calculations!$DV$41</f>
        <v>0</v>
      </c>
      <c r="I192" s="70"/>
    </row>
    <row r="193" spans="2:9">
      <c r="B193" s="70">
        <f>Calculations!$DS$42</f>
        <v>0</v>
      </c>
      <c r="C193" s="70"/>
      <c r="D193" s="71">
        <f>Calculations!$DT$42</f>
        <v>0</v>
      </c>
      <c r="E193" s="71"/>
      <c r="F193" s="71">
        <f>Calculations!$DU$42</f>
        <v>0</v>
      </c>
      <c r="G193" s="71"/>
      <c r="H193" s="70">
        <f>Calculations!$DV$42</f>
        <v>0</v>
      </c>
      <c r="I193" s="70"/>
    </row>
    <row r="194" spans="2:9">
      <c r="B194" s="70">
        <f>Calculations!$DS$43</f>
        <v>0</v>
      </c>
      <c r="C194" s="70"/>
      <c r="D194" s="71">
        <f>Calculations!$DT$43</f>
        <v>0</v>
      </c>
      <c r="E194" s="71"/>
      <c r="F194" s="71">
        <f>Calculations!$DU$43</f>
        <v>0</v>
      </c>
      <c r="G194" s="71"/>
      <c r="H194" s="70">
        <f>Calculations!$DV$43</f>
        <v>0</v>
      </c>
      <c r="I194" s="70"/>
    </row>
    <row r="195" spans="2:9">
      <c r="B195" s="70">
        <f>Calculations!$DS$44</f>
        <v>0</v>
      </c>
      <c r="C195" s="70"/>
      <c r="D195" s="71">
        <f>Calculations!$DT$44</f>
        <v>0</v>
      </c>
      <c r="E195" s="71"/>
      <c r="F195" s="71">
        <f>Calculations!$DU$44</f>
        <v>0</v>
      </c>
      <c r="G195" s="71"/>
      <c r="H195" s="70">
        <f>Calculations!$DV$44</f>
        <v>0</v>
      </c>
      <c r="I195" s="70"/>
    </row>
    <row r="196" spans="2:9">
      <c r="B196" s="70">
        <f>Calculations!$DS$45</f>
        <v>0</v>
      </c>
      <c r="C196" s="70"/>
      <c r="D196" s="71">
        <f>Calculations!$DT$45</f>
        <v>0</v>
      </c>
      <c r="E196" s="71"/>
      <c r="F196" s="71">
        <f>Calculations!$DU$45</f>
        <v>0</v>
      </c>
      <c r="G196" s="71"/>
      <c r="H196" s="70">
        <f>Calculations!$DV$45</f>
        <v>0</v>
      </c>
      <c r="I196" s="70"/>
    </row>
    <row r="197" spans="2:9">
      <c r="B197" s="70">
        <f>Calculations!$DS$46</f>
        <v>0</v>
      </c>
      <c r="C197" s="70"/>
      <c r="D197" s="71">
        <f>Calculations!$DT$46</f>
        <v>0</v>
      </c>
      <c r="E197" s="71"/>
      <c r="F197" s="71">
        <f>Calculations!$DU$46</f>
        <v>0</v>
      </c>
      <c r="G197" s="71"/>
      <c r="H197" s="70">
        <f>Calculations!$DV$46</f>
        <v>0</v>
      </c>
      <c r="I197" s="70"/>
    </row>
  </sheetData>
  <mergeCells count="289">
    <mergeCell ref="B2:M4"/>
    <mergeCell ref="B5:M5"/>
    <mergeCell ref="N2:S5"/>
    <mergeCell ref="B6:S6"/>
    <mergeCell ref="D9:E9"/>
    <mergeCell ref="B11:S11"/>
    <mergeCell ref="C12:D12"/>
    <mergeCell ref="G12:H12"/>
    <mergeCell ref="K12:L12"/>
    <mergeCell ref="N12:S12"/>
    <mergeCell ref="B14:S14"/>
    <mergeCell ref="B15:D15"/>
    <mergeCell ref="B16:D16"/>
    <mergeCell ref="B17:C18"/>
    <mergeCell ref="B19:D19"/>
    <mergeCell ref="E15:G15"/>
    <mergeCell ref="E16:G16"/>
    <mergeCell ref="E17:F18"/>
    <mergeCell ref="E19:G19"/>
    <mergeCell ref="H15:J15"/>
    <mergeCell ref="H16:J16"/>
    <mergeCell ref="H17:I18"/>
    <mergeCell ref="H19:J19"/>
    <mergeCell ref="K15:M15"/>
    <mergeCell ref="K16:M16"/>
    <mergeCell ref="K17:L18"/>
    <mergeCell ref="K19:M19"/>
    <mergeCell ref="N15:P15"/>
    <mergeCell ref="N16:P16"/>
    <mergeCell ref="N17:O18"/>
    <mergeCell ref="N19:P19"/>
    <mergeCell ref="Q15:S15"/>
    <mergeCell ref="Q16:S16"/>
    <mergeCell ref="Q17:R18"/>
    <mergeCell ref="Q19:S19"/>
    <mergeCell ref="B21:D21"/>
    <mergeCell ref="B22:D22"/>
    <mergeCell ref="B23:C24"/>
    <mergeCell ref="B25:D25"/>
    <mergeCell ref="E21:G21"/>
    <mergeCell ref="E22:G22"/>
    <mergeCell ref="E23:F24"/>
    <mergeCell ref="E25:G25"/>
    <mergeCell ref="H21:J21"/>
    <mergeCell ref="H22:J22"/>
    <mergeCell ref="H23:I24"/>
    <mergeCell ref="H25:J25"/>
    <mergeCell ref="K21:M21"/>
    <mergeCell ref="K22:M22"/>
    <mergeCell ref="K23:L24"/>
    <mergeCell ref="K25:M25"/>
    <mergeCell ref="N21:P21"/>
    <mergeCell ref="N22:P22"/>
    <mergeCell ref="N23:O24"/>
    <mergeCell ref="N25:P25"/>
    <mergeCell ref="Q21:S21"/>
    <mergeCell ref="Q22:S22"/>
    <mergeCell ref="Q23:R24"/>
    <mergeCell ref="Q25:S25"/>
    <mergeCell ref="B28:S28"/>
    <mergeCell ref="B29:D29"/>
    <mergeCell ref="B30:D30"/>
    <mergeCell ref="B31:C32"/>
    <mergeCell ref="B33:D33"/>
    <mergeCell ref="E29:G29"/>
    <mergeCell ref="E30:G30"/>
    <mergeCell ref="E31:F32"/>
    <mergeCell ref="E33:G33"/>
    <mergeCell ref="H29:J29"/>
    <mergeCell ref="H30:J30"/>
    <mergeCell ref="H31:I32"/>
    <mergeCell ref="H33:J33"/>
    <mergeCell ref="K29:M29"/>
    <mergeCell ref="K30:M30"/>
    <mergeCell ref="K31:L32"/>
    <mergeCell ref="K33:M33"/>
    <mergeCell ref="N29:P29"/>
    <mergeCell ref="N30:P30"/>
    <mergeCell ref="N31:O32"/>
    <mergeCell ref="N33:P33"/>
    <mergeCell ref="Q29:S29"/>
    <mergeCell ref="Q30:S30"/>
    <mergeCell ref="Q31:R32"/>
    <mergeCell ref="Q33:S33"/>
    <mergeCell ref="B35:D35"/>
    <mergeCell ref="B36:D36"/>
    <mergeCell ref="B37:C38"/>
    <mergeCell ref="B39:D39"/>
    <mergeCell ref="E35:G35"/>
    <mergeCell ref="E36:G36"/>
    <mergeCell ref="E37:F38"/>
    <mergeCell ref="E39:G39"/>
    <mergeCell ref="H35:J35"/>
    <mergeCell ref="H36:J36"/>
    <mergeCell ref="H37:I38"/>
    <mergeCell ref="H39:J39"/>
    <mergeCell ref="K35:M35"/>
    <mergeCell ref="K36:M36"/>
    <mergeCell ref="K37:L38"/>
    <mergeCell ref="K39:M39"/>
    <mergeCell ref="N35:P35"/>
    <mergeCell ref="N36:P36"/>
    <mergeCell ref="N37:O38"/>
    <mergeCell ref="N39:P39"/>
    <mergeCell ref="Q35:S35"/>
    <mergeCell ref="Q36:S36"/>
    <mergeCell ref="Q37:R38"/>
    <mergeCell ref="Q39:S39"/>
    <mergeCell ref="B41:D41"/>
    <mergeCell ref="B42:D42"/>
    <mergeCell ref="B43:C44"/>
    <mergeCell ref="B45:D45"/>
    <mergeCell ref="E41:G41"/>
    <mergeCell ref="E42:G42"/>
    <mergeCell ref="E43:F44"/>
    <mergeCell ref="E45:G45"/>
    <mergeCell ref="H41:J41"/>
    <mergeCell ref="H42:J42"/>
    <mergeCell ref="H43:I44"/>
    <mergeCell ref="H45:J45"/>
    <mergeCell ref="K41:M41"/>
    <mergeCell ref="K42:M42"/>
    <mergeCell ref="K43:L44"/>
    <mergeCell ref="K45:M45"/>
    <mergeCell ref="N41:P41"/>
    <mergeCell ref="N42:P42"/>
    <mergeCell ref="N43:O44"/>
    <mergeCell ref="N45:P45"/>
    <mergeCell ref="Q41:S41"/>
    <mergeCell ref="Q42:S42"/>
    <mergeCell ref="Q43:R44"/>
    <mergeCell ref="Q45:S45"/>
    <mergeCell ref="B47:D47"/>
    <mergeCell ref="B48:D48"/>
    <mergeCell ref="B49:C50"/>
    <mergeCell ref="B51:D51"/>
    <mergeCell ref="E47:G47"/>
    <mergeCell ref="E48:G48"/>
    <mergeCell ref="E49:F50"/>
    <mergeCell ref="E51:G51"/>
    <mergeCell ref="H47:J47"/>
    <mergeCell ref="H48:J48"/>
    <mergeCell ref="H49:I50"/>
    <mergeCell ref="H51:J51"/>
    <mergeCell ref="K47:M47"/>
    <mergeCell ref="K48:M48"/>
    <mergeCell ref="K49:L50"/>
    <mergeCell ref="K51:M51"/>
    <mergeCell ref="N47:P47"/>
    <mergeCell ref="N48:P48"/>
    <mergeCell ref="N49:O50"/>
    <mergeCell ref="N51:P51"/>
    <mergeCell ref="Q47:S47"/>
    <mergeCell ref="Q48:S48"/>
    <mergeCell ref="Q49:R50"/>
    <mergeCell ref="Q51:S51"/>
    <mergeCell ref="B53:D53"/>
    <mergeCell ref="B54:D54"/>
    <mergeCell ref="B55:C56"/>
    <mergeCell ref="B57:D57"/>
    <mergeCell ref="E53:G53"/>
    <mergeCell ref="E54:G54"/>
    <mergeCell ref="E55:F56"/>
    <mergeCell ref="E57:G57"/>
    <mergeCell ref="H53:J53"/>
    <mergeCell ref="H54:J54"/>
    <mergeCell ref="H55:I56"/>
    <mergeCell ref="H57:J57"/>
    <mergeCell ref="K53:M53"/>
    <mergeCell ref="K54:M54"/>
    <mergeCell ref="K55:L56"/>
    <mergeCell ref="K57:M57"/>
    <mergeCell ref="N53:P53"/>
    <mergeCell ref="N54:P54"/>
    <mergeCell ref="N55:O56"/>
    <mergeCell ref="N57:P57"/>
    <mergeCell ref="Q53:S53"/>
    <mergeCell ref="Q54:S54"/>
    <mergeCell ref="Q55:R56"/>
    <mergeCell ref="Q57:S57"/>
    <mergeCell ref="B59:D59"/>
    <mergeCell ref="B60:D60"/>
    <mergeCell ref="B61:C62"/>
    <mergeCell ref="B63:D63"/>
    <mergeCell ref="E59:G59"/>
    <mergeCell ref="E60:G60"/>
    <mergeCell ref="E61:F62"/>
    <mergeCell ref="E63:G63"/>
    <mergeCell ref="H59:J59"/>
    <mergeCell ref="H60:J60"/>
    <mergeCell ref="H61:I62"/>
    <mergeCell ref="H63:J63"/>
    <mergeCell ref="K59:M59"/>
    <mergeCell ref="K60:M60"/>
    <mergeCell ref="K61:L62"/>
    <mergeCell ref="K63:M63"/>
    <mergeCell ref="N59:P59"/>
    <mergeCell ref="N60:P60"/>
    <mergeCell ref="N61:O62"/>
    <mergeCell ref="N63:P63"/>
    <mergeCell ref="Q59:S59"/>
    <mergeCell ref="Q60:S60"/>
    <mergeCell ref="Q61:R62"/>
    <mergeCell ref="Q63:S63"/>
    <mergeCell ref="B65:D65"/>
    <mergeCell ref="B66:D66"/>
    <mergeCell ref="B67:C68"/>
    <mergeCell ref="B69:D69"/>
    <mergeCell ref="E65:G65"/>
    <mergeCell ref="E66:G66"/>
    <mergeCell ref="E67:F68"/>
    <mergeCell ref="E69:G69"/>
    <mergeCell ref="B72:S72"/>
    <mergeCell ref="B118:S118"/>
    <mergeCell ref="H136:S137"/>
    <mergeCell ref="B153:S153"/>
    <mergeCell ref="B154:C154"/>
    <mergeCell ref="D154:F154"/>
    <mergeCell ref="G154:I154"/>
    <mergeCell ref="J154:L154"/>
    <mergeCell ref="M154:O154"/>
    <mergeCell ref="P154:R154"/>
    <mergeCell ref="B155:C155"/>
    <mergeCell ref="D155:F155"/>
    <mergeCell ref="G155:I155"/>
    <mergeCell ref="J155:L155"/>
    <mergeCell ref="M155:O155"/>
    <mergeCell ref="P155:R155"/>
    <mergeCell ref="B156:C156"/>
    <mergeCell ref="D156:F156"/>
    <mergeCell ref="G156:I156"/>
    <mergeCell ref="J156:L156"/>
    <mergeCell ref="M156:O156"/>
    <mergeCell ref="P156:R156"/>
    <mergeCell ref="B157:C157"/>
    <mergeCell ref="D157:F157"/>
    <mergeCell ref="G157:I157"/>
    <mergeCell ref="J157:L157"/>
    <mergeCell ref="M157:O157"/>
    <mergeCell ref="P157:R157"/>
    <mergeCell ref="B158:C158"/>
    <mergeCell ref="D158:F158"/>
    <mergeCell ref="G158:I158"/>
    <mergeCell ref="J158:L158"/>
    <mergeCell ref="M158:O158"/>
    <mergeCell ref="P158:R158"/>
    <mergeCell ref="B159:C159"/>
    <mergeCell ref="D159:F159"/>
    <mergeCell ref="G159:I159"/>
    <mergeCell ref="J159:L159"/>
    <mergeCell ref="M159:O159"/>
    <mergeCell ref="P159:R159"/>
    <mergeCell ref="B160:S160"/>
    <mergeCell ref="B162:S162"/>
    <mergeCell ref="B171:D171"/>
    <mergeCell ref="E171:G171"/>
    <mergeCell ref="H171:J171"/>
    <mergeCell ref="K171:M171"/>
    <mergeCell ref="N171:P171"/>
    <mergeCell ref="Q171:S171"/>
    <mergeCell ref="B190:I190"/>
    <mergeCell ref="B191:C191"/>
    <mergeCell ref="D191:E191"/>
    <mergeCell ref="F191:G191"/>
    <mergeCell ref="H191:I191"/>
    <mergeCell ref="B192:C192"/>
    <mergeCell ref="D192:E192"/>
    <mergeCell ref="F192:G192"/>
    <mergeCell ref="H192:I192"/>
    <mergeCell ref="B193:C193"/>
    <mergeCell ref="D193:E193"/>
    <mergeCell ref="F193:G193"/>
    <mergeCell ref="H193:I193"/>
    <mergeCell ref="B194:C194"/>
    <mergeCell ref="D194:E194"/>
    <mergeCell ref="F194:G194"/>
    <mergeCell ref="H194:I194"/>
    <mergeCell ref="B195:C195"/>
    <mergeCell ref="D195:E195"/>
    <mergeCell ref="F195:G195"/>
    <mergeCell ref="H195:I195"/>
    <mergeCell ref="B196:C196"/>
    <mergeCell ref="D196:E196"/>
    <mergeCell ref="F196:G196"/>
    <mergeCell ref="H196:I196"/>
    <mergeCell ref="B197:C197"/>
    <mergeCell ref="D197:E197"/>
    <mergeCell ref="F197:G197"/>
    <mergeCell ref="H197:I197"/>
  </mergeCells>
  <conditionalFormatting sqref="B15:D15">
    <cfRule type="expression" dxfId="2" priority="1">
      <formula>rgTRIR=2</formula>
    </cfRule>
    <cfRule type="expression" dxfId="3" priority="2">
      <formula>rgTRIR=1</formula>
    </cfRule>
    <cfRule type="expression" dxfId="4" priority="3">
      <formula>rgTRIR=0</formula>
    </cfRule>
  </conditionalFormatting>
  <conditionalFormatting sqref="B19:D19">
    <cfRule type="expression" dxfId="5" priority="4">
      <formula>gdTRIR&lt;0</formula>
    </cfRule>
  </conditionalFormatting>
  <conditionalFormatting sqref="B21:D21">
    <cfRule type="expression" dxfId="2" priority="25">
      <formula>rgFirstAid=2</formula>
    </cfRule>
    <cfRule type="expression" dxfId="3" priority="26">
      <formula>rgFirstAid=1</formula>
    </cfRule>
    <cfRule type="expression" dxfId="4" priority="27">
      <formula>rgFirstAid=0</formula>
    </cfRule>
  </conditionalFormatting>
  <conditionalFormatting sqref="B25:D25">
    <cfRule type="expression" dxfId="5" priority="28">
      <formula>gdFirstAid&lt;0</formula>
    </cfRule>
  </conditionalFormatting>
  <conditionalFormatting sqref="B29:D29">
    <cfRule type="expression" dxfId="2" priority="49">
      <formula>rgToolboxTalks=2</formula>
    </cfRule>
    <cfRule type="expression" dxfId="3" priority="50">
      <formula>rgToolboxTalks=1</formula>
    </cfRule>
    <cfRule type="expression" dxfId="4" priority="51">
      <formula>rgToolboxTalks=0</formula>
    </cfRule>
  </conditionalFormatting>
  <conditionalFormatting sqref="B33:D33">
    <cfRule type="expression" dxfId="5" priority="52">
      <formula>gdToolboxTalks&lt;0</formula>
    </cfRule>
  </conditionalFormatting>
  <conditionalFormatting sqref="B35:D35">
    <cfRule type="expression" dxfId="2" priority="73">
      <formula>rgHSEObservations=2</formula>
    </cfRule>
    <cfRule type="expression" dxfId="3" priority="74">
      <formula>rgHSEObservations=1</formula>
    </cfRule>
    <cfRule type="expression" dxfId="4" priority="75">
      <formula>rgHSEObservations=0</formula>
    </cfRule>
  </conditionalFormatting>
  <conditionalFormatting sqref="B39:D39">
    <cfRule type="expression" dxfId="5" priority="76">
      <formula>gdHSEObservations&lt;0</formula>
    </cfRule>
  </conditionalFormatting>
  <conditionalFormatting sqref="B41:D41">
    <cfRule type="expression" dxfId="2" priority="97">
      <formula>rgSafetyWalkthroughs=2</formula>
    </cfRule>
    <cfRule type="expression" dxfId="3" priority="98">
      <formula>rgSafetyWalkthroughs=1</formula>
    </cfRule>
    <cfRule type="expression" dxfId="4" priority="99">
      <formula>rgSafetyWalkthroughs=0</formula>
    </cfRule>
  </conditionalFormatting>
  <conditionalFormatting sqref="B45:D45">
    <cfRule type="expression" dxfId="5" priority="100">
      <formula>gdSafetyWalkthroughs&lt;0</formula>
    </cfRule>
  </conditionalFormatting>
  <conditionalFormatting sqref="B47:D47">
    <cfRule type="expression" dxfId="2" priority="121">
      <formula>rgDrillParticipation=2</formula>
    </cfRule>
    <cfRule type="expression" dxfId="3" priority="122">
      <formula>rgDrillParticipation=1</formula>
    </cfRule>
    <cfRule type="expression" dxfId="4" priority="123">
      <formula>rgDrillParticipation=0</formula>
    </cfRule>
  </conditionalFormatting>
  <conditionalFormatting sqref="B51:D51">
    <cfRule type="expression" dxfId="5" priority="124">
      <formula>gdDrillParticipation&lt;0</formula>
    </cfRule>
  </conditionalFormatting>
  <conditionalFormatting sqref="B53:D53">
    <cfRule type="expression" dxfId="2" priority="145">
      <formula>rgMgmtVisitCloseout=2</formula>
    </cfRule>
    <cfRule type="expression" dxfId="3" priority="146">
      <formula>rgMgmtVisitCloseout=1</formula>
    </cfRule>
    <cfRule type="expression" dxfId="4" priority="147">
      <formula>rgMgmtVisitCloseout=0</formula>
    </cfRule>
  </conditionalFormatting>
  <conditionalFormatting sqref="B57:D57">
    <cfRule type="expression" dxfId="5" priority="148">
      <formula>gdMgmtVisitCloseout&lt;0</formula>
    </cfRule>
  </conditionalFormatting>
  <conditionalFormatting sqref="B59:D59">
    <cfRule type="expression" dxfId="2" priority="169">
      <formula>rgPTWAudits=2</formula>
    </cfRule>
    <cfRule type="expression" dxfId="3" priority="170">
      <formula>rgPTWAudits=1</formula>
    </cfRule>
    <cfRule type="expression" dxfId="4" priority="171">
      <formula>rgPTWAudits=0</formula>
    </cfRule>
  </conditionalFormatting>
  <conditionalFormatting sqref="B63:D63">
    <cfRule type="expression" dxfId="5" priority="172">
      <formula>gdPTWAudits&lt;0</formula>
    </cfRule>
  </conditionalFormatting>
  <conditionalFormatting sqref="B65:D65">
    <cfRule type="expression" dxfId="2" priority="193">
      <formula>rgUnsafeConditionsReported=2</formula>
    </cfRule>
    <cfRule type="expression" dxfId="3" priority="194">
      <formula>rgUnsafeConditionsReported=1</formula>
    </cfRule>
    <cfRule type="expression" dxfId="4" priority="195">
      <formula>rgUnsafeConditionsReported=0</formula>
    </cfRule>
  </conditionalFormatting>
  <conditionalFormatting sqref="B69:D69">
    <cfRule type="expression" dxfId="5" priority="196">
      <formula>gdUnsafeConditionsReported&lt;0</formula>
    </cfRule>
  </conditionalFormatting>
  <conditionalFormatting sqref="E15:G15">
    <cfRule type="expression" dxfId="2" priority="5">
      <formula>rgLTIFR=2</formula>
    </cfRule>
    <cfRule type="expression" dxfId="3" priority="6">
      <formula>rgLTIFR=1</formula>
    </cfRule>
    <cfRule type="expression" dxfId="4" priority="7">
      <formula>rgLTIFR=0</formula>
    </cfRule>
  </conditionalFormatting>
  <conditionalFormatting sqref="E19:G19">
    <cfRule type="expression" dxfId="5" priority="8">
      <formula>gdLTIFR&lt;0</formula>
    </cfRule>
  </conditionalFormatting>
  <conditionalFormatting sqref="E21:G21">
    <cfRule type="expression" dxfId="2" priority="29">
      <formula>rgLostDays=2</formula>
    </cfRule>
    <cfRule type="expression" dxfId="3" priority="30">
      <formula>rgLostDays=1</formula>
    </cfRule>
    <cfRule type="expression" dxfId="4" priority="31">
      <formula>rgLostDays=0</formula>
    </cfRule>
  </conditionalFormatting>
  <conditionalFormatting sqref="E25:G25">
    <cfRule type="expression" dxfId="5" priority="32">
      <formula>gdLostDays&lt;0</formula>
    </cfRule>
  </conditionalFormatting>
  <conditionalFormatting sqref="E29:G29">
    <cfRule type="expression" dxfId="2" priority="53">
      <formula>rgToolboxAvgAttendance=2</formula>
    </cfRule>
    <cfRule type="expression" dxfId="3" priority="54">
      <formula>rgToolboxAvgAttendance=1</formula>
    </cfRule>
    <cfRule type="expression" dxfId="4" priority="55">
      <formula>rgToolboxAvgAttendance=0</formula>
    </cfRule>
  </conditionalFormatting>
  <conditionalFormatting sqref="E33:G33">
    <cfRule type="expression" dxfId="5" priority="56">
      <formula>gdToolboxAvgAttendance&lt;0</formula>
    </cfRule>
  </conditionalFormatting>
  <conditionalFormatting sqref="E35:G35">
    <cfRule type="expression" dxfId="2" priority="77">
      <formula>rgObsClosure=2</formula>
    </cfRule>
    <cfRule type="expression" dxfId="3" priority="78">
      <formula>rgObsClosure=1</formula>
    </cfRule>
    <cfRule type="expression" dxfId="4" priority="79">
      <formula>rgObsClosure=0</formula>
    </cfRule>
  </conditionalFormatting>
  <conditionalFormatting sqref="E39:G39">
    <cfRule type="expression" dxfId="5" priority="80">
      <formula>gdObsClosure&lt;0</formula>
    </cfRule>
  </conditionalFormatting>
  <conditionalFormatting sqref="E41:G41">
    <cfRule type="expression" dxfId="2" priority="101">
      <formula>rgSafetyMeetings=2</formula>
    </cfRule>
    <cfRule type="expression" dxfId="3" priority="102">
      <formula>rgSafetyMeetings=1</formula>
    </cfRule>
    <cfRule type="expression" dxfId="4" priority="103">
      <formula>rgSafetyMeetings=0</formula>
    </cfRule>
  </conditionalFormatting>
  <conditionalFormatting sqref="E45:G45">
    <cfRule type="expression" dxfId="5" priority="104">
      <formula>gdSafetyMeetings&lt;0</formula>
    </cfRule>
  </conditionalFormatting>
  <conditionalFormatting sqref="E47:G47">
    <cfRule type="expression" dxfId="2" priority="125">
      <formula>rgInternalAudits=2</formula>
    </cfRule>
    <cfRule type="expression" dxfId="3" priority="126">
      <formula>rgInternalAudits=1</formula>
    </cfRule>
    <cfRule type="expression" dxfId="4" priority="127">
      <formula>rgInternalAudits=0</formula>
    </cfRule>
  </conditionalFormatting>
  <conditionalFormatting sqref="E51:G51">
    <cfRule type="expression" dxfId="5" priority="128">
      <formula>gdInternalAudits&lt;0</formula>
    </cfRule>
  </conditionalFormatting>
  <conditionalFormatting sqref="E53:G53">
    <cfRule type="expression" dxfId="2" priority="149">
      <formula>rgManagementReviews=2</formula>
    </cfRule>
    <cfRule type="expression" dxfId="3" priority="150">
      <formula>rgManagementReviews=1</formula>
    </cfRule>
    <cfRule type="expression" dxfId="4" priority="151">
      <formula>rgManagementReviews=0</formula>
    </cfRule>
  </conditionalFormatting>
  <conditionalFormatting sqref="E57:G57">
    <cfRule type="expression" dxfId="5" priority="152">
      <formula>gdManagementReviews&lt;0</formula>
    </cfRule>
  </conditionalFormatting>
  <conditionalFormatting sqref="E59:G59">
    <cfRule type="expression" dxfId="2" priority="173">
      <formula>rgPTWCompliance=2</formula>
    </cfRule>
    <cfRule type="expression" dxfId="3" priority="174">
      <formula>rgPTWCompliance=1</formula>
    </cfRule>
    <cfRule type="expression" dxfId="4" priority="175">
      <formula>rgPTWCompliance=0</formula>
    </cfRule>
  </conditionalFormatting>
  <conditionalFormatting sqref="E63:G63">
    <cfRule type="expression" dxfId="5" priority="176">
      <formula>gdPTWCompliance&lt;0</formula>
    </cfRule>
  </conditionalFormatting>
  <conditionalFormatting sqref="E65:G65">
    <cfRule type="expression" dxfId="2" priority="197">
      <formula>rgUnsafeConditionClosure=2</formula>
    </cfRule>
    <cfRule type="expression" dxfId="3" priority="198">
      <formula>rgUnsafeConditionClosure=1</formula>
    </cfRule>
    <cfRule type="expression" dxfId="4" priority="199">
      <formula>rgUnsafeConditionClosure=0</formula>
    </cfRule>
  </conditionalFormatting>
  <conditionalFormatting sqref="E69:G69">
    <cfRule type="expression" dxfId="5" priority="200">
      <formula>gdUnsafeConditionClosure&lt;0</formula>
    </cfRule>
  </conditionalFormatting>
  <conditionalFormatting sqref="H15:J15">
    <cfRule type="expression" dxfId="2" priority="9">
      <formula>rgTotalIncidents=2</formula>
    </cfRule>
    <cfRule type="expression" dxfId="3" priority="10">
      <formula>rgTotalIncidents=1</formula>
    </cfRule>
    <cfRule type="expression" dxfId="4" priority="11">
      <formula>rgTotalIncidents=0</formula>
    </cfRule>
  </conditionalFormatting>
  <conditionalFormatting sqref="H19:J19">
    <cfRule type="expression" dxfId="5" priority="12">
      <formula>gdTotalIncidents&lt;0</formula>
    </cfRule>
  </conditionalFormatting>
  <conditionalFormatting sqref="H21:J21">
    <cfRule type="expression" dxfId="2" priority="33">
      <formula>rgDisciplinary=2</formula>
    </cfRule>
    <cfRule type="expression" dxfId="3" priority="34">
      <formula>rgDisciplinary=1</formula>
    </cfRule>
    <cfRule type="expression" dxfId="4" priority="35">
      <formula>rgDisciplinary=0</formula>
    </cfRule>
  </conditionalFormatting>
  <conditionalFormatting sqref="H25:J25">
    <cfRule type="expression" dxfId="5" priority="36">
      <formula>gdDisciplinary&lt;0</formula>
    </cfRule>
  </conditionalFormatting>
  <conditionalFormatting sqref="H29:J29">
    <cfRule type="expression" dxfId="2" priority="57">
      <formula>rgJSAAssessments=2</formula>
    </cfRule>
    <cfRule type="expression" dxfId="3" priority="58">
      <formula>rgJSAAssessments=1</formula>
    </cfRule>
    <cfRule type="expression" dxfId="4" priority="59">
      <formula>rgJSAAssessments=0</formula>
    </cfRule>
  </conditionalFormatting>
  <conditionalFormatting sqref="H33:J33">
    <cfRule type="expression" dxfId="5" priority="60">
      <formula>gdJSAAssessments&lt;0</formula>
    </cfRule>
  </conditionalFormatting>
  <conditionalFormatting sqref="H35:J35">
    <cfRule type="expression" dxfId="2" priority="81">
      <formula>rgWorkplaceInspections=2</formula>
    </cfRule>
    <cfRule type="expression" dxfId="3" priority="82">
      <formula>rgWorkplaceInspections=1</formula>
    </cfRule>
    <cfRule type="expression" dxfId="4" priority="83">
      <formula>rgWorkplaceInspections=0</formula>
    </cfRule>
  </conditionalFormatting>
  <conditionalFormatting sqref="H39:J39">
    <cfRule type="expression" dxfId="5" priority="84">
      <formula>gdWorkplaceInspections&lt;0</formula>
    </cfRule>
  </conditionalFormatting>
  <conditionalFormatting sqref="H41:J41">
    <cfRule type="expression" dxfId="2" priority="105">
      <formula>rgMeetingsCloseout=2</formula>
    </cfRule>
    <cfRule type="expression" dxfId="3" priority="106">
      <formula>rgMeetingsCloseout=1</formula>
    </cfRule>
    <cfRule type="expression" dxfId="4" priority="107">
      <formula>rgMeetingsCloseout=0</formula>
    </cfRule>
  </conditionalFormatting>
  <conditionalFormatting sqref="H45:J45">
    <cfRule type="expression" dxfId="5" priority="108">
      <formula>gdMeetingsCloseout&lt;0</formula>
    </cfRule>
  </conditionalFormatting>
  <conditionalFormatting sqref="H47:J47">
    <cfRule type="expression" dxfId="2" priority="129">
      <formula>rgInternalAuditNCs=2</formula>
    </cfRule>
    <cfRule type="expression" dxfId="3" priority="130">
      <formula>rgInternalAuditNCs=1</formula>
    </cfRule>
    <cfRule type="expression" dxfId="4" priority="131">
      <formula>rgInternalAuditNCs=0</formula>
    </cfRule>
  </conditionalFormatting>
  <conditionalFormatting sqref="H51:J51">
    <cfRule type="expression" dxfId="5" priority="132">
      <formula>gdInternalAuditNCs&lt;0</formula>
    </cfRule>
  </conditionalFormatting>
  <conditionalFormatting sqref="H53:J53">
    <cfRule type="expression" dxfId="2" priority="153">
      <formula>rgMgmtReviewAttendance=2</formula>
    </cfRule>
    <cfRule type="expression" dxfId="3" priority="154">
      <formula>rgMgmtReviewAttendance=1</formula>
    </cfRule>
    <cfRule type="expression" dxfId="4" priority="155">
      <formula>rgMgmtReviewAttendance=0</formula>
    </cfRule>
  </conditionalFormatting>
  <conditionalFormatting sqref="H57:J57">
    <cfRule type="expression" dxfId="5" priority="156">
      <formula>gdMgmtReviewAttendance&lt;0</formula>
    </cfRule>
  </conditionalFormatting>
  <conditionalFormatting sqref="H59:J59">
    <cfRule type="expression" dxfId="2" priority="177">
      <formula>rgCorrectiveActions=2</formula>
    </cfRule>
    <cfRule type="expression" dxfId="3" priority="178">
      <formula>rgCorrectiveActions=1</formula>
    </cfRule>
    <cfRule type="expression" dxfId="4" priority="179">
      <formula>rgCorrectiveActions=0</formula>
    </cfRule>
  </conditionalFormatting>
  <conditionalFormatting sqref="H63:J63">
    <cfRule type="expression" dxfId="5" priority="180">
      <formula>gdCorrectiveActions&lt;0</formula>
    </cfRule>
  </conditionalFormatting>
  <conditionalFormatting sqref="K15:M15">
    <cfRule type="expression" dxfId="2" priority="13">
      <formula>rgRecordable=2</formula>
    </cfRule>
    <cfRule type="expression" dxfId="3" priority="14">
      <formula>rgRecordable=1</formula>
    </cfRule>
    <cfRule type="expression" dxfId="4" priority="15">
      <formula>rgRecordable=0</formula>
    </cfRule>
  </conditionalFormatting>
  <conditionalFormatting sqref="K19:M19">
    <cfRule type="expression" dxfId="5" priority="16">
      <formula>gdRecordable&lt;0</formula>
    </cfRule>
  </conditionalFormatting>
  <conditionalFormatting sqref="K21:M21">
    <cfRule type="expression" dxfId="2" priority="37">
      <formula>rgOpenNCs=2</formula>
    </cfRule>
    <cfRule type="expression" dxfId="3" priority="38">
      <formula>rgOpenNCs=1</formula>
    </cfRule>
    <cfRule type="expression" dxfId="4" priority="39">
      <formula>rgOpenNCs=0</formula>
    </cfRule>
  </conditionalFormatting>
  <conditionalFormatting sqref="K25:M25">
    <cfRule type="expression" dxfId="5" priority="40">
      <formula>gdOpenNCs&lt;0</formula>
    </cfRule>
  </conditionalFormatting>
  <conditionalFormatting sqref="K29:M29">
    <cfRule type="expression" dxfId="2" priority="61">
      <formula>rgJSAApproved=2</formula>
    </cfRule>
    <cfRule type="expression" dxfId="3" priority="62">
      <formula>rgJSAApproved=1</formula>
    </cfRule>
    <cfRule type="expression" dxfId="4" priority="63">
      <formula>rgJSAApproved=0</formula>
    </cfRule>
  </conditionalFormatting>
  <conditionalFormatting sqref="K33:M33">
    <cfRule type="expression" dxfId="5" priority="64">
      <formula>gdJSAApproved&lt;0</formula>
    </cfRule>
  </conditionalFormatting>
  <conditionalFormatting sqref="K35:M35">
    <cfRule type="expression" dxfId="2" priority="85">
      <formula>rgWorkplaceInspClosure=2</formula>
    </cfRule>
    <cfRule type="expression" dxfId="3" priority="86">
      <formula>rgWorkplaceInspClosure=1</formula>
    </cfRule>
    <cfRule type="expression" dxfId="4" priority="87">
      <formula>rgWorkplaceInspClosure=0</formula>
    </cfRule>
  </conditionalFormatting>
  <conditionalFormatting sqref="K39:M39">
    <cfRule type="expression" dxfId="5" priority="88">
      <formula>gdWorkplaceInspClosure&lt;0</formula>
    </cfRule>
  </conditionalFormatting>
  <conditionalFormatting sqref="K41:M41">
    <cfRule type="expression" dxfId="2" priority="109">
      <formula>rgSafetyBulletins=2</formula>
    </cfRule>
    <cfRule type="expression" dxfId="3" priority="110">
      <formula>rgSafetyBulletins=1</formula>
    </cfRule>
    <cfRule type="expression" dxfId="4" priority="111">
      <formula>rgSafetyBulletins=0</formula>
    </cfRule>
  </conditionalFormatting>
  <conditionalFormatting sqref="K45:M45">
    <cfRule type="expression" dxfId="5" priority="112">
      <formula>gdSafetyBulletins&lt;0</formula>
    </cfRule>
  </conditionalFormatting>
  <conditionalFormatting sqref="K47:M47">
    <cfRule type="expression" dxfId="2" priority="133">
      <formula>rgExternalAudits=2</formula>
    </cfRule>
    <cfRule type="expression" dxfId="3" priority="134">
      <formula>rgExternalAudits=1</formula>
    </cfRule>
    <cfRule type="expression" dxfId="4" priority="135">
      <formula>rgExternalAudits=0</formula>
    </cfRule>
  </conditionalFormatting>
  <conditionalFormatting sqref="K51:M51">
    <cfRule type="expression" dxfId="5" priority="136">
      <formula>gdExternalAudits&lt;0</formula>
    </cfRule>
  </conditionalFormatting>
  <conditionalFormatting sqref="K53:M53">
    <cfRule type="expression" dxfId="2" priority="157">
      <formula>rgSafetyAwards=2</formula>
    </cfRule>
    <cfRule type="expression" dxfId="3" priority="158">
      <formula>rgSafetyAwards=1</formula>
    </cfRule>
    <cfRule type="expression" dxfId="4" priority="159">
      <formula>rgSafetyAwards=0</formula>
    </cfRule>
  </conditionalFormatting>
  <conditionalFormatting sqref="K57:M57">
    <cfRule type="expression" dxfId="5" priority="160">
      <formula>gdSafetyAwards&lt;0</formula>
    </cfRule>
  </conditionalFormatting>
  <conditionalFormatting sqref="K59:M59">
    <cfRule type="expression" dxfId="2" priority="181">
      <formula>rgCAClosure=2</formula>
    </cfRule>
    <cfRule type="expression" dxfId="3" priority="182">
      <formula>rgCAClosure=1</formula>
    </cfRule>
    <cfRule type="expression" dxfId="4" priority="183">
      <formula>rgCAClosure=0</formula>
    </cfRule>
  </conditionalFormatting>
  <conditionalFormatting sqref="K63:M63">
    <cfRule type="expression" dxfId="5" priority="184">
      <formula>gdCAClosure&lt;0</formula>
    </cfRule>
  </conditionalFormatting>
  <conditionalFormatting sqref="N15:P15">
    <cfRule type="expression" dxfId="2" priority="17">
      <formula>rgLTIFatality=2</formula>
    </cfRule>
    <cfRule type="expression" dxfId="3" priority="18">
      <formula>rgLTIFatality=1</formula>
    </cfRule>
    <cfRule type="expression" dxfId="4" priority="19">
      <formula>rgLTIFatality=0</formula>
    </cfRule>
  </conditionalFormatting>
  <conditionalFormatting sqref="N19:P19">
    <cfRule type="expression" dxfId="5" priority="20">
      <formula>gdLTIFatality&lt;0</formula>
    </cfRule>
  </conditionalFormatting>
  <conditionalFormatting sqref="N21:P21">
    <cfRule type="expression" dxfId="2" priority="41">
      <formula>rgNCClosure=2</formula>
    </cfRule>
    <cfRule type="expression" dxfId="3" priority="42">
      <formula>rgNCClosure=1</formula>
    </cfRule>
    <cfRule type="expression" dxfId="4" priority="43">
      <formula>rgNCClosure=0</formula>
    </cfRule>
  </conditionalFormatting>
  <conditionalFormatting sqref="N25:P25">
    <cfRule type="expression" dxfId="5" priority="44">
      <formula>gdNCClosure&lt;0</formula>
    </cfRule>
  </conditionalFormatting>
  <conditionalFormatting sqref="N29:P29">
    <cfRule type="expression" dxfId="2" priority="65">
      <formula>rgTrainings=2</formula>
    </cfRule>
    <cfRule type="expression" dxfId="3" priority="66">
      <formula>rgTrainings=1</formula>
    </cfRule>
    <cfRule type="expression" dxfId="4" priority="67">
      <formula>rgTrainings=0</formula>
    </cfRule>
  </conditionalFormatting>
  <conditionalFormatting sqref="N33:P33">
    <cfRule type="expression" dxfId="5" priority="68">
      <formula>gdTrainings&lt;0</formula>
    </cfRule>
  </conditionalFormatting>
  <conditionalFormatting sqref="N35:P35">
    <cfRule type="expression" dxfId="2" priority="89">
      <formula>rgEquipmentInspections=2</formula>
    </cfRule>
    <cfRule type="expression" dxfId="3" priority="90">
      <formula>rgEquipmentInspections=1</formula>
    </cfRule>
    <cfRule type="expression" dxfId="4" priority="91">
      <formula>rgEquipmentInspections=0</formula>
    </cfRule>
  </conditionalFormatting>
  <conditionalFormatting sqref="N39:P39">
    <cfRule type="expression" dxfId="5" priority="92">
      <formula>gdEquipmentInspections&lt;0</formula>
    </cfRule>
  </conditionalFormatting>
  <conditionalFormatting sqref="N41:P41">
    <cfRule type="expression" dxfId="2" priority="113">
      <formula>rgBulletinReach=2</formula>
    </cfRule>
    <cfRule type="expression" dxfId="3" priority="114">
      <formula>rgBulletinReach=1</formula>
    </cfRule>
    <cfRule type="expression" dxfId="4" priority="115">
      <formula>rgBulletinReach=0</formula>
    </cfRule>
  </conditionalFormatting>
  <conditionalFormatting sqref="N45:P45">
    <cfRule type="expression" dxfId="5" priority="116">
      <formula>gdBulletinReach&lt;0</formula>
    </cfRule>
  </conditionalFormatting>
  <conditionalFormatting sqref="N47:P47">
    <cfRule type="expression" dxfId="2" priority="137">
      <formula>rgExternalAuditNCs=2</formula>
    </cfRule>
    <cfRule type="expression" dxfId="3" priority="138">
      <formula>rgExternalAuditNCs=1</formula>
    </cfRule>
    <cfRule type="expression" dxfId="4" priority="139">
      <formula>rgExternalAuditNCs=0</formula>
    </cfRule>
  </conditionalFormatting>
  <conditionalFormatting sqref="N51:P51">
    <cfRule type="expression" dxfId="5" priority="140">
      <formula>gdExternalAuditNCs&lt;0</formula>
    </cfRule>
  </conditionalFormatting>
  <conditionalFormatting sqref="N53:P53">
    <cfRule type="expression" dxfId="2" priority="161">
      <formula>rgStopWorkAuthority=2</formula>
    </cfRule>
    <cfRule type="expression" dxfId="3" priority="162">
      <formula>rgStopWorkAuthority=1</formula>
    </cfRule>
    <cfRule type="expression" dxfId="4" priority="163">
      <formula>rgStopWorkAuthority=0</formula>
    </cfRule>
  </conditionalFormatting>
  <conditionalFormatting sqref="N57:P57">
    <cfRule type="expression" dxfId="5" priority="164">
      <formula>gdStopWorkAuthority&lt;0</formula>
    </cfRule>
  </conditionalFormatting>
  <conditionalFormatting sqref="N59:P59">
    <cfRule type="expression" dxfId="2" priority="185">
      <formula>rgUnsafeActsReported=2</formula>
    </cfRule>
    <cfRule type="expression" dxfId="3" priority="186">
      <formula>rgUnsafeActsReported=1</formula>
    </cfRule>
    <cfRule type="expression" dxfId="4" priority="187">
      <formula>rgUnsafeActsReported=0</formula>
    </cfRule>
  </conditionalFormatting>
  <conditionalFormatting sqref="N63:P63">
    <cfRule type="expression" dxfId="5" priority="188">
      <formula>gdUnsafeActsReported&lt;0</formula>
    </cfRule>
  </conditionalFormatting>
  <conditionalFormatting sqref="Q15:S15">
    <cfRule type="expression" dxfId="2" priority="21">
      <formula>rgNearMiss=2</formula>
    </cfRule>
    <cfRule type="expression" dxfId="3" priority="22">
      <formula>rgNearMiss=1</formula>
    </cfRule>
    <cfRule type="expression" dxfId="4" priority="23">
      <formula>rgNearMiss=0</formula>
    </cfRule>
  </conditionalFormatting>
  <conditionalFormatting sqref="Q19:S19">
    <cfRule type="expression" dxfId="5" priority="24">
      <formula>gdNearMiss&lt;0</formula>
    </cfRule>
  </conditionalFormatting>
  <conditionalFormatting sqref="Q21:S21">
    <cfRule type="expression" dxfId="2" priority="45">
      <formula>rgAlcoholPositive=2</formula>
    </cfRule>
    <cfRule type="expression" dxfId="3" priority="46">
      <formula>rgAlcoholPositive=1</formula>
    </cfRule>
    <cfRule type="expression" dxfId="4" priority="47">
      <formula>rgAlcoholPositive=0</formula>
    </cfRule>
  </conditionalFormatting>
  <conditionalFormatting sqref="Q25:S25">
    <cfRule type="expression" dxfId="5" priority="48">
      <formula>gdAlcoholPositive&lt;0</formula>
    </cfRule>
  </conditionalFormatting>
  <conditionalFormatting sqref="Q29:S29">
    <cfRule type="expression" dxfId="2" priority="69">
      <formula>rgTrainingCompliance=2</formula>
    </cfRule>
    <cfRule type="expression" dxfId="3" priority="70">
      <formula>rgTrainingCompliance=1</formula>
    </cfRule>
    <cfRule type="expression" dxfId="4" priority="71">
      <formula>rgTrainingCompliance=0</formula>
    </cfRule>
  </conditionalFormatting>
  <conditionalFormatting sqref="Q33:S33">
    <cfRule type="expression" dxfId="5" priority="72">
      <formula>gdTrainingCompliance&lt;0</formula>
    </cfRule>
  </conditionalFormatting>
  <conditionalFormatting sqref="Q35:S35">
    <cfRule type="expression" dxfId="2" priority="93">
      <formula>rgEquipmentCriticalFindings=2</formula>
    </cfRule>
    <cfRule type="expression" dxfId="3" priority="94">
      <formula>rgEquipmentCriticalFindings=1</formula>
    </cfRule>
    <cfRule type="expression" dxfId="4" priority="95">
      <formula>rgEquipmentCriticalFindings=0</formula>
    </cfRule>
  </conditionalFormatting>
  <conditionalFormatting sqref="Q39:S39">
    <cfRule type="expression" dxfId="5" priority="96">
      <formula>gdEquipmentCriticalFindings&lt;0</formula>
    </cfRule>
  </conditionalFormatting>
  <conditionalFormatting sqref="Q41:S41">
    <cfRule type="expression" dxfId="2" priority="117">
      <formula>rgEmergencyDrills=2</formula>
    </cfRule>
    <cfRule type="expression" dxfId="3" priority="118">
      <formula>rgEmergencyDrills=1</formula>
    </cfRule>
    <cfRule type="expression" dxfId="4" priority="119">
      <formula>rgEmergencyDrills=0</formula>
    </cfRule>
  </conditionalFormatting>
  <conditionalFormatting sqref="Q45:S45">
    <cfRule type="expression" dxfId="5" priority="120">
      <formula>gdEmergencyDrills&lt;0</formula>
    </cfRule>
  </conditionalFormatting>
  <conditionalFormatting sqref="Q47:S47">
    <cfRule type="expression" dxfId="2" priority="141">
      <formula>rgManagementVisits=2</formula>
    </cfRule>
    <cfRule type="expression" dxfId="3" priority="142">
      <formula>rgManagementVisits=1</formula>
    </cfRule>
    <cfRule type="expression" dxfId="4" priority="143">
      <formula>rgManagementVisits=0</formula>
    </cfRule>
  </conditionalFormatting>
  <conditionalFormatting sqref="Q51:S51">
    <cfRule type="expression" dxfId="5" priority="144">
      <formula>gdManagementVisits&lt;0</formula>
    </cfRule>
  </conditionalFormatting>
  <conditionalFormatting sqref="Q53:S53">
    <cfRule type="expression" dxfId="2" priority="165">
      <formula>rgAlcoholTests=2</formula>
    </cfRule>
    <cfRule type="expression" dxfId="3" priority="166">
      <formula>rgAlcoholTests=1</formula>
    </cfRule>
    <cfRule type="expression" dxfId="4" priority="167">
      <formula>rgAlcoholTests=0</formula>
    </cfRule>
  </conditionalFormatting>
  <conditionalFormatting sqref="Q57:S57">
    <cfRule type="expression" dxfId="5" priority="168">
      <formula>gdAlcoholTests&lt;0</formula>
    </cfRule>
  </conditionalFormatting>
  <conditionalFormatting sqref="Q59:S59">
    <cfRule type="expression" dxfId="2" priority="189">
      <formula>rgUnsafeActClosure=2</formula>
    </cfRule>
    <cfRule type="expression" dxfId="3" priority="190">
      <formula>rgUnsafeActClosure=1</formula>
    </cfRule>
    <cfRule type="expression" dxfId="4" priority="191">
      <formula>rgUnsafeActClosure=0</formula>
    </cfRule>
  </conditionalFormatting>
  <conditionalFormatting sqref="Q63:S63">
    <cfRule type="expression" dxfId="5" priority="192">
      <formula>gdUnsafeActClosure&lt;0</formula>
    </cfRule>
  </conditionalFormatting>
  <dataValidations count="3">
    <dataValidation type="list" allowBlank="1" showInputMessage="1" showErrorMessage="1" sqref="C12">
      <formula1>F_Period</formula1>
    </dataValidation>
    <dataValidation type="list" allowBlank="1" showInputMessage="1" showErrorMessage="1" sqref="G12">
      <formula1>F_Dept</formula1>
    </dataValidation>
    <dataValidation type="list" allowBlank="1" showInputMessage="1" showErrorMessage="1" sqref="K12">
      <formula1>F_Month</formula1>
    </dataValidation>
  </dataValidations>
  <hyperlinks>
    <hyperlink ref="B9" location="'Home'!A1" display="⌂ Home"/>
    <hyperlink ref="C9" location="'Executive Dashboard'!A1" display="Executive"/>
    <hyperlink ref="D9" location="'Leadership Review'!A1" display="Leadership"/>
    <hyperlink ref="B16" location="'Dash · Incident'!A1" display="TRIR"/>
    <hyperlink ref="E16" location="'Dash · Incident'!A1" display="LTIFR"/>
    <hyperlink ref="H16" location="'Dash · Incident'!A1" display="TOTAL INCIDENTS"/>
    <hyperlink ref="K16" location="'Dash · Incident'!A1" display="RECORDABLE"/>
    <hyperlink ref="N16" location="'Dash · Incident'!A1" display="LTI + FATALITY"/>
    <hyperlink ref="Q16" location="'Dash · Incident'!A1" display="NEAR MISS"/>
    <hyperlink ref="B22" location="'Dash · Incident'!A1" display="FIRST AID"/>
    <hyperlink ref="E22" location="'Dash · Incident'!A1" display="LOST DAYS"/>
    <hyperlink ref="H22" location="'Dash · Disciplinary Actions'!A1" display="DISCIPLINARY"/>
    <hyperlink ref="K22" location="'Dash · NC Management'!A1" display="OPEN NCS"/>
    <hyperlink ref="N22" location="'Dash · NC Management'!A1" display="NC CLOSURE"/>
    <hyperlink ref="Q22" location="'Dash · Alcohol Tests'!A1" display="ALCOHOL POSITIVE %"/>
    <hyperlink ref="B30" location="'Dash · Toolbox Talks'!A1" display="TOOLBOX TALKS"/>
    <hyperlink ref="E30" location="'Dash · Toolbox Talks'!A1" display="TOOLBOX AVG ATTENDANCE"/>
    <hyperlink ref="H30" location="'Dash · JSA Risk Assessment'!A1" display="JSA ASSESSMENTS"/>
    <hyperlink ref="K30" location="'Dash · JSA Risk Assessment'!A1" display="JSA % APPROVED"/>
    <hyperlink ref="N30" location="'Dash · Training'!A1" display="TRAININGS"/>
    <hyperlink ref="Q30" location="'Dash · Training'!A1" display="TRAINING COMPLIANCE"/>
    <hyperlink ref="B36" location="'Dash · HSE Observations'!A1" display="HSE OBSERVATIONS"/>
    <hyperlink ref="E36" location="'Dash · HSE Observations'!A1" display="OBS CLOSURE"/>
    <hyperlink ref="H36" location="'Dash · Workplace Inspections'!A1" display="WORKPLACE INSPECTIONS"/>
    <hyperlink ref="K36" location="'Dash · Workplace Inspections'!A1" display="WORKPLACE INSP. CLOSURE"/>
    <hyperlink ref="N36" location="'Dash · Equipment Inspections'!A1" display="EQUIPMENT INSPECTIONS"/>
    <hyperlink ref="Q36" location="'Dash · Equipment Inspections'!A1" display="EQUIPMENT CRITICAL FINDINGS"/>
    <hyperlink ref="B42" location="'Dash · Safety Walkthroughs'!A1" display="SAFETY WALKTHROUGHS"/>
    <hyperlink ref="E42" location="'Dash · Safety Meetings'!A1" display="SAFETY MEETINGS"/>
    <hyperlink ref="H42" location="'Dash · Safety Meetings'!A1" display="MEETINGS CLOSE-OUT"/>
    <hyperlink ref="K42" location="'Dash · Safety Bulletins'!A1" display="SAFETY BULLETINS"/>
    <hyperlink ref="N42" location="'Dash · Safety Bulletins'!A1" display="BULLETIN REACH"/>
    <hyperlink ref="Q42" location="'Dash · Emergency Drills'!A1" display="EMERGENCY DRILLS"/>
    <hyperlink ref="B48" location="'Dash · Emergency Drills'!A1" display="DRILL PARTICIPATION"/>
    <hyperlink ref="E48" location="'Dash · Internal Audits'!A1" display="INTERNAL AUDITS"/>
    <hyperlink ref="H48" location="'Dash · Internal Audits'!A1" display="INTERNAL AUDIT NCS"/>
    <hyperlink ref="K48" location="'Dash · External Audits'!A1" display="EXTERNAL AUDITS"/>
    <hyperlink ref="N48" location="'Dash · External Audits'!A1" display="EXTERNAL AUDIT NCS"/>
    <hyperlink ref="Q48" location="'Dash · Management Visits'!A1" display="MANAGEMENT VISITS"/>
    <hyperlink ref="B54" location="'Dash · Management Visits'!A1" display="MGMT VISIT CLOSE-OUT"/>
    <hyperlink ref="E54" location="'Dash · Management Reviews'!A1" display="MANAGEMENT REVIEWS"/>
    <hyperlink ref="H54" location="'Dash · Management Reviews'!A1" display="MGMT REVIEW ATTENDANCE"/>
    <hyperlink ref="K54" location="'Dash · Safety Awards'!A1" display="SAFETY AWARDS"/>
    <hyperlink ref="N54" location="'Dash · Stop Work Authority'!A1" display="STOP WORK AUTHORITY"/>
    <hyperlink ref="Q54" location="'Dash · Alcohol Tests'!A1" display="ALCOHOL TESTS"/>
    <hyperlink ref="B60" location="'Dash · PTW Audits'!A1" display="PTW AUDITS"/>
    <hyperlink ref="E60" location="'Dash · PTW Audits'!A1" display="PTW COMPLIANCE"/>
    <hyperlink ref="H60" location="'Dash · Corrective Actions'!A1" display="CORRECTIVE ACTIONS"/>
    <hyperlink ref="K60" location="'Dash · Corrective Actions'!A1" display="CA CLOSURE"/>
    <hyperlink ref="N60" location="'Dash · Unsafe Acts'!A1" display="UNSAFE ACTS REPORTED"/>
    <hyperlink ref="Q60" location="'Dash · Unsafe Acts'!A1" display="UNSAFE ACT CLOSURE"/>
    <hyperlink ref="B66" location="'Dash · Unsafe Conditions'!A1" display="UNSAFE CONDITIONS REPORTED"/>
    <hyperlink ref="E66" location="'Dash · Unsafe Conditions'!A1" display="UNSAFE CONDITION CLOSURE"/>
  </hyperlinks>
  <pageMargins left="0.3" right="0.3" top="0.4" bottom="0.4" header="0.3" footer="0.3"/>
  <pageSetup fitToHeight="0" orientation="landscape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Calculations!EN12:EN23</xm:f>
              <xm:sqref>G68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Calculations!BN12:BN23</xm:f>
              <xm:sqref>D68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Calculations!EM12:EM23</xm:f>
              <xm:sqref>S62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Calculations!BL12:BL23</xm:f>
              <xm:sqref>P62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Calculations!EL12:EL23</xm:f>
              <xm:sqref>M62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Calculations!AB12:AB23</xm:f>
              <xm:sqref>J62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Calculations!EK12:EK23</xm:f>
              <xm:sqref>G62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Calculations!Y12:Y23</xm:f>
              <xm:sqref>D62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Calculations!BJ12:BJ23</xm:f>
              <xm:sqref>S56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Calculations!BI12:BI23</xm:f>
              <xm:sqref>P56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Calculations!BH12:BH23</xm:f>
              <xm:sqref>M56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Calculations!EJ12:EJ23</xm:f>
              <xm:sqref>J56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Calculations!BE12:BE23</xm:f>
              <xm:sqref>G56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Calculations!EI12:EI23</xm:f>
              <xm:sqref>D56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Calculations!BB12:BB23</xm:f>
              <xm:sqref>S50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Calculations!BA12:BA23</xm:f>
              <xm:sqref>P50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Calculations!AZ12:AZ23</xm:f>
              <xm:sqref>M50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Calculations!AY12:AY23</xm:f>
              <xm:sqref>J50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Calculations!AX12:AX23</xm:f>
              <xm:sqref>G50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Calculations!EH12:EH23</xm:f>
              <xm:sqref>D50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Calculations!AA12:AA23</xm:f>
              <xm:sqref>S44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Calculations!EG12:EG23</xm:f>
              <xm:sqref>P44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Calculations!AS12:AS23</xm:f>
              <xm:sqref>M44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Calculations!EF12:EF23</xm:f>
              <xm:sqref>J44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Calculations!AE12:AE23</xm:f>
              <xm:sqref>G44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Calculations!AP12:AP23</xm:f>
              <xm:sqref>D44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Calculations!AO12:AO23</xm:f>
              <xm:sqref>S38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Calculations!AN12:AN23</xm:f>
              <xm:sqref>P38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Calculations!EE12:EE23</xm:f>
              <xm:sqref>M38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Calculations!AL12:AL23</xm:f>
              <xm:sqref>J38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Calculations!ED12:ED23</xm:f>
              <xm:sqref>G38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Calculations!T12:T23</xm:f>
              <xm:sqref>D38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Calculations!EC12:EC23</xm:f>
              <xm:sqref>S32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Calculations!R12:R23</xm:f>
              <xm:sqref>P32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Calculations!EB12:EB23</xm:f>
              <xm:sqref>M32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Calculations!AD12:AD23</xm:f>
              <xm:sqref>J32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Calculations!EA12:EA23</xm:f>
              <xm:sqref>G32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Calculations!V12:V23</xm:f>
              <xm:sqref>D32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Calculations!DZ12:DZ23</xm:f>
              <xm:sqref>S24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Calculations!DY12:DY23</xm:f>
              <xm:sqref>P24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Calculations!Q12:Q23</xm:f>
              <xm:sqref>M24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Calculations!P12:P23</xm:f>
              <xm:sqref>J24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Calculations!N12:N23</xm:f>
              <xm:sqref>G24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Calculations!I12:I23</xm:f>
              <xm:sqref>D24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Calculations!H12:H23</xm:f>
              <xm:sqref>S18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Calculations!G12:G23</xm:f>
              <xm:sqref>P18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Calculations!F12:F23</xm:f>
              <xm:sqref>M18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Calculations!O12:O23</xm:f>
              <xm:sqref>J18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Calculations!CK12:CK23</xm:f>
              <xm:sqref>G18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Calculations!CJ12:CJ23</xm:f>
              <xm:sqref>D18</xm:sqref>
            </x14:sparkline>
          </x14:sparklines>
        </x14:sparklineGroup>
      </x14:sparklineGroups>
    </ext>
  </extLst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36">
    <tabColor rgb="FFF0625A"/>
    <pageSetUpPr fitToPage="1"/>
  </sheetPr>
  <dimension ref="A1:S137"/>
  <sheetViews>
    <sheetView showGridLines="0" zoomScale="85" zoomScaleNormal="85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2281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2282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</row>
    <row r="11" spans="2:19">
      <c r="B11" s="36" t="s">
        <v>2283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</row>
    <row r="13" spans="2:19">
      <c r="B13" s="39" t="s">
        <v>1757</v>
      </c>
      <c r="C13" s="39"/>
      <c r="D13" s="39"/>
      <c r="E13" s="39"/>
      <c r="F13" s="39" t="s">
        <v>1759</v>
      </c>
      <c r="G13" s="39"/>
      <c r="H13" s="39"/>
      <c r="I13" s="39"/>
      <c r="J13" s="39" t="s">
        <v>2216</v>
      </c>
      <c r="K13" s="39"/>
      <c r="L13" s="39"/>
      <c r="M13" s="39"/>
      <c r="N13" s="39" t="s">
        <v>2220</v>
      </c>
      <c r="O13" s="39"/>
      <c r="P13" s="39"/>
      <c r="Q13" s="39"/>
    </row>
    <row r="14" spans="2:19">
      <c r="B14" s="40">
        <f>Calculations!$DL$12</f>
        <v>0</v>
      </c>
      <c r="C14" s="40"/>
      <c r="D14" s="40"/>
      <c r="F14" s="40">
        <f>Calculations!$DL$13</f>
        <v>0</v>
      </c>
      <c r="G14" s="40"/>
      <c r="H14" s="40"/>
      <c r="J14" s="41">
        <f>Calculations!$DL$15</f>
        <v>0</v>
      </c>
      <c r="K14" s="41"/>
      <c r="L14" s="41"/>
      <c r="N14" s="41">
        <f>Calculations!$DL$19</f>
        <v>0</v>
      </c>
      <c r="O14" s="41"/>
      <c r="P14" s="41"/>
    </row>
    <row r="15" spans="2:19">
      <c r="B15" s="40"/>
      <c r="C15" s="40"/>
      <c r="D15" s="40"/>
      <c r="E15" s="40"/>
      <c r="F15" s="40"/>
      <c r="G15" s="40"/>
      <c r="H15" s="40"/>
      <c r="I15" s="40"/>
      <c r="J15" s="41"/>
      <c r="K15" s="41"/>
      <c r="L15" s="41"/>
      <c r="M15" s="41"/>
      <c r="N15" s="41"/>
      <c r="O15" s="41"/>
      <c r="P15" s="41"/>
      <c r="Q15" s="41"/>
    </row>
    <row r="16" spans="2:19">
      <c r="B16" s="61">
        <f>IF(Calculations!$DM$12=0,IF(Calculations!$DL$12&gt;0,"▲ new","● flat"),IF(Calculations!$DL$12=Calculations!$DM$12,"● flat",(IF(Calculations!$DL$12&gt;Calculations!$DM$12,"▲ ","▼ "))&amp;TEXT(ABS(Calculations!$DN$12),"0.0%")&amp;" vs prior"))</f>
        <v>0</v>
      </c>
      <c r="C16" s="61"/>
      <c r="D16" s="61"/>
      <c r="E16" s="61"/>
      <c r="F16" s="61">
        <f>IF(Calculations!$DM$13=0,IF(Calculations!$DL$13&gt;0,"▲ new","● flat"),IF(Calculations!$DL$13=Calculations!$DM$13,"● flat",(IF(Calculations!$DL$13&gt;Calculations!$DM$13,"▲ ","▼ "))&amp;TEXT(ABS(Calculations!$DN$13),"0.0%")&amp;" vs prior"))</f>
        <v>0</v>
      </c>
      <c r="G16" s="61"/>
      <c r="H16" s="61"/>
      <c r="I16" s="61"/>
      <c r="J16" s="61">
        <f>IF(Calculations!$DM$15=0,IF(Calculations!$DL$15&gt;0,"▲ new","● flat"),IF(Calculations!$DL$15=Calculations!$DM$15,"● flat",(IF(Calculations!$DL$15&gt;Calculations!$DM$15,"▲ ","▼ "))&amp;TEXT(ABS(Calculations!$DN$15),"0.0%")&amp;" vs prior"))</f>
        <v>0</v>
      </c>
      <c r="K16" s="61"/>
      <c r="L16" s="61"/>
      <c r="M16" s="61"/>
      <c r="N16" s="61">
        <f>IF(Calculations!$DM$19=0,IF(Calculations!$DL$19&gt;0,"▲ new","● flat"),IF(Calculations!$DL$19=Calculations!$DM$19,"● flat",(IF(Calculations!$DL$19&gt;Calculations!$DM$19,"▲ ","▼ "))&amp;TEXT(ABS(Calculations!$DN$19),"0.0%")&amp;" vs prior"))</f>
        <v>0</v>
      </c>
      <c r="O16" s="61"/>
      <c r="P16" s="61"/>
      <c r="Q16" s="61"/>
    </row>
    <row r="18" spans="2:19" ht="4" customHeight="1"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spans="2:19">
      <c r="B19" s="39" t="s">
        <v>2284</v>
      </c>
      <c r="C19" s="39"/>
      <c r="D19" s="39"/>
      <c r="E19" s="39"/>
      <c r="F19" s="39" t="s">
        <v>2285</v>
      </c>
      <c r="G19" s="39"/>
      <c r="H19" s="39"/>
      <c r="I19" s="39"/>
      <c r="J19" s="39" t="s">
        <v>2286</v>
      </c>
      <c r="K19" s="39"/>
      <c r="L19" s="39"/>
      <c r="M19" s="39"/>
      <c r="N19" s="39" t="s">
        <v>2218</v>
      </c>
      <c r="O19" s="39"/>
      <c r="P19" s="39"/>
      <c r="Q19" s="39"/>
    </row>
    <row r="20" spans="2:19">
      <c r="B20" s="42">
        <f>Calculations!$DL$31</f>
        <v>0</v>
      </c>
      <c r="C20" s="42"/>
      <c r="D20" s="42"/>
      <c r="F20" s="42">
        <f>Calculations!$DL$29</f>
        <v>0</v>
      </c>
      <c r="G20" s="42"/>
      <c r="H20" s="42"/>
      <c r="J20" s="42">
        <f>Calculations!$DL$57</f>
        <v>0</v>
      </c>
      <c r="K20" s="42"/>
      <c r="L20" s="42"/>
      <c r="N20" s="41">
        <f>Calculations!$DL$17</f>
        <v>0</v>
      </c>
      <c r="O20" s="41"/>
      <c r="P20" s="41"/>
    </row>
    <row r="21" spans="2:19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1"/>
      <c r="O21" s="41"/>
      <c r="P21" s="41"/>
      <c r="Q21" s="41"/>
    </row>
    <row r="22" spans="2:19">
      <c r="B22" s="61">
        <f>IF(Calculations!$DM$31=0,IF(Calculations!$DL$31&gt;0,"▲ new","● flat"),IF(Calculations!$DL$31=Calculations!$DM$31,"● flat",(IF(Calculations!$DL$31&gt;Calculations!$DM$31,"▲ ","▼ "))&amp;TEXT(ABS(Calculations!$DN$31),"0.0%")&amp;" vs prior"))</f>
        <v>0</v>
      </c>
      <c r="C22" s="61"/>
      <c r="D22" s="61"/>
      <c r="E22" s="61"/>
      <c r="F22" s="61">
        <f>IF(Calculations!$DM$29=0,IF(Calculations!$DL$29&gt;0,"▲ new","● flat"),IF(Calculations!$DL$29=Calculations!$DM$29,"● flat",(IF(Calculations!$DL$29&gt;Calculations!$DM$29,"▲ ","▼ "))&amp;TEXT(ABS(Calculations!$DN$29),"0.0%")&amp;" vs prior"))</f>
        <v>0</v>
      </c>
      <c r="G22" s="61"/>
      <c r="H22" s="61"/>
      <c r="I22" s="61"/>
      <c r="J22" s="61">
        <f>IF(Calculations!$DM$57=0,IF(Calculations!$DL$57&gt;0,"▲ new","● flat"),IF(Calculations!$DL$57=Calculations!$DM$57,"● flat",(IF(Calculations!$DL$57&gt;Calculations!$DM$57,"▲ ","▼ "))&amp;TEXT(ABS(Calculations!$DN$57),"0.0%")&amp;" vs prior"))</f>
        <v>0</v>
      </c>
      <c r="K22" s="61"/>
      <c r="L22" s="61"/>
      <c r="M22" s="61"/>
      <c r="N22" s="61">
        <f>IF(Calculations!$DM$17=0,IF(Calculations!$DL$17&gt;0,"▲ new","● flat"),IF(Calculations!$DL$17=Calculations!$DM$17,"● flat",(IF(Calculations!$DL$17&gt;Calculations!$DM$17,"▲ ","▼ "))&amp;TEXT(ABS(Calculations!$DN$17),"0.0%")&amp;" vs prior"))</f>
        <v>0</v>
      </c>
      <c r="O22" s="61"/>
      <c r="P22" s="61"/>
      <c r="Q22" s="61"/>
    </row>
    <row r="24" spans="2:19">
      <c r="B24" s="36" t="s">
        <v>2287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</row>
    <row r="41" spans="2:19">
      <c r="B41" s="36" t="s">
        <v>2288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42" spans="2:19">
      <c r="B42" s="36" t="s">
        <v>2289</v>
      </c>
      <c r="C42" s="36"/>
      <c r="D42" s="36"/>
      <c r="E42" s="36"/>
      <c r="H42" s="36" t="s">
        <v>2290</v>
      </c>
      <c r="I42" s="36"/>
      <c r="J42" s="36"/>
      <c r="K42" s="36"/>
    </row>
    <row r="43" spans="2:19">
      <c r="B43" s="72">
        <f>INDEX(Calculations!$DJ$125:$DJ$127,1)</f>
        <v>0</v>
      </c>
      <c r="C43" s="72"/>
      <c r="D43" s="72"/>
      <c r="E43" s="73">
        <f>INDEX(Calculations!$DK$125:$DK$127,1)</f>
        <v>0</v>
      </c>
      <c r="H43" s="74">
        <f>INDEX(Calculations!$DJ$129:$DJ$131,1)</f>
        <v>0</v>
      </c>
      <c r="I43" s="74"/>
      <c r="J43" s="74"/>
      <c r="K43" s="73">
        <f>INDEX(Calculations!$DK$129:$DK$131,1)</f>
        <v>0</v>
      </c>
    </row>
    <row r="44" spans="2:19">
      <c r="B44" s="72">
        <f>INDEX(Calculations!$DJ$125:$DJ$127,2)</f>
        <v>0</v>
      </c>
      <c r="C44" s="72"/>
      <c r="D44" s="72"/>
      <c r="E44" s="73">
        <f>INDEX(Calculations!$DK$125:$DK$127,2)</f>
        <v>0</v>
      </c>
      <c r="H44" s="74">
        <f>INDEX(Calculations!$DJ$129:$DJ$131,2)</f>
        <v>0</v>
      </c>
      <c r="I44" s="74"/>
      <c r="J44" s="74"/>
      <c r="K44" s="73">
        <f>INDEX(Calculations!$DK$129:$DK$131,2)</f>
        <v>0</v>
      </c>
    </row>
    <row r="45" spans="2:19">
      <c r="B45" s="72">
        <f>INDEX(Calculations!$DJ$125:$DJ$127,3)</f>
        <v>0</v>
      </c>
      <c r="C45" s="72"/>
      <c r="D45" s="72"/>
      <c r="E45" s="73">
        <f>INDEX(Calculations!$DK$125:$DK$127,3)</f>
        <v>0</v>
      </c>
      <c r="H45" s="74">
        <f>INDEX(Calculations!$DJ$129:$DJ$131,3)</f>
        <v>0</v>
      </c>
      <c r="I45" s="74"/>
      <c r="J45" s="74"/>
      <c r="K45" s="73">
        <f>INDEX(Calculations!$DK$129:$DK$131,3)</f>
        <v>0</v>
      </c>
    </row>
    <row r="49" spans="2:19">
      <c r="B49" s="36" t="s">
        <v>2291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</row>
    <row r="50" spans="2:19">
      <c r="B50" s="57" t="s">
        <v>2029</v>
      </c>
      <c r="C50" s="57" t="s">
        <v>2292</v>
      </c>
      <c r="D50" s="57" t="s">
        <v>1980</v>
      </c>
    </row>
    <row r="51" spans="2:19">
      <c r="B51" s="70" t="s">
        <v>1777</v>
      </c>
      <c r="C51" s="70" t="s">
        <v>1939</v>
      </c>
      <c r="D51" s="75">
        <f>rgToolboxAvgAttendance</f>
        <v>0</v>
      </c>
    </row>
    <row r="52" spans="2:19">
      <c r="B52" s="70" t="s">
        <v>1779</v>
      </c>
      <c r="C52" s="70" t="s">
        <v>1941</v>
      </c>
      <c r="D52" s="75">
        <f>rgJSAApproved</f>
        <v>0</v>
      </c>
    </row>
    <row r="53" spans="2:19">
      <c r="B53" s="70" t="s">
        <v>1780</v>
      </c>
      <c r="C53" s="70" t="s">
        <v>1943</v>
      </c>
      <c r="D53" s="75">
        <f>rgTrainingCompliance</f>
        <v>0</v>
      </c>
    </row>
    <row r="54" spans="2:19">
      <c r="B54" s="70" t="s">
        <v>1781</v>
      </c>
      <c r="C54" s="70" t="s">
        <v>1944</v>
      </c>
      <c r="D54" s="75">
        <f>rgObsClosure</f>
        <v>0</v>
      </c>
    </row>
    <row r="55" spans="2:19">
      <c r="B55" s="70" t="s">
        <v>1782</v>
      </c>
      <c r="C55" s="70" t="s">
        <v>1945</v>
      </c>
      <c r="D55" s="75">
        <f>rgWorkplaceInspClosure</f>
        <v>0</v>
      </c>
    </row>
    <row r="56" spans="2:19">
      <c r="B56" s="70" t="s">
        <v>1783</v>
      </c>
      <c r="C56" s="70" t="s">
        <v>1946</v>
      </c>
      <c r="D56" s="75">
        <f>rgEquipmentCriticalFindings</f>
        <v>0</v>
      </c>
    </row>
    <row r="57" spans="2:19">
      <c r="B57" s="70" t="s">
        <v>1784</v>
      </c>
      <c r="C57" s="70" t="s">
        <v>1784</v>
      </c>
      <c r="D57" s="75">
        <f>rgSafetyWalkthroughs</f>
        <v>0</v>
      </c>
    </row>
    <row r="58" spans="2:19">
      <c r="B58" s="70" t="s">
        <v>1785</v>
      </c>
      <c r="C58" s="70" t="s">
        <v>1947</v>
      </c>
      <c r="D58" s="75">
        <f>rgMeetingsCloseout</f>
        <v>0</v>
      </c>
    </row>
    <row r="59" spans="2:19">
      <c r="B59" s="70" t="s">
        <v>1786</v>
      </c>
      <c r="C59" s="70" t="s">
        <v>1948</v>
      </c>
      <c r="D59" s="75">
        <f>rgBulletinReach</f>
        <v>0</v>
      </c>
    </row>
    <row r="60" spans="2:19">
      <c r="B60" s="70" t="s">
        <v>1787</v>
      </c>
      <c r="C60" s="70" t="s">
        <v>1949</v>
      </c>
      <c r="D60" s="75">
        <f>rgDrillParticipation</f>
        <v>0</v>
      </c>
    </row>
    <row r="61" spans="2:19">
      <c r="B61" s="70" t="s">
        <v>1788</v>
      </c>
      <c r="C61" s="70" t="s">
        <v>1950</v>
      </c>
      <c r="D61" s="75">
        <f>rgInternalAuditNCs</f>
        <v>0</v>
      </c>
    </row>
    <row r="62" spans="2:19">
      <c r="B62" s="70" t="s">
        <v>1789</v>
      </c>
      <c r="C62" s="70" t="s">
        <v>1951</v>
      </c>
      <c r="D62" s="75">
        <f>rgExternalAuditNCs</f>
        <v>0</v>
      </c>
    </row>
    <row r="63" spans="2:19">
      <c r="B63" s="70" t="s">
        <v>1790</v>
      </c>
      <c r="C63" s="70" t="s">
        <v>1952</v>
      </c>
      <c r="D63" s="75">
        <f>rgMgmtVisitCloseout</f>
        <v>0</v>
      </c>
    </row>
    <row r="64" spans="2:19">
      <c r="B64" s="70" t="s">
        <v>1791</v>
      </c>
      <c r="C64" s="70" t="s">
        <v>1953</v>
      </c>
      <c r="D64" s="75">
        <f>rgMgmtReviewAttendance</f>
        <v>0</v>
      </c>
    </row>
    <row r="65" spans="2:19">
      <c r="B65" s="70" t="s">
        <v>1792</v>
      </c>
      <c r="C65" s="70" t="s">
        <v>1934</v>
      </c>
      <c r="D65" s="75">
        <f>rgDisciplinary</f>
        <v>0</v>
      </c>
    </row>
    <row r="66" spans="2:19">
      <c r="B66" s="70" t="s">
        <v>1793</v>
      </c>
      <c r="C66" s="70" t="s">
        <v>1793</v>
      </c>
      <c r="D66" s="75">
        <f>rgSafetyAwards</f>
        <v>0</v>
      </c>
    </row>
    <row r="67" spans="2:19">
      <c r="B67" s="70" t="s">
        <v>1794</v>
      </c>
      <c r="C67" s="70" t="s">
        <v>1794</v>
      </c>
      <c r="D67" s="75">
        <f>rgStopWorkAuthority</f>
        <v>0</v>
      </c>
    </row>
    <row r="68" spans="2:19">
      <c r="B68" s="70" t="s">
        <v>1795</v>
      </c>
      <c r="C68" s="70" t="s">
        <v>1937</v>
      </c>
      <c r="D68" s="75">
        <f>rgAlcoholPositive</f>
        <v>0</v>
      </c>
    </row>
    <row r="69" spans="2:19">
      <c r="B69" s="70" t="s">
        <v>1796</v>
      </c>
      <c r="C69" s="70" t="s">
        <v>1954</v>
      </c>
      <c r="D69" s="75">
        <f>rgPTWCompliance</f>
        <v>0</v>
      </c>
    </row>
    <row r="70" spans="2:19">
      <c r="B70" s="70" t="s">
        <v>1797</v>
      </c>
      <c r="C70" s="70" t="s">
        <v>1955</v>
      </c>
      <c r="D70" s="75">
        <f>rgCAClosure</f>
        <v>0</v>
      </c>
    </row>
    <row r="71" spans="2:19">
      <c r="B71" s="70" t="s">
        <v>1798</v>
      </c>
      <c r="C71" s="70" t="s">
        <v>1936</v>
      </c>
      <c r="D71" s="75">
        <f>rgNCClosure</f>
        <v>0</v>
      </c>
    </row>
    <row r="72" spans="2:19">
      <c r="B72" s="70" t="s">
        <v>1799</v>
      </c>
      <c r="C72" s="70" t="s">
        <v>1957</v>
      </c>
      <c r="D72" s="75">
        <f>rgUnsafeActClosure</f>
        <v>0</v>
      </c>
    </row>
    <row r="73" spans="2:19">
      <c r="B73" s="70" t="s">
        <v>1800</v>
      </c>
      <c r="C73" s="70" t="s">
        <v>1959</v>
      </c>
      <c r="D73" s="75">
        <f>rgUnsafeConditionClosure</f>
        <v>0</v>
      </c>
    </row>
    <row r="74" spans="2:19">
      <c r="B74" s="70" t="s">
        <v>1801</v>
      </c>
      <c r="C74" s="70" t="s">
        <v>1757</v>
      </c>
      <c r="D74" s="75">
        <f>rgTRIR</f>
        <v>0</v>
      </c>
    </row>
    <row r="77" spans="2:19">
      <c r="B77" s="36" t="s">
        <v>2293</v>
      </c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</row>
    <row r="78" spans="2:19">
      <c r="B78" s="57" t="s">
        <v>2294</v>
      </c>
      <c r="C78" s="57" t="s">
        <v>129</v>
      </c>
      <c r="D78" s="57" t="s">
        <v>1992</v>
      </c>
      <c r="E78" s="57" t="s">
        <v>1932</v>
      </c>
      <c r="F78" s="57" t="s">
        <v>2033</v>
      </c>
      <c r="G78" s="57" t="s">
        <v>2034</v>
      </c>
      <c r="H78" s="57" t="s">
        <v>2035</v>
      </c>
    </row>
    <row r="79" spans="2:19">
      <c r="B79" s="71">
        <v>1</v>
      </c>
      <c r="C79" s="70">
        <f>INDEX(Calculations!$J$370:$J$379,1)</f>
        <v>0</v>
      </c>
      <c r="D79" s="75">
        <f>INDEX(Calculations!$K$370:$K$379,1)</f>
        <v>0</v>
      </c>
      <c r="E79" s="75">
        <f>INDEX(Calculations!$C$370:$C$379,MATCH(INDEX(Calculations!$J$370:$J$379,1),Calculations!$B$370:$B$379,0))</f>
        <v>0</v>
      </c>
      <c r="F79" s="76">
        <f>INDEX(Calculations!$D$370:$D$379,MATCH(INDEX(Calculations!$J$370:$J$379,1),Calculations!$B$370:$B$379,0))</f>
        <v>0</v>
      </c>
      <c r="G79" s="76">
        <f>INDEX(Calculations!$E$370:$E$379,MATCH(INDEX(Calculations!$J$370:$J$379,1),Calculations!$B$370:$B$379,0))</f>
        <v>0</v>
      </c>
      <c r="H79" s="76">
        <f>INDEX(Calculations!$F$370:$F$379,MATCH(INDEX(Calculations!$J$370:$J$379,1),Calculations!$B$370:$B$379,0))</f>
        <v>0</v>
      </c>
    </row>
    <row r="80" spans="2:19">
      <c r="B80" s="71">
        <v>2</v>
      </c>
      <c r="C80" s="70">
        <f>INDEX(Calculations!$J$370:$J$379,2)</f>
        <v>0</v>
      </c>
      <c r="D80" s="75">
        <f>INDEX(Calculations!$K$370:$K$379,2)</f>
        <v>0</v>
      </c>
      <c r="E80" s="75">
        <f>INDEX(Calculations!$C$370:$C$379,MATCH(INDEX(Calculations!$J$370:$J$379,2),Calculations!$B$370:$B$379,0))</f>
        <v>0</v>
      </c>
      <c r="F80" s="76">
        <f>INDEX(Calculations!$D$370:$D$379,MATCH(INDEX(Calculations!$J$370:$J$379,2),Calculations!$B$370:$B$379,0))</f>
        <v>0</v>
      </c>
      <c r="G80" s="76">
        <f>INDEX(Calculations!$E$370:$E$379,MATCH(INDEX(Calculations!$J$370:$J$379,2),Calculations!$B$370:$B$379,0))</f>
        <v>0</v>
      </c>
      <c r="H80" s="76">
        <f>INDEX(Calculations!$F$370:$F$379,MATCH(INDEX(Calculations!$J$370:$J$379,2),Calculations!$B$370:$B$379,0))</f>
        <v>0</v>
      </c>
    </row>
    <row r="81" spans="2:19">
      <c r="B81" s="71">
        <v>3</v>
      </c>
      <c r="C81" s="70">
        <f>INDEX(Calculations!$J$370:$J$379,3)</f>
        <v>0</v>
      </c>
      <c r="D81" s="75">
        <f>INDEX(Calculations!$K$370:$K$379,3)</f>
        <v>0</v>
      </c>
      <c r="E81" s="75">
        <f>INDEX(Calculations!$C$370:$C$379,MATCH(INDEX(Calculations!$J$370:$J$379,3),Calculations!$B$370:$B$379,0))</f>
        <v>0</v>
      </c>
      <c r="F81" s="76">
        <f>INDEX(Calculations!$D$370:$D$379,MATCH(INDEX(Calculations!$J$370:$J$379,3),Calculations!$B$370:$B$379,0))</f>
        <v>0</v>
      </c>
      <c r="G81" s="76">
        <f>INDEX(Calculations!$E$370:$E$379,MATCH(INDEX(Calculations!$J$370:$J$379,3),Calculations!$B$370:$B$379,0))</f>
        <v>0</v>
      </c>
      <c r="H81" s="76">
        <f>INDEX(Calculations!$F$370:$F$379,MATCH(INDEX(Calculations!$J$370:$J$379,3),Calculations!$B$370:$B$379,0))</f>
        <v>0</v>
      </c>
    </row>
    <row r="82" spans="2:19">
      <c r="B82" s="71">
        <v>4</v>
      </c>
      <c r="C82" s="70">
        <f>INDEX(Calculations!$J$370:$J$379,4)</f>
        <v>0</v>
      </c>
      <c r="D82" s="75">
        <f>INDEX(Calculations!$K$370:$K$379,4)</f>
        <v>0</v>
      </c>
      <c r="E82" s="75">
        <f>INDEX(Calculations!$C$370:$C$379,MATCH(INDEX(Calculations!$J$370:$J$379,4),Calculations!$B$370:$B$379,0))</f>
        <v>0</v>
      </c>
      <c r="F82" s="76">
        <f>INDEX(Calculations!$D$370:$D$379,MATCH(INDEX(Calculations!$J$370:$J$379,4),Calculations!$B$370:$B$379,0))</f>
        <v>0</v>
      </c>
      <c r="G82" s="76">
        <f>INDEX(Calculations!$E$370:$E$379,MATCH(INDEX(Calculations!$J$370:$J$379,4),Calculations!$B$370:$B$379,0))</f>
        <v>0</v>
      </c>
      <c r="H82" s="76">
        <f>INDEX(Calculations!$F$370:$F$379,MATCH(INDEX(Calculations!$J$370:$J$379,4),Calculations!$B$370:$B$379,0))</f>
        <v>0</v>
      </c>
    </row>
    <row r="83" spans="2:19">
      <c r="B83" s="71">
        <v>5</v>
      </c>
      <c r="C83" s="70">
        <f>INDEX(Calculations!$J$370:$J$379,5)</f>
        <v>0</v>
      </c>
      <c r="D83" s="75">
        <f>INDEX(Calculations!$K$370:$K$379,5)</f>
        <v>0</v>
      </c>
      <c r="E83" s="75">
        <f>INDEX(Calculations!$C$370:$C$379,MATCH(INDEX(Calculations!$J$370:$J$379,5),Calculations!$B$370:$B$379,0))</f>
        <v>0</v>
      </c>
      <c r="F83" s="76">
        <f>INDEX(Calculations!$D$370:$D$379,MATCH(INDEX(Calculations!$J$370:$J$379,5),Calculations!$B$370:$B$379,0))</f>
        <v>0</v>
      </c>
      <c r="G83" s="76">
        <f>INDEX(Calculations!$E$370:$E$379,MATCH(INDEX(Calculations!$J$370:$J$379,5),Calculations!$B$370:$B$379,0))</f>
        <v>0</v>
      </c>
      <c r="H83" s="76">
        <f>INDEX(Calculations!$F$370:$F$379,MATCH(INDEX(Calculations!$J$370:$J$379,5),Calculations!$B$370:$B$379,0))</f>
        <v>0</v>
      </c>
    </row>
    <row r="84" spans="2:19">
      <c r="B84" s="71">
        <v>6</v>
      </c>
      <c r="C84" s="70">
        <f>INDEX(Calculations!$J$370:$J$379,6)</f>
        <v>0</v>
      </c>
      <c r="D84" s="75">
        <f>INDEX(Calculations!$K$370:$K$379,6)</f>
        <v>0</v>
      </c>
      <c r="E84" s="75">
        <f>INDEX(Calculations!$C$370:$C$379,MATCH(INDEX(Calculations!$J$370:$J$379,6),Calculations!$B$370:$B$379,0))</f>
        <v>0</v>
      </c>
      <c r="F84" s="76">
        <f>INDEX(Calculations!$D$370:$D$379,MATCH(INDEX(Calculations!$J$370:$J$379,6),Calculations!$B$370:$B$379,0))</f>
        <v>0</v>
      </c>
      <c r="G84" s="76">
        <f>INDEX(Calculations!$E$370:$E$379,MATCH(INDEX(Calculations!$J$370:$J$379,6),Calculations!$B$370:$B$379,0))</f>
        <v>0</v>
      </c>
      <c r="H84" s="76">
        <f>INDEX(Calculations!$F$370:$F$379,MATCH(INDEX(Calculations!$J$370:$J$379,6),Calculations!$B$370:$B$379,0))</f>
        <v>0</v>
      </c>
    </row>
    <row r="85" spans="2:19">
      <c r="B85" s="71">
        <v>7</v>
      </c>
      <c r="C85" s="70">
        <f>INDEX(Calculations!$J$370:$J$379,7)</f>
        <v>0</v>
      </c>
      <c r="D85" s="75">
        <f>INDEX(Calculations!$K$370:$K$379,7)</f>
        <v>0</v>
      </c>
      <c r="E85" s="75">
        <f>INDEX(Calculations!$C$370:$C$379,MATCH(INDEX(Calculations!$J$370:$J$379,7),Calculations!$B$370:$B$379,0))</f>
        <v>0</v>
      </c>
      <c r="F85" s="76">
        <f>INDEX(Calculations!$D$370:$D$379,MATCH(INDEX(Calculations!$J$370:$J$379,7),Calculations!$B$370:$B$379,0))</f>
        <v>0</v>
      </c>
      <c r="G85" s="76">
        <f>INDEX(Calculations!$E$370:$E$379,MATCH(INDEX(Calculations!$J$370:$J$379,7),Calculations!$B$370:$B$379,0))</f>
        <v>0</v>
      </c>
      <c r="H85" s="76">
        <f>INDEX(Calculations!$F$370:$F$379,MATCH(INDEX(Calculations!$J$370:$J$379,7),Calculations!$B$370:$B$379,0))</f>
        <v>0</v>
      </c>
    </row>
    <row r="86" spans="2:19">
      <c r="B86" s="71">
        <v>8</v>
      </c>
      <c r="C86" s="70">
        <f>INDEX(Calculations!$J$370:$J$379,8)</f>
        <v>0</v>
      </c>
      <c r="D86" s="75">
        <f>INDEX(Calculations!$K$370:$K$379,8)</f>
        <v>0</v>
      </c>
      <c r="E86" s="75">
        <f>INDEX(Calculations!$C$370:$C$379,MATCH(INDEX(Calculations!$J$370:$J$379,8),Calculations!$B$370:$B$379,0))</f>
        <v>0</v>
      </c>
      <c r="F86" s="76">
        <f>INDEX(Calculations!$D$370:$D$379,MATCH(INDEX(Calculations!$J$370:$J$379,8),Calculations!$B$370:$B$379,0))</f>
        <v>0</v>
      </c>
      <c r="G86" s="76">
        <f>INDEX(Calculations!$E$370:$E$379,MATCH(INDEX(Calculations!$J$370:$J$379,8),Calculations!$B$370:$B$379,0))</f>
        <v>0</v>
      </c>
      <c r="H86" s="76">
        <f>INDEX(Calculations!$F$370:$F$379,MATCH(INDEX(Calculations!$J$370:$J$379,8),Calculations!$B$370:$B$379,0))</f>
        <v>0</v>
      </c>
    </row>
    <row r="89" spans="2:19">
      <c r="B89" s="36" t="s">
        <v>2295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spans="2:19">
      <c r="N90" s="77" t="s">
        <v>2032</v>
      </c>
      <c r="O90" s="77"/>
      <c r="P90" s="77"/>
      <c r="Q90" s="77"/>
      <c r="R90" s="77"/>
    </row>
    <row r="91" spans="2:19">
      <c r="N91" s="78">
        <f>Calculations!$C$367</f>
        <v>0</v>
      </c>
      <c r="O91" s="78"/>
      <c r="P91" s="78"/>
      <c r="Q91" s="78"/>
      <c r="R91" s="78"/>
    </row>
    <row r="92" spans="2:19">
      <c r="N92" s="78"/>
      <c r="O92" s="78"/>
      <c r="P92" s="78"/>
      <c r="Q92" s="78"/>
      <c r="R92" s="78"/>
    </row>
    <row r="93" spans="2:19">
      <c r="N93" s="78"/>
      <c r="O93" s="78"/>
      <c r="P93" s="78"/>
      <c r="Q93" s="78"/>
      <c r="R93" s="78"/>
    </row>
    <row r="94" spans="2:19">
      <c r="N94" s="78"/>
      <c r="O94" s="78"/>
      <c r="P94" s="78"/>
      <c r="Q94" s="78"/>
      <c r="R94" s="78"/>
    </row>
    <row r="95" spans="2:19">
      <c r="N95" s="78"/>
      <c r="O95" s="78"/>
      <c r="P95" s="78"/>
      <c r="Q95" s="78"/>
      <c r="R95" s="78"/>
    </row>
    <row r="96" spans="2:19">
      <c r="N96" s="78"/>
      <c r="O96" s="78"/>
      <c r="P96" s="78"/>
      <c r="Q96" s="78"/>
      <c r="R96" s="78"/>
    </row>
    <row r="106" spans="2:19">
      <c r="B106" s="36" t="s">
        <v>2296</v>
      </c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</row>
    <row r="107" spans="2:19">
      <c r="I107" s="57" t="s">
        <v>2297</v>
      </c>
      <c r="J107" s="57" t="s">
        <v>1507</v>
      </c>
      <c r="K107" s="57" t="s">
        <v>1548</v>
      </c>
      <c r="L107" s="57" t="s">
        <v>1565</v>
      </c>
      <c r="M107" s="57" t="s">
        <v>1581</v>
      </c>
    </row>
    <row r="108" spans="2:19">
      <c r="I108" s="70" t="s">
        <v>1931</v>
      </c>
      <c r="J108" s="75">
        <f>SUM(Calculations!$O$12:$O$14)</f>
        <v>0</v>
      </c>
      <c r="K108" s="75">
        <f>SUM(Calculations!$O$15:$O$17)</f>
        <v>0</v>
      </c>
      <c r="L108" s="75">
        <f>SUM(Calculations!$O$18:$O$20)</f>
        <v>0</v>
      </c>
      <c r="M108" s="75">
        <f>SUM(Calculations!$O$21:$O$23)</f>
        <v>0</v>
      </c>
    </row>
    <row r="109" spans="2:19">
      <c r="I109" s="70" t="s">
        <v>2298</v>
      </c>
      <c r="J109" s="76">
        <f>IFERROR(SUM(Calculations!$S$12:$S$14)/SUM(Calculations!$R$12:$R$14)*100,0)</f>
        <v>0</v>
      </c>
      <c r="K109" s="76">
        <f>IFERROR(SUM(Calculations!$S$15:$S$17)/SUM(Calculations!$R$15:$R$17)*100,0)</f>
        <v>0</v>
      </c>
      <c r="L109" s="76">
        <f>IFERROR(SUM(Calculations!$S$18:$S$20)/SUM(Calculations!$R$18:$R$20)*100,0)</f>
        <v>0</v>
      </c>
      <c r="M109" s="76">
        <f>IFERROR(SUM(Calculations!$S$21:$S$23)/SUM(Calculations!$R$21:$R$23)*100,0)</f>
        <v>0</v>
      </c>
    </row>
    <row r="110" spans="2:19">
      <c r="I110" s="70" t="s">
        <v>2035</v>
      </c>
      <c r="J110" s="76">
        <f>IFERROR(SUM(Calculations!$AC$12:$AC$14)/SUM(Calculations!$AB$12:$AB$14)*100,0)</f>
        <v>0</v>
      </c>
      <c r="K110" s="76">
        <f>IFERROR(SUM(Calculations!$AC$15:$AC$17)/SUM(Calculations!$AB$15:$AB$17)*100,0)</f>
        <v>0</v>
      </c>
      <c r="L110" s="76">
        <f>IFERROR(SUM(Calculations!$AC$18:$AC$20)/SUM(Calculations!$AB$18:$AB$20)*100,0)</f>
        <v>0</v>
      </c>
      <c r="M110" s="76">
        <f>IFERROR(SUM(Calculations!$AC$21:$AC$23)/SUM(Calculations!$AB$21:$AB$23)*100,0)</f>
        <v>0</v>
      </c>
    </row>
    <row r="123" spans="2:19">
      <c r="B123" s="36" t="s">
        <v>2299</v>
      </c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</row>
    <row r="124" spans="2:19">
      <c r="B124" s="57" t="s">
        <v>2038</v>
      </c>
      <c r="C124" s="57" t="s">
        <v>2300</v>
      </c>
      <c r="D124" s="57" t="s">
        <v>2301</v>
      </c>
      <c r="E124" s="57" t="s">
        <v>2302</v>
      </c>
    </row>
    <row r="125" spans="2:19">
      <c r="B125" s="70" t="s">
        <v>1757</v>
      </c>
      <c r="C125" s="71">
        <f>AVERAGE(INDEX(Calculations!$CJ$12:$CJ$23,1):INDEX(Calculations!$CJ$12:$CJ$23,IF(CurMonthNo=0,12,CurMonthNo)))</f>
        <v>0</v>
      </c>
      <c r="D125" s="71">
        <f>PYTRIR</f>
        <v>0</v>
      </c>
      <c r="E125" s="70">
        <f>IF(PYTRIR=0,"(enter prior year data)",TEXT((C125-PYTRIR)/PYTRIR,"+0.0%;-0.0%"))</f>
        <v>0</v>
      </c>
    </row>
    <row r="126" spans="2:19">
      <c r="B126" s="70" t="s">
        <v>1759</v>
      </c>
      <c r="C126" s="71">
        <f>AVERAGE(INDEX(Calculations!$CK$12:$CK$23,1):INDEX(Calculations!$CK$12:$CK$23,IF(CurMonthNo=0,12,CurMonthNo)))</f>
        <v>0</v>
      </c>
      <c r="D126" s="71">
        <f>PYLTIFR</f>
        <v>0</v>
      </c>
      <c r="E126" s="70">
        <f>IF(PYLTIFR=0,"(enter prior year data)",TEXT((C126-PYLTIFR)/PYLTIFR,"+0.0%;-0.0%"))</f>
        <v>0</v>
      </c>
    </row>
    <row r="127" spans="2:19">
      <c r="B127" s="70" t="s">
        <v>1931</v>
      </c>
      <c r="C127" s="75">
        <f>SUM(INDEX(Calculations!$O$12:$O$23,1):INDEX(Calculations!$O$12:$O$23,IF(CurMonthNo=0,12,CurMonthNo)))</f>
        <v>0</v>
      </c>
      <c r="D127" s="75">
        <f>PYTotalInc</f>
        <v>0</v>
      </c>
      <c r="E127" s="70">
        <f>IF(PYTotalInc=0,"(enter prior year data)",TEXT((C127-PYTotalInc)/PYTotalInc,"+0.0%;-0.0%"))</f>
        <v>0</v>
      </c>
    </row>
    <row r="128" spans="2:19">
      <c r="B128" s="70" t="s">
        <v>2298</v>
      </c>
      <c r="C128" s="76">
        <f>IFERROR(SUM(INDEX(Calculations!$S$12:$S$23,1):INDEX(Calculations!$S$12:$S$23,IF(CurMonthNo=0,12,CurMonthNo)))/SUM(INDEX(Calculations!$R$12:$R$23,1):INDEX(Calculations!$R$12:$R$23,IF(CurMonthNo=0,12,CurMonthNo)))*100,0)</f>
        <v>0</v>
      </c>
      <c r="D128" s="76">
        <f>PYTrain</f>
        <v>0</v>
      </c>
      <c r="E128" s="70">
        <f>IF(PYTrain=0,"(enter prior year data)",TEXT((C128-PYTrain)/PYTrain,"+0.0%;-0.0%"))</f>
        <v>0</v>
      </c>
    </row>
    <row r="129" spans="2:19">
      <c r="B129" s="70" t="s">
        <v>2034</v>
      </c>
      <c r="C129" s="76">
        <f>IFERROR(SUM(INDEX(Calculations!$U$12:$U$23,1):INDEX(Calculations!$U$12:$U$23,IF(CurMonthNo=0,12,CurMonthNo)))/SUM(INDEX(Calculations!$T$12:$T$23,1):INDEX(Calculations!$T$12:$T$23,IF(CurMonthNo=0,12,CurMonthNo)))*100,0)</f>
        <v>0</v>
      </c>
      <c r="D129" s="76">
        <f>PYObs</f>
        <v>0</v>
      </c>
      <c r="E129" s="70">
        <f>IF(PYObs=0,"(enter prior year data)",TEXT((C129-PYObs)/PYObs,"+0.0%;-0.0%"))</f>
        <v>0</v>
      </c>
    </row>
    <row r="130" spans="2:19">
      <c r="B130" s="70" t="s">
        <v>2035</v>
      </c>
      <c r="C130" s="76">
        <f>IFERROR(SUM(INDEX(Calculations!$AC$12:$AC$23,1):INDEX(Calculations!$AC$12:$AC$23,IF(CurMonthNo=0,12,CurMonthNo)))/SUM(INDEX(Calculations!$AB$12:$AB$23,1):INDEX(Calculations!$AB$12:$AB$23,IF(CurMonthNo=0,12,CurMonthNo)))*100,0)</f>
        <v>0</v>
      </c>
      <c r="D130" s="76">
        <f>PYCA</f>
        <v>0</v>
      </c>
      <c r="E130" s="70">
        <f>IF(PYCA=0,"(enter prior year data)",TEXT((C130-PYCA)/PYCA,"+0.0%;-0.0%"))</f>
        <v>0</v>
      </c>
    </row>
    <row r="133" spans="2:19">
      <c r="B133" s="36" t="s">
        <v>2303</v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</row>
    <row r="134" spans="2:19" ht="28" customHeight="1">
      <c r="B134" s="79">
        <f>"• TRIR is "&amp;TEXT(TRIR,"0.00")&amp;"  ("&amp;TEXT(Calculations!$DN$12,"+0.0%;-0.0%")&amp;" vs the prior period)"</f>
        <v>0</v>
      </c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spans="2:19" ht="28" customHeight="1">
      <c r="B135" s="79">
        <f>"• Department League: "&amp;INDEX(Calculations!$J$370:$J$379,8)&amp;" has the lowest composite safety score this period ("&amp;INDEX(Calculations!$K$370:$K$379,8)&amp;"/100) — review its training, observation-closure and CA-closure rates."</f>
        <v>0</v>
      </c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spans="2:19" ht="28" customHeight="1">
      <c r="B136" s="79">
        <f>"• System-wide backlog: "&amp;Calculations!$C$367&amp;" items are currently overdue across CA, NC, Inspections and Unsafe Act/Condition registers; "&amp;INDEX(Calculations!$C$362:$C$365,4)&amp;" have been open more than 30 days."</f>
        <v>0</v>
      </c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spans="2:19" ht="28" customHeight="1">
      <c r="B137" s="79">
        <f>"• Leading:Lagging ratio is "&amp;TEXT(INDEX(Calculations!$CQ$12:$CQ$23,12),"0.0")&amp;":1 this month, versus "&amp;TEXT(INDEX(Calculations!$CQ$12:$CQ$23,11),"0.0")&amp;":1 last month."</f>
        <v>0</v>
      </c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</sheetData>
  <mergeCells count="60">
    <mergeCell ref="B2:M4"/>
    <mergeCell ref="B5:M5"/>
    <mergeCell ref="N2:S5"/>
    <mergeCell ref="B6:S6"/>
    <mergeCell ref="D9:E9"/>
    <mergeCell ref="B11:S11"/>
    <mergeCell ref="B12:E12"/>
    <mergeCell ref="B13:E13"/>
    <mergeCell ref="B14:D15"/>
    <mergeCell ref="B16:E16"/>
    <mergeCell ref="F12:I12"/>
    <mergeCell ref="F13:I13"/>
    <mergeCell ref="F14:H15"/>
    <mergeCell ref="F16:I16"/>
    <mergeCell ref="J12:M12"/>
    <mergeCell ref="J13:M13"/>
    <mergeCell ref="J14:L15"/>
    <mergeCell ref="J16:M16"/>
    <mergeCell ref="N12:Q12"/>
    <mergeCell ref="N13:Q13"/>
    <mergeCell ref="N14:P15"/>
    <mergeCell ref="N16:Q16"/>
    <mergeCell ref="B18:E18"/>
    <mergeCell ref="B19:E19"/>
    <mergeCell ref="B20:D21"/>
    <mergeCell ref="B22:E22"/>
    <mergeCell ref="F18:I18"/>
    <mergeCell ref="F19:I19"/>
    <mergeCell ref="F20:H21"/>
    <mergeCell ref="F22:I22"/>
    <mergeCell ref="J18:M18"/>
    <mergeCell ref="J19:M19"/>
    <mergeCell ref="J20:L21"/>
    <mergeCell ref="J22:M22"/>
    <mergeCell ref="N18:Q18"/>
    <mergeCell ref="N19:Q19"/>
    <mergeCell ref="N20:P21"/>
    <mergeCell ref="N22:Q22"/>
    <mergeCell ref="B24:S24"/>
    <mergeCell ref="B41:S41"/>
    <mergeCell ref="B42:E42"/>
    <mergeCell ref="H42:K42"/>
    <mergeCell ref="B43:D43"/>
    <mergeCell ref="H43:J43"/>
    <mergeCell ref="B44:D44"/>
    <mergeCell ref="H44:J44"/>
    <mergeCell ref="B45:D45"/>
    <mergeCell ref="H45:J45"/>
    <mergeCell ref="B49:S49"/>
    <mergeCell ref="B77:S77"/>
    <mergeCell ref="B89:S89"/>
    <mergeCell ref="N90:R90"/>
    <mergeCell ref="N91:R96"/>
    <mergeCell ref="B106:S106"/>
    <mergeCell ref="B123:S123"/>
    <mergeCell ref="B133:S133"/>
    <mergeCell ref="B134:S134"/>
    <mergeCell ref="B135:S135"/>
    <mergeCell ref="B136:S136"/>
    <mergeCell ref="B137:S137"/>
  </mergeCells>
  <conditionalFormatting sqref="B12:E12">
    <cfRule type="expression" dxfId="2" priority="1">
      <formula>rgTRIR=2</formula>
    </cfRule>
    <cfRule type="expression" dxfId="3" priority="2">
      <formula>rgTRIR=1</formula>
    </cfRule>
    <cfRule type="expression" dxfId="4" priority="3">
      <formula>rgTRIR=0</formula>
    </cfRule>
  </conditionalFormatting>
  <conditionalFormatting sqref="B16:E16">
    <cfRule type="expression" dxfId="5" priority="4">
      <formula>gdTRIR&lt;0</formula>
    </cfRule>
  </conditionalFormatting>
  <conditionalFormatting sqref="B18:E18">
    <cfRule type="expression" dxfId="2" priority="17">
      <formula>rgObsClosure=2</formula>
    </cfRule>
    <cfRule type="expression" dxfId="3" priority="18">
      <formula>rgObsClosure=1</formula>
    </cfRule>
    <cfRule type="expression" dxfId="4" priority="19">
      <formula>rgObsClosure=0</formula>
    </cfRule>
  </conditionalFormatting>
  <conditionalFormatting sqref="B22:E22">
    <cfRule type="expression" dxfId="5" priority="20">
      <formula>gdObsClosure&lt;0</formula>
    </cfRule>
  </conditionalFormatting>
  <conditionalFormatting sqref="D79:D86">
    <cfRule type="dataBar" priority="33">
      <dataBar>
        <cfvo type="min" val="0"/>
        <cfvo type="max" val="0"/>
        <color rgb="FF15A34A"/>
      </dataBar>
    </cfRule>
  </conditionalFormatting>
  <conditionalFormatting sqref="F12:I12">
    <cfRule type="expression" dxfId="2" priority="5">
      <formula>rgLTIFR=2</formula>
    </cfRule>
    <cfRule type="expression" dxfId="3" priority="6">
      <formula>rgLTIFR=1</formula>
    </cfRule>
    <cfRule type="expression" dxfId="4" priority="7">
      <formula>rgLTIFR=0</formula>
    </cfRule>
  </conditionalFormatting>
  <conditionalFormatting sqref="F16:I16">
    <cfRule type="expression" dxfId="5" priority="8">
      <formula>gdLTIFR&lt;0</formula>
    </cfRule>
  </conditionalFormatting>
  <conditionalFormatting sqref="F18:I18">
    <cfRule type="expression" dxfId="2" priority="21">
      <formula>rgTrainingCompliance=2</formula>
    </cfRule>
    <cfRule type="expression" dxfId="3" priority="22">
      <formula>rgTrainingCompliance=1</formula>
    </cfRule>
    <cfRule type="expression" dxfId="4" priority="23">
      <formula>rgTrainingCompliance=0</formula>
    </cfRule>
  </conditionalFormatting>
  <conditionalFormatting sqref="F22:I22">
    <cfRule type="expression" dxfId="5" priority="24">
      <formula>gdTrainingCompliance&lt;0</formula>
    </cfRule>
  </conditionalFormatting>
  <conditionalFormatting sqref="J12:M12">
    <cfRule type="expression" dxfId="2" priority="9">
      <formula>rgRecordable=2</formula>
    </cfRule>
    <cfRule type="expression" dxfId="3" priority="10">
      <formula>rgRecordable=1</formula>
    </cfRule>
    <cfRule type="expression" dxfId="4" priority="11">
      <formula>rgRecordable=0</formula>
    </cfRule>
  </conditionalFormatting>
  <conditionalFormatting sqref="J16:M16">
    <cfRule type="expression" dxfId="5" priority="12">
      <formula>gdRecordable&lt;0</formula>
    </cfRule>
  </conditionalFormatting>
  <conditionalFormatting sqref="J18:M18">
    <cfRule type="expression" dxfId="2" priority="25">
      <formula>rgCAClosure=2</formula>
    </cfRule>
    <cfRule type="expression" dxfId="3" priority="26">
      <formula>rgCAClosure=1</formula>
    </cfRule>
    <cfRule type="expression" dxfId="4" priority="27">
      <formula>rgCAClosure=0</formula>
    </cfRule>
  </conditionalFormatting>
  <conditionalFormatting sqref="J22:M22">
    <cfRule type="expression" dxfId="5" priority="28">
      <formula>gdCAClosure&lt;0</formula>
    </cfRule>
  </conditionalFormatting>
  <conditionalFormatting sqref="N12:Q12">
    <cfRule type="expression" dxfId="2" priority="13">
      <formula>rgLostDays=2</formula>
    </cfRule>
    <cfRule type="expression" dxfId="3" priority="14">
      <formula>rgLostDays=1</formula>
    </cfRule>
    <cfRule type="expression" dxfId="4" priority="15">
      <formula>rgLostDays=0</formula>
    </cfRule>
  </conditionalFormatting>
  <conditionalFormatting sqref="N16:Q16">
    <cfRule type="expression" dxfId="5" priority="16">
      <formula>gdLostDays&lt;0</formula>
    </cfRule>
  </conditionalFormatting>
  <conditionalFormatting sqref="N18:Q18">
    <cfRule type="expression" dxfId="2" priority="29">
      <formula>rgNearMiss=2</formula>
    </cfRule>
    <cfRule type="expression" dxfId="3" priority="30">
      <formula>rgNearMiss=1</formula>
    </cfRule>
    <cfRule type="expression" dxfId="4" priority="31">
      <formula>rgNearMiss=0</formula>
    </cfRule>
  </conditionalFormatting>
  <conditionalFormatting sqref="N22:Q22">
    <cfRule type="expression" dxfId="5" priority="32">
      <formula>gdNearMiss&lt;0</formula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</hyperlinks>
  <pageMargins left="0.3" right="0.3" top="0.4" bottom="0.4" header="0.3" footer="0.3"/>
  <pageSetup fitToHeight="0" orientation="landscape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0B6EA8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Calculations!H12:H23</xm:f>
              <xm:sqref>Q21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Calculations!EL12:EL23</xm:f>
              <xm:sqref>M21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Calculations!EC12:EC23</xm:f>
              <xm:sqref>I21</xm:sqref>
            </x14:sparkline>
          </x14:sparklines>
        </x14:sparklineGroup>
        <x14:sparklineGroup displayEmptyCellsAs="gap" high="1" low="1">
          <x14:colorSeries rgb="FF15A34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Calculations!ED12:ED23</xm:f>
              <xm:sqref>E21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Calculations!N12:N23</xm:f>
              <xm:sqref>Q15</xm:sqref>
            </x14:sparkline>
          </x14:sparklines>
        </x14:sparklineGroup>
        <x14:sparklineGroup displayEmptyCellsAs="gap" high="1" low="1">
          <x14:colorSeries rgb="FFF59E0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Calculations!F12:F23</xm:f>
              <xm:sqref>M15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Calculations!CK12:CK23</xm:f>
              <xm:sqref>I15</xm:sqref>
            </x14:sparkline>
          </x14:sparklines>
        </x14:sparklineGroup>
        <x14:sparklineGroup displayEmptyCellsAs="gap" high="1" low="1">
          <x14:colorSeries rgb="FFDC262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Calculations!CJ12:CJ23</xm:f>
              <xm:sqref>E15</xm:sqref>
            </x14:sparkline>
          </x14:sparklines>
        </x14:sparklineGroup>
      </x14:sparklineGroups>
    </ext>
  </extLst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37">
    <tabColor rgb="FFF5A524"/>
    <pageSetUpPr fitToPage="1"/>
  </sheetPr>
  <dimension ref="A1:U91"/>
  <sheetViews>
    <sheetView showGridLines="0" zoomScale="72" zoomScaleNormal="7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2304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2305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</row>
    <row r="11" spans="2:19">
      <c r="B11" s="36" t="s">
        <v>2306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2307</v>
      </c>
      <c r="C13" s="39"/>
      <c r="D13" s="39"/>
      <c r="E13" s="39"/>
      <c r="F13" s="39" t="s">
        <v>2309</v>
      </c>
      <c r="G13" s="39"/>
      <c r="H13" s="39"/>
      <c r="I13" s="39"/>
      <c r="J13" s="39" t="s">
        <v>2310</v>
      </c>
      <c r="K13" s="39"/>
      <c r="L13" s="39"/>
      <c r="M13" s="39"/>
      <c r="N13" s="39" t="s">
        <v>2311</v>
      </c>
      <c r="O13" s="39"/>
      <c r="P13" s="39"/>
      <c r="Q13" s="39"/>
    </row>
    <row r="14" spans="2:19">
      <c r="B14" s="41">
        <f>Calculations!$C$491</f>
        <v>0</v>
      </c>
      <c r="C14" s="41"/>
      <c r="D14" s="41"/>
      <c r="E14" s="41"/>
      <c r="F14" s="41">
        <f>Calculations!$DL$24</f>
        <v>0</v>
      </c>
      <c r="G14" s="41"/>
      <c r="H14" s="41"/>
      <c r="I14" s="41"/>
      <c r="J14" s="41">
        <f>Calculations!$DL$18</f>
        <v>0</v>
      </c>
      <c r="K14" s="41"/>
      <c r="L14" s="41"/>
      <c r="M14" s="41"/>
      <c r="N14" s="41">
        <f>Calculations!$DL$15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8"/>
      <c r="C18" s="38"/>
      <c r="D18" s="38"/>
      <c r="E18" s="38"/>
      <c r="F18" s="37"/>
      <c r="G18" s="37"/>
      <c r="H18" s="37"/>
      <c r="I18" s="37"/>
      <c r="J18" s="32"/>
      <c r="K18" s="32"/>
      <c r="L18" s="32"/>
      <c r="M18" s="32"/>
      <c r="N18" s="80"/>
      <c r="O18" s="80"/>
      <c r="P18" s="80"/>
      <c r="Q18" s="80"/>
    </row>
    <row r="19" spans="2:19">
      <c r="B19" s="39" t="s">
        <v>2218</v>
      </c>
      <c r="C19" s="39"/>
      <c r="D19" s="39"/>
      <c r="E19" s="39"/>
      <c r="F19" s="39" t="s">
        <v>2222</v>
      </c>
      <c r="G19" s="39"/>
      <c r="H19" s="39"/>
      <c r="I19" s="39"/>
      <c r="J19" s="39" t="s">
        <v>2312</v>
      </c>
      <c r="K19" s="39"/>
      <c r="L19" s="39"/>
      <c r="M19" s="39"/>
      <c r="N19" s="39" t="s">
        <v>2313</v>
      </c>
      <c r="O19" s="39"/>
      <c r="P19" s="39"/>
      <c r="Q19" s="39"/>
    </row>
    <row r="20" spans="2:19">
      <c r="B20" s="41">
        <f>Calculations!$DL$17</f>
        <v>0</v>
      </c>
      <c r="C20" s="41"/>
      <c r="D20" s="41"/>
      <c r="E20" s="41"/>
      <c r="F20" s="41">
        <f>Calculations!$DL$21</f>
        <v>0</v>
      </c>
      <c r="G20" s="41"/>
      <c r="H20" s="41"/>
      <c r="I20" s="41"/>
      <c r="J20" s="41">
        <f>Calculations!$C$492</f>
        <v>0</v>
      </c>
      <c r="K20" s="41"/>
      <c r="L20" s="41"/>
      <c r="M20" s="41"/>
      <c r="N20" s="41">
        <f>Calculations!$C$494+Calculations!$C$495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36" t="s">
        <v>2263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</row>
    <row r="41" spans="2:19">
      <c r="B41" s="36" t="s">
        <v>2314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</row>
    <row r="58" spans="2:21">
      <c r="B58" s="36" t="s">
        <v>2315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spans="2:21">
      <c r="N59" s="81"/>
      <c r="O59" s="81"/>
      <c r="P59" s="81"/>
      <c r="Q59" s="81"/>
      <c r="R59" s="81"/>
      <c r="S59" s="81"/>
      <c r="T59" s="81"/>
      <c r="U59" s="81"/>
    </row>
    <row r="60" spans="2:21">
      <c r="N60" s="81"/>
      <c r="O60" s="81"/>
      <c r="P60" s="81"/>
      <c r="Q60" s="81"/>
      <c r="R60" s="81"/>
      <c r="S60" s="81"/>
      <c r="T60" s="81"/>
      <c r="U60" s="81"/>
    </row>
    <row r="61" spans="2:21">
      <c r="N61" s="81"/>
      <c r="O61" s="81"/>
      <c r="P61" s="81"/>
      <c r="Q61" s="81"/>
      <c r="R61" s="81"/>
      <c r="S61" s="81"/>
      <c r="T61" s="81"/>
      <c r="U61" s="81"/>
    </row>
    <row r="62" spans="2:21">
      <c r="N62" s="82" t="s">
        <v>2316</v>
      </c>
      <c r="O62" s="82"/>
      <c r="P62" s="82" t="s">
        <v>2318</v>
      </c>
      <c r="Q62" s="82"/>
      <c r="R62" s="82" t="s">
        <v>2320</v>
      </c>
      <c r="S62" s="82"/>
      <c r="T62" s="82" t="s">
        <v>2322</v>
      </c>
      <c r="U62" s="82"/>
    </row>
    <row r="63" spans="2:21">
      <c r="N63" s="83" t="s">
        <v>2317</v>
      </c>
      <c r="O63" s="83"/>
      <c r="P63" s="83" t="s">
        <v>2319</v>
      </c>
      <c r="Q63" s="83"/>
      <c r="R63" s="83" t="s">
        <v>2321</v>
      </c>
      <c r="S63" s="83"/>
      <c r="T63" s="83" t="s">
        <v>2323</v>
      </c>
      <c r="U63" s="83"/>
    </row>
    <row r="64" spans="2:21">
      <c r="N64" s="83"/>
      <c r="O64" s="83"/>
      <c r="P64" s="83"/>
      <c r="Q64" s="83"/>
      <c r="R64" s="83"/>
      <c r="S64" s="83"/>
      <c r="T64" s="83"/>
      <c r="U64" s="83"/>
    </row>
    <row r="75" spans="2:19">
      <c r="B75" s="36" t="s">
        <v>2324</v>
      </c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</row>
    <row r="76" spans="2:19">
      <c r="B76" s="57" t="s">
        <v>2325</v>
      </c>
      <c r="C76" s="57"/>
      <c r="F76" s="57" t="s">
        <v>2327</v>
      </c>
      <c r="G76" s="57"/>
      <c r="J76" s="57" t="s">
        <v>2329</v>
      </c>
      <c r="K76" s="57"/>
      <c r="N76" s="57" t="s">
        <v>2333</v>
      </c>
      <c r="O76" s="57"/>
    </row>
    <row r="77" spans="2:19">
      <c r="B77" s="57" t="s">
        <v>2326</v>
      </c>
      <c r="C77" s="57" t="s">
        <v>2039</v>
      </c>
      <c r="F77" s="57" t="s">
        <v>642</v>
      </c>
      <c r="G77" s="57" t="s">
        <v>1965</v>
      </c>
      <c r="J77" s="57" t="s">
        <v>2330</v>
      </c>
      <c r="K77" s="57" t="s">
        <v>2331</v>
      </c>
      <c r="N77" s="57" t="s">
        <v>642</v>
      </c>
      <c r="O77" s="57" t="s">
        <v>1965</v>
      </c>
    </row>
    <row r="78" spans="2:19">
      <c r="B78" s="70" t="s">
        <v>1757</v>
      </c>
      <c r="C78" s="75">
        <f>Calculations!$DL$12</f>
        <v>0</v>
      </c>
      <c r="F78" s="70" t="s">
        <v>1530</v>
      </c>
      <c r="G78" s="75">
        <f>Calculations!$DL$18</f>
        <v>0</v>
      </c>
      <c r="J78" s="70" t="s">
        <v>2049</v>
      </c>
      <c r="K78" s="75">
        <f>Calculations!$C$494</f>
        <v>0</v>
      </c>
      <c r="N78" s="70" t="s">
        <v>232</v>
      </c>
      <c r="O78" s="75">
        <f>Calculations!$DL$43</f>
        <v>0</v>
      </c>
    </row>
    <row r="79" spans="2:19">
      <c r="B79" s="70" t="s">
        <v>1759</v>
      </c>
      <c r="C79" s="75">
        <f>Calculations!$DL$13</f>
        <v>0</v>
      </c>
      <c r="F79" s="70" t="s">
        <v>2328</v>
      </c>
      <c r="G79" s="75">
        <f>Calculations!$DL$15</f>
        <v>0</v>
      </c>
      <c r="J79" s="70" t="s">
        <v>2332</v>
      </c>
      <c r="K79" s="75">
        <f>Calculations!$C$495</f>
        <v>0</v>
      </c>
      <c r="N79" s="70" t="s">
        <v>230</v>
      </c>
      <c r="O79" s="75">
        <f>Calculations!$DL$45</f>
        <v>0</v>
      </c>
    </row>
    <row r="80" spans="2:19">
      <c r="B80" s="70" t="s">
        <v>2298</v>
      </c>
      <c r="C80" s="75">
        <f>Calculations!$DL$29</f>
        <v>0</v>
      </c>
      <c r="F80" s="70" t="s">
        <v>310</v>
      </c>
      <c r="G80" s="75">
        <f>Calculations!$DL$17</f>
        <v>0</v>
      </c>
    </row>
    <row r="81" spans="2:8">
      <c r="B81" s="70" t="s">
        <v>2034</v>
      </c>
      <c r="C81" s="75">
        <f>Calculations!$DL$31</f>
        <v>0</v>
      </c>
    </row>
    <row r="82" spans="2:8">
      <c r="B82" s="70" t="s">
        <v>2035</v>
      </c>
      <c r="C82" s="75">
        <f>Calculations!$DL$57</f>
        <v>0</v>
      </c>
    </row>
    <row r="85" spans="2:8">
      <c r="B85" s="57" t="s">
        <v>2334</v>
      </c>
      <c r="C85" s="57"/>
      <c r="F85" s="57" t="s">
        <v>2335</v>
      </c>
      <c r="G85" s="57"/>
      <c r="H85" s="57"/>
    </row>
    <row r="86" spans="2:8">
      <c r="B86" s="57" t="s">
        <v>288</v>
      </c>
      <c r="C86" s="57" t="s">
        <v>1965</v>
      </c>
      <c r="F86" s="57" t="s">
        <v>130</v>
      </c>
      <c r="G86" s="57" t="s">
        <v>594</v>
      </c>
      <c r="H86" s="57" t="s">
        <v>1729</v>
      </c>
    </row>
    <row r="87" spans="2:8">
      <c r="B87" s="70" t="s">
        <v>594</v>
      </c>
      <c r="C87" s="75">
        <f>Calculations!$C$492</f>
        <v>0</v>
      </c>
      <c r="F87" s="70">
        <f>INDEX(PPE_Loc,1)</f>
        <v>0</v>
      </c>
      <c r="G87" s="75">
        <f>INDEX(PPE_Issued,1)</f>
        <v>0</v>
      </c>
      <c r="H87" s="75">
        <f>INDEX(PPE_Used,1)</f>
        <v>0</v>
      </c>
    </row>
    <row r="88" spans="2:8">
      <c r="B88" s="70" t="s">
        <v>2052</v>
      </c>
      <c r="C88" s="75">
        <f>Calculations!$C$493</f>
        <v>0</v>
      </c>
      <c r="F88" s="70">
        <f>INDEX(PPE_Loc,2)</f>
        <v>0</v>
      </c>
      <c r="G88" s="75">
        <f>INDEX(PPE_Issued,2)</f>
        <v>0</v>
      </c>
      <c r="H88" s="75">
        <f>INDEX(PPE_Used,2)</f>
        <v>0</v>
      </c>
    </row>
    <row r="89" spans="2:8">
      <c r="B89" s="70" t="s">
        <v>1257</v>
      </c>
      <c r="C89" s="75">
        <f>Calculations!$DL$55</f>
        <v>0</v>
      </c>
      <c r="F89" s="70">
        <f>INDEX(PPE_Loc,3)</f>
        <v>0</v>
      </c>
      <c r="G89" s="75">
        <f>INDEX(PPE_Issued,3)</f>
        <v>0</v>
      </c>
      <c r="H89" s="75">
        <f>INDEX(PPE_Used,3)</f>
        <v>0</v>
      </c>
    </row>
    <row r="90" spans="2:8">
      <c r="F90" s="70">
        <f>INDEX(PPE_Loc,4)</f>
        <v>0</v>
      </c>
      <c r="G90" s="75">
        <f>INDEX(PPE_Issued,4)</f>
        <v>0</v>
      </c>
      <c r="H90" s="75">
        <f>INDEX(PPE_Used,4)</f>
        <v>0</v>
      </c>
    </row>
    <row r="91" spans="2:8">
      <c r="F91" s="70">
        <f>INDEX(PPE_Loc,5)</f>
        <v>0</v>
      </c>
      <c r="G91" s="75">
        <f>INDEX(PPE_Issued,5)</f>
        <v>0</v>
      </c>
      <c r="H91" s="75">
        <f>INDEX(PPE_Used,5)</f>
        <v>0</v>
      </c>
    </row>
  </sheetData>
  <mergeCells count="60">
    <mergeCell ref="B2:M4"/>
    <mergeCell ref="B5:M5"/>
    <mergeCell ref="N2:S5"/>
    <mergeCell ref="B6:S6"/>
    <mergeCell ref="D9:E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41:S41"/>
    <mergeCell ref="B58:S58"/>
    <mergeCell ref="N59:O61"/>
    <mergeCell ref="N62:O62"/>
    <mergeCell ref="N63:O64"/>
    <mergeCell ref="P59:Q61"/>
    <mergeCell ref="P62:Q62"/>
    <mergeCell ref="P63:Q64"/>
    <mergeCell ref="R59:S61"/>
    <mergeCell ref="R62:S62"/>
    <mergeCell ref="R63:S64"/>
    <mergeCell ref="T59:U61"/>
    <mergeCell ref="T62:U62"/>
    <mergeCell ref="T63:U64"/>
    <mergeCell ref="B75:S75"/>
    <mergeCell ref="B76:C76"/>
    <mergeCell ref="F76:G76"/>
    <mergeCell ref="J76:K76"/>
    <mergeCell ref="N76:O76"/>
    <mergeCell ref="B85:C85"/>
    <mergeCell ref="F85:H85"/>
  </mergeCells>
  <hyperlinks>
    <hyperlink ref="B9" location="'Home'!A1" display="⌂ Home"/>
    <hyperlink ref="C9" location="'Executive Dashboard'!A1" display="Executive"/>
    <hyperlink ref="D9" location="'Leadership Review'!A1" display="Leadership"/>
  </hyperlinks>
  <pageMargins left="0.3" right="0.3" top="0.4" bottom="0.4" header="0.3" footer="0.3"/>
  <pageSetup fitToHeight="0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8">
    <tabColor rgb="FF14B8A6"/>
    <pageSetUpPr fitToPage="1"/>
  </sheetPr>
  <dimension ref="A1:S82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2336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2337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2340</v>
      </c>
      <c r="C13" s="39"/>
      <c r="D13" s="39"/>
      <c r="E13" s="39"/>
      <c r="F13" s="39" t="s">
        <v>2341</v>
      </c>
      <c r="G13" s="39"/>
      <c r="H13" s="39"/>
      <c r="I13" s="39"/>
      <c r="J13" s="39" t="s">
        <v>2342</v>
      </c>
      <c r="K13" s="39"/>
      <c r="L13" s="39"/>
      <c r="M13" s="39"/>
      <c r="N13" s="39" t="s">
        <v>2343</v>
      </c>
      <c r="O13" s="39"/>
      <c r="P13" s="39"/>
      <c r="Q13" s="39"/>
    </row>
    <row r="14" spans="2:19">
      <c r="B14" s="41">
        <f>Calculations!$N$516</f>
        <v>0</v>
      </c>
      <c r="C14" s="41"/>
      <c r="D14" s="41"/>
      <c r="E14" s="41"/>
      <c r="F14" s="41">
        <f>Calculations!$N$517</f>
        <v>0</v>
      </c>
      <c r="G14" s="41"/>
      <c r="H14" s="41"/>
      <c r="I14" s="41"/>
      <c r="J14" s="41">
        <f>Calculations!$N$518</f>
        <v>0</v>
      </c>
      <c r="K14" s="41"/>
      <c r="L14" s="41"/>
      <c r="M14" s="41"/>
      <c r="N14" s="42">
        <f>Calculations!$N$519</f>
        <v>0</v>
      </c>
      <c r="O14" s="42"/>
      <c r="P14" s="42"/>
      <c r="Q14" s="42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  <c r="O15" s="42"/>
      <c r="P15" s="42"/>
      <c r="Q15" s="42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2344</v>
      </c>
      <c r="C19" s="39"/>
      <c r="D19" s="39"/>
      <c r="E19" s="39"/>
      <c r="F19" s="39" t="s">
        <v>2345</v>
      </c>
      <c r="G19" s="39"/>
      <c r="H19" s="39"/>
      <c r="I19" s="39"/>
      <c r="J19" s="39" t="s">
        <v>2346</v>
      </c>
      <c r="K19" s="39"/>
      <c r="L19" s="39"/>
      <c r="M19" s="39"/>
      <c r="N19" s="39" t="s">
        <v>2347</v>
      </c>
      <c r="O19" s="39"/>
      <c r="P19" s="39"/>
      <c r="Q19" s="39"/>
    </row>
    <row r="20" spans="2:19">
      <c r="B20" s="41">
        <f>Calculations!$N$520</f>
        <v>0</v>
      </c>
      <c r="C20" s="41"/>
      <c r="D20" s="41"/>
      <c r="E20" s="41"/>
      <c r="F20" s="41">
        <f>Calculations!$N$521</f>
        <v>0</v>
      </c>
      <c r="G20" s="41"/>
      <c r="H20" s="41"/>
      <c r="I20" s="41"/>
      <c r="J20" s="41">
        <f>Calculations!$N$522</f>
        <v>0</v>
      </c>
      <c r="K20" s="41"/>
      <c r="L20" s="41"/>
      <c r="M20" s="41"/>
      <c r="N20" s="41">
        <f>Calculations!$N$523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"&amp;INDEX(Calculations!$C$516:$C$527,CurMonthNo)&amp;"   vs   "&amp;INDEX(L_Month,CurMonthNo-1)&amp;": "&amp;INDEX(Calculations!$C$516:$C$527,CurMonthNo-1)&amp;"   "&amp;IF(INDEX(Calculations!$C$516:$C$527,CurMonthNo)&gt;=INDEX(Calculations!$C$516:$C$527,CurMonthNo-1),"▲ ","▼ ")&amp;TEXT(IFERROR((INDEX(Calculations!$C$516:$C$527,CurMonthNo)-INDEX(Calculations!$C$516:$C$527,CurMonthNo-1))/INDEX(Calculations!$C$516:$C$527,CurMonthNo-1),0),"+0.0%;-0.0%")))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2349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>
        <f>Calculations!$B$276</f>
        <v>0</v>
      </c>
      <c r="C44" s="57">
        <f>Calculations!$C$276</f>
        <v>0</v>
      </c>
      <c r="D44" s="57">
        <f>Calculations!$D$276</f>
        <v>0</v>
      </c>
      <c r="E44" s="57">
        <f>Calculations!$E$276</f>
        <v>0</v>
      </c>
      <c r="F44" s="57">
        <f>Calculations!$F$276</f>
        <v>0</v>
      </c>
      <c r="G44" s="57">
        <f>Calculations!$G$276</f>
        <v>0</v>
      </c>
      <c r="H44" s="57">
        <f>Calculations!$H$276</f>
        <v>0</v>
      </c>
    </row>
    <row r="45" spans="2:19">
      <c r="B45" s="70">
        <f>Calculations!$B$277</f>
        <v>0</v>
      </c>
      <c r="C45" s="85">
        <f>Calculations!$C$277</f>
        <v>0</v>
      </c>
      <c r="D45" s="85">
        <f>Calculations!$D$277</f>
        <v>0</v>
      </c>
      <c r="E45" s="85">
        <f>Calculations!$E$277</f>
        <v>0</v>
      </c>
      <c r="F45" s="85">
        <f>Calculations!$F$277</f>
        <v>0</v>
      </c>
      <c r="G45" s="85">
        <f>Calculations!$G$277</f>
        <v>0</v>
      </c>
      <c r="H45" s="85">
        <f>Calculations!$H$277</f>
        <v>0</v>
      </c>
    </row>
    <row r="46" spans="2:19">
      <c r="B46" s="70">
        <f>Calculations!$B$278</f>
        <v>0</v>
      </c>
      <c r="C46" s="85">
        <f>Calculations!$C$278</f>
        <v>0</v>
      </c>
      <c r="D46" s="85">
        <f>Calculations!$D$278</f>
        <v>0</v>
      </c>
      <c r="E46" s="85">
        <f>Calculations!$E$278</f>
        <v>0</v>
      </c>
      <c r="F46" s="85">
        <f>Calculations!$F$278</f>
        <v>0</v>
      </c>
      <c r="G46" s="85">
        <f>Calculations!$G$278</f>
        <v>0</v>
      </c>
      <c r="H46" s="85">
        <f>Calculations!$H$278</f>
        <v>0</v>
      </c>
    </row>
    <row r="47" spans="2:19">
      <c r="B47" s="70">
        <f>Calculations!$B$279</f>
        <v>0</v>
      </c>
      <c r="C47" s="85">
        <f>Calculations!$C$279</f>
        <v>0</v>
      </c>
      <c r="D47" s="85">
        <f>Calculations!$D$279</f>
        <v>0</v>
      </c>
      <c r="E47" s="85">
        <f>Calculations!$E$279</f>
        <v>0</v>
      </c>
      <c r="F47" s="85">
        <f>Calculations!$F$279</f>
        <v>0</v>
      </c>
      <c r="G47" s="85">
        <f>Calculations!$G$279</f>
        <v>0</v>
      </c>
      <c r="H47" s="85">
        <f>Calculations!$H$279</f>
        <v>0</v>
      </c>
    </row>
    <row r="48" spans="2:19">
      <c r="B48" s="70">
        <f>Calculations!$B$280</f>
        <v>0</v>
      </c>
      <c r="C48" s="85">
        <f>Calculations!$C$280</f>
        <v>0</v>
      </c>
      <c r="D48" s="85">
        <f>Calculations!$D$280</f>
        <v>0</v>
      </c>
      <c r="E48" s="85">
        <f>Calculations!$E$280</f>
        <v>0</v>
      </c>
      <c r="F48" s="85">
        <f>Calculations!$F$280</f>
        <v>0</v>
      </c>
      <c r="G48" s="85">
        <f>Calculations!$G$280</f>
        <v>0</v>
      </c>
      <c r="H48" s="85">
        <f>Calculations!$H$280</f>
        <v>0</v>
      </c>
    </row>
    <row r="49" spans="2:19">
      <c r="B49" s="70">
        <f>Calculations!$B$281</f>
        <v>0</v>
      </c>
      <c r="C49" s="85">
        <f>Calculations!$C$281</f>
        <v>0</v>
      </c>
      <c r="D49" s="85">
        <f>Calculations!$D$281</f>
        <v>0</v>
      </c>
      <c r="E49" s="85">
        <f>Calculations!$E$281</f>
        <v>0</v>
      </c>
      <c r="F49" s="85">
        <f>Calculations!$F$281</f>
        <v>0</v>
      </c>
      <c r="G49" s="85">
        <f>Calculations!$G$281</f>
        <v>0</v>
      </c>
      <c r="H49" s="85">
        <f>Calculations!$H$281</f>
        <v>0</v>
      </c>
    </row>
    <row r="50" spans="2:19">
      <c r="B50" s="70">
        <f>Calculations!$B$282</f>
        <v>0</v>
      </c>
      <c r="C50" s="85">
        <f>Calculations!$C$282</f>
        <v>0</v>
      </c>
      <c r="D50" s="85">
        <f>Calculations!$D$282</f>
        <v>0</v>
      </c>
      <c r="E50" s="85">
        <f>Calculations!$E$282</f>
        <v>0</v>
      </c>
      <c r="F50" s="85">
        <f>Calculations!$F$282</f>
        <v>0</v>
      </c>
      <c r="G50" s="85">
        <f>Calculations!$G$282</f>
        <v>0</v>
      </c>
      <c r="H50" s="85">
        <f>Calculations!$H$282</f>
        <v>0</v>
      </c>
    </row>
    <row r="51" spans="2:19">
      <c r="B51" s="70">
        <f>Calculations!$B$283</f>
        <v>0</v>
      </c>
      <c r="C51" s="85">
        <f>Calculations!$C$283</f>
        <v>0</v>
      </c>
      <c r="D51" s="85">
        <f>Calculations!$D$283</f>
        <v>0</v>
      </c>
      <c r="E51" s="85">
        <f>Calculations!$E$283</f>
        <v>0</v>
      </c>
      <c r="F51" s="85">
        <f>Calculations!$F$283</f>
        <v>0</v>
      </c>
      <c r="G51" s="85">
        <f>Calculations!$G$283</f>
        <v>0</v>
      </c>
      <c r="H51" s="85">
        <f>Calculations!$H$283</f>
        <v>0</v>
      </c>
    </row>
    <row r="52" spans="2:19">
      <c r="B52" s="70">
        <f>Calculations!$B$284</f>
        <v>0</v>
      </c>
      <c r="C52" s="85">
        <f>Calculations!$C$284</f>
        <v>0</v>
      </c>
      <c r="D52" s="85">
        <f>Calculations!$D$284</f>
        <v>0</v>
      </c>
      <c r="E52" s="85">
        <f>Calculations!$E$284</f>
        <v>0</v>
      </c>
      <c r="F52" s="85">
        <f>Calculations!$F$284</f>
        <v>0</v>
      </c>
      <c r="G52" s="85">
        <f>Calculations!$G$284</f>
        <v>0</v>
      </c>
      <c r="H52" s="85">
        <f>Calculations!$H$284</f>
        <v>0</v>
      </c>
    </row>
    <row r="55" spans="2:19">
      <c r="B55" s="36" t="s">
        <v>2350</v>
      </c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</row>
    <row r="56" spans="2:19">
      <c r="B56" s="57" t="s">
        <v>129</v>
      </c>
      <c r="C56" s="57" t="s">
        <v>1965</v>
      </c>
      <c r="D56" s="57" t="s">
        <v>1770</v>
      </c>
      <c r="E56" s="57" t="s">
        <v>2062</v>
      </c>
    </row>
    <row r="57" spans="2:19">
      <c r="B57" s="70">
        <f>IFERROR(Calculations!$P$516,"")</f>
        <v>0</v>
      </c>
      <c r="C57" s="75">
        <f>IFERROR(Calculations!$Q$516,"")</f>
        <v>0</v>
      </c>
      <c r="D57" s="75">
        <f>IFERROR(Calculations!$R$516,"")</f>
        <v>0</v>
      </c>
      <c r="E57" s="76">
        <f>IFERROR(Calculations!$S$516,"")</f>
        <v>0</v>
      </c>
    </row>
    <row r="58" spans="2:19">
      <c r="B58" s="70">
        <f>IFERROR(Calculations!$P$517,"")</f>
        <v>0</v>
      </c>
      <c r="C58" s="75">
        <f>IFERROR(Calculations!$Q$517,"")</f>
        <v>0</v>
      </c>
      <c r="D58" s="75">
        <f>IFERROR(Calculations!$R$517,"")</f>
        <v>0</v>
      </c>
      <c r="E58" s="76">
        <f>IFERROR(Calculations!$S$517,"")</f>
        <v>0</v>
      </c>
    </row>
    <row r="59" spans="2:19">
      <c r="B59" s="70">
        <f>IFERROR(Calculations!$P$518,"")</f>
        <v>0</v>
      </c>
      <c r="C59" s="75">
        <f>IFERROR(Calculations!$Q$518,"")</f>
        <v>0</v>
      </c>
      <c r="D59" s="75">
        <f>IFERROR(Calculations!$R$518,"")</f>
        <v>0</v>
      </c>
      <c r="E59" s="76">
        <f>IFERROR(Calculations!$S$518,"")</f>
        <v>0</v>
      </c>
    </row>
    <row r="60" spans="2:19">
      <c r="B60" s="70">
        <f>IFERROR(Calculations!$P$519,"")</f>
        <v>0</v>
      </c>
      <c r="C60" s="75">
        <f>IFERROR(Calculations!$Q$519,"")</f>
        <v>0</v>
      </c>
      <c r="D60" s="75">
        <f>IFERROR(Calculations!$R$519,"")</f>
        <v>0</v>
      </c>
      <c r="E60" s="76">
        <f>IFERROR(Calculations!$S$519,"")</f>
        <v>0</v>
      </c>
    </row>
    <row r="61" spans="2:19">
      <c r="B61" s="70">
        <f>IFERROR(Calculations!$P$520,"")</f>
        <v>0</v>
      </c>
      <c r="C61" s="75">
        <f>IFERROR(Calculations!$Q$520,"")</f>
        <v>0</v>
      </c>
      <c r="D61" s="75">
        <f>IFERROR(Calculations!$R$520,"")</f>
        <v>0</v>
      </c>
      <c r="E61" s="76">
        <f>IFERROR(Calculations!$S$520,"")</f>
        <v>0</v>
      </c>
    </row>
    <row r="62" spans="2:19">
      <c r="B62" s="70">
        <f>IFERROR(Calculations!$P$521,"")</f>
        <v>0</v>
      </c>
      <c r="C62" s="75">
        <f>IFERROR(Calculations!$Q$521,"")</f>
        <v>0</v>
      </c>
      <c r="D62" s="75">
        <f>IFERROR(Calculations!$R$521,"")</f>
        <v>0</v>
      </c>
      <c r="E62" s="76">
        <f>IFERROR(Calculations!$S$521,"")</f>
        <v>0</v>
      </c>
    </row>
    <row r="63" spans="2:19">
      <c r="B63" s="70">
        <f>IFERROR(Calculations!$P$522,"")</f>
        <v>0</v>
      </c>
      <c r="C63" s="75">
        <f>IFERROR(Calculations!$Q$522,"")</f>
        <v>0</v>
      </c>
      <c r="D63" s="75">
        <f>IFERROR(Calculations!$R$522,"")</f>
        <v>0</v>
      </c>
      <c r="E63" s="76">
        <f>IFERROR(Calculations!$S$522,"")</f>
        <v>0</v>
      </c>
    </row>
    <row r="64" spans="2:19">
      <c r="B64" s="70">
        <f>IFERROR(Calculations!$P$523,"")</f>
        <v>0</v>
      </c>
      <c r="C64" s="75">
        <f>IFERROR(Calculations!$Q$523,"")</f>
        <v>0</v>
      </c>
      <c r="D64" s="75">
        <f>IFERROR(Calculations!$R$523,"")</f>
        <v>0</v>
      </c>
      <c r="E64" s="76">
        <f>IFERROR(Calculations!$S$523,"")</f>
        <v>0</v>
      </c>
    </row>
    <row r="65" spans="2:19">
      <c r="B65" s="70">
        <f>IFERROR(Calculations!$P$524,"")</f>
        <v>0</v>
      </c>
      <c r="C65" s="75">
        <f>IFERROR(Calculations!$Q$524,"")</f>
        <v>0</v>
      </c>
      <c r="D65" s="75">
        <f>IFERROR(Calculations!$R$524,"")</f>
        <v>0</v>
      </c>
      <c r="E65" s="76">
        <f>IFERROR(Calculations!$S$524,"")</f>
        <v>0</v>
      </c>
    </row>
    <row r="66" spans="2:19">
      <c r="B66" s="70">
        <f>IFERROR(Calculations!$P$525,"")</f>
        <v>0</v>
      </c>
      <c r="C66" s="75">
        <f>IFERROR(Calculations!$Q$525,"")</f>
        <v>0</v>
      </c>
      <c r="D66" s="75">
        <f>IFERROR(Calculations!$R$525,"")</f>
        <v>0</v>
      </c>
      <c r="E66" s="76">
        <f>IFERROR(Calculations!$S$525,"")</f>
        <v>0</v>
      </c>
    </row>
    <row r="72" spans="2:19">
      <c r="B72" s="36" t="s">
        <v>2351</v>
      </c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2:19">
      <c r="B73" s="57" t="s">
        <v>2038</v>
      </c>
      <c r="C73" s="57" t="s">
        <v>3</v>
      </c>
      <c r="D73" s="57" t="s">
        <v>19</v>
      </c>
      <c r="E73" s="57" t="s">
        <v>44</v>
      </c>
      <c r="F73" s="57" t="s">
        <v>53</v>
      </c>
      <c r="G73" s="57" t="s">
        <v>60</v>
      </c>
      <c r="H73" s="57" t="s">
        <v>73</v>
      </c>
      <c r="I73" s="57" t="s">
        <v>76</v>
      </c>
      <c r="J73" s="57" t="s">
        <v>86</v>
      </c>
      <c r="K73" s="57" t="s">
        <v>102</v>
      </c>
      <c r="L73" s="57" t="s">
        <v>106</v>
      </c>
      <c r="M73" s="57" t="s">
        <v>111</v>
      </c>
      <c r="N73" s="57" t="s">
        <v>122</v>
      </c>
      <c r="O73" s="57" t="s">
        <v>2063</v>
      </c>
    </row>
    <row r="74" spans="2:19">
      <c r="B74" s="70">
        <f>IF(Calculations!$U$516="","",Calculations!$U$516)</f>
        <v>0</v>
      </c>
      <c r="C74" s="75">
        <f>IFERROR(Calculations!$V$516,"")</f>
        <v>0</v>
      </c>
      <c r="D74" s="75">
        <f>IFERROR(Calculations!$W$516,"")</f>
        <v>0</v>
      </c>
      <c r="E74" s="75">
        <f>IFERROR(Calculations!$X$516,"")</f>
        <v>0</v>
      </c>
      <c r="F74" s="75">
        <f>IFERROR(Calculations!$Y$516,"")</f>
        <v>0</v>
      </c>
      <c r="G74" s="75">
        <f>IFERROR(Calculations!$Z$516,"")</f>
        <v>0</v>
      </c>
      <c r="H74" s="75">
        <f>IFERROR(Calculations!$AA$516,"")</f>
        <v>0</v>
      </c>
      <c r="I74" s="75">
        <f>IFERROR(Calculations!$AB$516,"")</f>
        <v>0</v>
      </c>
      <c r="J74" s="75">
        <f>IFERROR(Calculations!$AC$516,"")</f>
        <v>0</v>
      </c>
      <c r="K74" s="75">
        <f>IFERROR(Calculations!$AD$516,"")</f>
        <v>0</v>
      </c>
      <c r="L74" s="75">
        <f>IFERROR(Calculations!$AE$516,"")</f>
        <v>0</v>
      </c>
      <c r="M74" s="75">
        <f>IFERROR(Calculations!$AF$516,"")</f>
        <v>0</v>
      </c>
      <c r="N74" s="75">
        <f>IFERROR(Calculations!$AG$516,"")</f>
        <v>0</v>
      </c>
      <c r="O74" s="75">
        <f>IFERROR(Calculations!$AH$516,"")</f>
        <v>0</v>
      </c>
    </row>
    <row r="75" spans="2:19">
      <c r="B75" s="70">
        <f>IF(Calculations!$U$517="","",Calculations!$U$517)</f>
        <v>0</v>
      </c>
      <c r="C75" s="75">
        <f>IFERROR(Calculations!$V$517,"")</f>
        <v>0</v>
      </c>
      <c r="D75" s="75">
        <f>IFERROR(Calculations!$W$517,"")</f>
        <v>0</v>
      </c>
      <c r="E75" s="75">
        <f>IFERROR(Calculations!$X$517,"")</f>
        <v>0</v>
      </c>
      <c r="F75" s="75">
        <f>IFERROR(Calculations!$Y$517,"")</f>
        <v>0</v>
      </c>
      <c r="G75" s="75">
        <f>IFERROR(Calculations!$Z$517,"")</f>
        <v>0</v>
      </c>
      <c r="H75" s="75">
        <f>IFERROR(Calculations!$AA$517,"")</f>
        <v>0</v>
      </c>
      <c r="I75" s="75">
        <f>IFERROR(Calculations!$AB$517,"")</f>
        <v>0</v>
      </c>
      <c r="J75" s="75">
        <f>IFERROR(Calculations!$AC$517,"")</f>
        <v>0</v>
      </c>
      <c r="K75" s="75">
        <f>IFERROR(Calculations!$AD$517,"")</f>
        <v>0</v>
      </c>
      <c r="L75" s="75">
        <f>IFERROR(Calculations!$AE$517,"")</f>
        <v>0</v>
      </c>
      <c r="M75" s="75">
        <f>IFERROR(Calculations!$AF$517,"")</f>
        <v>0</v>
      </c>
      <c r="N75" s="75">
        <f>IFERROR(Calculations!$AG$517,"")</f>
        <v>0</v>
      </c>
      <c r="O75" s="75">
        <f>IFERROR(Calculations!$AH$517,"")</f>
        <v>0</v>
      </c>
    </row>
    <row r="76" spans="2:19">
      <c r="B76" s="70">
        <f>IF(Calculations!$U$518="","",Calculations!$U$518)</f>
        <v>0</v>
      </c>
      <c r="C76" s="75">
        <f>IFERROR(Calculations!$V$518,"")</f>
        <v>0</v>
      </c>
      <c r="D76" s="75">
        <f>IFERROR(Calculations!$W$518,"")</f>
        <v>0</v>
      </c>
      <c r="E76" s="75">
        <f>IFERROR(Calculations!$X$518,"")</f>
        <v>0</v>
      </c>
      <c r="F76" s="75">
        <f>IFERROR(Calculations!$Y$518,"")</f>
        <v>0</v>
      </c>
      <c r="G76" s="75">
        <f>IFERROR(Calculations!$Z$518,"")</f>
        <v>0</v>
      </c>
      <c r="H76" s="75">
        <f>IFERROR(Calculations!$AA$518,"")</f>
        <v>0</v>
      </c>
      <c r="I76" s="75">
        <f>IFERROR(Calculations!$AB$518,"")</f>
        <v>0</v>
      </c>
      <c r="J76" s="75">
        <f>IFERROR(Calculations!$AC$518,"")</f>
        <v>0</v>
      </c>
      <c r="K76" s="75">
        <f>IFERROR(Calculations!$AD$518,"")</f>
        <v>0</v>
      </c>
      <c r="L76" s="75">
        <f>IFERROR(Calculations!$AE$518,"")</f>
        <v>0</v>
      </c>
      <c r="M76" s="75">
        <f>IFERROR(Calculations!$AF$518,"")</f>
        <v>0</v>
      </c>
      <c r="N76" s="75">
        <f>IFERROR(Calculations!$AG$518,"")</f>
        <v>0</v>
      </c>
      <c r="O76" s="75">
        <f>IFERROR(Calculations!$AH$518,"")</f>
        <v>0</v>
      </c>
    </row>
    <row r="77" spans="2:19">
      <c r="B77" s="70">
        <f>IF(Calculations!$U$519="","",Calculations!$U$519)</f>
        <v>0</v>
      </c>
      <c r="C77" s="75">
        <f>IFERROR(Calculations!$V$519,"")</f>
        <v>0</v>
      </c>
      <c r="D77" s="75">
        <f>IFERROR(Calculations!$W$519,"")</f>
        <v>0</v>
      </c>
      <c r="E77" s="75">
        <f>IFERROR(Calculations!$X$519,"")</f>
        <v>0</v>
      </c>
      <c r="F77" s="75">
        <f>IFERROR(Calculations!$Y$519,"")</f>
        <v>0</v>
      </c>
      <c r="G77" s="75">
        <f>IFERROR(Calculations!$Z$519,"")</f>
        <v>0</v>
      </c>
      <c r="H77" s="75">
        <f>IFERROR(Calculations!$AA$519,"")</f>
        <v>0</v>
      </c>
      <c r="I77" s="75">
        <f>IFERROR(Calculations!$AB$519,"")</f>
        <v>0</v>
      </c>
      <c r="J77" s="75">
        <f>IFERROR(Calculations!$AC$519,"")</f>
        <v>0</v>
      </c>
      <c r="K77" s="75">
        <f>IFERROR(Calculations!$AD$519,"")</f>
        <v>0</v>
      </c>
      <c r="L77" s="75">
        <f>IFERROR(Calculations!$AE$519,"")</f>
        <v>0</v>
      </c>
      <c r="M77" s="75">
        <f>IFERROR(Calculations!$AF$519,"")</f>
        <v>0</v>
      </c>
      <c r="N77" s="75">
        <f>IFERROR(Calculations!$AG$519,"")</f>
        <v>0</v>
      </c>
      <c r="O77" s="75">
        <f>IFERROR(Calculations!$AH$519,"")</f>
        <v>0</v>
      </c>
    </row>
    <row r="78" spans="2:19">
      <c r="B78" s="70">
        <f>IF(Calculations!$U$520="","",Calculations!$U$520)</f>
        <v>0</v>
      </c>
      <c r="C78" s="75">
        <f>IFERROR(Calculations!$V$520,"")</f>
        <v>0</v>
      </c>
      <c r="D78" s="75">
        <f>IFERROR(Calculations!$W$520,"")</f>
        <v>0</v>
      </c>
      <c r="E78" s="75">
        <f>IFERROR(Calculations!$X$520,"")</f>
        <v>0</v>
      </c>
      <c r="F78" s="75">
        <f>IFERROR(Calculations!$Y$520,"")</f>
        <v>0</v>
      </c>
      <c r="G78" s="75">
        <f>IFERROR(Calculations!$Z$520,"")</f>
        <v>0</v>
      </c>
      <c r="H78" s="75">
        <f>IFERROR(Calculations!$AA$520,"")</f>
        <v>0</v>
      </c>
      <c r="I78" s="75">
        <f>IFERROR(Calculations!$AB$520,"")</f>
        <v>0</v>
      </c>
      <c r="J78" s="75">
        <f>IFERROR(Calculations!$AC$520,"")</f>
        <v>0</v>
      </c>
      <c r="K78" s="75">
        <f>IFERROR(Calculations!$AD$520,"")</f>
        <v>0</v>
      </c>
      <c r="L78" s="75">
        <f>IFERROR(Calculations!$AE$520,"")</f>
        <v>0</v>
      </c>
      <c r="M78" s="75">
        <f>IFERROR(Calculations!$AF$520,"")</f>
        <v>0</v>
      </c>
      <c r="N78" s="75">
        <f>IFERROR(Calculations!$AG$520,"")</f>
        <v>0</v>
      </c>
      <c r="O78" s="75">
        <f>IFERROR(Calculations!$AH$520,"")</f>
        <v>0</v>
      </c>
    </row>
    <row r="79" spans="2:19">
      <c r="B79" s="70">
        <f>IF(Calculations!$U$521="","",Calculations!$U$521)</f>
        <v>0</v>
      </c>
      <c r="C79" s="75">
        <f>IFERROR(Calculations!$V$521,"")</f>
        <v>0</v>
      </c>
      <c r="D79" s="75">
        <f>IFERROR(Calculations!$W$521,"")</f>
        <v>0</v>
      </c>
      <c r="E79" s="75">
        <f>IFERROR(Calculations!$X$521,"")</f>
        <v>0</v>
      </c>
      <c r="F79" s="75">
        <f>IFERROR(Calculations!$Y$521,"")</f>
        <v>0</v>
      </c>
      <c r="G79" s="75">
        <f>IFERROR(Calculations!$Z$521,"")</f>
        <v>0</v>
      </c>
      <c r="H79" s="75">
        <f>IFERROR(Calculations!$AA$521,"")</f>
        <v>0</v>
      </c>
      <c r="I79" s="75">
        <f>IFERROR(Calculations!$AB$521,"")</f>
        <v>0</v>
      </c>
      <c r="J79" s="75">
        <f>IFERROR(Calculations!$AC$521,"")</f>
        <v>0</v>
      </c>
      <c r="K79" s="75">
        <f>IFERROR(Calculations!$AD$521,"")</f>
        <v>0</v>
      </c>
      <c r="L79" s="75">
        <f>IFERROR(Calculations!$AE$521,"")</f>
        <v>0</v>
      </c>
      <c r="M79" s="75">
        <f>IFERROR(Calculations!$AF$521,"")</f>
        <v>0</v>
      </c>
      <c r="N79" s="75">
        <f>IFERROR(Calculations!$AG$521,"")</f>
        <v>0</v>
      </c>
      <c r="O79" s="75">
        <f>IFERROR(Calculations!$AH$521,"")</f>
        <v>0</v>
      </c>
    </row>
    <row r="82" spans="2:19">
      <c r="B82" s="36" t="s">
        <v>2352</v>
      </c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</row>
  </sheetData>
  <mergeCells count="45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55:S55"/>
    <mergeCell ref="B72:S72"/>
    <mergeCell ref="B82:S82"/>
  </mergeCells>
  <conditionalFormatting sqref="C45:H52">
    <cfRule type="colorScale" priority="1">
      <colorScale>
        <cfvo type="min" val="0"/>
        <cfvo type="percentile" val="50"/>
        <cfvo type="max" val="0"/>
        <color rgb="FF111C33"/>
        <color rgb="FF1D7A6E"/>
        <color rgb="FF14B8A6"/>
      </colorScale>
    </cfRule>
  </conditionalFormatting>
  <conditionalFormatting sqref="C57:C66">
    <cfRule type="dataBar" priority="2">
      <dataBar>
        <cfvo type="min" val="0"/>
        <cfvo type="max" val="0"/>
        <color rgb="FF0B6EA8"/>
      </dataBar>
    </cfRule>
  </conditionalFormatting>
  <conditionalFormatting sqref="C75:N75">
    <cfRule type="colorScale" priority="3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Toolbox Talks'!A1" display="◀ Register"/>
  </hyperlinks>
  <pageMargins left="0.3" right="0.3" top="0.4" bottom="0.4" header="0.3" footer="0.3"/>
  <pageSetup fitToHeight="0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9">
    <tabColor rgb="FF14B8A6"/>
    <pageSetUpPr fitToPage="1"/>
  </sheetPr>
  <dimension ref="A1:S85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2353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2354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2355</v>
      </c>
      <c r="C13" s="39"/>
      <c r="D13" s="39"/>
      <c r="E13" s="39"/>
      <c r="F13" s="39" t="s">
        <v>2356</v>
      </c>
      <c r="G13" s="39"/>
      <c r="H13" s="39"/>
      <c r="I13" s="39"/>
      <c r="J13" s="39" t="s">
        <v>2357</v>
      </c>
      <c r="K13" s="39"/>
      <c r="L13" s="39"/>
      <c r="M13" s="39"/>
      <c r="N13" s="39" t="s">
        <v>2358</v>
      </c>
      <c r="O13" s="39"/>
      <c r="P13" s="39"/>
      <c r="Q13" s="39"/>
    </row>
    <row r="14" spans="2:19">
      <c r="B14" s="41">
        <f>Calculations!$N$542</f>
        <v>0</v>
      </c>
      <c r="C14" s="41"/>
      <c r="D14" s="41"/>
      <c r="E14" s="41"/>
      <c r="F14" s="41">
        <f>Calculations!$N$543</f>
        <v>0</v>
      </c>
      <c r="G14" s="41"/>
      <c r="H14" s="41"/>
      <c r="I14" s="41"/>
      <c r="J14" s="41">
        <f>Calculations!$N$544</f>
        <v>0</v>
      </c>
      <c r="K14" s="41"/>
      <c r="L14" s="41"/>
      <c r="M14" s="41"/>
      <c r="N14" s="41">
        <f>Calculations!$N$545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2359</v>
      </c>
      <c r="C19" s="39"/>
      <c r="D19" s="39"/>
      <c r="E19" s="39"/>
      <c r="F19" s="39" t="s">
        <v>2360</v>
      </c>
      <c r="G19" s="39"/>
      <c r="H19" s="39"/>
      <c r="I19" s="39"/>
      <c r="J19" s="39" t="s">
        <v>2361</v>
      </c>
      <c r="K19" s="39"/>
      <c r="L19" s="39"/>
      <c r="M19" s="39"/>
      <c r="N19" s="39" t="s">
        <v>2362</v>
      </c>
      <c r="O19" s="39"/>
      <c r="P19" s="39"/>
      <c r="Q19" s="39"/>
    </row>
    <row r="20" spans="2:19">
      <c r="B20" s="41">
        <f>Calculations!$N$546</f>
        <v>0</v>
      </c>
      <c r="C20" s="41"/>
      <c r="D20" s="41"/>
      <c r="E20" s="41"/>
      <c r="F20" s="41">
        <f>Calculations!$N$547</f>
        <v>0</v>
      </c>
      <c r="G20" s="41"/>
      <c r="H20" s="41"/>
      <c r="I20" s="41"/>
      <c r="J20" s="41">
        <f>Calculations!$N$548</f>
        <v>0</v>
      </c>
      <c r="K20" s="41"/>
      <c r="L20" s="41"/>
      <c r="M20" s="41"/>
      <c r="N20" s="41">
        <f>Calculations!$N$549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"&amp;INDEX(Calculations!$C$542:$C$553,CurMonthNo)&amp;"   vs   "&amp;INDEX(L_Month,CurMonthNo-1)&amp;": "&amp;INDEX(Calculations!$C$542:$C$553,CurMonthNo-1)&amp;"   "&amp;IF(INDEX(Calculations!$C$542:$C$553,CurMonthNo)&gt;=INDEX(Calculations!$C$542:$C$553,CurMonthNo-1),"▲ ","▼ ")&amp;TEXT(IFERROR((INDEX(Calculations!$C$542:$C$553,CurMonthNo)-INDEX(Calculations!$C$542:$C$553,CurMonthNo-1))/INDEX(Calculations!$C$542:$C$553,CurMonthNo-1),0),"+0.0%;-0.0%")))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2266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63" t="s">
        <v>2267</v>
      </c>
      <c r="C44" s="63"/>
      <c r="D44" s="57" t="s">
        <v>2268</v>
      </c>
      <c r="E44" s="57"/>
      <c r="F44" s="57"/>
      <c r="G44" s="57" t="s">
        <v>2269</v>
      </c>
      <c r="H44" s="57"/>
      <c r="I44" s="57"/>
      <c r="J44" s="57" t="s">
        <v>2270</v>
      </c>
      <c r="K44" s="57"/>
      <c r="L44" s="57"/>
      <c r="M44" s="57" t="s">
        <v>2271</v>
      </c>
      <c r="N44" s="57"/>
      <c r="O44" s="57"/>
      <c r="P44" s="57" t="s">
        <v>2272</v>
      </c>
      <c r="Q44" s="57"/>
      <c r="R44" s="57"/>
    </row>
    <row r="45" spans="2:19">
      <c r="B45" s="57" t="s">
        <v>2273</v>
      </c>
      <c r="C45" s="57"/>
      <c r="D45" s="64">
        <f>Calculations!$C$224</f>
        <v>0</v>
      </c>
      <c r="E45" s="64"/>
      <c r="F45" s="64"/>
      <c r="G45" s="65">
        <f>Calculations!$D$224</f>
        <v>0</v>
      </c>
      <c r="H45" s="65"/>
      <c r="I45" s="65"/>
      <c r="J45" s="66">
        <f>Calculations!$E$224</f>
        <v>0</v>
      </c>
      <c r="K45" s="66"/>
      <c r="L45" s="66"/>
      <c r="M45" s="66">
        <f>Calculations!$F$224</f>
        <v>0</v>
      </c>
      <c r="N45" s="66"/>
      <c r="O45" s="66"/>
      <c r="P45" s="66">
        <f>Calculations!$G$224</f>
        <v>0</v>
      </c>
      <c r="Q45" s="66"/>
      <c r="R45" s="66"/>
    </row>
    <row r="46" spans="2:19">
      <c r="B46" s="57" t="s">
        <v>2274</v>
      </c>
      <c r="C46" s="57"/>
      <c r="D46" s="67">
        <f>Calculations!$C$225</f>
        <v>0</v>
      </c>
      <c r="E46" s="67"/>
      <c r="F46" s="67"/>
      <c r="G46" s="64">
        <f>Calculations!$D$225</f>
        <v>0</v>
      </c>
      <c r="H46" s="64"/>
      <c r="I46" s="64"/>
      <c r="J46" s="65">
        <f>Calculations!$E$225</f>
        <v>0</v>
      </c>
      <c r="K46" s="65"/>
      <c r="L46" s="65"/>
      <c r="M46" s="66">
        <f>Calculations!$F$225</f>
        <v>0</v>
      </c>
      <c r="N46" s="66"/>
      <c r="O46" s="66"/>
      <c r="P46" s="66">
        <f>Calculations!$G$225</f>
        <v>0</v>
      </c>
      <c r="Q46" s="66"/>
      <c r="R46" s="66"/>
    </row>
    <row r="47" spans="2:19">
      <c r="B47" s="57" t="s">
        <v>2275</v>
      </c>
      <c r="C47" s="57"/>
      <c r="D47" s="67">
        <f>Calculations!$C$226</f>
        <v>0</v>
      </c>
      <c r="E47" s="67"/>
      <c r="F47" s="67"/>
      <c r="G47" s="64">
        <f>Calculations!$D$226</f>
        <v>0</v>
      </c>
      <c r="H47" s="64"/>
      <c r="I47" s="64"/>
      <c r="J47" s="64">
        <f>Calculations!$E$226</f>
        <v>0</v>
      </c>
      <c r="K47" s="64"/>
      <c r="L47" s="64"/>
      <c r="M47" s="65">
        <f>Calculations!$F$226</f>
        <v>0</v>
      </c>
      <c r="N47" s="65"/>
      <c r="O47" s="65"/>
      <c r="P47" s="66">
        <f>Calculations!$G$226</f>
        <v>0</v>
      </c>
      <c r="Q47" s="66"/>
      <c r="R47" s="66"/>
    </row>
    <row r="48" spans="2:19">
      <c r="B48" s="57" t="s">
        <v>2276</v>
      </c>
      <c r="C48" s="57"/>
      <c r="D48" s="67">
        <f>Calculations!$C$227</f>
        <v>0</v>
      </c>
      <c r="E48" s="67"/>
      <c r="F48" s="67"/>
      <c r="G48" s="67">
        <f>Calculations!$D$227</f>
        <v>0</v>
      </c>
      <c r="H48" s="67"/>
      <c r="I48" s="67"/>
      <c r="J48" s="64">
        <f>Calculations!$E$227</f>
        <v>0</v>
      </c>
      <c r="K48" s="64"/>
      <c r="L48" s="64"/>
      <c r="M48" s="64">
        <f>Calculations!$F$227</f>
        <v>0</v>
      </c>
      <c r="N48" s="64"/>
      <c r="O48" s="64"/>
      <c r="P48" s="65">
        <f>Calculations!$G$227</f>
        <v>0</v>
      </c>
      <c r="Q48" s="65"/>
      <c r="R48" s="65"/>
    </row>
    <row r="49" spans="2:19">
      <c r="B49" s="57" t="s">
        <v>2277</v>
      </c>
      <c r="C49" s="57"/>
      <c r="D49" s="67">
        <f>Calculations!$C$228</f>
        <v>0</v>
      </c>
      <c r="E49" s="67"/>
      <c r="F49" s="67"/>
      <c r="G49" s="67">
        <f>Calculations!$D$228</f>
        <v>0</v>
      </c>
      <c r="H49" s="67"/>
      <c r="I49" s="67"/>
      <c r="J49" s="67">
        <f>Calculations!$E$228</f>
        <v>0</v>
      </c>
      <c r="K49" s="67"/>
      <c r="L49" s="67"/>
      <c r="M49" s="67">
        <f>Calculations!$F$228</f>
        <v>0</v>
      </c>
      <c r="N49" s="67"/>
      <c r="O49" s="67"/>
      <c r="P49" s="64">
        <f>Calculations!$G$228</f>
        <v>0</v>
      </c>
      <c r="Q49" s="64"/>
      <c r="R49" s="64"/>
    </row>
    <row r="50" spans="2:19">
      <c r="B50" s="68" t="s">
        <v>2278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</row>
    <row r="52" spans="2:19">
      <c r="B52" s="36" t="s">
        <v>2350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</row>
    <row r="53" spans="2:19">
      <c r="B53" s="57" t="s">
        <v>129</v>
      </c>
      <c r="C53" s="57" t="s">
        <v>1965</v>
      </c>
      <c r="D53" s="57" t="s">
        <v>2071</v>
      </c>
      <c r="E53" s="57" t="s">
        <v>1770</v>
      </c>
    </row>
    <row r="54" spans="2:19">
      <c r="B54" s="70">
        <f>IFERROR(Calculations!$P$542,"")</f>
        <v>0</v>
      </c>
      <c r="C54" s="75">
        <f>IFERROR(Calculations!$Q$542,"")</f>
        <v>0</v>
      </c>
      <c r="D54" s="76">
        <f>IFERROR(Calculations!$R$542,"")</f>
        <v>0</v>
      </c>
      <c r="E54" s="75">
        <f>IFERROR(Calculations!$S$542,"")</f>
        <v>0</v>
      </c>
    </row>
    <row r="55" spans="2:19">
      <c r="B55" s="70">
        <f>IFERROR(Calculations!$P$543,"")</f>
        <v>0</v>
      </c>
      <c r="C55" s="75">
        <f>IFERROR(Calculations!$Q$543,"")</f>
        <v>0</v>
      </c>
      <c r="D55" s="76">
        <f>IFERROR(Calculations!$R$543,"")</f>
        <v>0</v>
      </c>
      <c r="E55" s="75">
        <f>IFERROR(Calculations!$S$543,"")</f>
        <v>0</v>
      </c>
    </row>
    <row r="56" spans="2:19">
      <c r="B56" s="70">
        <f>IFERROR(Calculations!$P$544,"")</f>
        <v>0</v>
      </c>
      <c r="C56" s="75">
        <f>IFERROR(Calculations!$Q$544,"")</f>
        <v>0</v>
      </c>
      <c r="D56" s="76">
        <f>IFERROR(Calculations!$R$544,"")</f>
        <v>0</v>
      </c>
      <c r="E56" s="75">
        <f>IFERROR(Calculations!$S$544,"")</f>
        <v>0</v>
      </c>
    </row>
    <row r="57" spans="2:19">
      <c r="B57" s="70">
        <f>IFERROR(Calculations!$P$545,"")</f>
        <v>0</v>
      </c>
      <c r="C57" s="75">
        <f>IFERROR(Calculations!$Q$545,"")</f>
        <v>0</v>
      </c>
      <c r="D57" s="76">
        <f>IFERROR(Calculations!$R$545,"")</f>
        <v>0</v>
      </c>
      <c r="E57" s="75">
        <f>IFERROR(Calculations!$S$545,"")</f>
        <v>0</v>
      </c>
    </row>
    <row r="58" spans="2:19">
      <c r="B58" s="70">
        <f>IFERROR(Calculations!$P$546,"")</f>
        <v>0</v>
      </c>
      <c r="C58" s="75">
        <f>IFERROR(Calculations!$Q$546,"")</f>
        <v>0</v>
      </c>
      <c r="D58" s="76">
        <f>IFERROR(Calculations!$R$546,"")</f>
        <v>0</v>
      </c>
      <c r="E58" s="75">
        <f>IFERROR(Calculations!$S$546,"")</f>
        <v>0</v>
      </c>
    </row>
    <row r="59" spans="2:19">
      <c r="B59" s="70">
        <f>IFERROR(Calculations!$P$547,"")</f>
        <v>0</v>
      </c>
      <c r="C59" s="75">
        <f>IFERROR(Calculations!$Q$547,"")</f>
        <v>0</v>
      </c>
      <c r="D59" s="76">
        <f>IFERROR(Calculations!$R$547,"")</f>
        <v>0</v>
      </c>
      <c r="E59" s="75">
        <f>IFERROR(Calculations!$S$547,"")</f>
        <v>0</v>
      </c>
    </row>
    <row r="60" spans="2:19">
      <c r="B60" s="70">
        <f>IFERROR(Calculations!$P$548,"")</f>
        <v>0</v>
      </c>
      <c r="C60" s="75">
        <f>IFERROR(Calculations!$Q$548,"")</f>
        <v>0</v>
      </c>
      <c r="D60" s="76">
        <f>IFERROR(Calculations!$R$548,"")</f>
        <v>0</v>
      </c>
      <c r="E60" s="75">
        <f>IFERROR(Calculations!$S$548,"")</f>
        <v>0</v>
      </c>
    </row>
    <row r="61" spans="2:19">
      <c r="B61" s="70">
        <f>IFERROR(Calculations!$P$549,"")</f>
        <v>0</v>
      </c>
      <c r="C61" s="75">
        <f>IFERROR(Calculations!$Q$549,"")</f>
        <v>0</v>
      </c>
      <c r="D61" s="76">
        <f>IFERROR(Calculations!$R$549,"")</f>
        <v>0</v>
      </c>
      <c r="E61" s="75">
        <f>IFERROR(Calculations!$S$549,"")</f>
        <v>0</v>
      </c>
    </row>
    <row r="62" spans="2:19">
      <c r="B62" s="70">
        <f>IFERROR(Calculations!$P$550,"")</f>
        <v>0</v>
      </c>
      <c r="C62" s="75">
        <f>IFERROR(Calculations!$Q$550,"")</f>
        <v>0</v>
      </c>
      <c r="D62" s="76">
        <f>IFERROR(Calculations!$R$550,"")</f>
        <v>0</v>
      </c>
      <c r="E62" s="75">
        <f>IFERROR(Calculations!$S$550,"")</f>
        <v>0</v>
      </c>
    </row>
    <row r="63" spans="2:19">
      <c r="B63" s="70">
        <f>IFERROR(Calculations!$P$551,"")</f>
        <v>0</v>
      </c>
      <c r="C63" s="75">
        <f>IFERROR(Calculations!$Q$551,"")</f>
        <v>0</v>
      </c>
      <c r="D63" s="76">
        <f>IFERROR(Calculations!$R$551,"")</f>
        <v>0</v>
      </c>
      <c r="E63" s="75">
        <f>IFERROR(Calculations!$S$551,"")</f>
        <v>0</v>
      </c>
    </row>
    <row r="69" spans="2:19">
      <c r="B69" s="36" t="s">
        <v>2351</v>
      </c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2:19">
      <c r="B70" s="57" t="s">
        <v>2038</v>
      </c>
      <c r="C70" s="57" t="s">
        <v>3</v>
      </c>
      <c r="D70" s="57" t="s">
        <v>19</v>
      </c>
      <c r="E70" s="57" t="s">
        <v>44</v>
      </c>
      <c r="F70" s="57" t="s">
        <v>53</v>
      </c>
      <c r="G70" s="57" t="s">
        <v>60</v>
      </c>
      <c r="H70" s="57" t="s">
        <v>73</v>
      </c>
      <c r="I70" s="57" t="s">
        <v>76</v>
      </c>
      <c r="J70" s="57" t="s">
        <v>86</v>
      </c>
      <c r="K70" s="57" t="s">
        <v>102</v>
      </c>
      <c r="L70" s="57" t="s">
        <v>106</v>
      </c>
      <c r="M70" s="57" t="s">
        <v>111</v>
      </c>
      <c r="N70" s="57" t="s">
        <v>122</v>
      </c>
      <c r="O70" s="57" t="s">
        <v>2063</v>
      </c>
    </row>
    <row r="71" spans="2:19">
      <c r="B71" s="70">
        <f>IF(Calculations!$U$542="","",Calculations!$U$542)</f>
        <v>0</v>
      </c>
      <c r="C71" s="75">
        <f>IFERROR(Calculations!$V$542,"")</f>
        <v>0</v>
      </c>
      <c r="D71" s="75">
        <f>IFERROR(Calculations!$W$542,"")</f>
        <v>0</v>
      </c>
      <c r="E71" s="75">
        <f>IFERROR(Calculations!$X$542,"")</f>
        <v>0</v>
      </c>
      <c r="F71" s="75">
        <f>IFERROR(Calculations!$Y$542,"")</f>
        <v>0</v>
      </c>
      <c r="G71" s="75">
        <f>IFERROR(Calculations!$Z$542,"")</f>
        <v>0</v>
      </c>
      <c r="H71" s="75">
        <f>IFERROR(Calculations!$AA$542,"")</f>
        <v>0</v>
      </c>
      <c r="I71" s="75">
        <f>IFERROR(Calculations!$AB$542,"")</f>
        <v>0</v>
      </c>
      <c r="J71" s="75">
        <f>IFERROR(Calculations!$AC$542,"")</f>
        <v>0</v>
      </c>
      <c r="K71" s="75">
        <f>IFERROR(Calculations!$AD$542,"")</f>
        <v>0</v>
      </c>
      <c r="L71" s="75">
        <f>IFERROR(Calculations!$AE$542,"")</f>
        <v>0</v>
      </c>
      <c r="M71" s="75">
        <f>IFERROR(Calculations!$AF$542,"")</f>
        <v>0</v>
      </c>
      <c r="N71" s="75">
        <f>IFERROR(Calculations!$AG$542,"")</f>
        <v>0</v>
      </c>
      <c r="O71" s="75">
        <f>IFERROR(Calculations!$AH$542,"")</f>
        <v>0</v>
      </c>
    </row>
    <row r="72" spans="2:19">
      <c r="B72" s="70">
        <f>IF(Calculations!$U$543="","",Calculations!$U$543)</f>
        <v>0</v>
      </c>
      <c r="C72" s="75">
        <f>IFERROR(Calculations!$V$543,"")</f>
        <v>0</v>
      </c>
      <c r="D72" s="75">
        <f>IFERROR(Calculations!$W$543,"")</f>
        <v>0</v>
      </c>
      <c r="E72" s="75">
        <f>IFERROR(Calculations!$X$543,"")</f>
        <v>0</v>
      </c>
      <c r="F72" s="75">
        <f>IFERROR(Calculations!$Y$543,"")</f>
        <v>0</v>
      </c>
      <c r="G72" s="75">
        <f>IFERROR(Calculations!$Z$543,"")</f>
        <v>0</v>
      </c>
      <c r="H72" s="75">
        <f>IFERROR(Calculations!$AA$543,"")</f>
        <v>0</v>
      </c>
      <c r="I72" s="75">
        <f>IFERROR(Calculations!$AB$543,"")</f>
        <v>0</v>
      </c>
      <c r="J72" s="75">
        <f>IFERROR(Calculations!$AC$543,"")</f>
        <v>0</v>
      </c>
      <c r="K72" s="75">
        <f>IFERROR(Calculations!$AD$543,"")</f>
        <v>0</v>
      </c>
      <c r="L72" s="75">
        <f>IFERROR(Calculations!$AE$543,"")</f>
        <v>0</v>
      </c>
      <c r="M72" s="75">
        <f>IFERROR(Calculations!$AF$543,"")</f>
        <v>0</v>
      </c>
      <c r="N72" s="75">
        <f>IFERROR(Calculations!$AG$543,"")</f>
        <v>0</v>
      </c>
      <c r="O72" s="75">
        <f>IFERROR(Calculations!$AH$543,"")</f>
        <v>0</v>
      </c>
    </row>
    <row r="73" spans="2:19">
      <c r="B73" s="70">
        <f>IF(Calculations!$U$544="","",Calculations!$U$544)</f>
        <v>0</v>
      </c>
      <c r="C73" s="75">
        <f>IFERROR(Calculations!$V$544,"")</f>
        <v>0</v>
      </c>
      <c r="D73" s="75">
        <f>IFERROR(Calculations!$W$544,"")</f>
        <v>0</v>
      </c>
      <c r="E73" s="75">
        <f>IFERROR(Calculations!$X$544,"")</f>
        <v>0</v>
      </c>
      <c r="F73" s="75">
        <f>IFERROR(Calculations!$Y$544,"")</f>
        <v>0</v>
      </c>
      <c r="G73" s="75">
        <f>IFERROR(Calculations!$Z$544,"")</f>
        <v>0</v>
      </c>
      <c r="H73" s="75">
        <f>IFERROR(Calculations!$AA$544,"")</f>
        <v>0</v>
      </c>
      <c r="I73" s="75">
        <f>IFERROR(Calculations!$AB$544,"")</f>
        <v>0</v>
      </c>
      <c r="J73" s="75">
        <f>IFERROR(Calculations!$AC$544,"")</f>
        <v>0</v>
      </c>
      <c r="K73" s="75">
        <f>IFERROR(Calculations!$AD$544,"")</f>
        <v>0</v>
      </c>
      <c r="L73" s="75">
        <f>IFERROR(Calculations!$AE$544,"")</f>
        <v>0</v>
      </c>
      <c r="M73" s="75">
        <f>IFERROR(Calculations!$AF$544,"")</f>
        <v>0</v>
      </c>
      <c r="N73" s="75">
        <f>IFERROR(Calculations!$AG$544,"")</f>
        <v>0</v>
      </c>
      <c r="O73" s="75">
        <f>IFERROR(Calculations!$AH$544,"")</f>
        <v>0</v>
      </c>
    </row>
    <row r="74" spans="2:19">
      <c r="B74" s="70">
        <f>IF(Calculations!$U$545="","",Calculations!$U$545)</f>
        <v>0</v>
      </c>
      <c r="C74" s="75">
        <f>IFERROR(Calculations!$V$545,"")</f>
        <v>0</v>
      </c>
      <c r="D74" s="75">
        <f>IFERROR(Calculations!$W$545,"")</f>
        <v>0</v>
      </c>
      <c r="E74" s="75">
        <f>IFERROR(Calculations!$X$545,"")</f>
        <v>0</v>
      </c>
      <c r="F74" s="75">
        <f>IFERROR(Calculations!$Y$545,"")</f>
        <v>0</v>
      </c>
      <c r="G74" s="75">
        <f>IFERROR(Calculations!$Z$545,"")</f>
        <v>0</v>
      </c>
      <c r="H74" s="75">
        <f>IFERROR(Calculations!$AA$545,"")</f>
        <v>0</v>
      </c>
      <c r="I74" s="75">
        <f>IFERROR(Calculations!$AB$545,"")</f>
        <v>0</v>
      </c>
      <c r="J74" s="75">
        <f>IFERROR(Calculations!$AC$545,"")</f>
        <v>0</v>
      </c>
      <c r="K74" s="75">
        <f>IFERROR(Calculations!$AD$545,"")</f>
        <v>0</v>
      </c>
      <c r="L74" s="75">
        <f>IFERROR(Calculations!$AE$545,"")</f>
        <v>0</v>
      </c>
      <c r="M74" s="75">
        <f>IFERROR(Calculations!$AF$545,"")</f>
        <v>0</v>
      </c>
      <c r="N74" s="75">
        <f>IFERROR(Calculations!$AG$545,"")</f>
        <v>0</v>
      </c>
      <c r="O74" s="75">
        <f>IFERROR(Calculations!$AH$545,"")</f>
        <v>0</v>
      </c>
    </row>
    <row r="75" spans="2:19">
      <c r="B75" s="70">
        <f>IF(Calculations!$U$546="","",Calculations!$U$546)</f>
        <v>0</v>
      </c>
      <c r="C75" s="75">
        <f>IFERROR(Calculations!$V$546,"")</f>
        <v>0</v>
      </c>
      <c r="D75" s="75">
        <f>IFERROR(Calculations!$W$546,"")</f>
        <v>0</v>
      </c>
      <c r="E75" s="75">
        <f>IFERROR(Calculations!$X$546,"")</f>
        <v>0</v>
      </c>
      <c r="F75" s="75">
        <f>IFERROR(Calculations!$Y$546,"")</f>
        <v>0</v>
      </c>
      <c r="G75" s="75">
        <f>IFERROR(Calculations!$Z$546,"")</f>
        <v>0</v>
      </c>
      <c r="H75" s="75">
        <f>IFERROR(Calculations!$AA$546,"")</f>
        <v>0</v>
      </c>
      <c r="I75" s="75">
        <f>IFERROR(Calculations!$AB$546,"")</f>
        <v>0</v>
      </c>
      <c r="J75" s="75">
        <f>IFERROR(Calculations!$AC$546,"")</f>
        <v>0</v>
      </c>
      <c r="K75" s="75">
        <f>IFERROR(Calculations!$AD$546,"")</f>
        <v>0</v>
      </c>
      <c r="L75" s="75">
        <f>IFERROR(Calculations!$AE$546,"")</f>
        <v>0</v>
      </c>
      <c r="M75" s="75">
        <f>IFERROR(Calculations!$AF$546,"")</f>
        <v>0</v>
      </c>
      <c r="N75" s="75">
        <f>IFERROR(Calculations!$AG$546,"")</f>
        <v>0</v>
      </c>
      <c r="O75" s="75">
        <f>IFERROR(Calculations!$AH$546,"")</f>
        <v>0</v>
      </c>
    </row>
    <row r="76" spans="2:19">
      <c r="B76" s="70">
        <f>IF(Calculations!$U$547="","",Calculations!$U$547)</f>
        <v>0</v>
      </c>
      <c r="C76" s="75">
        <f>IFERROR(Calculations!$V$547,"")</f>
        <v>0</v>
      </c>
      <c r="D76" s="75">
        <f>IFERROR(Calculations!$W$547,"")</f>
        <v>0</v>
      </c>
      <c r="E76" s="75">
        <f>IFERROR(Calculations!$X$547,"")</f>
        <v>0</v>
      </c>
      <c r="F76" s="75">
        <f>IFERROR(Calculations!$Y$547,"")</f>
        <v>0</v>
      </c>
      <c r="G76" s="75">
        <f>IFERROR(Calculations!$Z$547,"")</f>
        <v>0</v>
      </c>
      <c r="H76" s="75">
        <f>IFERROR(Calculations!$AA$547,"")</f>
        <v>0</v>
      </c>
      <c r="I76" s="75">
        <f>IFERROR(Calculations!$AB$547,"")</f>
        <v>0</v>
      </c>
      <c r="J76" s="75">
        <f>IFERROR(Calculations!$AC$547,"")</f>
        <v>0</v>
      </c>
      <c r="K76" s="75">
        <f>IFERROR(Calculations!$AD$547,"")</f>
        <v>0</v>
      </c>
      <c r="L76" s="75">
        <f>IFERROR(Calculations!$AE$547,"")</f>
        <v>0</v>
      </c>
      <c r="M76" s="75">
        <f>IFERROR(Calculations!$AF$547,"")</f>
        <v>0</v>
      </c>
      <c r="N76" s="75">
        <f>IFERROR(Calculations!$AG$547,"")</f>
        <v>0</v>
      </c>
      <c r="O76" s="75">
        <f>IFERROR(Calculations!$AH$547,"")</f>
        <v>0</v>
      </c>
    </row>
    <row r="79" spans="2:19">
      <c r="B79" s="36" t="s">
        <v>2352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</row>
    <row r="80" spans="2:19">
      <c r="B80" s="57" t="s">
        <v>129</v>
      </c>
      <c r="C80" s="57" t="s">
        <v>2363</v>
      </c>
    </row>
    <row r="81" spans="2:3">
      <c r="B81" s="70">
        <f>INDEX(Calculations!$F$382:$F$386,1)</f>
        <v>0</v>
      </c>
      <c r="C81" s="75">
        <f>INDEX(Calculations!$G$382:$G$386,1)</f>
        <v>0</v>
      </c>
    </row>
    <row r="82" spans="2:3">
      <c r="B82" s="70">
        <f>INDEX(Calculations!$F$382:$F$386,2)</f>
        <v>0</v>
      </c>
      <c r="C82" s="75">
        <f>INDEX(Calculations!$G$382:$G$386,2)</f>
        <v>0</v>
      </c>
    </row>
    <row r="83" spans="2:3">
      <c r="B83" s="70">
        <f>INDEX(Calculations!$F$382:$F$386,3)</f>
        <v>0</v>
      </c>
      <c r="C83" s="75">
        <f>INDEX(Calculations!$G$382:$G$386,3)</f>
        <v>0</v>
      </c>
    </row>
    <row r="84" spans="2:3">
      <c r="B84" s="70">
        <f>INDEX(Calculations!$F$382:$F$386,4)</f>
        <v>0</v>
      </c>
      <c r="C84" s="75">
        <f>INDEX(Calculations!$G$382:$G$386,4)</f>
        <v>0</v>
      </c>
    </row>
    <row r="85" spans="2:3">
      <c r="B85" s="70">
        <f>INDEX(Calculations!$F$382:$F$386,5)</f>
        <v>0</v>
      </c>
      <c r="C85" s="75">
        <f>INDEX(Calculations!$G$382:$G$386,5)</f>
        <v>0</v>
      </c>
    </row>
  </sheetData>
  <mergeCells count="82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44:C44"/>
    <mergeCell ref="D44:F44"/>
    <mergeCell ref="G44:I44"/>
    <mergeCell ref="J44:L44"/>
    <mergeCell ref="M44:O44"/>
    <mergeCell ref="P44:R44"/>
    <mergeCell ref="B45:C45"/>
    <mergeCell ref="D45:F45"/>
    <mergeCell ref="G45:I45"/>
    <mergeCell ref="J45:L45"/>
    <mergeCell ref="M45:O45"/>
    <mergeCell ref="P45:R45"/>
    <mergeCell ref="B46:C46"/>
    <mergeCell ref="D46:F46"/>
    <mergeCell ref="G46:I46"/>
    <mergeCell ref="J46:L46"/>
    <mergeCell ref="M46:O46"/>
    <mergeCell ref="P46:R46"/>
    <mergeCell ref="B47:C47"/>
    <mergeCell ref="D47:F47"/>
    <mergeCell ref="G47:I47"/>
    <mergeCell ref="J47:L47"/>
    <mergeCell ref="M47:O47"/>
    <mergeCell ref="P47:R47"/>
    <mergeCell ref="B48:C48"/>
    <mergeCell ref="D48:F48"/>
    <mergeCell ref="G48:I48"/>
    <mergeCell ref="J48:L48"/>
    <mergeCell ref="M48:O48"/>
    <mergeCell ref="P48:R48"/>
    <mergeCell ref="B49:C49"/>
    <mergeCell ref="D49:F49"/>
    <mergeCell ref="G49:I49"/>
    <mergeCell ref="J49:L49"/>
    <mergeCell ref="M49:O49"/>
    <mergeCell ref="P49:R49"/>
    <mergeCell ref="B50:S50"/>
    <mergeCell ref="B52:S52"/>
    <mergeCell ref="B69:S69"/>
    <mergeCell ref="B79:S79"/>
  </mergeCells>
  <conditionalFormatting sqref="C54:C63">
    <cfRule type="dataBar" priority="1">
      <dataBar>
        <cfvo type="min" val="0"/>
        <cfvo type="max" val="0"/>
        <color rgb="FF0B6EA8"/>
      </dataBar>
    </cfRule>
  </conditionalFormatting>
  <conditionalFormatting sqref="C72:N72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C81:C85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JSA Risk Assessment'!A1" display="◀ Register"/>
  </hyperlinks>
  <pageMargins left="0.3" right="0.3" top="0.4" bottom="0.4" header="0.3" footer="0.3"/>
  <pageSetup fitToHeight="0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0">
    <tabColor rgb="FF14B8A6"/>
    <pageSetUpPr fitToPage="1"/>
  </sheetPr>
  <dimension ref="A1:S72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2364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2365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2366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2369</v>
      </c>
      <c r="O13" s="39"/>
      <c r="P13" s="39"/>
      <c r="Q13" s="39"/>
    </row>
    <row r="14" spans="2:19">
      <c r="B14" s="41">
        <f>Calculations!$N$568</f>
        <v>0</v>
      </c>
      <c r="C14" s="41"/>
      <c r="D14" s="41"/>
      <c r="E14" s="41"/>
      <c r="F14" s="41">
        <f>Calculations!$N$569</f>
        <v>0</v>
      </c>
      <c r="G14" s="41"/>
      <c r="H14" s="41"/>
      <c r="I14" s="41"/>
      <c r="J14" s="41">
        <f>Calculations!$N$570</f>
        <v>0</v>
      </c>
      <c r="K14" s="41"/>
      <c r="L14" s="41"/>
      <c r="M14" s="41"/>
      <c r="N14" s="41">
        <f>Calculations!$N$571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2370</v>
      </c>
      <c r="C19" s="39"/>
      <c r="D19" s="39"/>
      <c r="E19" s="39"/>
      <c r="F19" s="39" t="s">
        <v>2371</v>
      </c>
      <c r="G19" s="39"/>
      <c r="H19" s="39"/>
      <c r="I19" s="39"/>
      <c r="J19" s="39" t="s">
        <v>2372</v>
      </c>
      <c r="K19" s="39"/>
      <c r="L19" s="39"/>
      <c r="M19" s="39"/>
      <c r="N19" s="39" t="s">
        <v>2373</v>
      </c>
      <c r="O19" s="39"/>
      <c r="P19" s="39"/>
      <c r="Q19" s="39"/>
    </row>
    <row r="20" spans="2:19">
      <c r="B20" s="42">
        <f>Calculations!$N$572</f>
        <v>0</v>
      </c>
      <c r="C20" s="42"/>
      <c r="D20" s="42"/>
      <c r="E20" s="42"/>
      <c r="F20" s="41">
        <f>Calculations!$N$573</f>
        <v>0</v>
      </c>
      <c r="G20" s="41"/>
      <c r="H20" s="41"/>
      <c r="I20" s="41"/>
      <c r="J20" s="42">
        <f>Calculations!$N$574</f>
        <v>0</v>
      </c>
      <c r="K20" s="42"/>
      <c r="L20" s="42"/>
      <c r="M20" s="42"/>
      <c r="N20" s="41">
        <f>Calculations!$N$575</f>
        <v>0</v>
      </c>
      <c r="O20" s="41"/>
      <c r="P20" s="41"/>
      <c r="Q20" s="41"/>
    </row>
    <row r="21" spans="2:19">
      <c r="B21" s="42"/>
      <c r="C21" s="42"/>
      <c r="D21" s="42"/>
      <c r="E21" s="42"/>
      <c r="F21" s="41"/>
      <c r="G21" s="41"/>
      <c r="H21" s="41"/>
      <c r="I21" s="41"/>
      <c r="J21" s="42"/>
      <c r="K21" s="42"/>
      <c r="L21" s="42"/>
      <c r="M21" s="42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"&amp;INDEX(Calculations!$C$568:$C$579,CurMonthNo)&amp;"   vs   "&amp;INDEX(L_Month,CurMonthNo-1)&amp;": "&amp;INDEX(Calculations!$C$568:$C$579,CurMonthNo-1)&amp;"   "&amp;IF(INDEX(Calculations!$C$568:$C$579,CurMonthNo)&gt;=INDEX(Calculations!$C$568:$C$579,CurMonthNo-1),"▲ ","▼ ")&amp;TEXT(IFERROR((INDEX(Calculations!$C$568:$C$579,CurMonthNo)-INDEX(Calculations!$C$568:$C$579,CurMonthNo-1))/INDEX(Calculations!$C$568:$C$579,CurMonthNo-1),0),"+0.0%;-0.0%")))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2062</v>
      </c>
    </row>
    <row r="45" spans="2:19">
      <c r="B45" s="70">
        <f>IFERROR(Calculations!$P$568,"")</f>
        <v>0</v>
      </c>
      <c r="C45" s="75">
        <f>IFERROR(Calculations!$Q$568,"")</f>
        <v>0</v>
      </c>
      <c r="D45" s="76">
        <f>IFERROR(Calculations!$R$568,"")</f>
        <v>0</v>
      </c>
      <c r="E45" s="76">
        <f>IFERROR(Calculations!$S$568,"")</f>
        <v>0</v>
      </c>
    </row>
    <row r="46" spans="2:19">
      <c r="B46" s="70">
        <f>IFERROR(Calculations!$P$569,"")</f>
        <v>0</v>
      </c>
      <c r="C46" s="75">
        <f>IFERROR(Calculations!$Q$569,"")</f>
        <v>0</v>
      </c>
      <c r="D46" s="76">
        <f>IFERROR(Calculations!$R$569,"")</f>
        <v>0</v>
      </c>
      <c r="E46" s="76">
        <f>IFERROR(Calculations!$S$569,"")</f>
        <v>0</v>
      </c>
    </row>
    <row r="47" spans="2:19">
      <c r="B47" s="70">
        <f>IFERROR(Calculations!$P$570,"")</f>
        <v>0</v>
      </c>
      <c r="C47" s="75">
        <f>IFERROR(Calculations!$Q$570,"")</f>
        <v>0</v>
      </c>
      <c r="D47" s="76">
        <f>IFERROR(Calculations!$R$570,"")</f>
        <v>0</v>
      </c>
      <c r="E47" s="76">
        <f>IFERROR(Calculations!$S$570,"")</f>
        <v>0</v>
      </c>
    </row>
    <row r="48" spans="2:19">
      <c r="B48" s="70">
        <f>IFERROR(Calculations!$P$571,"")</f>
        <v>0</v>
      </c>
      <c r="C48" s="75">
        <f>IFERROR(Calculations!$Q$571,"")</f>
        <v>0</v>
      </c>
      <c r="D48" s="76">
        <f>IFERROR(Calculations!$R$571,"")</f>
        <v>0</v>
      </c>
      <c r="E48" s="76">
        <f>IFERROR(Calculations!$S$571,"")</f>
        <v>0</v>
      </c>
    </row>
    <row r="49" spans="2:19">
      <c r="B49" s="70">
        <f>IFERROR(Calculations!$P$572,"")</f>
        <v>0</v>
      </c>
      <c r="C49" s="75">
        <f>IFERROR(Calculations!$Q$572,"")</f>
        <v>0</v>
      </c>
      <c r="D49" s="76">
        <f>IFERROR(Calculations!$R$572,"")</f>
        <v>0</v>
      </c>
      <c r="E49" s="76">
        <f>IFERROR(Calculations!$S$572,"")</f>
        <v>0</v>
      </c>
    </row>
    <row r="50" spans="2:19">
      <c r="B50" s="70">
        <f>IFERROR(Calculations!$P$573,"")</f>
        <v>0</v>
      </c>
      <c r="C50" s="75">
        <f>IFERROR(Calculations!$Q$573,"")</f>
        <v>0</v>
      </c>
      <c r="D50" s="76">
        <f>IFERROR(Calculations!$R$573,"")</f>
        <v>0</v>
      </c>
      <c r="E50" s="76">
        <f>IFERROR(Calculations!$S$573,"")</f>
        <v>0</v>
      </c>
    </row>
    <row r="51" spans="2:19">
      <c r="B51" s="70">
        <f>IFERROR(Calculations!$P$574,"")</f>
        <v>0</v>
      </c>
      <c r="C51" s="75">
        <f>IFERROR(Calculations!$Q$574,"")</f>
        <v>0</v>
      </c>
      <c r="D51" s="76">
        <f>IFERROR(Calculations!$R$574,"")</f>
        <v>0</v>
      </c>
      <c r="E51" s="76">
        <f>IFERROR(Calculations!$S$574,"")</f>
        <v>0</v>
      </c>
    </row>
    <row r="52" spans="2:19">
      <c r="B52" s="70">
        <f>IFERROR(Calculations!$P$575,"")</f>
        <v>0</v>
      </c>
      <c r="C52" s="75">
        <f>IFERROR(Calculations!$Q$575,"")</f>
        <v>0</v>
      </c>
      <c r="D52" s="76">
        <f>IFERROR(Calculations!$R$575,"")</f>
        <v>0</v>
      </c>
      <c r="E52" s="76">
        <f>IFERROR(Calculations!$S$575,"")</f>
        <v>0</v>
      </c>
    </row>
    <row r="53" spans="2:19">
      <c r="B53" s="70">
        <f>IFERROR(Calculations!$P$576,"")</f>
        <v>0</v>
      </c>
      <c r="C53" s="75">
        <f>IFERROR(Calculations!$Q$576,"")</f>
        <v>0</v>
      </c>
      <c r="D53" s="76">
        <f>IFERROR(Calculations!$R$576,"")</f>
        <v>0</v>
      </c>
      <c r="E53" s="76">
        <f>IFERROR(Calculations!$S$576,"")</f>
        <v>0</v>
      </c>
    </row>
    <row r="54" spans="2:19">
      <c r="B54" s="70">
        <f>IFERROR(Calculations!$P$577,"")</f>
        <v>0</v>
      </c>
      <c r="C54" s="75">
        <f>IFERROR(Calculations!$Q$577,"")</f>
        <v>0</v>
      </c>
      <c r="D54" s="76">
        <f>IFERROR(Calculations!$R$577,"")</f>
        <v>0</v>
      </c>
      <c r="E54" s="76">
        <f>IFERROR(Calculations!$S$577,"")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IF(Calculations!$U$568="","",Calculations!$U$568)</f>
        <v>0</v>
      </c>
      <c r="C62" s="75">
        <f>IFERROR(Calculations!$V$568,"")</f>
        <v>0</v>
      </c>
      <c r="D62" s="75">
        <f>IFERROR(Calculations!$W$568,"")</f>
        <v>0</v>
      </c>
      <c r="E62" s="75">
        <f>IFERROR(Calculations!$X$568,"")</f>
        <v>0</v>
      </c>
      <c r="F62" s="75">
        <f>IFERROR(Calculations!$Y$568,"")</f>
        <v>0</v>
      </c>
      <c r="G62" s="75">
        <f>IFERROR(Calculations!$Z$568,"")</f>
        <v>0</v>
      </c>
      <c r="H62" s="75">
        <f>IFERROR(Calculations!$AA$568,"")</f>
        <v>0</v>
      </c>
      <c r="I62" s="75">
        <f>IFERROR(Calculations!$AB$568,"")</f>
        <v>0</v>
      </c>
      <c r="J62" s="75">
        <f>IFERROR(Calculations!$AC$568,"")</f>
        <v>0</v>
      </c>
      <c r="K62" s="75">
        <f>IFERROR(Calculations!$AD$568,"")</f>
        <v>0</v>
      </c>
      <c r="L62" s="75">
        <f>IFERROR(Calculations!$AE$568,"")</f>
        <v>0</v>
      </c>
      <c r="M62" s="75">
        <f>IFERROR(Calculations!$AF$568,"")</f>
        <v>0</v>
      </c>
      <c r="N62" s="75">
        <f>IFERROR(Calculations!$AG$568,"")</f>
        <v>0</v>
      </c>
      <c r="O62" s="75">
        <f>IFERROR(Calculations!$AH$568,"")</f>
        <v>0</v>
      </c>
    </row>
    <row r="63" spans="2:19">
      <c r="B63" s="70">
        <f>IF(Calculations!$U$569="","",Calculations!$U$569)</f>
        <v>0</v>
      </c>
      <c r="C63" s="75">
        <f>IFERROR(Calculations!$V$569,"")</f>
        <v>0</v>
      </c>
      <c r="D63" s="75">
        <f>IFERROR(Calculations!$W$569,"")</f>
        <v>0</v>
      </c>
      <c r="E63" s="75">
        <f>IFERROR(Calculations!$X$569,"")</f>
        <v>0</v>
      </c>
      <c r="F63" s="75">
        <f>IFERROR(Calculations!$Y$569,"")</f>
        <v>0</v>
      </c>
      <c r="G63" s="75">
        <f>IFERROR(Calculations!$Z$569,"")</f>
        <v>0</v>
      </c>
      <c r="H63" s="75">
        <f>IFERROR(Calculations!$AA$569,"")</f>
        <v>0</v>
      </c>
      <c r="I63" s="75">
        <f>IFERROR(Calculations!$AB$569,"")</f>
        <v>0</v>
      </c>
      <c r="J63" s="75">
        <f>IFERROR(Calculations!$AC$569,"")</f>
        <v>0</v>
      </c>
      <c r="K63" s="75">
        <f>IFERROR(Calculations!$AD$569,"")</f>
        <v>0</v>
      </c>
      <c r="L63" s="75">
        <f>IFERROR(Calculations!$AE$569,"")</f>
        <v>0</v>
      </c>
      <c r="M63" s="75">
        <f>IFERROR(Calculations!$AF$569,"")</f>
        <v>0</v>
      </c>
      <c r="N63" s="75">
        <f>IFERROR(Calculations!$AG$569,"")</f>
        <v>0</v>
      </c>
      <c r="O63" s="75">
        <f>IFERROR(Calculations!$AH$569,"")</f>
        <v>0</v>
      </c>
    </row>
    <row r="64" spans="2:19">
      <c r="B64" s="70">
        <f>IF(Calculations!$U$570="","",Calculations!$U$570)</f>
        <v>0</v>
      </c>
      <c r="C64" s="75">
        <f>IFERROR(Calculations!$V$570,"")</f>
        <v>0</v>
      </c>
      <c r="D64" s="75">
        <f>IFERROR(Calculations!$W$570,"")</f>
        <v>0</v>
      </c>
      <c r="E64" s="75">
        <f>IFERROR(Calculations!$X$570,"")</f>
        <v>0</v>
      </c>
      <c r="F64" s="75">
        <f>IFERROR(Calculations!$Y$570,"")</f>
        <v>0</v>
      </c>
      <c r="G64" s="75">
        <f>IFERROR(Calculations!$Z$570,"")</f>
        <v>0</v>
      </c>
      <c r="H64" s="75">
        <f>IFERROR(Calculations!$AA$570,"")</f>
        <v>0</v>
      </c>
      <c r="I64" s="75">
        <f>IFERROR(Calculations!$AB$570,"")</f>
        <v>0</v>
      </c>
      <c r="J64" s="75">
        <f>IFERROR(Calculations!$AC$570,"")</f>
        <v>0</v>
      </c>
      <c r="K64" s="75">
        <f>IFERROR(Calculations!$AD$570,"")</f>
        <v>0</v>
      </c>
      <c r="L64" s="75">
        <f>IFERROR(Calculations!$AE$570,"")</f>
        <v>0</v>
      </c>
      <c r="M64" s="75">
        <f>IFERROR(Calculations!$AF$570,"")</f>
        <v>0</v>
      </c>
      <c r="N64" s="75">
        <f>IFERROR(Calculations!$AG$570,"")</f>
        <v>0</v>
      </c>
      <c r="O64" s="75">
        <f>IFERROR(Calculations!$AH$570,"")</f>
        <v>0</v>
      </c>
    </row>
    <row r="65" spans="2:19">
      <c r="B65" s="70">
        <f>IF(Calculations!$U$571="","",Calculations!$U$571)</f>
        <v>0</v>
      </c>
      <c r="C65" s="75">
        <f>IFERROR(Calculations!$V$571,"")</f>
        <v>0</v>
      </c>
      <c r="D65" s="75">
        <f>IFERROR(Calculations!$W$571,"")</f>
        <v>0</v>
      </c>
      <c r="E65" s="75">
        <f>IFERROR(Calculations!$X$571,"")</f>
        <v>0</v>
      </c>
      <c r="F65" s="75">
        <f>IFERROR(Calculations!$Y$571,"")</f>
        <v>0</v>
      </c>
      <c r="G65" s="75">
        <f>IFERROR(Calculations!$Z$571,"")</f>
        <v>0</v>
      </c>
      <c r="H65" s="75">
        <f>IFERROR(Calculations!$AA$571,"")</f>
        <v>0</v>
      </c>
      <c r="I65" s="75">
        <f>IFERROR(Calculations!$AB$571,"")</f>
        <v>0</v>
      </c>
      <c r="J65" s="75">
        <f>IFERROR(Calculations!$AC$571,"")</f>
        <v>0</v>
      </c>
      <c r="K65" s="75">
        <f>IFERROR(Calculations!$AD$571,"")</f>
        <v>0</v>
      </c>
      <c r="L65" s="75">
        <f>IFERROR(Calculations!$AE$571,"")</f>
        <v>0</v>
      </c>
      <c r="M65" s="75">
        <f>IFERROR(Calculations!$AF$571,"")</f>
        <v>0</v>
      </c>
      <c r="N65" s="75">
        <f>IFERROR(Calculations!$AG$571,"")</f>
        <v>0</v>
      </c>
      <c r="O65" s="75">
        <f>IFERROR(Calculations!$AH$571,"")</f>
        <v>0</v>
      </c>
    </row>
    <row r="66" spans="2:19">
      <c r="B66" s="70">
        <f>IF(Calculations!$U$572="","",Calculations!$U$572)</f>
        <v>0</v>
      </c>
      <c r="C66" s="75">
        <f>IFERROR(Calculations!$V$572,"")</f>
        <v>0</v>
      </c>
      <c r="D66" s="75">
        <f>IFERROR(Calculations!$W$572,"")</f>
        <v>0</v>
      </c>
      <c r="E66" s="75">
        <f>IFERROR(Calculations!$X$572,"")</f>
        <v>0</v>
      </c>
      <c r="F66" s="75">
        <f>IFERROR(Calculations!$Y$572,"")</f>
        <v>0</v>
      </c>
      <c r="G66" s="75">
        <f>IFERROR(Calculations!$Z$572,"")</f>
        <v>0</v>
      </c>
      <c r="H66" s="75">
        <f>IFERROR(Calculations!$AA$572,"")</f>
        <v>0</v>
      </c>
      <c r="I66" s="75">
        <f>IFERROR(Calculations!$AB$572,"")</f>
        <v>0</v>
      </c>
      <c r="J66" s="75">
        <f>IFERROR(Calculations!$AC$572,"")</f>
        <v>0</v>
      </c>
      <c r="K66" s="75">
        <f>IFERROR(Calculations!$AD$572,"")</f>
        <v>0</v>
      </c>
      <c r="L66" s="75">
        <f>IFERROR(Calculations!$AE$572,"")</f>
        <v>0</v>
      </c>
      <c r="M66" s="75">
        <f>IFERROR(Calculations!$AF$572,"")</f>
        <v>0</v>
      </c>
      <c r="N66" s="75">
        <f>IFERROR(Calculations!$AG$572,"")</f>
        <v>0</v>
      </c>
      <c r="O66" s="75">
        <f>IFERROR(Calculations!$AH$572,"")</f>
        <v>0</v>
      </c>
    </row>
    <row r="67" spans="2:19">
      <c r="B67" s="70">
        <f>IF(Calculations!$U$573="","",Calculations!$U$573)</f>
        <v>0</v>
      </c>
      <c r="C67" s="75">
        <f>IFERROR(Calculations!$V$573,"")</f>
        <v>0</v>
      </c>
      <c r="D67" s="75">
        <f>IFERROR(Calculations!$W$573,"")</f>
        <v>0</v>
      </c>
      <c r="E67" s="75">
        <f>IFERROR(Calculations!$X$573,"")</f>
        <v>0</v>
      </c>
      <c r="F67" s="75">
        <f>IFERROR(Calculations!$Y$573,"")</f>
        <v>0</v>
      </c>
      <c r="G67" s="75">
        <f>IFERROR(Calculations!$Z$573,"")</f>
        <v>0</v>
      </c>
      <c r="H67" s="75">
        <f>IFERROR(Calculations!$AA$573,"")</f>
        <v>0</v>
      </c>
      <c r="I67" s="75">
        <f>IFERROR(Calculations!$AB$573,"")</f>
        <v>0</v>
      </c>
      <c r="J67" s="75">
        <f>IFERROR(Calculations!$AC$573,"")</f>
        <v>0</v>
      </c>
      <c r="K67" s="75">
        <f>IFERROR(Calculations!$AD$573,"")</f>
        <v>0</v>
      </c>
      <c r="L67" s="75">
        <f>IFERROR(Calculations!$AE$573,"")</f>
        <v>0</v>
      </c>
      <c r="M67" s="75">
        <f>IFERROR(Calculations!$AF$573,"")</f>
        <v>0</v>
      </c>
      <c r="N67" s="75">
        <f>IFERROR(Calculations!$AG$573,"")</f>
        <v>0</v>
      </c>
      <c r="O67" s="75">
        <f>IFERROR(Calculations!$AH$573,"")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B71" s="86">
        <f>INDEX(Calculations!$B$287:$B$289,1)</f>
        <v>0</v>
      </c>
      <c r="H71" s="86">
        <f>INDEX(Calculations!$B$287:$B$289,2)</f>
        <v>0</v>
      </c>
      <c r="N71" s="86">
        <f>INDEX(Calculations!$B$287:$B$289,3)</f>
        <v>0</v>
      </c>
    </row>
    <row r="72" spans="2:19">
      <c r="B72" s="87">
        <f>INDEX(Calculations!$C$287:$C$289,1)</f>
        <v>0</v>
      </c>
      <c r="H72" s="87">
        <f>INDEX(Calculations!$C$287:$C$289,2)</f>
        <v>0</v>
      </c>
      <c r="N72" s="87">
        <f>INDEX(Calculations!$C$287:$C$289,3)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C64:N64">
    <cfRule type="colorScale" priority="3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Training'!A1" display="◀ Register"/>
  </hyperlinks>
  <pageMargins left="0.3" right="0.3" top="0.4" bottom="0.4" header="0.3" footer="0.3"/>
  <pageSetup fitToHeight="0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1">
    <tabColor rgb="FF14B8A6"/>
    <pageSetUpPr fitToPage="1"/>
  </sheetPr>
  <dimension ref="A1:S76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2374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2375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2376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2377</v>
      </c>
      <c r="O13" s="39"/>
      <c r="P13" s="39"/>
      <c r="Q13" s="39"/>
    </row>
    <row r="14" spans="2:19">
      <c r="B14" s="41">
        <f>Calculations!$N$594</f>
        <v>0</v>
      </c>
      <c r="C14" s="41"/>
      <c r="D14" s="41"/>
      <c r="E14" s="41"/>
      <c r="F14" s="41">
        <f>Calculations!$N$595</f>
        <v>0</v>
      </c>
      <c r="G14" s="41"/>
      <c r="H14" s="41"/>
      <c r="I14" s="41"/>
      <c r="J14" s="41">
        <f>Calculations!$N$596</f>
        <v>0</v>
      </c>
      <c r="K14" s="41"/>
      <c r="L14" s="41"/>
      <c r="M14" s="41"/>
      <c r="N14" s="41">
        <f>Calculations!$N$597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2378</v>
      </c>
      <c r="C19" s="39"/>
      <c r="D19" s="39"/>
      <c r="E19" s="39"/>
      <c r="F19" s="39" t="s">
        <v>2379</v>
      </c>
      <c r="G19" s="39"/>
      <c r="H19" s="39"/>
      <c r="I19" s="39"/>
      <c r="J19" s="39" t="s">
        <v>2358</v>
      </c>
      <c r="K19" s="39"/>
      <c r="L19" s="39"/>
      <c r="M19" s="39"/>
      <c r="N19" s="39" t="s">
        <v>2380</v>
      </c>
      <c r="O19" s="39"/>
      <c r="P19" s="39"/>
      <c r="Q19" s="39"/>
    </row>
    <row r="20" spans="2:19">
      <c r="B20" s="41">
        <f>Calculations!$N$598</f>
        <v>0</v>
      </c>
      <c r="C20" s="41"/>
      <c r="D20" s="41"/>
      <c r="E20" s="41"/>
      <c r="F20" s="41">
        <f>Calculations!$N$599</f>
        <v>0</v>
      </c>
      <c r="G20" s="41"/>
      <c r="H20" s="41"/>
      <c r="I20" s="41"/>
      <c r="J20" s="41">
        <f>Calculations!$N$600</f>
        <v>0</v>
      </c>
      <c r="K20" s="41"/>
      <c r="L20" s="41"/>
      <c r="M20" s="41"/>
      <c r="N20" s="42">
        <f>Calculations!$N$601</f>
        <v>0</v>
      </c>
      <c r="O20" s="42"/>
      <c r="P20" s="42"/>
      <c r="Q20" s="42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  <c r="O21" s="42"/>
      <c r="P21" s="42"/>
      <c r="Q21" s="42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"&amp;INDEX(Calculations!$C$594:$C$605,CurMonthNo)&amp;"   vs   "&amp;INDEX(L_Month,CurMonthNo-1)&amp;": "&amp;INDEX(Calculations!$C$594:$C$605,CurMonthNo-1)&amp;"   "&amp;IF(INDEX(Calculations!$C$594:$C$605,CurMonthNo)&gt;=INDEX(Calculations!$C$594:$C$605,CurMonthNo-1),"▲ ","▼ ")&amp;TEXT(IFERROR((INDEX(Calculations!$C$594:$C$605,CurMonthNo)-INDEX(Calculations!$C$594:$C$605,CurMonthNo-1))/INDEX(Calculations!$C$594:$C$605,CurMonthNo-1),0),"+0.0%;-0.0%")))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IFERROR(Calculations!$P$594,"")</f>
        <v>0</v>
      </c>
      <c r="C45" s="75">
        <f>IFERROR(Calculations!$Q$594,"")</f>
        <v>0</v>
      </c>
      <c r="D45" s="76">
        <f>IFERROR(Calculations!$R$594,"")</f>
        <v>0</v>
      </c>
      <c r="E45" s="75">
        <f>IFERROR(Calculations!$S$594,"")</f>
        <v>0</v>
      </c>
    </row>
    <row r="46" spans="2:19">
      <c r="B46" s="70">
        <f>IFERROR(Calculations!$P$595,"")</f>
        <v>0</v>
      </c>
      <c r="C46" s="75">
        <f>IFERROR(Calculations!$Q$595,"")</f>
        <v>0</v>
      </c>
      <c r="D46" s="76">
        <f>IFERROR(Calculations!$R$595,"")</f>
        <v>0</v>
      </c>
      <c r="E46" s="75">
        <f>IFERROR(Calculations!$S$595,"")</f>
        <v>0</v>
      </c>
    </row>
    <row r="47" spans="2:19">
      <c r="B47" s="70">
        <f>IFERROR(Calculations!$P$596,"")</f>
        <v>0</v>
      </c>
      <c r="C47" s="75">
        <f>IFERROR(Calculations!$Q$596,"")</f>
        <v>0</v>
      </c>
      <c r="D47" s="76">
        <f>IFERROR(Calculations!$R$596,"")</f>
        <v>0</v>
      </c>
      <c r="E47" s="75">
        <f>IFERROR(Calculations!$S$596,"")</f>
        <v>0</v>
      </c>
    </row>
    <row r="48" spans="2:19">
      <c r="B48" s="70">
        <f>IFERROR(Calculations!$P$597,"")</f>
        <v>0</v>
      </c>
      <c r="C48" s="75">
        <f>IFERROR(Calculations!$Q$597,"")</f>
        <v>0</v>
      </c>
      <c r="D48" s="76">
        <f>IFERROR(Calculations!$R$597,"")</f>
        <v>0</v>
      </c>
      <c r="E48" s="75">
        <f>IFERROR(Calculations!$S$597,"")</f>
        <v>0</v>
      </c>
    </row>
    <row r="49" spans="2:19">
      <c r="B49" s="70">
        <f>IFERROR(Calculations!$P$598,"")</f>
        <v>0</v>
      </c>
      <c r="C49" s="75">
        <f>IFERROR(Calculations!$Q$598,"")</f>
        <v>0</v>
      </c>
      <c r="D49" s="76">
        <f>IFERROR(Calculations!$R$598,"")</f>
        <v>0</v>
      </c>
      <c r="E49" s="75">
        <f>IFERROR(Calculations!$S$598,"")</f>
        <v>0</v>
      </c>
    </row>
    <row r="50" spans="2:19">
      <c r="B50" s="70">
        <f>IFERROR(Calculations!$P$599,"")</f>
        <v>0</v>
      </c>
      <c r="C50" s="75">
        <f>IFERROR(Calculations!$Q$599,"")</f>
        <v>0</v>
      </c>
      <c r="D50" s="76">
        <f>IFERROR(Calculations!$R$599,"")</f>
        <v>0</v>
      </c>
      <c r="E50" s="75">
        <f>IFERROR(Calculations!$S$599,"")</f>
        <v>0</v>
      </c>
    </row>
    <row r="51" spans="2:19">
      <c r="B51" s="70">
        <f>IFERROR(Calculations!$P$600,"")</f>
        <v>0</v>
      </c>
      <c r="C51" s="75">
        <f>IFERROR(Calculations!$Q$600,"")</f>
        <v>0</v>
      </c>
      <c r="D51" s="76">
        <f>IFERROR(Calculations!$R$600,"")</f>
        <v>0</v>
      </c>
      <c r="E51" s="75">
        <f>IFERROR(Calculations!$S$600,"")</f>
        <v>0</v>
      </c>
    </row>
    <row r="52" spans="2:19">
      <c r="B52" s="70">
        <f>IFERROR(Calculations!$P$601,"")</f>
        <v>0</v>
      </c>
      <c r="C52" s="75">
        <f>IFERROR(Calculations!$Q$601,"")</f>
        <v>0</v>
      </c>
      <c r="D52" s="76">
        <f>IFERROR(Calculations!$R$601,"")</f>
        <v>0</v>
      </c>
      <c r="E52" s="75">
        <f>IFERROR(Calculations!$S$601,"")</f>
        <v>0</v>
      </c>
    </row>
    <row r="53" spans="2:19">
      <c r="B53" s="70">
        <f>IFERROR(Calculations!$P$602,"")</f>
        <v>0</v>
      </c>
      <c r="C53" s="75">
        <f>IFERROR(Calculations!$Q$602,"")</f>
        <v>0</v>
      </c>
      <c r="D53" s="76">
        <f>IFERROR(Calculations!$R$602,"")</f>
        <v>0</v>
      </c>
      <c r="E53" s="75">
        <f>IFERROR(Calculations!$S$602,"")</f>
        <v>0</v>
      </c>
    </row>
    <row r="54" spans="2:19">
      <c r="B54" s="70">
        <f>IFERROR(Calculations!$P$603,"")</f>
        <v>0</v>
      </c>
      <c r="C54" s="75">
        <f>IFERROR(Calculations!$Q$603,"")</f>
        <v>0</v>
      </c>
      <c r="D54" s="76">
        <f>IFERROR(Calculations!$R$603,"")</f>
        <v>0</v>
      </c>
      <c r="E54" s="75">
        <f>IFERROR(Calculations!$S$603,"")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IF(Calculations!$U$594="","",Calculations!$U$594)</f>
        <v>0</v>
      </c>
      <c r="C62" s="75">
        <f>IFERROR(Calculations!$V$594,"")</f>
        <v>0</v>
      </c>
      <c r="D62" s="75">
        <f>IFERROR(Calculations!$W$594,"")</f>
        <v>0</v>
      </c>
      <c r="E62" s="75">
        <f>IFERROR(Calculations!$X$594,"")</f>
        <v>0</v>
      </c>
      <c r="F62" s="75">
        <f>IFERROR(Calculations!$Y$594,"")</f>
        <v>0</v>
      </c>
      <c r="G62" s="75">
        <f>IFERROR(Calculations!$Z$594,"")</f>
        <v>0</v>
      </c>
      <c r="H62" s="75">
        <f>IFERROR(Calculations!$AA$594,"")</f>
        <v>0</v>
      </c>
      <c r="I62" s="75">
        <f>IFERROR(Calculations!$AB$594,"")</f>
        <v>0</v>
      </c>
      <c r="J62" s="75">
        <f>IFERROR(Calculations!$AC$594,"")</f>
        <v>0</v>
      </c>
      <c r="K62" s="75">
        <f>IFERROR(Calculations!$AD$594,"")</f>
        <v>0</v>
      </c>
      <c r="L62" s="75">
        <f>IFERROR(Calculations!$AE$594,"")</f>
        <v>0</v>
      </c>
      <c r="M62" s="75">
        <f>IFERROR(Calculations!$AF$594,"")</f>
        <v>0</v>
      </c>
      <c r="N62" s="75">
        <f>IFERROR(Calculations!$AG$594,"")</f>
        <v>0</v>
      </c>
      <c r="O62" s="75">
        <f>IFERROR(Calculations!$AH$594,"")</f>
        <v>0</v>
      </c>
    </row>
    <row r="63" spans="2:19">
      <c r="B63" s="70">
        <f>IF(Calculations!$U$595="","",Calculations!$U$595)</f>
        <v>0</v>
      </c>
      <c r="C63" s="75">
        <f>IFERROR(Calculations!$V$595,"")</f>
        <v>0</v>
      </c>
      <c r="D63" s="75">
        <f>IFERROR(Calculations!$W$595,"")</f>
        <v>0</v>
      </c>
      <c r="E63" s="75">
        <f>IFERROR(Calculations!$X$595,"")</f>
        <v>0</v>
      </c>
      <c r="F63" s="75">
        <f>IFERROR(Calculations!$Y$595,"")</f>
        <v>0</v>
      </c>
      <c r="G63" s="75">
        <f>IFERROR(Calculations!$Z$595,"")</f>
        <v>0</v>
      </c>
      <c r="H63" s="75">
        <f>IFERROR(Calculations!$AA$595,"")</f>
        <v>0</v>
      </c>
      <c r="I63" s="75">
        <f>IFERROR(Calculations!$AB$595,"")</f>
        <v>0</v>
      </c>
      <c r="J63" s="75">
        <f>IFERROR(Calculations!$AC$595,"")</f>
        <v>0</v>
      </c>
      <c r="K63" s="75">
        <f>IFERROR(Calculations!$AD$595,"")</f>
        <v>0</v>
      </c>
      <c r="L63" s="75">
        <f>IFERROR(Calculations!$AE$595,"")</f>
        <v>0</v>
      </c>
      <c r="M63" s="75">
        <f>IFERROR(Calculations!$AF$595,"")</f>
        <v>0</v>
      </c>
      <c r="N63" s="75">
        <f>IFERROR(Calculations!$AG$595,"")</f>
        <v>0</v>
      </c>
      <c r="O63" s="75">
        <f>IFERROR(Calculations!$AH$595,"")</f>
        <v>0</v>
      </c>
    </row>
    <row r="64" spans="2:19">
      <c r="B64" s="70">
        <f>IF(Calculations!$U$596="","",Calculations!$U$596)</f>
        <v>0</v>
      </c>
      <c r="C64" s="75">
        <f>IFERROR(Calculations!$V$596,"")</f>
        <v>0</v>
      </c>
      <c r="D64" s="75">
        <f>IFERROR(Calculations!$W$596,"")</f>
        <v>0</v>
      </c>
      <c r="E64" s="75">
        <f>IFERROR(Calculations!$X$596,"")</f>
        <v>0</v>
      </c>
      <c r="F64" s="75">
        <f>IFERROR(Calculations!$Y$596,"")</f>
        <v>0</v>
      </c>
      <c r="G64" s="75">
        <f>IFERROR(Calculations!$Z$596,"")</f>
        <v>0</v>
      </c>
      <c r="H64" s="75">
        <f>IFERROR(Calculations!$AA$596,"")</f>
        <v>0</v>
      </c>
      <c r="I64" s="75">
        <f>IFERROR(Calculations!$AB$596,"")</f>
        <v>0</v>
      </c>
      <c r="J64" s="75">
        <f>IFERROR(Calculations!$AC$596,"")</f>
        <v>0</v>
      </c>
      <c r="K64" s="75">
        <f>IFERROR(Calculations!$AD$596,"")</f>
        <v>0</v>
      </c>
      <c r="L64" s="75">
        <f>IFERROR(Calculations!$AE$596,"")</f>
        <v>0</v>
      </c>
      <c r="M64" s="75">
        <f>IFERROR(Calculations!$AF$596,"")</f>
        <v>0</v>
      </c>
      <c r="N64" s="75">
        <f>IFERROR(Calculations!$AG$596,"")</f>
        <v>0</v>
      </c>
      <c r="O64" s="75">
        <f>IFERROR(Calculations!$AH$596,"")</f>
        <v>0</v>
      </c>
    </row>
    <row r="65" spans="2:19">
      <c r="B65" s="70">
        <f>IF(Calculations!$U$597="","",Calculations!$U$597)</f>
        <v>0</v>
      </c>
      <c r="C65" s="75">
        <f>IFERROR(Calculations!$V$597,"")</f>
        <v>0</v>
      </c>
      <c r="D65" s="75">
        <f>IFERROR(Calculations!$W$597,"")</f>
        <v>0</v>
      </c>
      <c r="E65" s="75">
        <f>IFERROR(Calculations!$X$597,"")</f>
        <v>0</v>
      </c>
      <c r="F65" s="75">
        <f>IFERROR(Calculations!$Y$597,"")</f>
        <v>0</v>
      </c>
      <c r="G65" s="75">
        <f>IFERROR(Calculations!$Z$597,"")</f>
        <v>0</v>
      </c>
      <c r="H65" s="75">
        <f>IFERROR(Calculations!$AA$597,"")</f>
        <v>0</v>
      </c>
      <c r="I65" s="75">
        <f>IFERROR(Calculations!$AB$597,"")</f>
        <v>0</v>
      </c>
      <c r="J65" s="75">
        <f>IFERROR(Calculations!$AC$597,"")</f>
        <v>0</v>
      </c>
      <c r="K65" s="75">
        <f>IFERROR(Calculations!$AD$597,"")</f>
        <v>0</v>
      </c>
      <c r="L65" s="75">
        <f>IFERROR(Calculations!$AE$597,"")</f>
        <v>0</v>
      </c>
      <c r="M65" s="75">
        <f>IFERROR(Calculations!$AF$597,"")</f>
        <v>0</v>
      </c>
      <c r="N65" s="75">
        <f>IFERROR(Calculations!$AG$597,"")</f>
        <v>0</v>
      </c>
      <c r="O65" s="75">
        <f>IFERROR(Calculations!$AH$597,"")</f>
        <v>0</v>
      </c>
    </row>
    <row r="66" spans="2:19">
      <c r="B66" s="70">
        <f>IF(Calculations!$U$598="","",Calculations!$U$598)</f>
        <v>0</v>
      </c>
      <c r="C66" s="75">
        <f>IFERROR(Calculations!$V$598,"")</f>
        <v>0</v>
      </c>
      <c r="D66" s="75">
        <f>IFERROR(Calculations!$W$598,"")</f>
        <v>0</v>
      </c>
      <c r="E66" s="75">
        <f>IFERROR(Calculations!$X$598,"")</f>
        <v>0</v>
      </c>
      <c r="F66" s="75">
        <f>IFERROR(Calculations!$Y$598,"")</f>
        <v>0</v>
      </c>
      <c r="G66" s="75">
        <f>IFERROR(Calculations!$Z$598,"")</f>
        <v>0</v>
      </c>
      <c r="H66" s="75">
        <f>IFERROR(Calculations!$AA$598,"")</f>
        <v>0</v>
      </c>
      <c r="I66" s="75">
        <f>IFERROR(Calculations!$AB$598,"")</f>
        <v>0</v>
      </c>
      <c r="J66" s="75">
        <f>IFERROR(Calculations!$AC$598,"")</f>
        <v>0</v>
      </c>
      <c r="K66" s="75">
        <f>IFERROR(Calculations!$AD$598,"")</f>
        <v>0</v>
      </c>
      <c r="L66" s="75">
        <f>IFERROR(Calculations!$AE$598,"")</f>
        <v>0</v>
      </c>
      <c r="M66" s="75">
        <f>IFERROR(Calculations!$AF$598,"")</f>
        <v>0</v>
      </c>
      <c r="N66" s="75">
        <f>IFERROR(Calculations!$AG$598,"")</f>
        <v>0</v>
      </c>
      <c r="O66" s="75">
        <f>IFERROR(Calculations!$AH$598,"")</f>
        <v>0</v>
      </c>
    </row>
    <row r="67" spans="2:19">
      <c r="B67" s="70">
        <f>IF(Calculations!$U$599="","",Calculations!$U$599)</f>
        <v>0</v>
      </c>
      <c r="C67" s="75">
        <f>IFERROR(Calculations!$V$599,"")</f>
        <v>0</v>
      </c>
      <c r="D67" s="75">
        <f>IFERROR(Calculations!$W$599,"")</f>
        <v>0</v>
      </c>
      <c r="E67" s="75">
        <f>IFERROR(Calculations!$X$599,"")</f>
        <v>0</v>
      </c>
      <c r="F67" s="75">
        <f>IFERROR(Calculations!$Y$599,"")</f>
        <v>0</v>
      </c>
      <c r="G67" s="75">
        <f>IFERROR(Calculations!$Z$599,"")</f>
        <v>0</v>
      </c>
      <c r="H67" s="75">
        <f>IFERROR(Calculations!$AA$599,"")</f>
        <v>0</v>
      </c>
      <c r="I67" s="75">
        <f>IFERROR(Calculations!$AB$599,"")</f>
        <v>0</v>
      </c>
      <c r="J67" s="75">
        <f>IFERROR(Calculations!$AC$599,"")</f>
        <v>0</v>
      </c>
      <c r="K67" s="75">
        <f>IFERROR(Calculations!$AD$599,"")</f>
        <v>0</v>
      </c>
      <c r="L67" s="75">
        <f>IFERROR(Calculations!$AE$599,"")</f>
        <v>0</v>
      </c>
      <c r="M67" s="75">
        <f>IFERROR(Calculations!$AF$599,"")</f>
        <v>0</v>
      </c>
      <c r="N67" s="75">
        <f>IFERROR(Calculations!$AG$599,"")</f>
        <v>0</v>
      </c>
      <c r="O67" s="75">
        <f>IFERROR(Calculations!$AH$599,"")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H71" s="57" t="s">
        <v>129</v>
      </c>
      <c r="I71" s="57" t="s">
        <v>2363</v>
      </c>
    </row>
    <row r="72" spans="2:19">
      <c r="H72" s="70">
        <f>INDEX(Calculations!$F$394:$F$398,1)</f>
        <v>0</v>
      </c>
      <c r="I72" s="75">
        <f>INDEX(Calculations!$G$394:$G$398,1)</f>
        <v>0</v>
      </c>
    </row>
    <row r="73" spans="2:19">
      <c r="H73" s="70">
        <f>INDEX(Calculations!$F$394:$F$398,2)</f>
        <v>0</v>
      </c>
      <c r="I73" s="75">
        <f>INDEX(Calculations!$G$394:$G$398,2)</f>
        <v>0</v>
      </c>
    </row>
    <row r="74" spans="2:19">
      <c r="H74" s="70">
        <f>INDEX(Calculations!$F$394:$F$398,3)</f>
        <v>0</v>
      </c>
      <c r="I74" s="75">
        <f>INDEX(Calculations!$G$394:$G$398,3)</f>
        <v>0</v>
      </c>
    </row>
    <row r="75" spans="2:19">
      <c r="H75" s="70">
        <f>INDEX(Calculations!$F$394:$F$398,4)</f>
        <v>0</v>
      </c>
      <c r="I75" s="75">
        <f>INDEX(Calculations!$G$394:$G$398,4)</f>
        <v>0</v>
      </c>
    </row>
    <row r="76" spans="2:19">
      <c r="H76" s="70">
        <f>INDEX(Calculations!$F$394:$F$398,5)</f>
        <v>0</v>
      </c>
      <c r="I76" s="75">
        <f>INDEX(Calculations!$G$394:$G$398,5)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I72:I76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HSE Observations'!A1" display="◀ Register"/>
  </hyperlinks>
  <pageMargins left="0.3" right="0.3" top="0.4" bottom="0.4" header="0.3" footer="0.3"/>
  <pageSetup fitToHeight="0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2">
    <tabColor rgb="FF14B8A6"/>
    <pageSetUpPr fitToPage="1"/>
  </sheetPr>
  <dimension ref="A1:S76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2381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2382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2340</v>
      </c>
      <c r="C13" s="39"/>
      <c r="D13" s="39"/>
      <c r="E13" s="39"/>
      <c r="F13" s="39" t="s">
        <v>2367</v>
      </c>
      <c r="G13" s="39"/>
      <c r="H13" s="39"/>
      <c r="I13" s="39"/>
      <c r="J13" s="39" t="s">
        <v>2377</v>
      </c>
      <c r="K13" s="39"/>
      <c r="L13" s="39"/>
      <c r="M13" s="39"/>
      <c r="N13" s="39" t="s">
        <v>2383</v>
      </c>
      <c r="O13" s="39"/>
      <c r="P13" s="39"/>
      <c r="Q13" s="39"/>
    </row>
    <row r="14" spans="2:19">
      <c r="B14" s="41">
        <f>Calculations!$N$620</f>
        <v>0</v>
      </c>
      <c r="C14" s="41"/>
      <c r="D14" s="41"/>
      <c r="E14" s="41"/>
      <c r="F14" s="41">
        <f>Calculations!$N$621</f>
        <v>0</v>
      </c>
      <c r="G14" s="41"/>
      <c r="H14" s="41"/>
      <c r="I14" s="41"/>
      <c r="J14" s="41">
        <f>Calculations!$N$622</f>
        <v>0</v>
      </c>
      <c r="K14" s="41"/>
      <c r="L14" s="41"/>
      <c r="M14" s="41"/>
      <c r="N14" s="41">
        <f>Calculations!$N$623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2384</v>
      </c>
      <c r="C19" s="39"/>
      <c r="D19" s="39"/>
      <c r="E19" s="39"/>
      <c r="F19" s="39" t="s">
        <v>2385</v>
      </c>
      <c r="G19" s="39"/>
      <c r="H19" s="39"/>
      <c r="I19" s="39"/>
      <c r="J19" s="39" t="s">
        <v>2386</v>
      </c>
      <c r="K19" s="39"/>
      <c r="L19" s="39"/>
      <c r="M19" s="39"/>
      <c r="N19" s="39" t="s">
        <v>2380</v>
      </c>
      <c r="O19" s="39"/>
      <c r="P19" s="39"/>
      <c r="Q19" s="39"/>
    </row>
    <row r="20" spans="2:19">
      <c r="B20" s="41">
        <f>Calculations!$N$624</f>
        <v>0</v>
      </c>
      <c r="C20" s="41"/>
      <c r="D20" s="41"/>
      <c r="E20" s="41"/>
      <c r="F20" s="41">
        <f>Calculations!$N$625</f>
        <v>0</v>
      </c>
      <c r="G20" s="41"/>
      <c r="H20" s="41"/>
      <c r="I20" s="41"/>
      <c r="J20" s="42">
        <f>Calculations!$N$626</f>
        <v>0</v>
      </c>
      <c r="K20" s="42"/>
      <c r="L20" s="42"/>
      <c r="M20" s="42"/>
      <c r="N20" s="42">
        <f>Calculations!$N$627</f>
        <v>0</v>
      </c>
      <c r="O20" s="42"/>
      <c r="P20" s="42"/>
      <c r="Q20" s="42"/>
    </row>
    <row r="21" spans="2:19"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2"/>
      <c r="O21" s="42"/>
      <c r="P21" s="42"/>
      <c r="Q21" s="42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"&amp;INDEX(Calculations!$C$620:$C$631,CurMonthNo)&amp;"   vs   "&amp;INDEX(L_Month,CurMonthNo-1)&amp;": "&amp;INDEX(Calculations!$C$620:$C$631,CurMonthNo-1)&amp;"   "&amp;IF(INDEX(Calculations!$C$620:$C$631,CurMonthNo)&gt;=INDEX(Calculations!$C$620:$C$631,CurMonthNo-1),"▲ ","▼ ")&amp;TEXT(IFERROR((INDEX(Calculations!$C$620:$C$631,CurMonthNo)-INDEX(Calculations!$C$620:$C$631,CurMonthNo-1))/INDEX(Calculations!$C$620:$C$631,CurMonthNo-1),0),"+0.0%;-0.0%")))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IFERROR(Calculations!$P$620,"")</f>
        <v>0</v>
      </c>
      <c r="C45" s="75">
        <f>IFERROR(Calculations!$Q$620,"")</f>
        <v>0</v>
      </c>
      <c r="D45" s="76">
        <f>IFERROR(Calculations!$R$620,"")</f>
        <v>0</v>
      </c>
      <c r="E45" s="75">
        <f>IFERROR(Calculations!$S$620,"")</f>
        <v>0</v>
      </c>
    </row>
    <row r="46" spans="2:19">
      <c r="B46" s="70">
        <f>IFERROR(Calculations!$P$621,"")</f>
        <v>0</v>
      </c>
      <c r="C46" s="75">
        <f>IFERROR(Calculations!$Q$621,"")</f>
        <v>0</v>
      </c>
      <c r="D46" s="76">
        <f>IFERROR(Calculations!$R$621,"")</f>
        <v>0</v>
      </c>
      <c r="E46" s="75">
        <f>IFERROR(Calculations!$S$621,"")</f>
        <v>0</v>
      </c>
    </row>
    <row r="47" spans="2:19">
      <c r="B47" s="70">
        <f>IFERROR(Calculations!$P$622,"")</f>
        <v>0</v>
      </c>
      <c r="C47" s="75">
        <f>IFERROR(Calculations!$Q$622,"")</f>
        <v>0</v>
      </c>
      <c r="D47" s="76">
        <f>IFERROR(Calculations!$R$622,"")</f>
        <v>0</v>
      </c>
      <c r="E47" s="75">
        <f>IFERROR(Calculations!$S$622,"")</f>
        <v>0</v>
      </c>
    </row>
    <row r="48" spans="2:19">
      <c r="B48" s="70">
        <f>IFERROR(Calculations!$P$623,"")</f>
        <v>0</v>
      </c>
      <c r="C48" s="75">
        <f>IFERROR(Calculations!$Q$623,"")</f>
        <v>0</v>
      </c>
      <c r="D48" s="76">
        <f>IFERROR(Calculations!$R$623,"")</f>
        <v>0</v>
      </c>
      <c r="E48" s="75">
        <f>IFERROR(Calculations!$S$623,"")</f>
        <v>0</v>
      </c>
    </row>
    <row r="49" spans="2:19">
      <c r="B49" s="70">
        <f>IFERROR(Calculations!$P$624,"")</f>
        <v>0</v>
      </c>
      <c r="C49" s="75">
        <f>IFERROR(Calculations!$Q$624,"")</f>
        <v>0</v>
      </c>
      <c r="D49" s="76">
        <f>IFERROR(Calculations!$R$624,"")</f>
        <v>0</v>
      </c>
      <c r="E49" s="75">
        <f>IFERROR(Calculations!$S$624,"")</f>
        <v>0</v>
      </c>
    </row>
    <row r="50" spans="2:19">
      <c r="B50" s="70">
        <f>IFERROR(Calculations!$P$625,"")</f>
        <v>0</v>
      </c>
      <c r="C50" s="75">
        <f>IFERROR(Calculations!$Q$625,"")</f>
        <v>0</v>
      </c>
      <c r="D50" s="76">
        <f>IFERROR(Calculations!$R$625,"")</f>
        <v>0</v>
      </c>
      <c r="E50" s="75">
        <f>IFERROR(Calculations!$S$625,"")</f>
        <v>0</v>
      </c>
    </row>
    <row r="51" spans="2:19">
      <c r="B51" s="70">
        <f>IFERROR(Calculations!$P$626,"")</f>
        <v>0</v>
      </c>
      <c r="C51" s="75">
        <f>IFERROR(Calculations!$Q$626,"")</f>
        <v>0</v>
      </c>
      <c r="D51" s="76">
        <f>IFERROR(Calculations!$R$626,"")</f>
        <v>0</v>
      </c>
      <c r="E51" s="75">
        <f>IFERROR(Calculations!$S$626,"")</f>
        <v>0</v>
      </c>
    </row>
    <row r="52" spans="2:19">
      <c r="B52" s="70">
        <f>IFERROR(Calculations!$P$627,"")</f>
        <v>0</v>
      </c>
      <c r="C52" s="75">
        <f>IFERROR(Calculations!$Q$627,"")</f>
        <v>0</v>
      </c>
      <c r="D52" s="76">
        <f>IFERROR(Calculations!$R$627,"")</f>
        <v>0</v>
      </c>
      <c r="E52" s="75">
        <f>IFERROR(Calculations!$S$627,"")</f>
        <v>0</v>
      </c>
    </row>
    <row r="53" spans="2:19">
      <c r="B53" s="70">
        <f>IFERROR(Calculations!$P$628,"")</f>
        <v>0</v>
      </c>
      <c r="C53" s="75">
        <f>IFERROR(Calculations!$Q$628,"")</f>
        <v>0</v>
      </c>
      <c r="D53" s="76">
        <f>IFERROR(Calculations!$R$628,"")</f>
        <v>0</v>
      </c>
      <c r="E53" s="75">
        <f>IFERROR(Calculations!$S$628,"")</f>
        <v>0</v>
      </c>
    </row>
    <row r="54" spans="2:19">
      <c r="B54" s="70">
        <f>IFERROR(Calculations!$P$629,"")</f>
        <v>0</v>
      </c>
      <c r="C54" s="75">
        <f>IFERROR(Calculations!$Q$629,"")</f>
        <v>0</v>
      </c>
      <c r="D54" s="76">
        <f>IFERROR(Calculations!$R$629,"")</f>
        <v>0</v>
      </c>
      <c r="E54" s="75">
        <f>IFERROR(Calculations!$S$629,"")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IF(Calculations!$U$620="","",Calculations!$U$620)</f>
        <v>0</v>
      </c>
      <c r="C62" s="75">
        <f>IFERROR(Calculations!$V$620,"")</f>
        <v>0</v>
      </c>
      <c r="D62" s="75">
        <f>IFERROR(Calculations!$W$620,"")</f>
        <v>0</v>
      </c>
      <c r="E62" s="75">
        <f>IFERROR(Calculations!$X$620,"")</f>
        <v>0</v>
      </c>
      <c r="F62" s="75">
        <f>IFERROR(Calculations!$Y$620,"")</f>
        <v>0</v>
      </c>
      <c r="G62" s="75">
        <f>IFERROR(Calculations!$Z$620,"")</f>
        <v>0</v>
      </c>
      <c r="H62" s="75">
        <f>IFERROR(Calculations!$AA$620,"")</f>
        <v>0</v>
      </c>
      <c r="I62" s="75">
        <f>IFERROR(Calculations!$AB$620,"")</f>
        <v>0</v>
      </c>
      <c r="J62" s="75">
        <f>IFERROR(Calculations!$AC$620,"")</f>
        <v>0</v>
      </c>
      <c r="K62" s="75">
        <f>IFERROR(Calculations!$AD$620,"")</f>
        <v>0</v>
      </c>
      <c r="L62" s="75">
        <f>IFERROR(Calculations!$AE$620,"")</f>
        <v>0</v>
      </c>
      <c r="M62" s="75">
        <f>IFERROR(Calculations!$AF$620,"")</f>
        <v>0</v>
      </c>
      <c r="N62" s="75">
        <f>IFERROR(Calculations!$AG$620,"")</f>
        <v>0</v>
      </c>
      <c r="O62" s="75">
        <f>IFERROR(Calculations!$AH$620,"")</f>
        <v>0</v>
      </c>
    </row>
    <row r="63" spans="2:19">
      <c r="B63" s="70">
        <f>IF(Calculations!$U$621="","",Calculations!$U$621)</f>
        <v>0</v>
      </c>
      <c r="C63" s="75">
        <f>IFERROR(Calculations!$V$621,"")</f>
        <v>0</v>
      </c>
      <c r="D63" s="75">
        <f>IFERROR(Calculations!$W$621,"")</f>
        <v>0</v>
      </c>
      <c r="E63" s="75">
        <f>IFERROR(Calculations!$X$621,"")</f>
        <v>0</v>
      </c>
      <c r="F63" s="75">
        <f>IFERROR(Calculations!$Y$621,"")</f>
        <v>0</v>
      </c>
      <c r="G63" s="75">
        <f>IFERROR(Calculations!$Z$621,"")</f>
        <v>0</v>
      </c>
      <c r="H63" s="75">
        <f>IFERROR(Calculations!$AA$621,"")</f>
        <v>0</v>
      </c>
      <c r="I63" s="75">
        <f>IFERROR(Calculations!$AB$621,"")</f>
        <v>0</v>
      </c>
      <c r="J63" s="75">
        <f>IFERROR(Calculations!$AC$621,"")</f>
        <v>0</v>
      </c>
      <c r="K63" s="75">
        <f>IFERROR(Calculations!$AD$621,"")</f>
        <v>0</v>
      </c>
      <c r="L63" s="75">
        <f>IFERROR(Calculations!$AE$621,"")</f>
        <v>0</v>
      </c>
      <c r="M63" s="75">
        <f>IFERROR(Calculations!$AF$621,"")</f>
        <v>0</v>
      </c>
      <c r="N63" s="75">
        <f>IFERROR(Calculations!$AG$621,"")</f>
        <v>0</v>
      </c>
      <c r="O63" s="75">
        <f>IFERROR(Calculations!$AH$621,"")</f>
        <v>0</v>
      </c>
    </row>
    <row r="64" spans="2:19">
      <c r="B64" s="70">
        <f>IF(Calculations!$U$622="","",Calculations!$U$622)</f>
        <v>0</v>
      </c>
      <c r="C64" s="75">
        <f>IFERROR(Calculations!$V$622,"")</f>
        <v>0</v>
      </c>
      <c r="D64" s="75">
        <f>IFERROR(Calculations!$W$622,"")</f>
        <v>0</v>
      </c>
      <c r="E64" s="75">
        <f>IFERROR(Calculations!$X$622,"")</f>
        <v>0</v>
      </c>
      <c r="F64" s="75">
        <f>IFERROR(Calculations!$Y$622,"")</f>
        <v>0</v>
      </c>
      <c r="G64" s="75">
        <f>IFERROR(Calculations!$Z$622,"")</f>
        <v>0</v>
      </c>
      <c r="H64" s="75">
        <f>IFERROR(Calculations!$AA$622,"")</f>
        <v>0</v>
      </c>
      <c r="I64" s="75">
        <f>IFERROR(Calculations!$AB$622,"")</f>
        <v>0</v>
      </c>
      <c r="J64" s="75">
        <f>IFERROR(Calculations!$AC$622,"")</f>
        <v>0</v>
      </c>
      <c r="K64" s="75">
        <f>IFERROR(Calculations!$AD$622,"")</f>
        <v>0</v>
      </c>
      <c r="L64" s="75">
        <f>IFERROR(Calculations!$AE$622,"")</f>
        <v>0</v>
      </c>
      <c r="M64" s="75">
        <f>IFERROR(Calculations!$AF$622,"")</f>
        <v>0</v>
      </c>
      <c r="N64" s="75">
        <f>IFERROR(Calculations!$AG$622,"")</f>
        <v>0</v>
      </c>
      <c r="O64" s="75">
        <f>IFERROR(Calculations!$AH$622,"")</f>
        <v>0</v>
      </c>
    </row>
    <row r="65" spans="2:19">
      <c r="B65" s="70">
        <f>IF(Calculations!$U$623="","",Calculations!$U$623)</f>
        <v>0</v>
      </c>
      <c r="C65" s="75">
        <f>IFERROR(Calculations!$V$623,"")</f>
        <v>0</v>
      </c>
      <c r="D65" s="75">
        <f>IFERROR(Calculations!$W$623,"")</f>
        <v>0</v>
      </c>
      <c r="E65" s="75">
        <f>IFERROR(Calculations!$X$623,"")</f>
        <v>0</v>
      </c>
      <c r="F65" s="75">
        <f>IFERROR(Calculations!$Y$623,"")</f>
        <v>0</v>
      </c>
      <c r="G65" s="75">
        <f>IFERROR(Calculations!$Z$623,"")</f>
        <v>0</v>
      </c>
      <c r="H65" s="75">
        <f>IFERROR(Calculations!$AA$623,"")</f>
        <v>0</v>
      </c>
      <c r="I65" s="75">
        <f>IFERROR(Calculations!$AB$623,"")</f>
        <v>0</v>
      </c>
      <c r="J65" s="75">
        <f>IFERROR(Calculations!$AC$623,"")</f>
        <v>0</v>
      </c>
      <c r="K65" s="75">
        <f>IFERROR(Calculations!$AD$623,"")</f>
        <v>0</v>
      </c>
      <c r="L65" s="75">
        <f>IFERROR(Calculations!$AE$623,"")</f>
        <v>0</v>
      </c>
      <c r="M65" s="75">
        <f>IFERROR(Calculations!$AF$623,"")</f>
        <v>0</v>
      </c>
      <c r="N65" s="75">
        <f>IFERROR(Calculations!$AG$623,"")</f>
        <v>0</v>
      </c>
      <c r="O65" s="75">
        <f>IFERROR(Calculations!$AH$623,"")</f>
        <v>0</v>
      </c>
    </row>
    <row r="66" spans="2:19">
      <c r="B66" s="70">
        <f>IF(Calculations!$U$624="","",Calculations!$U$624)</f>
        <v>0</v>
      </c>
      <c r="C66" s="75">
        <f>IFERROR(Calculations!$V$624,"")</f>
        <v>0</v>
      </c>
      <c r="D66" s="75">
        <f>IFERROR(Calculations!$W$624,"")</f>
        <v>0</v>
      </c>
      <c r="E66" s="75">
        <f>IFERROR(Calculations!$X$624,"")</f>
        <v>0</v>
      </c>
      <c r="F66" s="75">
        <f>IFERROR(Calculations!$Y$624,"")</f>
        <v>0</v>
      </c>
      <c r="G66" s="75">
        <f>IFERROR(Calculations!$Z$624,"")</f>
        <v>0</v>
      </c>
      <c r="H66" s="75">
        <f>IFERROR(Calculations!$AA$624,"")</f>
        <v>0</v>
      </c>
      <c r="I66" s="75">
        <f>IFERROR(Calculations!$AB$624,"")</f>
        <v>0</v>
      </c>
      <c r="J66" s="75">
        <f>IFERROR(Calculations!$AC$624,"")</f>
        <v>0</v>
      </c>
      <c r="K66" s="75">
        <f>IFERROR(Calculations!$AD$624,"")</f>
        <v>0</v>
      </c>
      <c r="L66" s="75">
        <f>IFERROR(Calculations!$AE$624,"")</f>
        <v>0</v>
      </c>
      <c r="M66" s="75">
        <f>IFERROR(Calculations!$AF$624,"")</f>
        <v>0</v>
      </c>
      <c r="N66" s="75">
        <f>IFERROR(Calculations!$AG$624,"")</f>
        <v>0</v>
      </c>
      <c r="O66" s="75">
        <f>IFERROR(Calculations!$AH$624,"")</f>
        <v>0</v>
      </c>
    </row>
    <row r="67" spans="2:19">
      <c r="B67" s="70">
        <f>IF(Calculations!$U$625="","",Calculations!$U$625)</f>
        <v>0</v>
      </c>
      <c r="C67" s="75">
        <f>IFERROR(Calculations!$V$625,"")</f>
        <v>0</v>
      </c>
      <c r="D67" s="75">
        <f>IFERROR(Calculations!$W$625,"")</f>
        <v>0</v>
      </c>
      <c r="E67" s="75">
        <f>IFERROR(Calculations!$X$625,"")</f>
        <v>0</v>
      </c>
      <c r="F67" s="75">
        <f>IFERROR(Calculations!$Y$625,"")</f>
        <v>0</v>
      </c>
      <c r="G67" s="75">
        <f>IFERROR(Calculations!$Z$625,"")</f>
        <v>0</v>
      </c>
      <c r="H67" s="75">
        <f>IFERROR(Calculations!$AA$625,"")</f>
        <v>0</v>
      </c>
      <c r="I67" s="75">
        <f>IFERROR(Calculations!$AB$625,"")</f>
        <v>0</v>
      </c>
      <c r="J67" s="75">
        <f>IFERROR(Calculations!$AC$625,"")</f>
        <v>0</v>
      </c>
      <c r="K67" s="75">
        <f>IFERROR(Calculations!$AD$625,"")</f>
        <v>0</v>
      </c>
      <c r="L67" s="75">
        <f>IFERROR(Calculations!$AE$625,"")</f>
        <v>0</v>
      </c>
      <c r="M67" s="75">
        <f>IFERROR(Calculations!$AF$625,"")</f>
        <v>0</v>
      </c>
      <c r="N67" s="75">
        <f>IFERROR(Calculations!$AG$625,"")</f>
        <v>0</v>
      </c>
      <c r="O67" s="75">
        <f>IFERROR(Calculations!$AH$625,"")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H71" s="57" t="s">
        <v>129</v>
      </c>
      <c r="I71" s="57" t="s">
        <v>2363</v>
      </c>
    </row>
    <row r="72" spans="2:19">
      <c r="H72" s="70">
        <f>INDEX(Calculations!$F$406:$F$410,1)</f>
        <v>0</v>
      </c>
      <c r="I72" s="75">
        <f>INDEX(Calculations!$G$406:$G$410,1)</f>
        <v>0</v>
      </c>
    </row>
    <row r="73" spans="2:19">
      <c r="H73" s="70">
        <f>INDEX(Calculations!$F$406:$F$410,2)</f>
        <v>0</v>
      </c>
      <c r="I73" s="75">
        <f>INDEX(Calculations!$G$406:$G$410,2)</f>
        <v>0</v>
      </c>
    </row>
    <row r="74" spans="2:19">
      <c r="H74" s="70">
        <f>INDEX(Calculations!$F$406:$F$410,3)</f>
        <v>0</v>
      </c>
      <c r="I74" s="75">
        <f>INDEX(Calculations!$G$406:$G$410,3)</f>
        <v>0</v>
      </c>
    </row>
    <row r="75" spans="2:19">
      <c r="H75" s="70">
        <f>INDEX(Calculations!$F$406:$F$410,4)</f>
        <v>0</v>
      </c>
      <c r="I75" s="75">
        <f>INDEX(Calculations!$G$406:$G$410,4)</f>
        <v>0</v>
      </c>
    </row>
    <row r="76" spans="2:19">
      <c r="H76" s="70">
        <f>INDEX(Calculations!$F$406:$F$410,5)</f>
        <v>0</v>
      </c>
      <c r="I76" s="75">
        <f>INDEX(Calculations!$G$406:$G$410,5)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I72:I76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Workplace Inspections'!A1" display="◀ Register"/>
  </hyperlinks>
  <pageMargins left="0.3" right="0.3" top="0.4" bottom="0.4" header="0.3" footer="0.3"/>
  <pageSetup fitToHeight="0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43">
    <tabColor rgb="FF14B8A6"/>
    <pageSetUpPr fitToPage="1"/>
  </sheetPr>
  <dimension ref="A1:S76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2387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2388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2340</v>
      </c>
      <c r="C13" s="39"/>
      <c r="D13" s="39"/>
      <c r="E13" s="39"/>
      <c r="F13" s="39" t="s">
        <v>2367</v>
      </c>
      <c r="G13" s="39"/>
      <c r="H13" s="39"/>
      <c r="I13" s="39"/>
      <c r="J13" s="39" t="s">
        <v>2377</v>
      </c>
      <c r="K13" s="39"/>
      <c r="L13" s="39"/>
      <c r="M13" s="39"/>
      <c r="N13" s="39" t="s">
        <v>2383</v>
      </c>
      <c r="O13" s="39"/>
      <c r="P13" s="39"/>
      <c r="Q13" s="39"/>
    </row>
    <row r="14" spans="2:19">
      <c r="B14" s="41">
        <f>Calculations!$N$646</f>
        <v>0</v>
      </c>
      <c r="C14" s="41"/>
      <c r="D14" s="41"/>
      <c r="E14" s="41"/>
      <c r="F14" s="41">
        <f>Calculations!$N$647</f>
        <v>0</v>
      </c>
      <c r="G14" s="41"/>
      <c r="H14" s="41"/>
      <c r="I14" s="41"/>
      <c r="J14" s="41">
        <f>Calculations!$N$648</f>
        <v>0</v>
      </c>
      <c r="K14" s="41"/>
      <c r="L14" s="41"/>
      <c r="M14" s="41"/>
      <c r="N14" s="41">
        <f>Calculations!$N$649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2384</v>
      </c>
      <c r="C19" s="39"/>
      <c r="D19" s="39"/>
      <c r="E19" s="39"/>
      <c r="F19" s="39" t="s">
        <v>2385</v>
      </c>
      <c r="G19" s="39"/>
      <c r="H19" s="39"/>
      <c r="I19" s="39"/>
      <c r="J19" s="39" t="s">
        <v>2386</v>
      </c>
      <c r="K19" s="39"/>
      <c r="L19" s="39"/>
      <c r="M19" s="39"/>
      <c r="N19" s="39" t="s">
        <v>2380</v>
      </c>
      <c r="O19" s="39"/>
      <c r="P19" s="39"/>
      <c r="Q19" s="39"/>
    </row>
    <row r="20" spans="2:19">
      <c r="B20" s="41">
        <f>Calculations!$N$650</f>
        <v>0</v>
      </c>
      <c r="C20" s="41"/>
      <c r="D20" s="41"/>
      <c r="E20" s="41"/>
      <c r="F20" s="41">
        <f>Calculations!$N$651</f>
        <v>0</v>
      </c>
      <c r="G20" s="41"/>
      <c r="H20" s="41"/>
      <c r="I20" s="41"/>
      <c r="J20" s="42">
        <f>Calculations!$N$652</f>
        <v>0</v>
      </c>
      <c r="K20" s="42"/>
      <c r="L20" s="42"/>
      <c r="M20" s="42"/>
      <c r="N20" s="42">
        <f>Calculations!$N$653</f>
        <v>0</v>
      </c>
      <c r="O20" s="42"/>
      <c r="P20" s="42"/>
      <c r="Q20" s="42"/>
    </row>
    <row r="21" spans="2:19"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2"/>
      <c r="O21" s="42"/>
      <c r="P21" s="42"/>
      <c r="Q21" s="42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"&amp;INDEX(Calculations!$C$646:$C$657,CurMonthNo)&amp;"   vs   "&amp;INDEX(L_Month,CurMonthNo-1)&amp;": "&amp;INDEX(Calculations!$C$646:$C$657,CurMonthNo-1)&amp;"   "&amp;IF(INDEX(Calculations!$C$646:$C$657,CurMonthNo)&gt;=INDEX(Calculations!$C$646:$C$657,CurMonthNo-1),"▲ ","▼ ")&amp;TEXT(IFERROR((INDEX(Calculations!$C$646:$C$657,CurMonthNo)-INDEX(Calculations!$C$646:$C$657,CurMonthNo-1))/INDEX(Calculations!$C$646:$C$657,CurMonthNo-1),0),"+0.0%;-0.0%")))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IFERROR(Calculations!$P$646,"")</f>
        <v>0</v>
      </c>
      <c r="C45" s="75">
        <f>IFERROR(Calculations!$Q$646,"")</f>
        <v>0</v>
      </c>
      <c r="D45" s="76">
        <f>IFERROR(Calculations!$R$646,"")</f>
        <v>0</v>
      </c>
      <c r="E45" s="75">
        <f>IFERROR(Calculations!$S$646,"")</f>
        <v>0</v>
      </c>
    </row>
    <row r="46" spans="2:19">
      <c r="B46" s="70">
        <f>IFERROR(Calculations!$P$647,"")</f>
        <v>0</v>
      </c>
      <c r="C46" s="75">
        <f>IFERROR(Calculations!$Q$647,"")</f>
        <v>0</v>
      </c>
      <c r="D46" s="76">
        <f>IFERROR(Calculations!$R$647,"")</f>
        <v>0</v>
      </c>
      <c r="E46" s="75">
        <f>IFERROR(Calculations!$S$647,"")</f>
        <v>0</v>
      </c>
    </row>
    <row r="47" spans="2:19">
      <c r="B47" s="70">
        <f>IFERROR(Calculations!$P$648,"")</f>
        <v>0</v>
      </c>
      <c r="C47" s="75">
        <f>IFERROR(Calculations!$Q$648,"")</f>
        <v>0</v>
      </c>
      <c r="D47" s="76">
        <f>IFERROR(Calculations!$R$648,"")</f>
        <v>0</v>
      </c>
      <c r="E47" s="75">
        <f>IFERROR(Calculations!$S$648,"")</f>
        <v>0</v>
      </c>
    </row>
    <row r="48" spans="2:19">
      <c r="B48" s="70">
        <f>IFERROR(Calculations!$P$649,"")</f>
        <v>0</v>
      </c>
      <c r="C48" s="75">
        <f>IFERROR(Calculations!$Q$649,"")</f>
        <v>0</v>
      </c>
      <c r="D48" s="76">
        <f>IFERROR(Calculations!$R$649,"")</f>
        <v>0</v>
      </c>
      <c r="E48" s="75">
        <f>IFERROR(Calculations!$S$649,"")</f>
        <v>0</v>
      </c>
    </row>
    <row r="49" spans="2:19">
      <c r="B49" s="70">
        <f>IFERROR(Calculations!$P$650,"")</f>
        <v>0</v>
      </c>
      <c r="C49" s="75">
        <f>IFERROR(Calculations!$Q$650,"")</f>
        <v>0</v>
      </c>
      <c r="D49" s="76">
        <f>IFERROR(Calculations!$R$650,"")</f>
        <v>0</v>
      </c>
      <c r="E49" s="75">
        <f>IFERROR(Calculations!$S$650,"")</f>
        <v>0</v>
      </c>
    </row>
    <row r="50" spans="2:19">
      <c r="B50" s="70">
        <f>IFERROR(Calculations!$P$651,"")</f>
        <v>0</v>
      </c>
      <c r="C50" s="75">
        <f>IFERROR(Calculations!$Q$651,"")</f>
        <v>0</v>
      </c>
      <c r="D50" s="76">
        <f>IFERROR(Calculations!$R$651,"")</f>
        <v>0</v>
      </c>
      <c r="E50" s="75">
        <f>IFERROR(Calculations!$S$651,"")</f>
        <v>0</v>
      </c>
    </row>
    <row r="51" spans="2:19">
      <c r="B51" s="70">
        <f>IFERROR(Calculations!$P$652,"")</f>
        <v>0</v>
      </c>
      <c r="C51" s="75">
        <f>IFERROR(Calculations!$Q$652,"")</f>
        <v>0</v>
      </c>
      <c r="D51" s="76">
        <f>IFERROR(Calculations!$R$652,"")</f>
        <v>0</v>
      </c>
      <c r="E51" s="75">
        <f>IFERROR(Calculations!$S$652,"")</f>
        <v>0</v>
      </c>
    </row>
    <row r="52" spans="2:19">
      <c r="B52" s="70">
        <f>IFERROR(Calculations!$P$653,"")</f>
        <v>0</v>
      </c>
      <c r="C52" s="75">
        <f>IFERROR(Calculations!$Q$653,"")</f>
        <v>0</v>
      </c>
      <c r="D52" s="76">
        <f>IFERROR(Calculations!$R$653,"")</f>
        <v>0</v>
      </c>
      <c r="E52" s="75">
        <f>IFERROR(Calculations!$S$653,"")</f>
        <v>0</v>
      </c>
    </row>
    <row r="53" spans="2:19">
      <c r="B53" s="70">
        <f>IFERROR(Calculations!$P$654,"")</f>
        <v>0</v>
      </c>
      <c r="C53" s="75">
        <f>IFERROR(Calculations!$Q$654,"")</f>
        <v>0</v>
      </c>
      <c r="D53" s="76">
        <f>IFERROR(Calculations!$R$654,"")</f>
        <v>0</v>
      </c>
      <c r="E53" s="75">
        <f>IFERROR(Calculations!$S$654,"")</f>
        <v>0</v>
      </c>
    </row>
    <row r="54" spans="2:19">
      <c r="B54" s="70">
        <f>IFERROR(Calculations!$P$655,"")</f>
        <v>0</v>
      </c>
      <c r="C54" s="75">
        <f>IFERROR(Calculations!$Q$655,"")</f>
        <v>0</v>
      </c>
      <c r="D54" s="76">
        <f>IFERROR(Calculations!$R$655,"")</f>
        <v>0</v>
      </c>
      <c r="E54" s="75">
        <f>IFERROR(Calculations!$S$655,"")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IF(Calculations!$U$646="","",Calculations!$U$646)</f>
        <v>0</v>
      </c>
      <c r="C62" s="75">
        <f>IFERROR(Calculations!$V$646,"")</f>
        <v>0</v>
      </c>
      <c r="D62" s="75">
        <f>IFERROR(Calculations!$W$646,"")</f>
        <v>0</v>
      </c>
      <c r="E62" s="75">
        <f>IFERROR(Calculations!$X$646,"")</f>
        <v>0</v>
      </c>
      <c r="F62" s="75">
        <f>IFERROR(Calculations!$Y$646,"")</f>
        <v>0</v>
      </c>
      <c r="G62" s="75">
        <f>IFERROR(Calculations!$Z$646,"")</f>
        <v>0</v>
      </c>
      <c r="H62" s="75">
        <f>IFERROR(Calculations!$AA$646,"")</f>
        <v>0</v>
      </c>
      <c r="I62" s="75">
        <f>IFERROR(Calculations!$AB$646,"")</f>
        <v>0</v>
      </c>
      <c r="J62" s="75">
        <f>IFERROR(Calculations!$AC$646,"")</f>
        <v>0</v>
      </c>
      <c r="K62" s="75">
        <f>IFERROR(Calculations!$AD$646,"")</f>
        <v>0</v>
      </c>
      <c r="L62" s="75">
        <f>IFERROR(Calculations!$AE$646,"")</f>
        <v>0</v>
      </c>
      <c r="M62" s="75">
        <f>IFERROR(Calculations!$AF$646,"")</f>
        <v>0</v>
      </c>
      <c r="N62" s="75">
        <f>IFERROR(Calculations!$AG$646,"")</f>
        <v>0</v>
      </c>
      <c r="O62" s="75">
        <f>IFERROR(Calculations!$AH$646,"")</f>
        <v>0</v>
      </c>
    </row>
    <row r="63" spans="2:19">
      <c r="B63" s="70">
        <f>IF(Calculations!$U$647="","",Calculations!$U$647)</f>
        <v>0</v>
      </c>
      <c r="C63" s="75">
        <f>IFERROR(Calculations!$V$647,"")</f>
        <v>0</v>
      </c>
      <c r="D63" s="75">
        <f>IFERROR(Calculations!$W$647,"")</f>
        <v>0</v>
      </c>
      <c r="E63" s="75">
        <f>IFERROR(Calculations!$X$647,"")</f>
        <v>0</v>
      </c>
      <c r="F63" s="75">
        <f>IFERROR(Calculations!$Y$647,"")</f>
        <v>0</v>
      </c>
      <c r="G63" s="75">
        <f>IFERROR(Calculations!$Z$647,"")</f>
        <v>0</v>
      </c>
      <c r="H63" s="75">
        <f>IFERROR(Calculations!$AA$647,"")</f>
        <v>0</v>
      </c>
      <c r="I63" s="75">
        <f>IFERROR(Calculations!$AB$647,"")</f>
        <v>0</v>
      </c>
      <c r="J63" s="75">
        <f>IFERROR(Calculations!$AC$647,"")</f>
        <v>0</v>
      </c>
      <c r="K63" s="75">
        <f>IFERROR(Calculations!$AD$647,"")</f>
        <v>0</v>
      </c>
      <c r="L63" s="75">
        <f>IFERROR(Calculations!$AE$647,"")</f>
        <v>0</v>
      </c>
      <c r="M63" s="75">
        <f>IFERROR(Calculations!$AF$647,"")</f>
        <v>0</v>
      </c>
      <c r="N63" s="75">
        <f>IFERROR(Calculations!$AG$647,"")</f>
        <v>0</v>
      </c>
      <c r="O63" s="75">
        <f>IFERROR(Calculations!$AH$647,"")</f>
        <v>0</v>
      </c>
    </row>
    <row r="64" spans="2:19">
      <c r="B64" s="70">
        <f>IF(Calculations!$U$648="","",Calculations!$U$648)</f>
        <v>0</v>
      </c>
      <c r="C64" s="75">
        <f>IFERROR(Calculations!$V$648,"")</f>
        <v>0</v>
      </c>
      <c r="D64" s="75">
        <f>IFERROR(Calculations!$W$648,"")</f>
        <v>0</v>
      </c>
      <c r="E64" s="75">
        <f>IFERROR(Calculations!$X$648,"")</f>
        <v>0</v>
      </c>
      <c r="F64" s="75">
        <f>IFERROR(Calculations!$Y$648,"")</f>
        <v>0</v>
      </c>
      <c r="G64" s="75">
        <f>IFERROR(Calculations!$Z$648,"")</f>
        <v>0</v>
      </c>
      <c r="H64" s="75">
        <f>IFERROR(Calculations!$AA$648,"")</f>
        <v>0</v>
      </c>
      <c r="I64" s="75">
        <f>IFERROR(Calculations!$AB$648,"")</f>
        <v>0</v>
      </c>
      <c r="J64" s="75">
        <f>IFERROR(Calculations!$AC$648,"")</f>
        <v>0</v>
      </c>
      <c r="K64" s="75">
        <f>IFERROR(Calculations!$AD$648,"")</f>
        <v>0</v>
      </c>
      <c r="L64" s="75">
        <f>IFERROR(Calculations!$AE$648,"")</f>
        <v>0</v>
      </c>
      <c r="M64" s="75">
        <f>IFERROR(Calculations!$AF$648,"")</f>
        <v>0</v>
      </c>
      <c r="N64" s="75">
        <f>IFERROR(Calculations!$AG$648,"")</f>
        <v>0</v>
      </c>
      <c r="O64" s="75">
        <f>IFERROR(Calculations!$AH$648,"")</f>
        <v>0</v>
      </c>
    </row>
    <row r="65" spans="2:19">
      <c r="B65" s="70">
        <f>IF(Calculations!$U$649="","",Calculations!$U$649)</f>
        <v>0</v>
      </c>
      <c r="C65" s="75">
        <f>IFERROR(Calculations!$V$649,"")</f>
        <v>0</v>
      </c>
      <c r="D65" s="75">
        <f>IFERROR(Calculations!$W$649,"")</f>
        <v>0</v>
      </c>
      <c r="E65" s="75">
        <f>IFERROR(Calculations!$X$649,"")</f>
        <v>0</v>
      </c>
      <c r="F65" s="75">
        <f>IFERROR(Calculations!$Y$649,"")</f>
        <v>0</v>
      </c>
      <c r="G65" s="75">
        <f>IFERROR(Calculations!$Z$649,"")</f>
        <v>0</v>
      </c>
      <c r="H65" s="75">
        <f>IFERROR(Calculations!$AA$649,"")</f>
        <v>0</v>
      </c>
      <c r="I65" s="75">
        <f>IFERROR(Calculations!$AB$649,"")</f>
        <v>0</v>
      </c>
      <c r="J65" s="75">
        <f>IFERROR(Calculations!$AC$649,"")</f>
        <v>0</v>
      </c>
      <c r="K65" s="75">
        <f>IFERROR(Calculations!$AD$649,"")</f>
        <v>0</v>
      </c>
      <c r="L65" s="75">
        <f>IFERROR(Calculations!$AE$649,"")</f>
        <v>0</v>
      </c>
      <c r="M65" s="75">
        <f>IFERROR(Calculations!$AF$649,"")</f>
        <v>0</v>
      </c>
      <c r="N65" s="75">
        <f>IFERROR(Calculations!$AG$649,"")</f>
        <v>0</v>
      </c>
      <c r="O65" s="75">
        <f>IFERROR(Calculations!$AH$649,"")</f>
        <v>0</v>
      </c>
    </row>
    <row r="66" spans="2:19">
      <c r="B66" s="70">
        <f>IF(Calculations!$U$650="","",Calculations!$U$650)</f>
        <v>0</v>
      </c>
      <c r="C66" s="75">
        <f>IFERROR(Calculations!$V$650,"")</f>
        <v>0</v>
      </c>
      <c r="D66" s="75">
        <f>IFERROR(Calculations!$W$650,"")</f>
        <v>0</v>
      </c>
      <c r="E66" s="75">
        <f>IFERROR(Calculations!$X$650,"")</f>
        <v>0</v>
      </c>
      <c r="F66" s="75">
        <f>IFERROR(Calculations!$Y$650,"")</f>
        <v>0</v>
      </c>
      <c r="G66" s="75">
        <f>IFERROR(Calculations!$Z$650,"")</f>
        <v>0</v>
      </c>
      <c r="H66" s="75">
        <f>IFERROR(Calculations!$AA$650,"")</f>
        <v>0</v>
      </c>
      <c r="I66" s="75">
        <f>IFERROR(Calculations!$AB$650,"")</f>
        <v>0</v>
      </c>
      <c r="J66" s="75">
        <f>IFERROR(Calculations!$AC$650,"")</f>
        <v>0</v>
      </c>
      <c r="K66" s="75">
        <f>IFERROR(Calculations!$AD$650,"")</f>
        <v>0</v>
      </c>
      <c r="L66" s="75">
        <f>IFERROR(Calculations!$AE$650,"")</f>
        <v>0</v>
      </c>
      <c r="M66" s="75">
        <f>IFERROR(Calculations!$AF$650,"")</f>
        <v>0</v>
      </c>
      <c r="N66" s="75">
        <f>IFERROR(Calculations!$AG$650,"")</f>
        <v>0</v>
      </c>
      <c r="O66" s="75">
        <f>IFERROR(Calculations!$AH$650,"")</f>
        <v>0</v>
      </c>
    </row>
    <row r="67" spans="2:19">
      <c r="B67" s="70">
        <f>IF(Calculations!$U$651="","",Calculations!$U$651)</f>
        <v>0</v>
      </c>
      <c r="C67" s="75">
        <f>IFERROR(Calculations!$V$651,"")</f>
        <v>0</v>
      </c>
      <c r="D67" s="75">
        <f>IFERROR(Calculations!$W$651,"")</f>
        <v>0</v>
      </c>
      <c r="E67" s="75">
        <f>IFERROR(Calculations!$X$651,"")</f>
        <v>0</v>
      </c>
      <c r="F67" s="75">
        <f>IFERROR(Calculations!$Y$651,"")</f>
        <v>0</v>
      </c>
      <c r="G67" s="75">
        <f>IFERROR(Calculations!$Z$651,"")</f>
        <v>0</v>
      </c>
      <c r="H67" s="75">
        <f>IFERROR(Calculations!$AA$651,"")</f>
        <v>0</v>
      </c>
      <c r="I67" s="75">
        <f>IFERROR(Calculations!$AB$651,"")</f>
        <v>0</v>
      </c>
      <c r="J67" s="75">
        <f>IFERROR(Calculations!$AC$651,"")</f>
        <v>0</v>
      </c>
      <c r="K67" s="75">
        <f>IFERROR(Calculations!$AD$651,"")</f>
        <v>0</v>
      </c>
      <c r="L67" s="75">
        <f>IFERROR(Calculations!$AE$651,"")</f>
        <v>0</v>
      </c>
      <c r="M67" s="75">
        <f>IFERROR(Calculations!$AF$651,"")</f>
        <v>0</v>
      </c>
      <c r="N67" s="75">
        <f>IFERROR(Calculations!$AG$651,"")</f>
        <v>0</v>
      </c>
      <c r="O67" s="75">
        <f>IFERROR(Calculations!$AH$651,"")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H71" s="57" t="s">
        <v>129</v>
      </c>
      <c r="I71" s="57" t="s">
        <v>2363</v>
      </c>
    </row>
    <row r="72" spans="2:19">
      <c r="H72" s="70">
        <f>INDEX(Calculations!$F$418:$F$422,1)</f>
        <v>0</v>
      </c>
      <c r="I72" s="75">
        <f>INDEX(Calculations!$G$418:$G$422,1)</f>
        <v>0</v>
      </c>
    </row>
    <row r="73" spans="2:19">
      <c r="H73" s="70">
        <f>INDEX(Calculations!$F$418:$F$422,2)</f>
        <v>0</v>
      </c>
      <c r="I73" s="75">
        <f>INDEX(Calculations!$G$418:$G$422,2)</f>
        <v>0</v>
      </c>
    </row>
    <row r="74" spans="2:19">
      <c r="H74" s="70">
        <f>INDEX(Calculations!$F$418:$F$422,3)</f>
        <v>0</v>
      </c>
      <c r="I74" s="75">
        <f>INDEX(Calculations!$G$418:$G$422,3)</f>
        <v>0</v>
      </c>
    </row>
    <row r="75" spans="2:19">
      <c r="H75" s="70">
        <f>INDEX(Calculations!$F$418:$F$422,4)</f>
        <v>0</v>
      </c>
      <c r="I75" s="75">
        <f>INDEX(Calculations!$G$418:$G$422,4)</f>
        <v>0</v>
      </c>
    </row>
    <row r="76" spans="2:19">
      <c r="H76" s="70">
        <f>INDEX(Calculations!$F$418:$F$422,5)</f>
        <v>0</v>
      </c>
      <c r="I76" s="75">
        <f>INDEX(Calculations!$G$418:$G$422,5)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I72:I76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Equipment Inspections'!A1" display="◀ Register"/>
  </hyperlinks>
  <pageMargins left="0.3" right="0.3" top="0.4" bottom="0.4" header="0.3" footer="0.3"/>
  <pageSetup fitToHeight="0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4">
    <tabColor rgb="FF14B8A6"/>
    <pageSetUpPr fitToPage="1"/>
  </sheetPr>
  <dimension ref="A1:S76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2389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2390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2340</v>
      </c>
      <c r="C13" s="39"/>
      <c r="D13" s="39"/>
      <c r="E13" s="39"/>
      <c r="F13" s="39" t="s">
        <v>2367</v>
      </c>
      <c r="G13" s="39"/>
      <c r="H13" s="39"/>
      <c r="I13" s="39"/>
      <c r="J13" s="39" t="s">
        <v>2377</v>
      </c>
      <c r="K13" s="39"/>
      <c r="L13" s="39"/>
      <c r="M13" s="39"/>
      <c r="N13" s="39" t="s">
        <v>2383</v>
      </c>
      <c r="O13" s="39"/>
      <c r="P13" s="39"/>
      <c r="Q13" s="39"/>
    </row>
    <row r="14" spans="2:19">
      <c r="B14" s="41">
        <f>Calculations!$N$672</f>
        <v>0</v>
      </c>
      <c r="C14" s="41"/>
      <c r="D14" s="41"/>
      <c r="E14" s="41"/>
      <c r="F14" s="41">
        <f>Calculations!$N$673</f>
        <v>0</v>
      </c>
      <c r="G14" s="41"/>
      <c r="H14" s="41"/>
      <c r="I14" s="41"/>
      <c r="J14" s="41">
        <f>Calculations!$N$674</f>
        <v>0</v>
      </c>
      <c r="K14" s="41"/>
      <c r="L14" s="41"/>
      <c r="M14" s="41"/>
      <c r="N14" s="41">
        <f>Calculations!$N$675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2384</v>
      </c>
      <c r="C19" s="39"/>
      <c r="D19" s="39"/>
      <c r="E19" s="39"/>
      <c r="F19" s="39" t="s">
        <v>2385</v>
      </c>
      <c r="G19" s="39"/>
      <c r="H19" s="39"/>
      <c r="I19" s="39"/>
      <c r="J19" s="39" t="s">
        <v>2386</v>
      </c>
      <c r="K19" s="39"/>
      <c r="L19" s="39"/>
      <c r="M19" s="39"/>
      <c r="N19" s="39" t="s">
        <v>2380</v>
      </c>
      <c r="O19" s="39"/>
      <c r="P19" s="39"/>
      <c r="Q19" s="39"/>
    </row>
    <row r="20" spans="2:19">
      <c r="B20" s="41">
        <f>Calculations!$N$676</f>
        <v>0</v>
      </c>
      <c r="C20" s="41"/>
      <c r="D20" s="41"/>
      <c r="E20" s="41"/>
      <c r="F20" s="41">
        <f>Calculations!$N$677</f>
        <v>0</v>
      </c>
      <c r="G20" s="41"/>
      <c r="H20" s="41"/>
      <c r="I20" s="41"/>
      <c r="J20" s="42">
        <f>Calculations!$N$678</f>
        <v>0</v>
      </c>
      <c r="K20" s="42"/>
      <c r="L20" s="42"/>
      <c r="M20" s="42"/>
      <c r="N20" s="42">
        <f>Calculations!$N$679</f>
        <v>0</v>
      </c>
      <c r="O20" s="42"/>
      <c r="P20" s="42"/>
      <c r="Q20" s="42"/>
    </row>
    <row r="21" spans="2:19"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2"/>
      <c r="O21" s="42"/>
      <c r="P21" s="42"/>
      <c r="Q21" s="42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"&amp;INDEX(Calculations!$C$672:$C$683,CurMonthNo)&amp;"   vs   "&amp;INDEX(L_Month,CurMonthNo-1)&amp;": "&amp;INDEX(Calculations!$C$672:$C$683,CurMonthNo-1)&amp;"   "&amp;IF(INDEX(Calculations!$C$672:$C$683,CurMonthNo)&gt;=INDEX(Calculations!$C$672:$C$683,CurMonthNo-1),"▲ ","▼ ")&amp;TEXT(IFERROR((INDEX(Calculations!$C$672:$C$683,CurMonthNo)-INDEX(Calculations!$C$672:$C$683,CurMonthNo-1))/INDEX(Calculations!$C$672:$C$683,CurMonthNo-1),0),"+0.0%;-0.0%")))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IFERROR(Calculations!$P$672,"")</f>
        <v>0</v>
      </c>
      <c r="C45" s="75">
        <f>IFERROR(Calculations!$Q$672,"")</f>
        <v>0</v>
      </c>
      <c r="D45" s="76">
        <f>IFERROR(Calculations!$R$672,"")</f>
        <v>0</v>
      </c>
      <c r="E45" s="75">
        <f>IFERROR(Calculations!$S$672,"")</f>
        <v>0</v>
      </c>
    </row>
    <row r="46" spans="2:19">
      <c r="B46" s="70">
        <f>IFERROR(Calculations!$P$673,"")</f>
        <v>0</v>
      </c>
      <c r="C46" s="75">
        <f>IFERROR(Calculations!$Q$673,"")</f>
        <v>0</v>
      </c>
      <c r="D46" s="76">
        <f>IFERROR(Calculations!$R$673,"")</f>
        <v>0</v>
      </c>
      <c r="E46" s="75">
        <f>IFERROR(Calculations!$S$673,"")</f>
        <v>0</v>
      </c>
    </row>
    <row r="47" spans="2:19">
      <c r="B47" s="70">
        <f>IFERROR(Calculations!$P$674,"")</f>
        <v>0</v>
      </c>
      <c r="C47" s="75">
        <f>IFERROR(Calculations!$Q$674,"")</f>
        <v>0</v>
      </c>
      <c r="D47" s="76">
        <f>IFERROR(Calculations!$R$674,"")</f>
        <v>0</v>
      </c>
      <c r="E47" s="75">
        <f>IFERROR(Calculations!$S$674,"")</f>
        <v>0</v>
      </c>
    </row>
    <row r="48" spans="2:19">
      <c r="B48" s="70">
        <f>IFERROR(Calculations!$P$675,"")</f>
        <v>0</v>
      </c>
      <c r="C48" s="75">
        <f>IFERROR(Calculations!$Q$675,"")</f>
        <v>0</v>
      </c>
      <c r="D48" s="76">
        <f>IFERROR(Calculations!$R$675,"")</f>
        <v>0</v>
      </c>
      <c r="E48" s="75">
        <f>IFERROR(Calculations!$S$675,"")</f>
        <v>0</v>
      </c>
    </row>
    <row r="49" spans="2:19">
      <c r="B49" s="70">
        <f>IFERROR(Calculations!$P$676,"")</f>
        <v>0</v>
      </c>
      <c r="C49" s="75">
        <f>IFERROR(Calculations!$Q$676,"")</f>
        <v>0</v>
      </c>
      <c r="D49" s="76">
        <f>IFERROR(Calculations!$R$676,"")</f>
        <v>0</v>
      </c>
      <c r="E49" s="75">
        <f>IFERROR(Calculations!$S$676,"")</f>
        <v>0</v>
      </c>
    </row>
    <row r="50" spans="2:19">
      <c r="B50" s="70">
        <f>IFERROR(Calculations!$P$677,"")</f>
        <v>0</v>
      </c>
      <c r="C50" s="75">
        <f>IFERROR(Calculations!$Q$677,"")</f>
        <v>0</v>
      </c>
      <c r="D50" s="76">
        <f>IFERROR(Calculations!$R$677,"")</f>
        <v>0</v>
      </c>
      <c r="E50" s="75">
        <f>IFERROR(Calculations!$S$677,"")</f>
        <v>0</v>
      </c>
    </row>
    <row r="51" spans="2:19">
      <c r="B51" s="70">
        <f>IFERROR(Calculations!$P$678,"")</f>
        <v>0</v>
      </c>
      <c r="C51" s="75">
        <f>IFERROR(Calculations!$Q$678,"")</f>
        <v>0</v>
      </c>
      <c r="D51" s="76">
        <f>IFERROR(Calculations!$R$678,"")</f>
        <v>0</v>
      </c>
      <c r="E51" s="75">
        <f>IFERROR(Calculations!$S$678,"")</f>
        <v>0</v>
      </c>
    </row>
    <row r="52" spans="2:19">
      <c r="B52" s="70">
        <f>IFERROR(Calculations!$P$679,"")</f>
        <v>0</v>
      </c>
      <c r="C52" s="75">
        <f>IFERROR(Calculations!$Q$679,"")</f>
        <v>0</v>
      </c>
      <c r="D52" s="76">
        <f>IFERROR(Calculations!$R$679,"")</f>
        <v>0</v>
      </c>
      <c r="E52" s="75">
        <f>IFERROR(Calculations!$S$679,"")</f>
        <v>0</v>
      </c>
    </row>
    <row r="53" spans="2:19">
      <c r="B53" s="70">
        <f>IFERROR(Calculations!$P$680,"")</f>
        <v>0</v>
      </c>
      <c r="C53" s="75">
        <f>IFERROR(Calculations!$Q$680,"")</f>
        <v>0</v>
      </c>
      <c r="D53" s="76">
        <f>IFERROR(Calculations!$R$680,"")</f>
        <v>0</v>
      </c>
      <c r="E53" s="75">
        <f>IFERROR(Calculations!$S$680,"")</f>
        <v>0</v>
      </c>
    </row>
    <row r="54" spans="2:19">
      <c r="B54" s="70">
        <f>IFERROR(Calculations!$P$681,"")</f>
        <v>0</v>
      </c>
      <c r="C54" s="75">
        <f>IFERROR(Calculations!$Q$681,"")</f>
        <v>0</v>
      </c>
      <c r="D54" s="76">
        <f>IFERROR(Calculations!$R$681,"")</f>
        <v>0</v>
      </c>
      <c r="E54" s="75">
        <f>IFERROR(Calculations!$S$681,"")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IF(Calculations!$U$672="","",Calculations!$U$672)</f>
        <v>0</v>
      </c>
      <c r="C62" s="75">
        <f>IFERROR(Calculations!$V$672,"")</f>
        <v>0</v>
      </c>
      <c r="D62" s="75">
        <f>IFERROR(Calculations!$W$672,"")</f>
        <v>0</v>
      </c>
      <c r="E62" s="75">
        <f>IFERROR(Calculations!$X$672,"")</f>
        <v>0</v>
      </c>
      <c r="F62" s="75">
        <f>IFERROR(Calculations!$Y$672,"")</f>
        <v>0</v>
      </c>
      <c r="G62" s="75">
        <f>IFERROR(Calculations!$Z$672,"")</f>
        <v>0</v>
      </c>
      <c r="H62" s="75">
        <f>IFERROR(Calculations!$AA$672,"")</f>
        <v>0</v>
      </c>
      <c r="I62" s="75">
        <f>IFERROR(Calculations!$AB$672,"")</f>
        <v>0</v>
      </c>
      <c r="J62" s="75">
        <f>IFERROR(Calculations!$AC$672,"")</f>
        <v>0</v>
      </c>
      <c r="K62" s="75">
        <f>IFERROR(Calculations!$AD$672,"")</f>
        <v>0</v>
      </c>
      <c r="L62" s="75">
        <f>IFERROR(Calculations!$AE$672,"")</f>
        <v>0</v>
      </c>
      <c r="M62" s="75">
        <f>IFERROR(Calculations!$AF$672,"")</f>
        <v>0</v>
      </c>
      <c r="N62" s="75">
        <f>IFERROR(Calculations!$AG$672,"")</f>
        <v>0</v>
      </c>
      <c r="O62" s="75">
        <f>IFERROR(Calculations!$AH$672,"")</f>
        <v>0</v>
      </c>
    </row>
    <row r="63" spans="2:19">
      <c r="B63" s="70">
        <f>IF(Calculations!$U$673="","",Calculations!$U$673)</f>
        <v>0</v>
      </c>
      <c r="C63" s="75">
        <f>IFERROR(Calculations!$V$673,"")</f>
        <v>0</v>
      </c>
      <c r="D63" s="75">
        <f>IFERROR(Calculations!$W$673,"")</f>
        <v>0</v>
      </c>
      <c r="E63" s="75">
        <f>IFERROR(Calculations!$X$673,"")</f>
        <v>0</v>
      </c>
      <c r="F63" s="75">
        <f>IFERROR(Calculations!$Y$673,"")</f>
        <v>0</v>
      </c>
      <c r="G63" s="75">
        <f>IFERROR(Calculations!$Z$673,"")</f>
        <v>0</v>
      </c>
      <c r="H63" s="75">
        <f>IFERROR(Calculations!$AA$673,"")</f>
        <v>0</v>
      </c>
      <c r="I63" s="75">
        <f>IFERROR(Calculations!$AB$673,"")</f>
        <v>0</v>
      </c>
      <c r="J63" s="75">
        <f>IFERROR(Calculations!$AC$673,"")</f>
        <v>0</v>
      </c>
      <c r="K63" s="75">
        <f>IFERROR(Calculations!$AD$673,"")</f>
        <v>0</v>
      </c>
      <c r="L63" s="75">
        <f>IFERROR(Calculations!$AE$673,"")</f>
        <v>0</v>
      </c>
      <c r="M63" s="75">
        <f>IFERROR(Calculations!$AF$673,"")</f>
        <v>0</v>
      </c>
      <c r="N63" s="75">
        <f>IFERROR(Calculations!$AG$673,"")</f>
        <v>0</v>
      </c>
      <c r="O63" s="75">
        <f>IFERROR(Calculations!$AH$673,"")</f>
        <v>0</v>
      </c>
    </row>
    <row r="64" spans="2:19">
      <c r="B64" s="70">
        <f>IF(Calculations!$U$674="","",Calculations!$U$674)</f>
        <v>0</v>
      </c>
      <c r="C64" s="75">
        <f>IFERROR(Calculations!$V$674,"")</f>
        <v>0</v>
      </c>
      <c r="D64" s="75">
        <f>IFERROR(Calculations!$W$674,"")</f>
        <v>0</v>
      </c>
      <c r="E64" s="75">
        <f>IFERROR(Calculations!$X$674,"")</f>
        <v>0</v>
      </c>
      <c r="F64" s="75">
        <f>IFERROR(Calculations!$Y$674,"")</f>
        <v>0</v>
      </c>
      <c r="G64" s="75">
        <f>IFERROR(Calculations!$Z$674,"")</f>
        <v>0</v>
      </c>
      <c r="H64" s="75">
        <f>IFERROR(Calculations!$AA$674,"")</f>
        <v>0</v>
      </c>
      <c r="I64" s="75">
        <f>IFERROR(Calculations!$AB$674,"")</f>
        <v>0</v>
      </c>
      <c r="J64" s="75">
        <f>IFERROR(Calculations!$AC$674,"")</f>
        <v>0</v>
      </c>
      <c r="K64" s="75">
        <f>IFERROR(Calculations!$AD$674,"")</f>
        <v>0</v>
      </c>
      <c r="L64" s="75">
        <f>IFERROR(Calculations!$AE$674,"")</f>
        <v>0</v>
      </c>
      <c r="M64" s="75">
        <f>IFERROR(Calculations!$AF$674,"")</f>
        <v>0</v>
      </c>
      <c r="N64" s="75">
        <f>IFERROR(Calculations!$AG$674,"")</f>
        <v>0</v>
      </c>
      <c r="O64" s="75">
        <f>IFERROR(Calculations!$AH$674,"")</f>
        <v>0</v>
      </c>
    </row>
    <row r="65" spans="2:19">
      <c r="B65" s="70">
        <f>IF(Calculations!$U$675="","",Calculations!$U$675)</f>
        <v>0</v>
      </c>
      <c r="C65" s="75">
        <f>IFERROR(Calculations!$V$675,"")</f>
        <v>0</v>
      </c>
      <c r="D65" s="75">
        <f>IFERROR(Calculations!$W$675,"")</f>
        <v>0</v>
      </c>
      <c r="E65" s="75">
        <f>IFERROR(Calculations!$X$675,"")</f>
        <v>0</v>
      </c>
      <c r="F65" s="75">
        <f>IFERROR(Calculations!$Y$675,"")</f>
        <v>0</v>
      </c>
      <c r="G65" s="75">
        <f>IFERROR(Calculations!$Z$675,"")</f>
        <v>0</v>
      </c>
      <c r="H65" s="75">
        <f>IFERROR(Calculations!$AA$675,"")</f>
        <v>0</v>
      </c>
      <c r="I65" s="75">
        <f>IFERROR(Calculations!$AB$675,"")</f>
        <v>0</v>
      </c>
      <c r="J65" s="75">
        <f>IFERROR(Calculations!$AC$675,"")</f>
        <v>0</v>
      </c>
      <c r="K65" s="75">
        <f>IFERROR(Calculations!$AD$675,"")</f>
        <v>0</v>
      </c>
      <c r="L65" s="75">
        <f>IFERROR(Calculations!$AE$675,"")</f>
        <v>0</v>
      </c>
      <c r="M65" s="75">
        <f>IFERROR(Calculations!$AF$675,"")</f>
        <v>0</v>
      </c>
      <c r="N65" s="75">
        <f>IFERROR(Calculations!$AG$675,"")</f>
        <v>0</v>
      </c>
      <c r="O65" s="75">
        <f>IFERROR(Calculations!$AH$675,"")</f>
        <v>0</v>
      </c>
    </row>
    <row r="66" spans="2:19">
      <c r="B66" s="70">
        <f>IF(Calculations!$U$676="","",Calculations!$U$676)</f>
        <v>0</v>
      </c>
      <c r="C66" s="75">
        <f>IFERROR(Calculations!$V$676,"")</f>
        <v>0</v>
      </c>
      <c r="D66" s="75">
        <f>IFERROR(Calculations!$W$676,"")</f>
        <v>0</v>
      </c>
      <c r="E66" s="75">
        <f>IFERROR(Calculations!$X$676,"")</f>
        <v>0</v>
      </c>
      <c r="F66" s="75">
        <f>IFERROR(Calculations!$Y$676,"")</f>
        <v>0</v>
      </c>
      <c r="G66" s="75">
        <f>IFERROR(Calculations!$Z$676,"")</f>
        <v>0</v>
      </c>
      <c r="H66" s="75">
        <f>IFERROR(Calculations!$AA$676,"")</f>
        <v>0</v>
      </c>
      <c r="I66" s="75">
        <f>IFERROR(Calculations!$AB$676,"")</f>
        <v>0</v>
      </c>
      <c r="J66" s="75">
        <f>IFERROR(Calculations!$AC$676,"")</f>
        <v>0</v>
      </c>
      <c r="K66" s="75">
        <f>IFERROR(Calculations!$AD$676,"")</f>
        <v>0</v>
      </c>
      <c r="L66" s="75">
        <f>IFERROR(Calculations!$AE$676,"")</f>
        <v>0</v>
      </c>
      <c r="M66" s="75">
        <f>IFERROR(Calculations!$AF$676,"")</f>
        <v>0</v>
      </c>
      <c r="N66" s="75">
        <f>IFERROR(Calculations!$AG$676,"")</f>
        <v>0</v>
      </c>
      <c r="O66" s="75">
        <f>IFERROR(Calculations!$AH$676,"")</f>
        <v>0</v>
      </c>
    </row>
    <row r="67" spans="2:19">
      <c r="B67" s="70">
        <f>IF(Calculations!$U$677="","",Calculations!$U$677)</f>
        <v>0</v>
      </c>
      <c r="C67" s="75">
        <f>IFERROR(Calculations!$V$677,"")</f>
        <v>0</v>
      </c>
      <c r="D67" s="75">
        <f>IFERROR(Calculations!$W$677,"")</f>
        <v>0</v>
      </c>
      <c r="E67" s="75">
        <f>IFERROR(Calculations!$X$677,"")</f>
        <v>0</v>
      </c>
      <c r="F67" s="75">
        <f>IFERROR(Calculations!$Y$677,"")</f>
        <v>0</v>
      </c>
      <c r="G67" s="75">
        <f>IFERROR(Calculations!$Z$677,"")</f>
        <v>0</v>
      </c>
      <c r="H67" s="75">
        <f>IFERROR(Calculations!$AA$677,"")</f>
        <v>0</v>
      </c>
      <c r="I67" s="75">
        <f>IFERROR(Calculations!$AB$677,"")</f>
        <v>0</v>
      </c>
      <c r="J67" s="75">
        <f>IFERROR(Calculations!$AC$677,"")</f>
        <v>0</v>
      </c>
      <c r="K67" s="75">
        <f>IFERROR(Calculations!$AD$677,"")</f>
        <v>0</v>
      </c>
      <c r="L67" s="75">
        <f>IFERROR(Calculations!$AE$677,"")</f>
        <v>0</v>
      </c>
      <c r="M67" s="75">
        <f>IFERROR(Calculations!$AF$677,"")</f>
        <v>0</v>
      </c>
      <c r="N67" s="75">
        <f>IFERROR(Calculations!$AG$677,"")</f>
        <v>0</v>
      </c>
      <c r="O67" s="75">
        <f>IFERROR(Calculations!$AH$677,"")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H71" s="57" t="s">
        <v>129</v>
      </c>
      <c r="I71" s="57" t="s">
        <v>2363</v>
      </c>
    </row>
    <row r="72" spans="2:19">
      <c r="H72" s="70">
        <f>INDEX(Calculations!$F$430:$F$434,1)</f>
        <v>0</v>
      </c>
      <c r="I72" s="75">
        <f>INDEX(Calculations!$G$430:$G$434,1)</f>
        <v>0</v>
      </c>
    </row>
    <row r="73" spans="2:19">
      <c r="H73" s="70">
        <f>INDEX(Calculations!$F$430:$F$434,2)</f>
        <v>0</v>
      </c>
      <c r="I73" s="75">
        <f>INDEX(Calculations!$G$430:$G$434,2)</f>
        <v>0</v>
      </c>
    </row>
    <row r="74" spans="2:19">
      <c r="H74" s="70">
        <f>INDEX(Calculations!$F$430:$F$434,3)</f>
        <v>0</v>
      </c>
      <c r="I74" s="75">
        <f>INDEX(Calculations!$G$430:$G$434,3)</f>
        <v>0</v>
      </c>
    </row>
    <row r="75" spans="2:19">
      <c r="H75" s="70">
        <f>INDEX(Calculations!$F$430:$F$434,4)</f>
        <v>0</v>
      </c>
      <c r="I75" s="75">
        <f>INDEX(Calculations!$G$430:$G$434,4)</f>
        <v>0</v>
      </c>
    </row>
    <row r="76" spans="2:19">
      <c r="H76" s="70">
        <f>INDEX(Calculations!$F$430:$F$434,5)</f>
        <v>0</v>
      </c>
      <c r="I76" s="75">
        <f>INDEX(Calculations!$G$430:$G$434,5)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I72:I76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Safety Walkthroughs'!A1" display="◀ Register"/>
  </hyperlinks>
  <pageMargins left="0.3" right="0.3" top="0.4" bottom="0.4" header="0.3" footer="0.3"/>
  <pageSetup fitToHeight="0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5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2391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2392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2393</v>
      </c>
      <c r="C13" s="39"/>
      <c r="D13" s="39"/>
      <c r="E13" s="39"/>
      <c r="F13" s="39" t="s">
        <v>2343</v>
      </c>
      <c r="G13" s="39"/>
      <c r="H13" s="39"/>
      <c r="I13" s="39"/>
      <c r="J13" s="39" t="s">
        <v>2394</v>
      </c>
      <c r="K13" s="39"/>
      <c r="L13" s="39"/>
      <c r="M13" s="39"/>
      <c r="N13" s="39" t="s">
        <v>2395</v>
      </c>
      <c r="O13" s="39"/>
      <c r="P13" s="39"/>
      <c r="Q13" s="39"/>
    </row>
    <row r="14" spans="2:19">
      <c r="B14" s="41">
        <f>Calculations!$N$698</f>
        <v>0</v>
      </c>
      <c r="C14" s="41"/>
      <c r="D14" s="41"/>
      <c r="E14" s="41"/>
      <c r="F14" s="42">
        <f>Calculations!$N$699</f>
        <v>0</v>
      </c>
      <c r="G14" s="42"/>
      <c r="H14" s="42"/>
      <c r="I14" s="42"/>
      <c r="J14" s="41">
        <f>Calculations!$N$700</f>
        <v>0</v>
      </c>
      <c r="K14" s="41"/>
      <c r="L14" s="41"/>
      <c r="M14" s="41"/>
      <c r="N14" s="41">
        <f>Calculations!$N$701</f>
        <v>0</v>
      </c>
      <c r="O14" s="41"/>
      <c r="P14" s="41"/>
      <c r="Q14" s="41"/>
    </row>
    <row r="15" spans="2:19">
      <c r="B15" s="41"/>
      <c r="C15" s="41"/>
      <c r="D15" s="41"/>
      <c r="E15" s="41"/>
      <c r="F15" s="42"/>
      <c r="G15" s="42"/>
      <c r="H15" s="42"/>
      <c r="I15" s="42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2396</v>
      </c>
      <c r="C19" s="39"/>
      <c r="D19" s="39"/>
      <c r="E19" s="39"/>
      <c r="F19" s="39" t="s">
        <v>2371</v>
      </c>
      <c r="G19" s="39"/>
      <c r="H19" s="39"/>
      <c r="I19" s="39"/>
      <c r="J19" s="39" t="s">
        <v>2397</v>
      </c>
      <c r="K19" s="39"/>
      <c r="L19" s="39"/>
      <c r="M19" s="39"/>
      <c r="N19" s="39" t="s">
        <v>2398</v>
      </c>
      <c r="O19" s="39"/>
      <c r="P19" s="39"/>
      <c r="Q19" s="39"/>
    </row>
    <row r="20" spans="2:19">
      <c r="B20" s="42">
        <f>Calculations!$N$702</f>
        <v>0</v>
      </c>
      <c r="C20" s="42"/>
      <c r="D20" s="42"/>
      <c r="E20" s="42"/>
      <c r="F20" s="41">
        <f>Calculations!$N$703</f>
        <v>0</v>
      </c>
      <c r="G20" s="41"/>
      <c r="H20" s="41"/>
      <c r="I20" s="41"/>
      <c r="J20" s="41">
        <f>Calculations!$N$704</f>
        <v>0</v>
      </c>
      <c r="K20" s="41"/>
      <c r="L20" s="41"/>
      <c r="M20" s="41"/>
      <c r="N20" s="41">
        <f>Calculations!$N$705</f>
        <v>0</v>
      </c>
      <c r="O20" s="41"/>
      <c r="P20" s="41"/>
      <c r="Q20" s="41"/>
    </row>
    <row r="21" spans="2:19">
      <c r="B21" s="42"/>
      <c r="C21" s="42"/>
      <c r="D21" s="42"/>
      <c r="E21" s="42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"&amp;INDEX(Calculations!$C$698:$C$709,CurMonthNo)&amp;"   vs   "&amp;INDEX(L_Month,CurMonthNo-1)&amp;": "&amp;INDEX(Calculations!$C$698:$C$709,CurMonthNo-1)&amp;"   "&amp;IF(INDEX(Calculations!$C$698:$C$709,CurMonthNo)&gt;=INDEX(Calculations!$C$698:$C$709,CurMonthNo-1),"▲ ","▼ ")&amp;TEXT(IFERROR((INDEX(Calculations!$C$698:$C$709,CurMonthNo)-INDEX(Calculations!$C$698:$C$709,CurMonthNo-1))/INDEX(Calculations!$C$698:$C$709,CurMonthNo-1),0),"+0.0%;-0.0%")))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1770</v>
      </c>
      <c r="E44" s="57" t="s">
        <v>2062</v>
      </c>
    </row>
    <row r="45" spans="2:19">
      <c r="B45" s="70">
        <f>IFERROR(Calculations!$P$698,"")</f>
        <v>0</v>
      </c>
      <c r="C45" s="75">
        <f>IFERROR(Calculations!$Q$698,"")</f>
        <v>0</v>
      </c>
      <c r="D45" s="75">
        <f>IFERROR(Calculations!$R$698,"")</f>
        <v>0</v>
      </c>
      <c r="E45" s="76">
        <f>IFERROR(Calculations!$S$698,"")</f>
        <v>0</v>
      </c>
    </row>
    <row r="46" spans="2:19">
      <c r="B46" s="70">
        <f>IFERROR(Calculations!$P$699,"")</f>
        <v>0</v>
      </c>
      <c r="C46" s="75">
        <f>IFERROR(Calculations!$Q$699,"")</f>
        <v>0</v>
      </c>
      <c r="D46" s="75">
        <f>IFERROR(Calculations!$R$699,"")</f>
        <v>0</v>
      </c>
      <c r="E46" s="76">
        <f>IFERROR(Calculations!$S$699,"")</f>
        <v>0</v>
      </c>
    </row>
    <row r="47" spans="2:19">
      <c r="B47" s="70">
        <f>IFERROR(Calculations!$P$700,"")</f>
        <v>0</v>
      </c>
      <c r="C47" s="75">
        <f>IFERROR(Calculations!$Q$700,"")</f>
        <v>0</v>
      </c>
      <c r="D47" s="75">
        <f>IFERROR(Calculations!$R$700,"")</f>
        <v>0</v>
      </c>
      <c r="E47" s="76">
        <f>IFERROR(Calculations!$S$700,"")</f>
        <v>0</v>
      </c>
    </row>
    <row r="48" spans="2:19">
      <c r="B48" s="70">
        <f>IFERROR(Calculations!$P$701,"")</f>
        <v>0</v>
      </c>
      <c r="C48" s="75">
        <f>IFERROR(Calculations!$Q$701,"")</f>
        <v>0</v>
      </c>
      <c r="D48" s="75">
        <f>IFERROR(Calculations!$R$701,"")</f>
        <v>0</v>
      </c>
      <c r="E48" s="76">
        <f>IFERROR(Calculations!$S$701,"")</f>
        <v>0</v>
      </c>
    </row>
    <row r="49" spans="2:19">
      <c r="B49" s="70">
        <f>IFERROR(Calculations!$P$702,"")</f>
        <v>0</v>
      </c>
      <c r="C49" s="75">
        <f>IFERROR(Calculations!$Q$702,"")</f>
        <v>0</v>
      </c>
      <c r="D49" s="75">
        <f>IFERROR(Calculations!$R$702,"")</f>
        <v>0</v>
      </c>
      <c r="E49" s="76">
        <f>IFERROR(Calculations!$S$702,"")</f>
        <v>0</v>
      </c>
    </row>
    <row r="50" spans="2:19">
      <c r="B50" s="70">
        <f>IFERROR(Calculations!$P$703,"")</f>
        <v>0</v>
      </c>
      <c r="C50" s="75">
        <f>IFERROR(Calculations!$Q$703,"")</f>
        <v>0</v>
      </c>
      <c r="D50" s="75">
        <f>IFERROR(Calculations!$R$703,"")</f>
        <v>0</v>
      </c>
      <c r="E50" s="76">
        <f>IFERROR(Calculations!$S$703,"")</f>
        <v>0</v>
      </c>
    </row>
    <row r="51" spans="2:19">
      <c r="B51" s="70">
        <f>IFERROR(Calculations!$P$704,"")</f>
        <v>0</v>
      </c>
      <c r="C51" s="75">
        <f>IFERROR(Calculations!$Q$704,"")</f>
        <v>0</v>
      </c>
      <c r="D51" s="75">
        <f>IFERROR(Calculations!$R$704,"")</f>
        <v>0</v>
      </c>
      <c r="E51" s="76">
        <f>IFERROR(Calculations!$S$704,"")</f>
        <v>0</v>
      </c>
    </row>
    <row r="52" spans="2:19">
      <c r="B52" s="70">
        <f>IFERROR(Calculations!$P$705,"")</f>
        <v>0</v>
      </c>
      <c r="C52" s="75">
        <f>IFERROR(Calculations!$Q$705,"")</f>
        <v>0</v>
      </c>
      <c r="D52" s="75">
        <f>IFERROR(Calculations!$R$705,"")</f>
        <v>0</v>
      </c>
      <c r="E52" s="76">
        <f>IFERROR(Calculations!$S$705,"")</f>
        <v>0</v>
      </c>
    </row>
    <row r="53" spans="2:19">
      <c r="B53" s="70">
        <f>IFERROR(Calculations!$P$706,"")</f>
        <v>0</v>
      </c>
      <c r="C53" s="75">
        <f>IFERROR(Calculations!$Q$706,"")</f>
        <v>0</v>
      </c>
      <c r="D53" s="75">
        <f>IFERROR(Calculations!$R$706,"")</f>
        <v>0</v>
      </c>
      <c r="E53" s="76">
        <f>IFERROR(Calculations!$S$706,"")</f>
        <v>0</v>
      </c>
    </row>
    <row r="54" spans="2:19">
      <c r="B54" s="70">
        <f>IFERROR(Calculations!$P$707,"")</f>
        <v>0</v>
      </c>
      <c r="C54" s="75">
        <f>IFERROR(Calculations!$Q$707,"")</f>
        <v>0</v>
      </c>
      <c r="D54" s="75">
        <f>IFERROR(Calculations!$R$707,"")</f>
        <v>0</v>
      </c>
      <c r="E54" s="76">
        <f>IFERROR(Calculations!$S$707,"")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IF(Calculations!$U$698="","",Calculations!$U$698)</f>
        <v>0</v>
      </c>
      <c r="C62" s="75">
        <f>IFERROR(Calculations!$V$698,"")</f>
        <v>0</v>
      </c>
      <c r="D62" s="75">
        <f>IFERROR(Calculations!$W$698,"")</f>
        <v>0</v>
      </c>
      <c r="E62" s="75">
        <f>IFERROR(Calculations!$X$698,"")</f>
        <v>0</v>
      </c>
      <c r="F62" s="75">
        <f>IFERROR(Calculations!$Y$698,"")</f>
        <v>0</v>
      </c>
      <c r="G62" s="75">
        <f>IFERROR(Calculations!$Z$698,"")</f>
        <v>0</v>
      </c>
      <c r="H62" s="75">
        <f>IFERROR(Calculations!$AA$698,"")</f>
        <v>0</v>
      </c>
      <c r="I62" s="75">
        <f>IFERROR(Calculations!$AB$698,"")</f>
        <v>0</v>
      </c>
      <c r="J62" s="75">
        <f>IFERROR(Calculations!$AC$698,"")</f>
        <v>0</v>
      </c>
      <c r="K62" s="75">
        <f>IFERROR(Calculations!$AD$698,"")</f>
        <v>0</v>
      </c>
      <c r="L62" s="75">
        <f>IFERROR(Calculations!$AE$698,"")</f>
        <v>0</v>
      </c>
      <c r="M62" s="75">
        <f>IFERROR(Calculations!$AF$698,"")</f>
        <v>0</v>
      </c>
      <c r="N62" s="75">
        <f>IFERROR(Calculations!$AG$698,"")</f>
        <v>0</v>
      </c>
      <c r="O62" s="75">
        <f>IFERROR(Calculations!$AH$698,"")</f>
        <v>0</v>
      </c>
    </row>
    <row r="63" spans="2:19">
      <c r="B63" s="70">
        <f>IF(Calculations!$U$699="","",Calculations!$U$699)</f>
        <v>0</v>
      </c>
      <c r="C63" s="75">
        <f>IFERROR(Calculations!$V$699,"")</f>
        <v>0</v>
      </c>
      <c r="D63" s="75">
        <f>IFERROR(Calculations!$W$699,"")</f>
        <v>0</v>
      </c>
      <c r="E63" s="75">
        <f>IFERROR(Calculations!$X$699,"")</f>
        <v>0</v>
      </c>
      <c r="F63" s="75">
        <f>IFERROR(Calculations!$Y$699,"")</f>
        <v>0</v>
      </c>
      <c r="G63" s="75">
        <f>IFERROR(Calculations!$Z$699,"")</f>
        <v>0</v>
      </c>
      <c r="H63" s="75">
        <f>IFERROR(Calculations!$AA$699,"")</f>
        <v>0</v>
      </c>
      <c r="I63" s="75">
        <f>IFERROR(Calculations!$AB$699,"")</f>
        <v>0</v>
      </c>
      <c r="J63" s="75">
        <f>IFERROR(Calculations!$AC$699,"")</f>
        <v>0</v>
      </c>
      <c r="K63" s="75">
        <f>IFERROR(Calculations!$AD$699,"")</f>
        <v>0</v>
      </c>
      <c r="L63" s="75">
        <f>IFERROR(Calculations!$AE$699,"")</f>
        <v>0</v>
      </c>
      <c r="M63" s="75">
        <f>IFERROR(Calculations!$AF$699,"")</f>
        <v>0</v>
      </c>
      <c r="N63" s="75">
        <f>IFERROR(Calculations!$AG$699,"")</f>
        <v>0</v>
      </c>
      <c r="O63" s="75">
        <f>IFERROR(Calculations!$AH$699,"")</f>
        <v>0</v>
      </c>
    </row>
    <row r="64" spans="2:19">
      <c r="B64" s="70">
        <f>IF(Calculations!$U$700="","",Calculations!$U$700)</f>
        <v>0</v>
      </c>
      <c r="C64" s="75">
        <f>IFERROR(Calculations!$V$700,"")</f>
        <v>0</v>
      </c>
      <c r="D64" s="75">
        <f>IFERROR(Calculations!$W$700,"")</f>
        <v>0</v>
      </c>
      <c r="E64" s="75">
        <f>IFERROR(Calculations!$X$700,"")</f>
        <v>0</v>
      </c>
      <c r="F64" s="75">
        <f>IFERROR(Calculations!$Y$700,"")</f>
        <v>0</v>
      </c>
      <c r="G64" s="75">
        <f>IFERROR(Calculations!$Z$700,"")</f>
        <v>0</v>
      </c>
      <c r="H64" s="75">
        <f>IFERROR(Calculations!$AA$700,"")</f>
        <v>0</v>
      </c>
      <c r="I64" s="75">
        <f>IFERROR(Calculations!$AB$700,"")</f>
        <v>0</v>
      </c>
      <c r="J64" s="75">
        <f>IFERROR(Calculations!$AC$700,"")</f>
        <v>0</v>
      </c>
      <c r="K64" s="75">
        <f>IFERROR(Calculations!$AD$700,"")</f>
        <v>0</v>
      </c>
      <c r="L64" s="75">
        <f>IFERROR(Calculations!$AE$700,"")</f>
        <v>0</v>
      </c>
      <c r="M64" s="75">
        <f>IFERROR(Calculations!$AF$700,"")</f>
        <v>0</v>
      </c>
      <c r="N64" s="75">
        <f>IFERROR(Calculations!$AG$700,"")</f>
        <v>0</v>
      </c>
      <c r="O64" s="75">
        <f>IFERROR(Calculations!$AH$700,"")</f>
        <v>0</v>
      </c>
    </row>
    <row r="65" spans="2:15">
      <c r="B65" s="70">
        <f>IF(Calculations!$U$701="","",Calculations!$U$701)</f>
        <v>0</v>
      </c>
      <c r="C65" s="75">
        <f>IFERROR(Calculations!$V$701,"")</f>
        <v>0</v>
      </c>
      <c r="D65" s="75">
        <f>IFERROR(Calculations!$W$701,"")</f>
        <v>0</v>
      </c>
      <c r="E65" s="75">
        <f>IFERROR(Calculations!$X$701,"")</f>
        <v>0</v>
      </c>
      <c r="F65" s="75">
        <f>IFERROR(Calculations!$Y$701,"")</f>
        <v>0</v>
      </c>
      <c r="G65" s="75">
        <f>IFERROR(Calculations!$Z$701,"")</f>
        <v>0</v>
      </c>
      <c r="H65" s="75">
        <f>IFERROR(Calculations!$AA$701,"")</f>
        <v>0</v>
      </c>
      <c r="I65" s="75">
        <f>IFERROR(Calculations!$AB$701,"")</f>
        <v>0</v>
      </c>
      <c r="J65" s="75">
        <f>IFERROR(Calculations!$AC$701,"")</f>
        <v>0</v>
      </c>
      <c r="K65" s="75">
        <f>IFERROR(Calculations!$AD$701,"")</f>
        <v>0</v>
      </c>
      <c r="L65" s="75">
        <f>IFERROR(Calculations!$AE$701,"")</f>
        <v>0</v>
      </c>
      <c r="M65" s="75">
        <f>IFERROR(Calculations!$AF$701,"")</f>
        <v>0</v>
      </c>
      <c r="N65" s="75">
        <f>IFERROR(Calculations!$AG$701,"")</f>
        <v>0</v>
      </c>
      <c r="O65" s="75">
        <f>IFERROR(Calculations!$AH$701,"")</f>
        <v>0</v>
      </c>
    </row>
    <row r="66" spans="2:15">
      <c r="B66" s="70">
        <f>IF(Calculations!$U$702="","",Calculations!$U$702)</f>
        <v>0</v>
      </c>
      <c r="C66" s="75">
        <f>IFERROR(Calculations!$V$702,"")</f>
        <v>0</v>
      </c>
      <c r="D66" s="75">
        <f>IFERROR(Calculations!$W$702,"")</f>
        <v>0</v>
      </c>
      <c r="E66" s="75">
        <f>IFERROR(Calculations!$X$702,"")</f>
        <v>0</v>
      </c>
      <c r="F66" s="75">
        <f>IFERROR(Calculations!$Y$702,"")</f>
        <v>0</v>
      </c>
      <c r="G66" s="75">
        <f>IFERROR(Calculations!$Z$702,"")</f>
        <v>0</v>
      </c>
      <c r="H66" s="75">
        <f>IFERROR(Calculations!$AA$702,"")</f>
        <v>0</v>
      </c>
      <c r="I66" s="75">
        <f>IFERROR(Calculations!$AB$702,"")</f>
        <v>0</v>
      </c>
      <c r="J66" s="75">
        <f>IFERROR(Calculations!$AC$702,"")</f>
        <v>0</v>
      </c>
      <c r="K66" s="75">
        <f>IFERROR(Calculations!$AD$702,"")</f>
        <v>0</v>
      </c>
      <c r="L66" s="75">
        <f>IFERROR(Calculations!$AE$702,"")</f>
        <v>0</v>
      </c>
      <c r="M66" s="75">
        <f>IFERROR(Calculations!$AF$702,"")</f>
        <v>0</v>
      </c>
      <c r="N66" s="75">
        <f>IFERROR(Calculations!$AG$702,"")</f>
        <v>0</v>
      </c>
      <c r="O66" s="75">
        <f>IFERROR(Calculations!$AH$702,"")</f>
        <v>0</v>
      </c>
    </row>
    <row r="67" spans="2:15">
      <c r="B67" s="70">
        <f>IF(Calculations!$U$703="","",Calculations!$U$703)</f>
        <v>0</v>
      </c>
      <c r="C67" s="75">
        <f>IFERROR(Calculations!$V$703,"")</f>
        <v>0</v>
      </c>
      <c r="D67" s="75">
        <f>IFERROR(Calculations!$W$703,"")</f>
        <v>0</v>
      </c>
      <c r="E67" s="75">
        <f>IFERROR(Calculations!$X$703,"")</f>
        <v>0</v>
      </c>
      <c r="F67" s="75">
        <f>IFERROR(Calculations!$Y$703,"")</f>
        <v>0</v>
      </c>
      <c r="G67" s="75">
        <f>IFERROR(Calculations!$Z$703,"")</f>
        <v>0</v>
      </c>
      <c r="H67" s="75">
        <f>IFERROR(Calculations!$AA$703,"")</f>
        <v>0</v>
      </c>
      <c r="I67" s="75">
        <f>IFERROR(Calculations!$AB$703,"")</f>
        <v>0</v>
      </c>
      <c r="J67" s="75">
        <f>IFERROR(Calculations!$AC$703,"")</f>
        <v>0</v>
      </c>
      <c r="K67" s="75">
        <f>IFERROR(Calculations!$AD$703,"")</f>
        <v>0</v>
      </c>
      <c r="L67" s="75">
        <f>IFERROR(Calculations!$AE$703,"")</f>
        <v>0</v>
      </c>
      <c r="M67" s="75">
        <f>IFERROR(Calculations!$AF$703,"")</f>
        <v>0</v>
      </c>
      <c r="N67" s="75">
        <f>IFERROR(Calculations!$AG$703,"")</f>
        <v>0</v>
      </c>
      <c r="O67" s="75">
        <f>IFERROR(Calculations!$AH$703,"")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Safety Meetings'!A1" display="◀ Register"/>
  </hyperlinks>
  <pageMargins left="0.3" right="0.3" top="0.4" bottom="0.4" header="0.3" footer="0.3"/>
  <pageSetup fitToHeight="0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6">
    <tabColor rgb="FF14B8A6"/>
    <pageSetUpPr fitToPage="1"/>
  </sheetPr>
  <dimension ref="A1:S70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2399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2400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2340</v>
      </c>
      <c r="C13" s="39"/>
      <c r="D13" s="39"/>
      <c r="E13" s="39"/>
      <c r="F13" s="39" t="s">
        <v>2401</v>
      </c>
      <c r="G13" s="39"/>
      <c r="H13" s="39"/>
      <c r="I13" s="39"/>
      <c r="J13" s="39" t="s">
        <v>2402</v>
      </c>
      <c r="K13" s="39"/>
      <c r="L13" s="39"/>
      <c r="M13" s="39"/>
      <c r="N13" s="39" t="s">
        <v>2403</v>
      </c>
      <c r="O13" s="39"/>
      <c r="P13" s="39"/>
      <c r="Q13" s="39"/>
    </row>
    <row r="14" spans="2:19">
      <c r="B14" s="41">
        <f>Calculations!$N$724</f>
        <v>0</v>
      </c>
      <c r="C14" s="41"/>
      <c r="D14" s="41"/>
      <c r="E14" s="41"/>
      <c r="F14" s="41">
        <f>Calculations!$N$725</f>
        <v>0</v>
      </c>
      <c r="G14" s="41"/>
      <c r="H14" s="41"/>
      <c r="I14" s="41"/>
      <c r="J14" s="41">
        <f>Calculations!$N$726</f>
        <v>0</v>
      </c>
      <c r="K14" s="41"/>
      <c r="L14" s="41"/>
      <c r="M14" s="41"/>
      <c r="N14" s="41">
        <f>Calculations!$N$727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2404</v>
      </c>
      <c r="C19" s="39"/>
      <c r="D19" s="39"/>
      <c r="E19" s="39"/>
      <c r="F19" s="39" t="s">
        <v>2405</v>
      </c>
      <c r="G19" s="39"/>
      <c r="H19" s="39"/>
      <c r="I19" s="39"/>
      <c r="J19" s="39" t="s">
        <v>2406</v>
      </c>
      <c r="K19" s="39"/>
      <c r="L19" s="39"/>
      <c r="M19" s="39"/>
      <c r="N19" s="39" t="s">
        <v>2407</v>
      </c>
      <c r="O19" s="39"/>
      <c r="P19" s="39"/>
      <c r="Q19" s="39"/>
    </row>
    <row r="20" spans="2:19">
      <c r="B20" s="41">
        <f>Calculations!$N$728</f>
        <v>0</v>
      </c>
      <c r="C20" s="41"/>
      <c r="D20" s="41"/>
      <c r="E20" s="41"/>
      <c r="F20" s="41">
        <f>Calculations!$N$729</f>
        <v>0</v>
      </c>
      <c r="G20" s="41"/>
      <c r="H20" s="41"/>
      <c r="I20" s="41"/>
      <c r="J20" s="42">
        <f>Calculations!$N$730</f>
        <v>0</v>
      </c>
      <c r="K20" s="42"/>
      <c r="L20" s="42"/>
      <c r="M20" s="42"/>
      <c r="N20" s="41">
        <f>Calculations!$N$731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"&amp;INDEX(Calculations!$C$724:$C$735,CurMonthNo)&amp;"   vs   "&amp;INDEX(L_Month,CurMonthNo-1)&amp;": "&amp;INDEX(Calculations!$C$724:$C$735,CurMonthNo-1)&amp;"   "&amp;IF(INDEX(Calculations!$C$724:$C$735,CurMonthNo)&gt;=INDEX(Calculations!$C$724:$C$735,CurMonthNo-1),"▲ ","▼ ")&amp;TEXT(IFERROR((INDEX(Calculations!$C$724:$C$735,CurMonthNo)-INDEX(Calculations!$C$724:$C$735,CurMonthNo-1))/INDEX(Calculations!$C$724:$C$735,CurMonthNo-1),0),"+0.0%;-0.0%")))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IF(Calculations!$U$724="","",Calculations!$U$724)</f>
        <v>0</v>
      </c>
      <c r="C62" s="75">
        <f>IFERROR(Calculations!$V$724,"")</f>
        <v>0</v>
      </c>
      <c r="D62" s="75">
        <f>IFERROR(Calculations!$W$724,"")</f>
        <v>0</v>
      </c>
      <c r="E62" s="75">
        <f>IFERROR(Calculations!$X$724,"")</f>
        <v>0</v>
      </c>
      <c r="F62" s="75">
        <f>IFERROR(Calculations!$Y$724,"")</f>
        <v>0</v>
      </c>
      <c r="G62" s="75">
        <f>IFERROR(Calculations!$Z$724,"")</f>
        <v>0</v>
      </c>
      <c r="H62" s="75">
        <f>IFERROR(Calculations!$AA$724,"")</f>
        <v>0</v>
      </c>
      <c r="I62" s="75">
        <f>IFERROR(Calculations!$AB$724,"")</f>
        <v>0</v>
      </c>
      <c r="J62" s="75">
        <f>IFERROR(Calculations!$AC$724,"")</f>
        <v>0</v>
      </c>
      <c r="K62" s="75">
        <f>IFERROR(Calculations!$AD$724,"")</f>
        <v>0</v>
      </c>
      <c r="L62" s="75">
        <f>IFERROR(Calculations!$AE$724,"")</f>
        <v>0</v>
      </c>
      <c r="M62" s="75">
        <f>IFERROR(Calculations!$AF$724,"")</f>
        <v>0</v>
      </c>
      <c r="N62" s="75">
        <f>IFERROR(Calculations!$AG$724,"")</f>
        <v>0</v>
      </c>
      <c r="O62" s="75">
        <f>IFERROR(Calculations!$AH$724,"")</f>
        <v>0</v>
      </c>
    </row>
    <row r="63" spans="2:19">
      <c r="B63" s="70">
        <f>IF(Calculations!$U$725="","",Calculations!$U$725)</f>
        <v>0</v>
      </c>
      <c r="C63" s="75">
        <f>IFERROR(Calculations!$V$725,"")</f>
        <v>0</v>
      </c>
      <c r="D63" s="75">
        <f>IFERROR(Calculations!$W$725,"")</f>
        <v>0</v>
      </c>
      <c r="E63" s="75">
        <f>IFERROR(Calculations!$X$725,"")</f>
        <v>0</v>
      </c>
      <c r="F63" s="75">
        <f>IFERROR(Calculations!$Y$725,"")</f>
        <v>0</v>
      </c>
      <c r="G63" s="75">
        <f>IFERROR(Calculations!$Z$725,"")</f>
        <v>0</v>
      </c>
      <c r="H63" s="75">
        <f>IFERROR(Calculations!$AA$725,"")</f>
        <v>0</v>
      </c>
      <c r="I63" s="75">
        <f>IFERROR(Calculations!$AB$725,"")</f>
        <v>0</v>
      </c>
      <c r="J63" s="75">
        <f>IFERROR(Calculations!$AC$725,"")</f>
        <v>0</v>
      </c>
      <c r="K63" s="75">
        <f>IFERROR(Calculations!$AD$725,"")</f>
        <v>0</v>
      </c>
      <c r="L63" s="75">
        <f>IFERROR(Calculations!$AE$725,"")</f>
        <v>0</v>
      </c>
      <c r="M63" s="75">
        <f>IFERROR(Calculations!$AF$725,"")</f>
        <v>0</v>
      </c>
      <c r="N63" s="75">
        <f>IFERROR(Calculations!$AG$725,"")</f>
        <v>0</v>
      </c>
      <c r="O63" s="75">
        <f>IFERROR(Calculations!$AH$725,"")</f>
        <v>0</v>
      </c>
    </row>
    <row r="64" spans="2:19">
      <c r="B64" s="70">
        <f>IF(Calculations!$U$726="","",Calculations!$U$726)</f>
        <v>0</v>
      </c>
      <c r="C64" s="75">
        <f>IFERROR(Calculations!$V$726,"")</f>
        <v>0</v>
      </c>
      <c r="D64" s="75">
        <f>IFERROR(Calculations!$W$726,"")</f>
        <v>0</v>
      </c>
      <c r="E64" s="75">
        <f>IFERROR(Calculations!$X$726,"")</f>
        <v>0</v>
      </c>
      <c r="F64" s="75">
        <f>IFERROR(Calculations!$Y$726,"")</f>
        <v>0</v>
      </c>
      <c r="G64" s="75">
        <f>IFERROR(Calculations!$Z$726,"")</f>
        <v>0</v>
      </c>
      <c r="H64" s="75">
        <f>IFERROR(Calculations!$AA$726,"")</f>
        <v>0</v>
      </c>
      <c r="I64" s="75">
        <f>IFERROR(Calculations!$AB$726,"")</f>
        <v>0</v>
      </c>
      <c r="J64" s="75">
        <f>IFERROR(Calculations!$AC$726,"")</f>
        <v>0</v>
      </c>
      <c r="K64" s="75">
        <f>IFERROR(Calculations!$AD$726,"")</f>
        <v>0</v>
      </c>
      <c r="L64" s="75">
        <f>IFERROR(Calculations!$AE$726,"")</f>
        <v>0</v>
      </c>
      <c r="M64" s="75">
        <f>IFERROR(Calculations!$AF$726,"")</f>
        <v>0</v>
      </c>
      <c r="N64" s="75">
        <f>IFERROR(Calculations!$AG$726,"")</f>
        <v>0</v>
      </c>
      <c r="O64" s="75">
        <f>IFERROR(Calculations!$AH$726,"")</f>
        <v>0</v>
      </c>
    </row>
    <row r="65" spans="2:19">
      <c r="B65" s="70">
        <f>IF(Calculations!$U$727="","",Calculations!$U$727)</f>
        <v>0</v>
      </c>
      <c r="C65" s="75">
        <f>IFERROR(Calculations!$V$727,"")</f>
        <v>0</v>
      </c>
      <c r="D65" s="75">
        <f>IFERROR(Calculations!$W$727,"")</f>
        <v>0</v>
      </c>
      <c r="E65" s="75">
        <f>IFERROR(Calculations!$X$727,"")</f>
        <v>0</v>
      </c>
      <c r="F65" s="75">
        <f>IFERROR(Calculations!$Y$727,"")</f>
        <v>0</v>
      </c>
      <c r="G65" s="75">
        <f>IFERROR(Calculations!$Z$727,"")</f>
        <v>0</v>
      </c>
      <c r="H65" s="75">
        <f>IFERROR(Calculations!$AA$727,"")</f>
        <v>0</v>
      </c>
      <c r="I65" s="75">
        <f>IFERROR(Calculations!$AB$727,"")</f>
        <v>0</v>
      </c>
      <c r="J65" s="75">
        <f>IFERROR(Calculations!$AC$727,"")</f>
        <v>0</v>
      </c>
      <c r="K65" s="75">
        <f>IFERROR(Calculations!$AD$727,"")</f>
        <v>0</v>
      </c>
      <c r="L65" s="75">
        <f>IFERROR(Calculations!$AE$727,"")</f>
        <v>0</v>
      </c>
      <c r="M65" s="75">
        <f>IFERROR(Calculations!$AF$727,"")</f>
        <v>0</v>
      </c>
      <c r="N65" s="75">
        <f>IFERROR(Calculations!$AG$727,"")</f>
        <v>0</v>
      </c>
      <c r="O65" s="75">
        <f>IFERROR(Calculations!$AH$727,"")</f>
        <v>0</v>
      </c>
    </row>
    <row r="66" spans="2:19">
      <c r="B66" s="70">
        <f>IF(Calculations!$U$728="","",Calculations!$U$728)</f>
        <v>0</v>
      </c>
      <c r="C66" s="75">
        <f>IFERROR(Calculations!$V$728,"")</f>
        <v>0</v>
      </c>
      <c r="D66" s="75">
        <f>IFERROR(Calculations!$W$728,"")</f>
        <v>0</v>
      </c>
      <c r="E66" s="75">
        <f>IFERROR(Calculations!$X$728,"")</f>
        <v>0</v>
      </c>
      <c r="F66" s="75">
        <f>IFERROR(Calculations!$Y$728,"")</f>
        <v>0</v>
      </c>
      <c r="G66" s="75">
        <f>IFERROR(Calculations!$Z$728,"")</f>
        <v>0</v>
      </c>
      <c r="H66" s="75">
        <f>IFERROR(Calculations!$AA$728,"")</f>
        <v>0</v>
      </c>
      <c r="I66" s="75">
        <f>IFERROR(Calculations!$AB$728,"")</f>
        <v>0</v>
      </c>
      <c r="J66" s="75">
        <f>IFERROR(Calculations!$AC$728,"")</f>
        <v>0</v>
      </c>
      <c r="K66" s="75">
        <f>IFERROR(Calculations!$AD$728,"")</f>
        <v>0</v>
      </c>
      <c r="L66" s="75">
        <f>IFERROR(Calculations!$AE$728,"")</f>
        <v>0</v>
      </c>
      <c r="M66" s="75">
        <f>IFERROR(Calculations!$AF$728,"")</f>
        <v>0</v>
      </c>
      <c r="N66" s="75">
        <f>IFERROR(Calculations!$AG$728,"")</f>
        <v>0</v>
      </c>
      <c r="O66" s="75">
        <f>IFERROR(Calculations!$AH$728,"")</f>
        <v>0</v>
      </c>
    </row>
    <row r="67" spans="2:19">
      <c r="B67" s="70">
        <f>IF(Calculations!$U$729="","",Calculations!$U$729)</f>
        <v>0</v>
      </c>
      <c r="C67" s="75">
        <f>IFERROR(Calculations!$V$729,"")</f>
        <v>0</v>
      </c>
      <c r="D67" s="75">
        <f>IFERROR(Calculations!$W$729,"")</f>
        <v>0</v>
      </c>
      <c r="E67" s="75">
        <f>IFERROR(Calculations!$X$729,"")</f>
        <v>0</v>
      </c>
      <c r="F67" s="75">
        <f>IFERROR(Calculations!$Y$729,"")</f>
        <v>0</v>
      </c>
      <c r="G67" s="75">
        <f>IFERROR(Calculations!$Z$729,"")</f>
        <v>0</v>
      </c>
      <c r="H67" s="75">
        <f>IFERROR(Calculations!$AA$729,"")</f>
        <v>0</v>
      </c>
      <c r="I67" s="75">
        <f>IFERROR(Calculations!$AB$729,"")</f>
        <v>0</v>
      </c>
      <c r="J67" s="75">
        <f>IFERROR(Calculations!$AC$729,"")</f>
        <v>0</v>
      </c>
      <c r="K67" s="75">
        <f>IFERROR(Calculations!$AD$729,"")</f>
        <v>0</v>
      </c>
      <c r="L67" s="75">
        <f>IFERROR(Calculations!$AE$729,"")</f>
        <v>0</v>
      </c>
      <c r="M67" s="75">
        <f>IFERROR(Calculations!$AF$729,"")</f>
        <v>0</v>
      </c>
      <c r="N67" s="75">
        <f>IFERROR(Calculations!$AG$729,"")</f>
        <v>0</v>
      </c>
      <c r="O67" s="75">
        <f>IFERROR(Calculations!$AH$729,"")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63:N63">
    <cfRule type="colorScale" priority="1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C64:N64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Safety Bulletins'!A1" display="◀ Register"/>
  </hyperlinks>
  <pageMargins left="0.3" right="0.3" top="0.4" bottom="0.4" header="0.3" footer="0.3"/>
  <pageSetup fitToHeight="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7">
    <tabColor rgb="FF14B8A6"/>
    <pageSetUpPr fitToPage="1"/>
  </sheetPr>
  <dimension ref="A1:S70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2408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2409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2410</v>
      </c>
      <c r="C13" s="39"/>
      <c r="D13" s="39"/>
      <c r="E13" s="39"/>
      <c r="F13" s="39" t="s">
        <v>2367</v>
      </c>
      <c r="G13" s="39"/>
      <c r="H13" s="39"/>
      <c r="I13" s="39"/>
      <c r="J13" s="39" t="s">
        <v>2357</v>
      </c>
      <c r="K13" s="39"/>
      <c r="L13" s="39"/>
      <c r="M13" s="39"/>
      <c r="N13" s="39" t="s">
        <v>2411</v>
      </c>
      <c r="O13" s="39"/>
      <c r="P13" s="39"/>
      <c r="Q13" s="39"/>
    </row>
    <row r="14" spans="2:19">
      <c r="B14" s="41">
        <f>Calculations!$N$750</f>
        <v>0</v>
      </c>
      <c r="C14" s="41"/>
      <c r="D14" s="41"/>
      <c r="E14" s="41"/>
      <c r="F14" s="41">
        <f>Calculations!$N$751</f>
        <v>0</v>
      </c>
      <c r="G14" s="41"/>
      <c r="H14" s="41"/>
      <c r="I14" s="41"/>
      <c r="J14" s="41">
        <f>Calculations!$N$752</f>
        <v>0</v>
      </c>
      <c r="K14" s="41"/>
      <c r="L14" s="41"/>
      <c r="M14" s="41"/>
      <c r="N14" s="42">
        <f>Calculations!$N$753</f>
        <v>0</v>
      </c>
      <c r="O14" s="42"/>
      <c r="P14" s="42"/>
      <c r="Q14" s="42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  <c r="O15" s="42"/>
      <c r="P15" s="42"/>
      <c r="Q15" s="42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2412</v>
      </c>
      <c r="C19" s="39"/>
      <c r="D19" s="39"/>
      <c r="E19" s="39"/>
      <c r="F19" s="39" t="s">
        <v>2413</v>
      </c>
      <c r="G19" s="39"/>
      <c r="H19" s="39"/>
      <c r="I19" s="39"/>
      <c r="J19" s="39" t="s">
        <v>2414</v>
      </c>
      <c r="K19" s="39"/>
      <c r="L19" s="39"/>
      <c r="M19" s="39"/>
      <c r="N19" s="39" t="s">
        <v>2415</v>
      </c>
      <c r="O19" s="39"/>
      <c r="P19" s="39"/>
      <c r="Q19" s="39"/>
    </row>
    <row r="20" spans="2:19">
      <c r="B20" s="41">
        <f>Calculations!$N$754</f>
        <v>0</v>
      </c>
      <c r="C20" s="41"/>
      <c r="D20" s="41"/>
      <c r="E20" s="41"/>
      <c r="F20" s="41">
        <f>Calculations!$N$755</f>
        <v>0</v>
      </c>
      <c r="G20" s="41"/>
      <c r="H20" s="41"/>
      <c r="I20" s="41"/>
      <c r="J20" s="41">
        <f>Calculations!$N$756</f>
        <v>0</v>
      </c>
      <c r="K20" s="41"/>
      <c r="L20" s="41"/>
      <c r="M20" s="41"/>
      <c r="N20" s="41">
        <f>Calculations!$N$757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"&amp;INDEX(Calculations!$C$750:$C$761,CurMonthNo)&amp;"   vs   "&amp;INDEX(L_Month,CurMonthNo-1)&amp;": "&amp;INDEX(Calculations!$C$750:$C$761,CurMonthNo-1)&amp;"   "&amp;IF(INDEX(Calculations!$C$750:$C$761,CurMonthNo)&gt;=INDEX(Calculations!$C$750:$C$761,CurMonthNo-1),"▲ ","▼ ")&amp;TEXT(IFERROR((INDEX(Calculations!$C$750:$C$761,CurMonthNo)-INDEX(Calculations!$C$750:$C$761,CurMonthNo-1))/INDEX(Calculations!$C$750:$C$761,CurMonthNo-1),0),"+0.0%;-0.0%")))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IF(Calculations!$U$750="","",Calculations!$U$750)</f>
        <v>0</v>
      </c>
      <c r="C62" s="75">
        <f>IFERROR(Calculations!$V$750,"")</f>
        <v>0</v>
      </c>
      <c r="D62" s="75">
        <f>IFERROR(Calculations!$W$750,"")</f>
        <v>0</v>
      </c>
      <c r="E62" s="75">
        <f>IFERROR(Calculations!$X$750,"")</f>
        <v>0</v>
      </c>
      <c r="F62" s="75">
        <f>IFERROR(Calculations!$Y$750,"")</f>
        <v>0</v>
      </c>
      <c r="G62" s="75">
        <f>IFERROR(Calculations!$Z$750,"")</f>
        <v>0</v>
      </c>
      <c r="H62" s="75">
        <f>IFERROR(Calculations!$AA$750,"")</f>
        <v>0</v>
      </c>
      <c r="I62" s="75">
        <f>IFERROR(Calculations!$AB$750,"")</f>
        <v>0</v>
      </c>
      <c r="J62" s="75">
        <f>IFERROR(Calculations!$AC$750,"")</f>
        <v>0</v>
      </c>
      <c r="K62" s="75">
        <f>IFERROR(Calculations!$AD$750,"")</f>
        <v>0</v>
      </c>
      <c r="L62" s="75">
        <f>IFERROR(Calculations!$AE$750,"")</f>
        <v>0</v>
      </c>
      <c r="M62" s="75">
        <f>IFERROR(Calculations!$AF$750,"")</f>
        <v>0</v>
      </c>
      <c r="N62" s="75">
        <f>IFERROR(Calculations!$AG$750,"")</f>
        <v>0</v>
      </c>
      <c r="O62" s="75">
        <f>IFERROR(Calculations!$AH$750,"")</f>
        <v>0</v>
      </c>
    </row>
    <row r="63" spans="2:19">
      <c r="B63" s="70">
        <f>IF(Calculations!$U$751="","",Calculations!$U$751)</f>
        <v>0</v>
      </c>
      <c r="C63" s="75">
        <f>IFERROR(Calculations!$V$751,"")</f>
        <v>0</v>
      </c>
      <c r="D63" s="75">
        <f>IFERROR(Calculations!$W$751,"")</f>
        <v>0</v>
      </c>
      <c r="E63" s="75">
        <f>IFERROR(Calculations!$X$751,"")</f>
        <v>0</v>
      </c>
      <c r="F63" s="75">
        <f>IFERROR(Calculations!$Y$751,"")</f>
        <v>0</v>
      </c>
      <c r="G63" s="75">
        <f>IFERROR(Calculations!$Z$751,"")</f>
        <v>0</v>
      </c>
      <c r="H63" s="75">
        <f>IFERROR(Calculations!$AA$751,"")</f>
        <v>0</v>
      </c>
      <c r="I63" s="75">
        <f>IFERROR(Calculations!$AB$751,"")</f>
        <v>0</v>
      </c>
      <c r="J63" s="75">
        <f>IFERROR(Calculations!$AC$751,"")</f>
        <v>0</v>
      </c>
      <c r="K63" s="75">
        <f>IFERROR(Calculations!$AD$751,"")</f>
        <v>0</v>
      </c>
      <c r="L63" s="75">
        <f>IFERROR(Calculations!$AE$751,"")</f>
        <v>0</v>
      </c>
      <c r="M63" s="75">
        <f>IFERROR(Calculations!$AF$751,"")</f>
        <v>0</v>
      </c>
      <c r="N63" s="75">
        <f>IFERROR(Calculations!$AG$751,"")</f>
        <v>0</v>
      </c>
      <c r="O63" s="75">
        <f>IFERROR(Calculations!$AH$751,"")</f>
        <v>0</v>
      </c>
    </row>
    <row r="64" spans="2:19">
      <c r="B64" s="70">
        <f>IF(Calculations!$U$752="","",Calculations!$U$752)</f>
        <v>0</v>
      </c>
      <c r="C64" s="75">
        <f>IFERROR(Calculations!$V$752,"")</f>
        <v>0</v>
      </c>
      <c r="D64" s="75">
        <f>IFERROR(Calculations!$W$752,"")</f>
        <v>0</v>
      </c>
      <c r="E64" s="75">
        <f>IFERROR(Calculations!$X$752,"")</f>
        <v>0</v>
      </c>
      <c r="F64" s="75">
        <f>IFERROR(Calculations!$Y$752,"")</f>
        <v>0</v>
      </c>
      <c r="G64" s="75">
        <f>IFERROR(Calculations!$Z$752,"")</f>
        <v>0</v>
      </c>
      <c r="H64" s="75">
        <f>IFERROR(Calculations!$AA$752,"")</f>
        <v>0</v>
      </c>
      <c r="I64" s="75">
        <f>IFERROR(Calculations!$AB$752,"")</f>
        <v>0</v>
      </c>
      <c r="J64" s="75">
        <f>IFERROR(Calculations!$AC$752,"")</f>
        <v>0</v>
      </c>
      <c r="K64" s="75">
        <f>IFERROR(Calculations!$AD$752,"")</f>
        <v>0</v>
      </c>
      <c r="L64" s="75">
        <f>IFERROR(Calculations!$AE$752,"")</f>
        <v>0</v>
      </c>
      <c r="M64" s="75">
        <f>IFERROR(Calculations!$AF$752,"")</f>
        <v>0</v>
      </c>
      <c r="N64" s="75">
        <f>IFERROR(Calculations!$AG$752,"")</f>
        <v>0</v>
      </c>
      <c r="O64" s="75">
        <f>IFERROR(Calculations!$AH$752,"")</f>
        <v>0</v>
      </c>
    </row>
    <row r="65" spans="2:19">
      <c r="B65" s="70">
        <f>IF(Calculations!$U$753="","",Calculations!$U$753)</f>
        <v>0</v>
      </c>
      <c r="C65" s="75">
        <f>IFERROR(Calculations!$V$753,"")</f>
        <v>0</v>
      </c>
      <c r="D65" s="75">
        <f>IFERROR(Calculations!$W$753,"")</f>
        <v>0</v>
      </c>
      <c r="E65" s="75">
        <f>IFERROR(Calculations!$X$753,"")</f>
        <v>0</v>
      </c>
      <c r="F65" s="75">
        <f>IFERROR(Calculations!$Y$753,"")</f>
        <v>0</v>
      </c>
      <c r="G65" s="75">
        <f>IFERROR(Calculations!$Z$753,"")</f>
        <v>0</v>
      </c>
      <c r="H65" s="75">
        <f>IFERROR(Calculations!$AA$753,"")</f>
        <v>0</v>
      </c>
      <c r="I65" s="75">
        <f>IFERROR(Calculations!$AB$753,"")</f>
        <v>0</v>
      </c>
      <c r="J65" s="75">
        <f>IFERROR(Calculations!$AC$753,"")</f>
        <v>0</v>
      </c>
      <c r="K65" s="75">
        <f>IFERROR(Calculations!$AD$753,"")</f>
        <v>0</v>
      </c>
      <c r="L65" s="75">
        <f>IFERROR(Calculations!$AE$753,"")</f>
        <v>0</v>
      </c>
      <c r="M65" s="75">
        <f>IFERROR(Calculations!$AF$753,"")</f>
        <v>0</v>
      </c>
      <c r="N65" s="75">
        <f>IFERROR(Calculations!$AG$753,"")</f>
        <v>0</v>
      </c>
      <c r="O65" s="75">
        <f>IFERROR(Calculations!$AH$753,"")</f>
        <v>0</v>
      </c>
    </row>
    <row r="66" spans="2:19">
      <c r="B66" s="70">
        <f>IF(Calculations!$U$754="","",Calculations!$U$754)</f>
        <v>0</v>
      </c>
      <c r="C66" s="75">
        <f>IFERROR(Calculations!$V$754,"")</f>
        <v>0</v>
      </c>
      <c r="D66" s="75">
        <f>IFERROR(Calculations!$W$754,"")</f>
        <v>0</v>
      </c>
      <c r="E66" s="75">
        <f>IFERROR(Calculations!$X$754,"")</f>
        <v>0</v>
      </c>
      <c r="F66" s="75">
        <f>IFERROR(Calculations!$Y$754,"")</f>
        <v>0</v>
      </c>
      <c r="G66" s="75">
        <f>IFERROR(Calculations!$Z$754,"")</f>
        <v>0</v>
      </c>
      <c r="H66" s="75">
        <f>IFERROR(Calculations!$AA$754,"")</f>
        <v>0</v>
      </c>
      <c r="I66" s="75">
        <f>IFERROR(Calculations!$AB$754,"")</f>
        <v>0</v>
      </c>
      <c r="J66" s="75">
        <f>IFERROR(Calculations!$AC$754,"")</f>
        <v>0</v>
      </c>
      <c r="K66" s="75">
        <f>IFERROR(Calculations!$AD$754,"")</f>
        <v>0</v>
      </c>
      <c r="L66" s="75">
        <f>IFERROR(Calculations!$AE$754,"")</f>
        <v>0</v>
      </c>
      <c r="M66" s="75">
        <f>IFERROR(Calculations!$AF$754,"")</f>
        <v>0</v>
      </c>
      <c r="N66" s="75">
        <f>IFERROR(Calculations!$AG$754,"")</f>
        <v>0</v>
      </c>
      <c r="O66" s="75">
        <f>IFERROR(Calculations!$AH$754,"")</f>
        <v>0</v>
      </c>
    </row>
    <row r="67" spans="2:19">
      <c r="B67" s="70">
        <f>IF(Calculations!$U$755="","",Calculations!$U$755)</f>
        <v>0</v>
      </c>
      <c r="C67" s="75">
        <f>IFERROR(Calculations!$V$755,"")</f>
        <v>0</v>
      </c>
      <c r="D67" s="75">
        <f>IFERROR(Calculations!$W$755,"")</f>
        <v>0</v>
      </c>
      <c r="E67" s="75">
        <f>IFERROR(Calculations!$X$755,"")</f>
        <v>0</v>
      </c>
      <c r="F67" s="75">
        <f>IFERROR(Calculations!$Y$755,"")</f>
        <v>0</v>
      </c>
      <c r="G67" s="75">
        <f>IFERROR(Calculations!$Z$755,"")</f>
        <v>0</v>
      </c>
      <c r="H67" s="75">
        <f>IFERROR(Calculations!$AA$755,"")</f>
        <v>0</v>
      </c>
      <c r="I67" s="75">
        <f>IFERROR(Calculations!$AB$755,"")</f>
        <v>0</v>
      </c>
      <c r="J67" s="75">
        <f>IFERROR(Calculations!$AC$755,"")</f>
        <v>0</v>
      </c>
      <c r="K67" s="75">
        <f>IFERROR(Calculations!$AD$755,"")</f>
        <v>0</v>
      </c>
      <c r="L67" s="75">
        <f>IFERROR(Calculations!$AE$755,"")</f>
        <v>0</v>
      </c>
      <c r="M67" s="75">
        <f>IFERROR(Calculations!$AF$755,"")</f>
        <v>0</v>
      </c>
      <c r="N67" s="75">
        <f>IFERROR(Calculations!$AG$755,"")</f>
        <v>0</v>
      </c>
      <c r="O67" s="75">
        <f>IFERROR(Calculations!$AH$755,"")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63:N63">
    <cfRule type="colorScale" priority="1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C64:N64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Emergency Drills'!A1" display="◀ Register"/>
  </hyperlinks>
  <pageMargins left="0.3" right="0.3" top="0.4" bottom="0.4" header="0.3" footer="0.3"/>
  <pageSetup fitToHeight="0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8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2416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2417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2418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2369</v>
      </c>
      <c r="O13" s="39"/>
      <c r="P13" s="39"/>
      <c r="Q13" s="39"/>
    </row>
    <row r="14" spans="2:19">
      <c r="B14" s="41">
        <f>Calculations!$N$776</f>
        <v>0</v>
      </c>
      <c r="C14" s="41"/>
      <c r="D14" s="41"/>
      <c r="E14" s="41"/>
      <c r="F14" s="41">
        <f>Calculations!$N$777</f>
        <v>0</v>
      </c>
      <c r="G14" s="41"/>
      <c r="H14" s="41"/>
      <c r="I14" s="41"/>
      <c r="J14" s="41">
        <f>Calculations!$N$778</f>
        <v>0</v>
      </c>
      <c r="K14" s="41"/>
      <c r="L14" s="41"/>
      <c r="M14" s="41"/>
      <c r="N14" s="41">
        <f>Calculations!$N$779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2419</v>
      </c>
      <c r="C19" s="39"/>
      <c r="D19" s="39"/>
      <c r="E19" s="39"/>
      <c r="F19" s="39" t="s">
        <v>2420</v>
      </c>
      <c r="G19" s="39"/>
      <c r="H19" s="39"/>
      <c r="I19" s="39"/>
      <c r="J19" s="39" t="s">
        <v>2421</v>
      </c>
      <c r="K19" s="39"/>
      <c r="L19" s="39"/>
      <c r="M19" s="39"/>
      <c r="N19" s="39" t="s">
        <v>2422</v>
      </c>
      <c r="O19" s="39"/>
      <c r="P19" s="39"/>
      <c r="Q19" s="39"/>
    </row>
    <row r="20" spans="2:19">
      <c r="B20" s="41">
        <f>Calculations!$N$780</f>
        <v>0</v>
      </c>
      <c r="C20" s="41"/>
      <c r="D20" s="41"/>
      <c r="E20" s="41"/>
      <c r="F20" s="41">
        <f>Calculations!$N$781</f>
        <v>0</v>
      </c>
      <c r="G20" s="41"/>
      <c r="H20" s="41"/>
      <c r="I20" s="41"/>
      <c r="J20" s="41">
        <f>Calculations!$N$782</f>
        <v>0</v>
      </c>
      <c r="K20" s="41"/>
      <c r="L20" s="41"/>
      <c r="M20" s="41"/>
      <c r="N20" s="41">
        <f>Calculations!$N$783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"&amp;INDEX(Calculations!$C$776:$C$787,CurMonthNo)&amp;"   vs   "&amp;INDEX(L_Month,CurMonthNo-1)&amp;": "&amp;INDEX(Calculations!$C$776:$C$787,CurMonthNo-1)&amp;"   "&amp;IF(INDEX(Calculations!$C$776:$C$787,CurMonthNo)&gt;=INDEX(Calculations!$C$776:$C$787,CurMonthNo-1),"▲ ","▼ ")&amp;TEXT(IFERROR((INDEX(Calculations!$C$776:$C$787,CurMonthNo)-INDEX(Calculations!$C$776:$C$787,CurMonthNo-1))/INDEX(Calculations!$C$776:$C$787,CurMonthNo-1),0),"+0.0%;-0.0%")))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IFERROR(Calculations!$P$776,"")</f>
        <v>0</v>
      </c>
      <c r="C45" s="75">
        <f>IFERROR(Calculations!$Q$776,"")</f>
        <v>0</v>
      </c>
      <c r="D45" s="76">
        <f>IFERROR(Calculations!$R$776,"")</f>
        <v>0</v>
      </c>
      <c r="E45" s="75">
        <f>IFERROR(Calculations!$S$776,"")</f>
        <v>0</v>
      </c>
    </row>
    <row r="46" spans="2:19">
      <c r="B46" s="70">
        <f>IFERROR(Calculations!$P$777,"")</f>
        <v>0</v>
      </c>
      <c r="C46" s="75">
        <f>IFERROR(Calculations!$Q$777,"")</f>
        <v>0</v>
      </c>
      <c r="D46" s="76">
        <f>IFERROR(Calculations!$R$777,"")</f>
        <v>0</v>
      </c>
      <c r="E46" s="75">
        <f>IFERROR(Calculations!$S$777,"")</f>
        <v>0</v>
      </c>
    </row>
    <row r="47" spans="2:19">
      <c r="B47" s="70">
        <f>IFERROR(Calculations!$P$778,"")</f>
        <v>0</v>
      </c>
      <c r="C47" s="75">
        <f>IFERROR(Calculations!$Q$778,"")</f>
        <v>0</v>
      </c>
      <c r="D47" s="76">
        <f>IFERROR(Calculations!$R$778,"")</f>
        <v>0</v>
      </c>
      <c r="E47" s="75">
        <f>IFERROR(Calculations!$S$778,"")</f>
        <v>0</v>
      </c>
    </row>
    <row r="48" spans="2:19">
      <c r="B48" s="70">
        <f>IFERROR(Calculations!$P$779,"")</f>
        <v>0</v>
      </c>
      <c r="C48" s="75">
        <f>IFERROR(Calculations!$Q$779,"")</f>
        <v>0</v>
      </c>
      <c r="D48" s="76">
        <f>IFERROR(Calculations!$R$779,"")</f>
        <v>0</v>
      </c>
      <c r="E48" s="75">
        <f>IFERROR(Calculations!$S$779,"")</f>
        <v>0</v>
      </c>
    </row>
    <row r="49" spans="2:19">
      <c r="B49" s="70">
        <f>IFERROR(Calculations!$P$780,"")</f>
        <v>0</v>
      </c>
      <c r="C49" s="75">
        <f>IFERROR(Calculations!$Q$780,"")</f>
        <v>0</v>
      </c>
      <c r="D49" s="76">
        <f>IFERROR(Calculations!$R$780,"")</f>
        <v>0</v>
      </c>
      <c r="E49" s="75">
        <f>IFERROR(Calculations!$S$780,"")</f>
        <v>0</v>
      </c>
    </row>
    <row r="50" spans="2:19">
      <c r="B50" s="70">
        <f>IFERROR(Calculations!$P$781,"")</f>
        <v>0</v>
      </c>
      <c r="C50" s="75">
        <f>IFERROR(Calculations!$Q$781,"")</f>
        <v>0</v>
      </c>
      <c r="D50" s="76">
        <f>IFERROR(Calculations!$R$781,"")</f>
        <v>0</v>
      </c>
      <c r="E50" s="75">
        <f>IFERROR(Calculations!$S$781,"")</f>
        <v>0</v>
      </c>
    </row>
    <row r="51" spans="2:19">
      <c r="B51" s="70">
        <f>IFERROR(Calculations!$P$782,"")</f>
        <v>0</v>
      </c>
      <c r="C51" s="75">
        <f>IFERROR(Calculations!$Q$782,"")</f>
        <v>0</v>
      </c>
      <c r="D51" s="76">
        <f>IFERROR(Calculations!$R$782,"")</f>
        <v>0</v>
      </c>
      <c r="E51" s="75">
        <f>IFERROR(Calculations!$S$782,"")</f>
        <v>0</v>
      </c>
    </row>
    <row r="52" spans="2:19">
      <c r="B52" s="70">
        <f>IFERROR(Calculations!$P$783,"")</f>
        <v>0</v>
      </c>
      <c r="C52" s="75">
        <f>IFERROR(Calculations!$Q$783,"")</f>
        <v>0</v>
      </c>
      <c r="D52" s="76">
        <f>IFERROR(Calculations!$R$783,"")</f>
        <v>0</v>
      </c>
      <c r="E52" s="75">
        <f>IFERROR(Calculations!$S$783,"")</f>
        <v>0</v>
      </c>
    </row>
    <row r="53" spans="2:19">
      <c r="B53" s="70">
        <f>IFERROR(Calculations!$P$784,"")</f>
        <v>0</v>
      </c>
      <c r="C53" s="75">
        <f>IFERROR(Calculations!$Q$784,"")</f>
        <v>0</v>
      </c>
      <c r="D53" s="76">
        <f>IFERROR(Calculations!$R$784,"")</f>
        <v>0</v>
      </c>
      <c r="E53" s="75">
        <f>IFERROR(Calculations!$S$784,"")</f>
        <v>0</v>
      </c>
    </row>
    <row r="54" spans="2:19">
      <c r="B54" s="70">
        <f>IFERROR(Calculations!$P$785,"")</f>
        <v>0</v>
      </c>
      <c r="C54" s="75">
        <f>IFERROR(Calculations!$Q$785,"")</f>
        <v>0</v>
      </c>
      <c r="D54" s="76">
        <f>IFERROR(Calculations!$R$785,"")</f>
        <v>0</v>
      </c>
      <c r="E54" s="75">
        <f>IFERROR(Calculations!$S$785,"")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IF(Calculations!$U$776="","",Calculations!$U$776)</f>
        <v>0</v>
      </c>
      <c r="C62" s="75">
        <f>IFERROR(Calculations!$V$776,"")</f>
        <v>0</v>
      </c>
      <c r="D62" s="75">
        <f>IFERROR(Calculations!$W$776,"")</f>
        <v>0</v>
      </c>
      <c r="E62" s="75">
        <f>IFERROR(Calculations!$X$776,"")</f>
        <v>0</v>
      </c>
      <c r="F62" s="75">
        <f>IFERROR(Calculations!$Y$776,"")</f>
        <v>0</v>
      </c>
      <c r="G62" s="75">
        <f>IFERROR(Calculations!$Z$776,"")</f>
        <v>0</v>
      </c>
      <c r="H62" s="75">
        <f>IFERROR(Calculations!$AA$776,"")</f>
        <v>0</v>
      </c>
      <c r="I62" s="75">
        <f>IFERROR(Calculations!$AB$776,"")</f>
        <v>0</v>
      </c>
      <c r="J62" s="75">
        <f>IFERROR(Calculations!$AC$776,"")</f>
        <v>0</v>
      </c>
      <c r="K62" s="75">
        <f>IFERROR(Calculations!$AD$776,"")</f>
        <v>0</v>
      </c>
      <c r="L62" s="75">
        <f>IFERROR(Calculations!$AE$776,"")</f>
        <v>0</v>
      </c>
      <c r="M62" s="75">
        <f>IFERROR(Calculations!$AF$776,"")</f>
        <v>0</v>
      </c>
      <c r="N62" s="75">
        <f>IFERROR(Calculations!$AG$776,"")</f>
        <v>0</v>
      </c>
      <c r="O62" s="75">
        <f>IFERROR(Calculations!$AH$776,"")</f>
        <v>0</v>
      </c>
    </row>
    <row r="63" spans="2:19">
      <c r="B63" s="70">
        <f>IF(Calculations!$U$777="","",Calculations!$U$777)</f>
        <v>0</v>
      </c>
      <c r="C63" s="75">
        <f>IFERROR(Calculations!$V$777,"")</f>
        <v>0</v>
      </c>
      <c r="D63" s="75">
        <f>IFERROR(Calculations!$W$777,"")</f>
        <v>0</v>
      </c>
      <c r="E63" s="75">
        <f>IFERROR(Calculations!$X$777,"")</f>
        <v>0</v>
      </c>
      <c r="F63" s="75">
        <f>IFERROR(Calculations!$Y$777,"")</f>
        <v>0</v>
      </c>
      <c r="G63" s="75">
        <f>IFERROR(Calculations!$Z$777,"")</f>
        <v>0</v>
      </c>
      <c r="H63" s="75">
        <f>IFERROR(Calculations!$AA$777,"")</f>
        <v>0</v>
      </c>
      <c r="I63" s="75">
        <f>IFERROR(Calculations!$AB$777,"")</f>
        <v>0</v>
      </c>
      <c r="J63" s="75">
        <f>IFERROR(Calculations!$AC$777,"")</f>
        <v>0</v>
      </c>
      <c r="K63" s="75">
        <f>IFERROR(Calculations!$AD$777,"")</f>
        <v>0</v>
      </c>
      <c r="L63" s="75">
        <f>IFERROR(Calculations!$AE$777,"")</f>
        <v>0</v>
      </c>
      <c r="M63" s="75">
        <f>IFERROR(Calculations!$AF$777,"")</f>
        <v>0</v>
      </c>
      <c r="N63" s="75">
        <f>IFERROR(Calculations!$AG$777,"")</f>
        <v>0</v>
      </c>
      <c r="O63" s="75">
        <f>IFERROR(Calculations!$AH$777,"")</f>
        <v>0</v>
      </c>
    </row>
    <row r="64" spans="2:19">
      <c r="B64" s="70">
        <f>IF(Calculations!$U$778="","",Calculations!$U$778)</f>
        <v>0</v>
      </c>
      <c r="C64" s="75">
        <f>IFERROR(Calculations!$V$778,"")</f>
        <v>0</v>
      </c>
      <c r="D64" s="75">
        <f>IFERROR(Calculations!$W$778,"")</f>
        <v>0</v>
      </c>
      <c r="E64" s="75">
        <f>IFERROR(Calculations!$X$778,"")</f>
        <v>0</v>
      </c>
      <c r="F64" s="75">
        <f>IFERROR(Calculations!$Y$778,"")</f>
        <v>0</v>
      </c>
      <c r="G64" s="75">
        <f>IFERROR(Calculations!$Z$778,"")</f>
        <v>0</v>
      </c>
      <c r="H64" s="75">
        <f>IFERROR(Calculations!$AA$778,"")</f>
        <v>0</v>
      </c>
      <c r="I64" s="75">
        <f>IFERROR(Calculations!$AB$778,"")</f>
        <v>0</v>
      </c>
      <c r="J64" s="75">
        <f>IFERROR(Calculations!$AC$778,"")</f>
        <v>0</v>
      </c>
      <c r="K64" s="75">
        <f>IFERROR(Calculations!$AD$778,"")</f>
        <v>0</v>
      </c>
      <c r="L64" s="75">
        <f>IFERROR(Calculations!$AE$778,"")</f>
        <v>0</v>
      </c>
      <c r="M64" s="75">
        <f>IFERROR(Calculations!$AF$778,"")</f>
        <v>0</v>
      </c>
      <c r="N64" s="75">
        <f>IFERROR(Calculations!$AG$778,"")</f>
        <v>0</v>
      </c>
      <c r="O64" s="75">
        <f>IFERROR(Calculations!$AH$778,"")</f>
        <v>0</v>
      </c>
    </row>
    <row r="65" spans="2:15">
      <c r="B65" s="70">
        <f>IF(Calculations!$U$779="","",Calculations!$U$779)</f>
        <v>0</v>
      </c>
      <c r="C65" s="75">
        <f>IFERROR(Calculations!$V$779,"")</f>
        <v>0</v>
      </c>
      <c r="D65" s="75">
        <f>IFERROR(Calculations!$W$779,"")</f>
        <v>0</v>
      </c>
      <c r="E65" s="75">
        <f>IFERROR(Calculations!$X$779,"")</f>
        <v>0</v>
      </c>
      <c r="F65" s="75">
        <f>IFERROR(Calculations!$Y$779,"")</f>
        <v>0</v>
      </c>
      <c r="G65" s="75">
        <f>IFERROR(Calculations!$Z$779,"")</f>
        <v>0</v>
      </c>
      <c r="H65" s="75">
        <f>IFERROR(Calculations!$AA$779,"")</f>
        <v>0</v>
      </c>
      <c r="I65" s="75">
        <f>IFERROR(Calculations!$AB$779,"")</f>
        <v>0</v>
      </c>
      <c r="J65" s="75">
        <f>IFERROR(Calculations!$AC$779,"")</f>
        <v>0</v>
      </c>
      <c r="K65" s="75">
        <f>IFERROR(Calculations!$AD$779,"")</f>
        <v>0</v>
      </c>
      <c r="L65" s="75">
        <f>IFERROR(Calculations!$AE$779,"")</f>
        <v>0</v>
      </c>
      <c r="M65" s="75">
        <f>IFERROR(Calculations!$AF$779,"")</f>
        <v>0</v>
      </c>
      <c r="N65" s="75">
        <f>IFERROR(Calculations!$AG$779,"")</f>
        <v>0</v>
      </c>
      <c r="O65" s="75">
        <f>IFERROR(Calculations!$AH$779,"")</f>
        <v>0</v>
      </c>
    </row>
    <row r="66" spans="2:15">
      <c r="B66" s="70">
        <f>IF(Calculations!$U$780="","",Calculations!$U$780)</f>
        <v>0</v>
      </c>
      <c r="C66" s="75">
        <f>IFERROR(Calculations!$V$780,"")</f>
        <v>0</v>
      </c>
      <c r="D66" s="75">
        <f>IFERROR(Calculations!$W$780,"")</f>
        <v>0</v>
      </c>
      <c r="E66" s="75">
        <f>IFERROR(Calculations!$X$780,"")</f>
        <v>0</v>
      </c>
      <c r="F66" s="75">
        <f>IFERROR(Calculations!$Y$780,"")</f>
        <v>0</v>
      </c>
      <c r="G66" s="75">
        <f>IFERROR(Calculations!$Z$780,"")</f>
        <v>0</v>
      </c>
      <c r="H66" s="75">
        <f>IFERROR(Calculations!$AA$780,"")</f>
        <v>0</v>
      </c>
      <c r="I66" s="75">
        <f>IFERROR(Calculations!$AB$780,"")</f>
        <v>0</v>
      </c>
      <c r="J66" s="75">
        <f>IFERROR(Calculations!$AC$780,"")</f>
        <v>0</v>
      </c>
      <c r="K66" s="75">
        <f>IFERROR(Calculations!$AD$780,"")</f>
        <v>0</v>
      </c>
      <c r="L66" s="75">
        <f>IFERROR(Calculations!$AE$780,"")</f>
        <v>0</v>
      </c>
      <c r="M66" s="75">
        <f>IFERROR(Calculations!$AF$780,"")</f>
        <v>0</v>
      </c>
      <c r="N66" s="75">
        <f>IFERROR(Calculations!$AG$780,"")</f>
        <v>0</v>
      </c>
      <c r="O66" s="75">
        <f>IFERROR(Calculations!$AH$780,"")</f>
        <v>0</v>
      </c>
    </row>
    <row r="67" spans="2:15">
      <c r="B67" s="70">
        <f>IF(Calculations!$U$781="","",Calculations!$U$781)</f>
        <v>0</v>
      </c>
      <c r="C67" s="75">
        <f>IFERROR(Calculations!$V$781,"")</f>
        <v>0</v>
      </c>
      <c r="D67" s="75">
        <f>IFERROR(Calculations!$W$781,"")</f>
        <v>0</v>
      </c>
      <c r="E67" s="75">
        <f>IFERROR(Calculations!$X$781,"")</f>
        <v>0</v>
      </c>
      <c r="F67" s="75">
        <f>IFERROR(Calculations!$Y$781,"")</f>
        <v>0</v>
      </c>
      <c r="G67" s="75">
        <f>IFERROR(Calculations!$Z$781,"")</f>
        <v>0</v>
      </c>
      <c r="H67" s="75">
        <f>IFERROR(Calculations!$AA$781,"")</f>
        <v>0</v>
      </c>
      <c r="I67" s="75">
        <f>IFERROR(Calculations!$AB$781,"")</f>
        <v>0</v>
      </c>
      <c r="J67" s="75">
        <f>IFERROR(Calculations!$AC$781,"")</f>
        <v>0</v>
      </c>
      <c r="K67" s="75">
        <f>IFERROR(Calculations!$AD$781,"")</f>
        <v>0</v>
      </c>
      <c r="L67" s="75">
        <f>IFERROR(Calculations!$AE$781,"")</f>
        <v>0</v>
      </c>
      <c r="M67" s="75">
        <f>IFERROR(Calculations!$AF$781,"")</f>
        <v>0</v>
      </c>
      <c r="N67" s="75">
        <f>IFERROR(Calculations!$AG$781,"")</f>
        <v>0</v>
      </c>
      <c r="O67" s="75">
        <f>IFERROR(Calculations!$AH$781,"")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Internal Audits'!A1" display="◀ Register"/>
  </hyperlinks>
  <pageMargins left="0.3" right="0.3" top="0.4" bottom="0.4" header="0.3" footer="0.3"/>
  <pageSetup fitToHeight="0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9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2423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2424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2418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2369</v>
      </c>
      <c r="O13" s="39"/>
      <c r="P13" s="39"/>
      <c r="Q13" s="39"/>
    </row>
    <row r="14" spans="2:19">
      <c r="B14" s="41">
        <f>Calculations!$N$802</f>
        <v>0</v>
      </c>
      <c r="C14" s="41"/>
      <c r="D14" s="41"/>
      <c r="E14" s="41"/>
      <c r="F14" s="41">
        <f>Calculations!$N$803</f>
        <v>0</v>
      </c>
      <c r="G14" s="41"/>
      <c r="H14" s="41"/>
      <c r="I14" s="41"/>
      <c r="J14" s="41">
        <f>Calculations!$N$804</f>
        <v>0</v>
      </c>
      <c r="K14" s="41"/>
      <c r="L14" s="41"/>
      <c r="M14" s="41"/>
      <c r="N14" s="41">
        <f>Calculations!$N$805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2419</v>
      </c>
      <c r="C19" s="39"/>
      <c r="D19" s="39"/>
      <c r="E19" s="39"/>
      <c r="F19" s="39" t="s">
        <v>2420</v>
      </c>
      <c r="G19" s="39"/>
      <c r="H19" s="39"/>
      <c r="I19" s="39"/>
      <c r="J19" s="39" t="s">
        <v>2421</v>
      </c>
      <c r="K19" s="39"/>
      <c r="L19" s="39"/>
      <c r="M19" s="39"/>
      <c r="N19" s="39" t="s">
        <v>2422</v>
      </c>
      <c r="O19" s="39"/>
      <c r="P19" s="39"/>
      <c r="Q19" s="39"/>
    </row>
    <row r="20" spans="2:19">
      <c r="B20" s="41">
        <f>Calculations!$N$806</f>
        <v>0</v>
      </c>
      <c r="C20" s="41"/>
      <c r="D20" s="41"/>
      <c r="E20" s="41"/>
      <c r="F20" s="41">
        <f>Calculations!$N$807</f>
        <v>0</v>
      </c>
      <c r="G20" s="41"/>
      <c r="H20" s="41"/>
      <c r="I20" s="41"/>
      <c r="J20" s="41">
        <f>Calculations!$N$808</f>
        <v>0</v>
      </c>
      <c r="K20" s="41"/>
      <c r="L20" s="41"/>
      <c r="M20" s="41"/>
      <c r="N20" s="41">
        <f>Calculations!$N$809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"&amp;INDEX(Calculations!$C$802:$C$813,CurMonthNo)&amp;"   vs   "&amp;INDEX(L_Month,CurMonthNo-1)&amp;": "&amp;INDEX(Calculations!$C$802:$C$813,CurMonthNo-1)&amp;"   "&amp;IF(INDEX(Calculations!$C$802:$C$813,CurMonthNo)&gt;=INDEX(Calculations!$C$802:$C$813,CurMonthNo-1),"▲ ","▼ ")&amp;TEXT(IFERROR((INDEX(Calculations!$C$802:$C$813,CurMonthNo)-INDEX(Calculations!$C$802:$C$813,CurMonthNo-1))/INDEX(Calculations!$C$802:$C$813,CurMonthNo-1),0),"+0.0%;-0.0%")))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IFERROR(Calculations!$P$802,"")</f>
        <v>0</v>
      </c>
      <c r="C45" s="75">
        <f>IFERROR(Calculations!$Q$802,"")</f>
        <v>0</v>
      </c>
      <c r="D45" s="76">
        <f>IFERROR(Calculations!$R$802,"")</f>
        <v>0</v>
      </c>
      <c r="E45" s="75">
        <f>IFERROR(Calculations!$S$802,"")</f>
        <v>0</v>
      </c>
    </row>
    <row r="46" spans="2:19">
      <c r="B46" s="70">
        <f>IFERROR(Calculations!$P$803,"")</f>
        <v>0</v>
      </c>
      <c r="C46" s="75">
        <f>IFERROR(Calculations!$Q$803,"")</f>
        <v>0</v>
      </c>
      <c r="D46" s="76">
        <f>IFERROR(Calculations!$R$803,"")</f>
        <v>0</v>
      </c>
      <c r="E46" s="75">
        <f>IFERROR(Calculations!$S$803,"")</f>
        <v>0</v>
      </c>
    </row>
    <row r="47" spans="2:19">
      <c r="B47" s="70">
        <f>IFERROR(Calculations!$P$804,"")</f>
        <v>0</v>
      </c>
      <c r="C47" s="75">
        <f>IFERROR(Calculations!$Q$804,"")</f>
        <v>0</v>
      </c>
      <c r="D47" s="76">
        <f>IFERROR(Calculations!$R$804,"")</f>
        <v>0</v>
      </c>
      <c r="E47" s="75">
        <f>IFERROR(Calculations!$S$804,"")</f>
        <v>0</v>
      </c>
    </row>
    <row r="48" spans="2:19">
      <c r="B48" s="70">
        <f>IFERROR(Calculations!$P$805,"")</f>
        <v>0</v>
      </c>
      <c r="C48" s="75">
        <f>IFERROR(Calculations!$Q$805,"")</f>
        <v>0</v>
      </c>
      <c r="D48" s="76">
        <f>IFERROR(Calculations!$R$805,"")</f>
        <v>0</v>
      </c>
      <c r="E48" s="75">
        <f>IFERROR(Calculations!$S$805,"")</f>
        <v>0</v>
      </c>
    </row>
    <row r="49" spans="2:19">
      <c r="B49" s="70">
        <f>IFERROR(Calculations!$P$806,"")</f>
        <v>0</v>
      </c>
      <c r="C49" s="75">
        <f>IFERROR(Calculations!$Q$806,"")</f>
        <v>0</v>
      </c>
      <c r="D49" s="76">
        <f>IFERROR(Calculations!$R$806,"")</f>
        <v>0</v>
      </c>
      <c r="E49" s="75">
        <f>IFERROR(Calculations!$S$806,"")</f>
        <v>0</v>
      </c>
    </row>
    <row r="50" spans="2:19">
      <c r="B50" s="70">
        <f>IFERROR(Calculations!$P$807,"")</f>
        <v>0</v>
      </c>
      <c r="C50" s="75">
        <f>IFERROR(Calculations!$Q$807,"")</f>
        <v>0</v>
      </c>
      <c r="D50" s="76">
        <f>IFERROR(Calculations!$R$807,"")</f>
        <v>0</v>
      </c>
      <c r="E50" s="75">
        <f>IFERROR(Calculations!$S$807,"")</f>
        <v>0</v>
      </c>
    </row>
    <row r="51" spans="2:19">
      <c r="B51" s="70">
        <f>IFERROR(Calculations!$P$808,"")</f>
        <v>0</v>
      </c>
      <c r="C51" s="75">
        <f>IFERROR(Calculations!$Q$808,"")</f>
        <v>0</v>
      </c>
      <c r="D51" s="76">
        <f>IFERROR(Calculations!$R$808,"")</f>
        <v>0</v>
      </c>
      <c r="E51" s="75">
        <f>IFERROR(Calculations!$S$808,"")</f>
        <v>0</v>
      </c>
    </row>
    <row r="52" spans="2:19">
      <c r="B52" s="70">
        <f>IFERROR(Calculations!$P$809,"")</f>
        <v>0</v>
      </c>
      <c r="C52" s="75">
        <f>IFERROR(Calculations!$Q$809,"")</f>
        <v>0</v>
      </c>
      <c r="D52" s="76">
        <f>IFERROR(Calculations!$R$809,"")</f>
        <v>0</v>
      </c>
      <c r="E52" s="75">
        <f>IFERROR(Calculations!$S$809,"")</f>
        <v>0</v>
      </c>
    </row>
    <row r="53" spans="2:19">
      <c r="B53" s="70">
        <f>IFERROR(Calculations!$P$810,"")</f>
        <v>0</v>
      </c>
      <c r="C53" s="75">
        <f>IFERROR(Calculations!$Q$810,"")</f>
        <v>0</v>
      </c>
      <c r="D53" s="76">
        <f>IFERROR(Calculations!$R$810,"")</f>
        <v>0</v>
      </c>
      <c r="E53" s="75">
        <f>IFERROR(Calculations!$S$810,"")</f>
        <v>0</v>
      </c>
    </row>
    <row r="54" spans="2:19">
      <c r="B54" s="70">
        <f>IFERROR(Calculations!$P$811,"")</f>
        <v>0</v>
      </c>
      <c r="C54" s="75">
        <f>IFERROR(Calculations!$Q$811,"")</f>
        <v>0</v>
      </c>
      <c r="D54" s="76">
        <f>IFERROR(Calculations!$R$811,"")</f>
        <v>0</v>
      </c>
      <c r="E54" s="75">
        <f>IFERROR(Calculations!$S$811,"")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IF(Calculations!$U$802="","",Calculations!$U$802)</f>
        <v>0</v>
      </c>
      <c r="C62" s="75">
        <f>IFERROR(Calculations!$V$802,"")</f>
        <v>0</v>
      </c>
      <c r="D62" s="75">
        <f>IFERROR(Calculations!$W$802,"")</f>
        <v>0</v>
      </c>
      <c r="E62" s="75">
        <f>IFERROR(Calculations!$X$802,"")</f>
        <v>0</v>
      </c>
      <c r="F62" s="75">
        <f>IFERROR(Calculations!$Y$802,"")</f>
        <v>0</v>
      </c>
      <c r="G62" s="75">
        <f>IFERROR(Calculations!$Z$802,"")</f>
        <v>0</v>
      </c>
      <c r="H62" s="75">
        <f>IFERROR(Calculations!$AA$802,"")</f>
        <v>0</v>
      </c>
      <c r="I62" s="75">
        <f>IFERROR(Calculations!$AB$802,"")</f>
        <v>0</v>
      </c>
      <c r="J62" s="75">
        <f>IFERROR(Calculations!$AC$802,"")</f>
        <v>0</v>
      </c>
      <c r="K62" s="75">
        <f>IFERROR(Calculations!$AD$802,"")</f>
        <v>0</v>
      </c>
      <c r="L62" s="75">
        <f>IFERROR(Calculations!$AE$802,"")</f>
        <v>0</v>
      </c>
      <c r="M62" s="75">
        <f>IFERROR(Calculations!$AF$802,"")</f>
        <v>0</v>
      </c>
      <c r="N62" s="75">
        <f>IFERROR(Calculations!$AG$802,"")</f>
        <v>0</v>
      </c>
      <c r="O62" s="75">
        <f>IFERROR(Calculations!$AH$802,"")</f>
        <v>0</v>
      </c>
    </row>
    <row r="63" spans="2:19">
      <c r="B63" s="70">
        <f>IF(Calculations!$U$803="","",Calculations!$U$803)</f>
        <v>0</v>
      </c>
      <c r="C63" s="75">
        <f>IFERROR(Calculations!$V$803,"")</f>
        <v>0</v>
      </c>
      <c r="D63" s="75">
        <f>IFERROR(Calculations!$W$803,"")</f>
        <v>0</v>
      </c>
      <c r="E63" s="75">
        <f>IFERROR(Calculations!$X$803,"")</f>
        <v>0</v>
      </c>
      <c r="F63" s="75">
        <f>IFERROR(Calculations!$Y$803,"")</f>
        <v>0</v>
      </c>
      <c r="G63" s="75">
        <f>IFERROR(Calculations!$Z$803,"")</f>
        <v>0</v>
      </c>
      <c r="H63" s="75">
        <f>IFERROR(Calculations!$AA$803,"")</f>
        <v>0</v>
      </c>
      <c r="I63" s="75">
        <f>IFERROR(Calculations!$AB$803,"")</f>
        <v>0</v>
      </c>
      <c r="J63" s="75">
        <f>IFERROR(Calculations!$AC$803,"")</f>
        <v>0</v>
      </c>
      <c r="K63" s="75">
        <f>IFERROR(Calculations!$AD$803,"")</f>
        <v>0</v>
      </c>
      <c r="L63" s="75">
        <f>IFERROR(Calculations!$AE$803,"")</f>
        <v>0</v>
      </c>
      <c r="M63" s="75">
        <f>IFERROR(Calculations!$AF$803,"")</f>
        <v>0</v>
      </c>
      <c r="N63" s="75">
        <f>IFERROR(Calculations!$AG$803,"")</f>
        <v>0</v>
      </c>
      <c r="O63" s="75">
        <f>IFERROR(Calculations!$AH$803,"")</f>
        <v>0</v>
      </c>
    </row>
    <row r="64" spans="2:19">
      <c r="B64" s="70">
        <f>IF(Calculations!$U$804="","",Calculations!$U$804)</f>
        <v>0</v>
      </c>
      <c r="C64" s="75">
        <f>IFERROR(Calculations!$V$804,"")</f>
        <v>0</v>
      </c>
      <c r="D64" s="75">
        <f>IFERROR(Calculations!$W$804,"")</f>
        <v>0</v>
      </c>
      <c r="E64" s="75">
        <f>IFERROR(Calculations!$X$804,"")</f>
        <v>0</v>
      </c>
      <c r="F64" s="75">
        <f>IFERROR(Calculations!$Y$804,"")</f>
        <v>0</v>
      </c>
      <c r="G64" s="75">
        <f>IFERROR(Calculations!$Z$804,"")</f>
        <v>0</v>
      </c>
      <c r="H64" s="75">
        <f>IFERROR(Calculations!$AA$804,"")</f>
        <v>0</v>
      </c>
      <c r="I64" s="75">
        <f>IFERROR(Calculations!$AB$804,"")</f>
        <v>0</v>
      </c>
      <c r="J64" s="75">
        <f>IFERROR(Calculations!$AC$804,"")</f>
        <v>0</v>
      </c>
      <c r="K64" s="75">
        <f>IFERROR(Calculations!$AD$804,"")</f>
        <v>0</v>
      </c>
      <c r="L64" s="75">
        <f>IFERROR(Calculations!$AE$804,"")</f>
        <v>0</v>
      </c>
      <c r="M64" s="75">
        <f>IFERROR(Calculations!$AF$804,"")</f>
        <v>0</v>
      </c>
      <c r="N64" s="75">
        <f>IFERROR(Calculations!$AG$804,"")</f>
        <v>0</v>
      </c>
      <c r="O64" s="75">
        <f>IFERROR(Calculations!$AH$804,"")</f>
        <v>0</v>
      </c>
    </row>
    <row r="65" spans="2:15">
      <c r="B65" s="70">
        <f>IF(Calculations!$U$805="","",Calculations!$U$805)</f>
        <v>0</v>
      </c>
      <c r="C65" s="75">
        <f>IFERROR(Calculations!$V$805,"")</f>
        <v>0</v>
      </c>
      <c r="D65" s="75">
        <f>IFERROR(Calculations!$W$805,"")</f>
        <v>0</v>
      </c>
      <c r="E65" s="75">
        <f>IFERROR(Calculations!$X$805,"")</f>
        <v>0</v>
      </c>
      <c r="F65" s="75">
        <f>IFERROR(Calculations!$Y$805,"")</f>
        <v>0</v>
      </c>
      <c r="G65" s="75">
        <f>IFERROR(Calculations!$Z$805,"")</f>
        <v>0</v>
      </c>
      <c r="H65" s="75">
        <f>IFERROR(Calculations!$AA$805,"")</f>
        <v>0</v>
      </c>
      <c r="I65" s="75">
        <f>IFERROR(Calculations!$AB$805,"")</f>
        <v>0</v>
      </c>
      <c r="J65" s="75">
        <f>IFERROR(Calculations!$AC$805,"")</f>
        <v>0</v>
      </c>
      <c r="K65" s="75">
        <f>IFERROR(Calculations!$AD$805,"")</f>
        <v>0</v>
      </c>
      <c r="L65" s="75">
        <f>IFERROR(Calculations!$AE$805,"")</f>
        <v>0</v>
      </c>
      <c r="M65" s="75">
        <f>IFERROR(Calculations!$AF$805,"")</f>
        <v>0</v>
      </c>
      <c r="N65" s="75">
        <f>IFERROR(Calculations!$AG$805,"")</f>
        <v>0</v>
      </c>
      <c r="O65" s="75">
        <f>IFERROR(Calculations!$AH$805,"")</f>
        <v>0</v>
      </c>
    </row>
    <row r="66" spans="2:15">
      <c r="B66" s="70">
        <f>IF(Calculations!$U$806="","",Calculations!$U$806)</f>
        <v>0</v>
      </c>
      <c r="C66" s="75">
        <f>IFERROR(Calculations!$V$806,"")</f>
        <v>0</v>
      </c>
      <c r="D66" s="75">
        <f>IFERROR(Calculations!$W$806,"")</f>
        <v>0</v>
      </c>
      <c r="E66" s="75">
        <f>IFERROR(Calculations!$X$806,"")</f>
        <v>0</v>
      </c>
      <c r="F66" s="75">
        <f>IFERROR(Calculations!$Y$806,"")</f>
        <v>0</v>
      </c>
      <c r="G66" s="75">
        <f>IFERROR(Calculations!$Z$806,"")</f>
        <v>0</v>
      </c>
      <c r="H66" s="75">
        <f>IFERROR(Calculations!$AA$806,"")</f>
        <v>0</v>
      </c>
      <c r="I66" s="75">
        <f>IFERROR(Calculations!$AB$806,"")</f>
        <v>0</v>
      </c>
      <c r="J66" s="75">
        <f>IFERROR(Calculations!$AC$806,"")</f>
        <v>0</v>
      </c>
      <c r="K66" s="75">
        <f>IFERROR(Calculations!$AD$806,"")</f>
        <v>0</v>
      </c>
      <c r="L66" s="75">
        <f>IFERROR(Calculations!$AE$806,"")</f>
        <v>0</v>
      </c>
      <c r="M66" s="75">
        <f>IFERROR(Calculations!$AF$806,"")</f>
        <v>0</v>
      </c>
      <c r="N66" s="75">
        <f>IFERROR(Calculations!$AG$806,"")</f>
        <v>0</v>
      </c>
      <c r="O66" s="75">
        <f>IFERROR(Calculations!$AH$806,"")</f>
        <v>0</v>
      </c>
    </row>
    <row r="67" spans="2:15">
      <c r="B67" s="70">
        <f>IF(Calculations!$U$807="","",Calculations!$U$807)</f>
        <v>0</v>
      </c>
      <c r="C67" s="75">
        <f>IFERROR(Calculations!$V$807,"")</f>
        <v>0</v>
      </c>
      <c r="D67" s="75">
        <f>IFERROR(Calculations!$W$807,"")</f>
        <v>0</v>
      </c>
      <c r="E67" s="75">
        <f>IFERROR(Calculations!$X$807,"")</f>
        <v>0</v>
      </c>
      <c r="F67" s="75">
        <f>IFERROR(Calculations!$Y$807,"")</f>
        <v>0</v>
      </c>
      <c r="G67" s="75">
        <f>IFERROR(Calculations!$Z$807,"")</f>
        <v>0</v>
      </c>
      <c r="H67" s="75">
        <f>IFERROR(Calculations!$AA$807,"")</f>
        <v>0</v>
      </c>
      <c r="I67" s="75">
        <f>IFERROR(Calculations!$AB$807,"")</f>
        <v>0</v>
      </c>
      <c r="J67" s="75">
        <f>IFERROR(Calculations!$AC$807,"")</f>
        <v>0</v>
      </c>
      <c r="K67" s="75">
        <f>IFERROR(Calculations!$AD$807,"")</f>
        <v>0</v>
      </c>
      <c r="L67" s="75">
        <f>IFERROR(Calculations!$AE$807,"")</f>
        <v>0</v>
      </c>
      <c r="M67" s="75">
        <f>IFERROR(Calculations!$AF$807,"")</f>
        <v>0</v>
      </c>
      <c r="N67" s="75">
        <f>IFERROR(Calculations!$AG$807,"")</f>
        <v>0</v>
      </c>
      <c r="O67" s="75">
        <f>IFERROR(Calculations!$AH$807,"")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External Audits'!A1" display="◀ Register"/>
  </hyperlinks>
  <pageMargins left="0.3" right="0.3" top="0.4" bottom="0.4" header="0.3" footer="0.3"/>
  <pageSetup fitToHeight="0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50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2425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2426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2427</v>
      </c>
      <c r="C13" s="39"/>
      <c r="D13" s="39"/>
      <c r="E13" s="39"/>
      <c r="F13" s="39" t="s">
        <v>2367</v>
      </c>
      <c r="G13" s="39"/>
      <c r="H13" s="39"/>
      <c r="I13" s="39"/>
      <c r="J13" s="39" t="s">
        <v>2428</v>
      </c>
      <c r="K13" s="39"/>
      <c r="L13" s="39"/>
      <c r="M13" s="39"/>
      <c r="N13" s="39" t="s">
        <v>2422</v>
      </c>
      <c r="O13" s="39"/>
      <c r="P13" s="39"/>
      <c r="Q13" s="39"/>
    </row>
    <row r="14" spans="2:19">
      <c r="B14" s="41">
        <f>Calculations!$N$828</f>
        <v>0</v>
      </c>
      <c r="C14" s="41"/>
      <c r="D14" s="41"/>
      <c r="E14" s="41"/>
      <c r="F14" s="41">
        <f>Calculations!$N$829</f>
        <v>0</v>
      </c>
      <c r="G14" s="41"/>
      <c r="H14" s="41"/>
      <c r="I14" s="41"/>
      <c r="J14" s="41">
        <f>Calculations!$N$830</f>
        <v>0</v>
      </c>
      <c r="K14" s="41"/>
      <c r="L14" s="41"/>
      <c r="M14" s="41"/>
      <c r="N14" s="41">
        <f>Calculations!$N$831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2394</v>
      </c>
      <c r="C19" s="39"/>
      <c r="D19" s="39"/>
      <c r="E19" s="39"/>
      <c r="F19" s="39" t="s">
        <v>2395</v>
      </c>
      <c r="G19" s="39"/>
      <c r="H19" s="39"/>
      <c r="I19" s="39"/>
      <c r="J19" s="39" t="s">
        <v>2396</v>
      </c>
      <c r="K19" s="39"/>
      <c r="L19" s="39"/>
      <c r="M19" s="39"/>
      <c r="N19" s="39" t="s">
        <v>2346</v>
      </c>
      <c r="O19" s="39"/>
      <c r="P19" s="39"/>
      <c r="Q19" s="39"/>
    </row>
    <row r="20" spans="2:19">
      <c r="B20" s="41">
        <f>Calculations!$N$832</f>
        <v>0</v>
      </c>
      <c r="C20" s="41"/>
      <c r="D20" s="41"/>
      <c r="E20" s="41"/>
      <c r="F20" s="41">
        <f>Calculations!$N$833</f>
        <v>0</v>
      </c>
      <c r="G20" s="41"/>
      <c r="H20" s="41"/>
      <c r="I20" s="41"/>
      <c r="J20" s="42">
        <f>Calculations!$N$834</f>
        <v>0</v>
      </c>
      <c r="K20" s="42"/>
      <c r="L20" s="42"/>
      <c r="M20" s="42"/>
      <c r="N20" s="41">
        <f>Calculations!$N$835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"&amp;INDEX(Calculations!$C$828:$C$839,CurMonthNo)&amp;"   vs   "&amp;INDEX(L_Month,CurMonthNo-1)&amp;": "&amp;INDEX(Calculations!$C$828:$C$839,CurMonthNo-1)&amp;"   "&amp;IF(INDEX(Calculations!$C$828:$C$839,CurMonthNo)&gt;=INDEX(Calculations!$C$828:$C$839,CurMonthNo-1),"▲ ","▼ ")&amp;TEXT(IFERROR((INDEX(Calculations!$C$828:$C$839,CurMonthNo)-INDEX(Calculations!$C$828:$C$839,CurMonthNo-1))/INDEX(Calculations!$C$828:$C$839,CurMonthNo-1),0),"+0.0%;-0.0%")))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2107</v>
      </c>
    </row>
    <row r="45" spans="2:19">
      <c r="B45" s="70">
        <f>IFERROR(Calculations!$P$828,"")</f>
        <v>0</v>
      </c>
      <c r="C45" s="75">
        <f>IFERROR(Calculations!$Q$828,"")</f>
        <v>0</v>
      </c>
      <c r="D45" s="76">
        <f>IFERROR(Calculations!$R$828,"")</f>
        <v>0</v>
      </c>
      <c r="E45" s="76">
        <f>IFERROR(Calculations!$S$828,"")</f>
        <v>0</v>
      </c>
    </row>
    <row r="46" spans="2:19">
      <c r="B46" s="70">
        <f>IFERROR(Calculations!$P$829,"")</f>
        <v>0</v>
      </c>
      <c r="C46" s="75">
        <f>IFERROR(Calculations!$Q$829,"")</f>
        <v>0</v>
      </c>
      <c r="D46" s="76">
        <f>IFERROR(Calculations!$R$829,"")</f>
        <v>0</v>
      </c>
      <c r="E46" s="76">
        <f>IFERROR(Calculations!$S$829,"")</f>
        <v>0</v>
      </c>
    </row>
    <row r="47" spans="2:19">
      <c r="B47" s="70">
        <f>IFERROR(Calculations!$P$830,"")</f>
        <v>0</v>
      </c>
      <c r="C47" s="75">
        <f>IFERROR(Calculations!$Q$830,"")</f>
        <v>0</v>
      </c>
      <c r="D47" s="76">
        <f>IFERROR(Calculations!$R$830,"")</f>
        <v>0</v>
      </c>
      <c r="E47" s="76">
        <f>IFERROR(Calculations!$S$830,"")</f>
        <v>0</v>
      </c>
    </row>
    <row r="48" spans="2:19">
      <c r="B48" s="70">
        <f>IFERROR(Calculations!$P$831,"")</f>
        <v>0</v>
      </c>
      <c r="C48" s="75">
        <f>IFERROR(Calculations!$Q$831,"")</f>
        <v>0</v>
      </c>
      <c r="D48" s="76">
        <f>IFERROR(Calculations!$R$831,"")</f>
        <v>0</v>
      </c>
      <c r="E48" s="76">
        <f>IFERROR(Calculations!$S$831,"")</f>
        <v>0</v>
      </c>
    </row>
    <row r="49" spans="2:19">
      <c r="B49" s="70">
        <f>IFERROR(Calculations!$P$832,"")</f>
        <v>0</v>
      </c>
      <c r="C49" s="75">
        <f>IFERROR(Calculations!$Q$832,"")</f>
        <v>0</v>
      </c>
      <c r="D49" s="76">
        <f>IFERROR(Calculations!$R$832,"")</f>
        <v>0</v>
      </c>
      <c r="E49" s="76">
        <f>IFERROR(Calculations!$S$832,"")</f>
        <v>0</v>
      </c>
    </row>
    <row r="50" spans="2:19">
      <c r="B50" s="70">
        <f>IFERROR(Calculations!$P$833,"")</f>
        <v>0</v>
      </c>
      <c r="C50" s="75">
        <f>IFERROR(Calculations!$Q$833,"")</f>
        <v>0</v>
      </c>
      <c r="D50" s="76">
        <f>IFERROR(Calculations!$R$833,"")</f>
        <v>0</v>
      </c>
      <c r="E50" s="76">
        <f>IFERROR(Calculations!$S$833,"")</f>
        <v>0</v>
      </c>
    </row>
    <row r="51" spans="2:19">
      <c r="B51" s="70">
        <f>IFERROR(Calculations!$P$834,"")</f>
        <v>0</v>
      </c>
      <c r="C51" s="75">
        <f>IFERROR(Calculations!$Q$834,"")</f>
        <v>0</v>
      </c>
      <c r="D51" s="76">
        <f>IFERROR(Calculations!$R$834,"")</f>
        <v>0</v>
      </c>
      <c r="E51" s="76">
        <f>IFERROR(Calculations!$S$834,"")</f>
        <v>0</v>
      </c>
    </row>
    <row r="52" spans="2:19">
      <c r="B52" s="70">
        <f>IFERROR(Calculations!$P$835,"")</f>
        <v>0</v>
      </c>
      <c r="C52" s="75">
        <f>IFERROR(Calculations!$Q$835,"")</f>
        <v>0</v>
      </c>
      <c r="D52" s="76">
        <f>IFERROR(Calculations!$R$835,"")</f>
        <v>0</v>
      </c>
      <c r="E52" s="76">
        <f>IFERROR(Calculations!$S$835,"")</f>
        <v>0</v>
      </c>
    </row>
    <row r="53" spans="2:19">
      <c r="B53" s="70">
        <f>IFERROR(Calculations!$P$836,"")</f>
        <v>0</v>
      </c>
      <c r="C53" s="75">
        <f>IFERROR(Calculations!$Q$836,"")</f>
        <v>0</v>
      </c>
      <c r="D53" s="76">
        <f>IFERROR(Calculations!$R$836,"")</f>
        <v>0</v>
      </c>
      <c r="E53" s="76">
        <f>IFERROR(Calculations!$S$836,"")</f>
        <v>0</v>
      </c>
    </row>
    <row r="54" spans="2:19">
      <c r="B54" s="70">
        <f>IFERROR(Calculations!$P$837,"")</f>
        <v>0</v>
      </c>
      <c r="C54" s="75">
        <f>IFERROR(Calculations!$Q$837,"")</f>
        <v>0</v>
      </c>
      <c r="D54" s="76">
        <f>IFERROR(Calculations!$R$837,"")</f>
        <v>0</v>
      </c>
      <c r="E54" s="76">
        <f>IFERROR(Calculations!$S$837,"")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IF(Calculations!$U$828="","",Calculations!$U$828)</f>
        <v>0</v>
      </c>
      <c r="C62" s="75">
        <f>IFERROR(Calculations!$V$828,"")</f>
        <v>0</v>
      </c>
      <c r="D62" s="75">
        <f>IFERROR(Calculations!$W$828,"")</f>
        <v>0</v>
      </c>
      <c r="E62" s="75">
        <f>IFERROR(Calculations!$X$828,"")</f>
        <v>0</v>
      </c>
      <c r="F62" s="75">
        <f>IFERROR(Calculations!$Y$828,"")</f>
        <v>0</v>
      </c>
      <c r="G62" s="75">
        <f>IFERROR(Calculations!$Z$828,"")</f>
        <v>0</v>
      </c>
      <c r="H62" s="75">
        <f>IFERROR(Calculations!$AA$828,"")</f>
        <v>0</v>
      </c>
      <c r="I62" s="75">
        <f>IFERROR(Calculations!$AB$828,"")</f>
        <v>0</v>
      </c>
      <c r="J62" s="75">
        <f>IFERROR(Calculations!$AC$828,"")</f>
        <v>0</v>
      </c>
      <c r="K62" s="75">
        <f>IFERROR(Calculations!$AD$828,"")</f>
        <v>0</v>
      </c>
      <c r="L62" s="75">
        <f>IFERROR(Calculations!$AE$828,"")</f>
        <v>0</v>
      </c>
      <c r="M62" s="75">
        <f>IFERROR(Calculations!$AF$828,"")</f>
        <v>0</v>
      </c>
      <c r="N62" s="75">
        <f>IFERROR(Calculations!$AG$828,"")</f>
        <v>0</v>
      </c>
      <c r="O62" s="75">
        <f>IFERROR(Calculations!$AH$828,"")</f>
        <v>0</v>
      </c>
    </row>
    <row r="63" spans="2:19">
      <c r="B63" s="70">
        <f>IF(Calculations!$U$829="","",Calculations!$U$829)</f>
        <v>0</v>
      </c>
      <c r="C63" s="75">
        <f>IFERROR(Calculations!$V$829,"")</f>
        <v>0</v>
      </c>
      <c r="D63" s="75">
        <f>IFERROR(Calculations!$W$829,"")</f>
        <v>0</v>
      </c>
      <c r="E63" s="75">
        <f>IFERROR(Calculations!$X$829,"")</f>
        <v>0</v>
      </c>
      <c r="F63" s="75">
        <f>IFERROR(Calculations!$Y$829,"")</f>
        <v>0</v>
      </c>
      <c r="G63" s="75">
        <f>IFERROR(Calculations!$Z$829,"")</f>
        <v>0</v>
      </c>
      <c r="H63" s="75">
        <f>IFERROR(Calculations!$AA$829,"")</f>
        <v>0</v>
      </c>
      <c r="I63" s="75">
        <f>IFERROR(Calculations!$AB$829,"")</f>
        <v>0</v>
      </c>
      <c r="J63" s="75">
        <f>IFERROR(Calculations!$AC$829,"")</f>
        <v>0</v>
      </c>
      <c r="K63" s="75">
        <f>IFERROR(Calculations!$AD$829,"")</f>
        <v>0</v>
      </c>
      <c r="L63" s="75">
        <f>IFERROR(Calculations!$AE$829,"")</f>
        <v>0</v>
      </c>
      <c r="M63" s="75">
        <f>IFERROR(Calculations!$AF$829,"")</f>
        <v>0</v>
      </c>
      <c r="N63" s="75">
        <f>IFERROR(Calculations!$AG$829,"")</f>
        <v>0</v>
      </c>
      <c r="O63" s="75">
        <f>IFERROR(Calculations!$AH$829,"")</f>
        <v>0</v>
      </c>
    </row>
    <row r="64" spans="2:19">
      <c r="B64" s="70">
        <f>IF(Calculations!$U$830="","",Calculations!$U$830)</f>
        <v>0</v>
      </c>
      <c r="C64" s="75">
        <f>IFERROR(Calculations!$V$830,"")</f>
        <v>0</v>
      </c>
      <c r="D64" s="75">
        <f>IFERROR(Calculations!$W$830,"")</f>
        <v>0</v>
      </c>
      <c r="E64" s="75">
        <f>IFERROR(Calculations!$X$830,"")</f>
        <v>0</v>
      </c>
      <c r="F64" s="75">
        <f>IFERROR(Calculations!$Y$830,"")</f>
        <v>0</v>
      </c>
      <c r="G64" s="75">
        <f>IFERROR(Calculations!$Z$830,"")</f>
        <v>0</v>
      </c>
      <c r="H64" s="75">
        <f>IFERROR(Calculations!$AA$830,"")</f>
        <v>0</v>
      </c>
      <c r="I64" s="75">
        <f>IFERROR(Calculations!$AB$830,"")</f>
        <v>0</v>
      </c>
      <c r="J64" s="75">
        <f>IFERROR(Calculations!$AC$830,"")</f>
        <v>0</v>
      </c>
      <c r="K64" s="75">
        <f>IFERROR(Calculations!$AD$830,"")</f>
        <v>0</v>
      </c>
      <c r="L64" s="75">
        <f>IFERROR(Calculations!$AE$830,"")</f>
        <v>0</v>
      </c>
      <c r="M64" s="75">
        <f>IFERROR(Calculations!$AF$830,"")</f>
        <v>0</v>
      </c>
      <c r="N64" s="75">
        <f>IFERROR(Calculations!$AG$830,"")</f>
        <v>0</v>
      </c>
      <c r="O64" s="75">
        <f>IFERROR(Calculations!$AH$830,"")</f>
        <v>0</v>
      </c>
    </row>
    <row r="65" spans="2:15">
      <c r="B65" s="70">
        <f>IF(Calculations!$U$831="","",Calculations!$U$831)</f>
        <v>0</v>
      </c>
      <c r="C65" s="75">
        <f>IFERROR(Calculations!$V$831,"")</f>
        <v>0</v>
      </c>
      <c r="D65" s="75">
        <f>IFERROR(Calculations!$W$831,"")</f>
        <v>0</v>
      </c>
      <c r="E65" s="75">
        <f>IFERROR(Calculations!$X$831,"")</f>
        <v>0</v>
      </c>
      <c r="F65" s="75">
        <f>IFERROR(Calculations!$Y$831,"")</f>
        <v>0</v>
      </c>
      <c r="G65" s="75">
        <f>IFERROR(Calculations!$Z$831,"")</f>
        <v>0</v>
      </c>
      <c r="H65" s="75">
        <f>IFERROR(Calculations!$AA$831,"")</f>
        <v>0</v>
      </c>
      <c r="I65" s="75">
        <f>IFERROR(Calculations!$AB$831,"")</f>
        <v>0</v>
      </c>
      <c r="J65" s="75">
        <f>IFERROR(Calculations!$AC$831,"")</f>
        <v>0</v>
      </c>
      <c r="K65" s="75">
        <f>IFERROR(Calculations!$AD$831,"")</f>
        <v>0</v>
      </c>
      <c r="L65" s="75">
        <f>IFERROR(Calculations!$AE$831,"")</f>
        <v>0</v>
      </c>
      <c r="M65" s="75">
        <f>IFERROR(Calculations!$AF$831,"")</f>
        <v>0</v>
      </c>
      <c r="N65" s="75">
        <f>IFERROR(Calculations!$AG$831,"")</f>
        <v>0</v>
      </c>
      <c r="O65" s="75">
        <f>IFERROR(Calculations!$AH$831,"")</f>
        <v>0</v>
      </c>
    </row>
    <row r="66" spans="2:15">
      <c r="B66" s="70">
        <f>IF(Calculations!$U$832="","",Calculations!$U$832)</f>
        <v>0</v>
      </c>
      <c r="C66" s="75">
        <f>IFERROR(Calculations!$V$832,"")</f>
        <v>0</v>
      </c>
      <c r="D66" s="75">
        <f>IFERROR(Calculations!$W$832,"")</f>
        <v>0</v>
      </c>
      <c r="E66" s="75">
        <f>IFERROR(Calculations!$X$832,"")</f>
        <v>0</v>
      </c>
      <c r="F66" s="75">
        <f>IFERROR(Calculations!$Y$832,"")</f>
        <v>0</v>
      </c>
      <c r="G66" s="75">
        <f>IFERROR(Calculations!$Z$832,"")</f>
        <v>0</v>
      </c>
      <c r="H66" s="75">
        <f>IFERROR(Calculations!$AA$832,"")</f>
        <v>0</v>
      </c>
      <c r="I66" s="75">
        <f>IFERROR(Calculations!$AB$832,"")</f>
        <v>0</v>
      </c>
      <c r="J66" s="75">
        <f>IFERROR(Calculations!$AC$832,"")</f>
        <v>0</v>
      </c>
      <c r="K66" s="75">
        <f>IFERROR(Calculations!$AD$832,"")</f>
        <v>0</v>
      </c>
      <c r="L66" s="75">
        <f>IFERROR(Calculations!$AE$832,"")</f>
        <v>0</v>
      </c>
      <c r="M66" s="75">
        <f>IFERROR(Calculations!$AF$832,"")</f>
        <v>0</v>
      </c>
      <c r="N66" s="75">
        <f>IFERROR(Calculations!$AG$832,"")</f>
        <v>0</v>
      </c>
      <c r="O66" s="75">
        <f>IFERROR(Calculations!$AH$832,"")</f>
        <v>0</v>
      </c>
    </row>
    <row r="67" spans="2:15">
      <c r="B67" s="70">
        <f>IF(Calculations!$U$833="","",Calculations!$U$833)</f>
        <v>0</v>
      </c>
      <c r="C67" s="75">
        <f>IFERROR(Calculations!$V$833,"")</f>
        <v>0</v>
      </c>
      <c r="D67" s="75">
        <f>IFERROR(Calculations!$W$833,"")</f>
        <v>0</v>
      </c>
      <c r="E67" s="75">
        <f>IFERROR(Calculations!$X$833,"")</f>
        <v>0</v>
      </c>
      <c r="F67" s="75">
        <f>IFERROR(Calculations!$Y$833,"")</f>
        <v>0</v>
      </c>
      <c r="G67" s="75">
        <f>IFERROR(Calculations!$Z$833,"")</f>
        <v>0</v>
      </c>
      <c r="H67" s="75">
        <f>IFERROR(Calculations!$AA$833,"")</f>
        <v>0</v>
      </c>
      <c r="I67" s="75">
        <f>IFERROR(Calculations!$AB$833,"")</f>
        <v>0</v>
      </c>
      <c r="J67" s="75">
        <f>IFERROR(Calculations!$AC$833,"")</f>
        <v>0</v>
      </c>
      <c r="K67" s="75">
        <f>IFERROR(Calculations!$AD$833,"")</f>
        <v>0</v>
      </c>
      <c r="L67" s="75">
        <f>IFERROR(Calculations!$AE$833,"")</f>
        <v>0</v>
      </c>
      <c r="M67" s="75">
        <f>IFERROR(Calculations!$AF$833,"")</f>
        <v>0</v>
      </c>
      <c r="N67" s="75">
        <f>IFERROR(Calculations!$AG$833,"")</f>
        <v>0</v>
      </c>
      <c r="O67" s="75">
        <f>IFERROR(Calculations!$AH$833,"")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C64:N64">
    <cfRule type="colorScale" priority="3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Management Visits'!A1" display="◀ Register"/>
  </hyperlinks>
  <pageMargins left="0.3" right="0.3" top="0.4" bottom="0.4" header="0.3" footer="0.3"/>
  <pageSetup fitToHeight="0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51">
    <tabColor rgb="FF14B8A6"/>
    <pageSetUpPr fitToPage="1"/>
  </sheetPr>
  <dimension ref="A1:S70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2429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2430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2431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2343</v>
      </c>
      <c r="O13" s="39"/>
      <c r="P13" s="39"/>
      <c r="Q13" s="39"/>
    </row>
    <row r="14" spans="2:19">
      <c r="B14" s="41">
        <f>Calculations!$N$854</f>
        <v>0</v>
      </c>
      <c r="C14" s="41"/>
      <c r="D14" s="41"/>
      <c r="E14" s="41"/>
      <c r="F14" s="41">
        <f>Calculations!$N$855</f>
        <v>0</v>
      </c>
      <c r="G14" s="41"/>
      <c r="H14" s="41"/>
      <c r="I14" s="41"/>
      <c r="J14" s="41">
        <f>Calculations!$N$856</f>
        <v>0</v>
      </c>
      <c r="K14" s="41"/>
      <c r="L14" s="41"/>
      <c r="M14" s="41"/>
      <c r="N14" s="42">
        <f>Calculations!$N$857</f>
        <v>0</v>
      </c>
      <c r="O14" s="42"/>
      <c r="P14" s="42"/>
      <c r="Q14" s="42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  <c r="O15" s="42"/>
      <c r="P15" s="42"/>
      <c r="Q15" s="42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2432</v>
      </c>
      <c r="C19" s="39"/>
      <c r="D19" s="39"/>
      <c r="E19" s="39"/>
      <c r="F19" s="39" t="s">
        <v>2433</v>
      </c>
      <c r="G19" s="39"/>
      <c r="H19" s="39"/>
      <c r="I19" s="39"/>
      <c r="J19" s="39" t="s">
        <v>2434</v>
      </c>
      <c r="K19" s="39"/>
      <c r="L19" s="39"/>
      <c r="M19" s="39"/>
      <c r="N19" s="39" t="s">
        <v>2397</v>
      </c>
      <c r="O19" s="39"/>
      <c r="P19" s="39"/>
      <c r="Q19" s="39"/>
    </row>
    <row r="20" spans="2:19">
      <c r="B20" s="41">
        <f>Calculations!$N$858</f>
        <v>0</v>
      </c>
      <c r="C20" s="41"/>
      <c r="D20" s="41"/>
      <c r="E20" s="41"/>
      <c r="F20" s="41">
        <f>Calculations!$N$859</f>
        <v>0</v>
      </c>
      <c r="G20" s="41"/>
      <c r="H20" s="41"/>
      <c r="I20" s="41"/>
      <c r="J20" s="42">
        <f>Calculations!$N$860</f>
        <v>0</v>
      </c>
      <c r="K20" s="42"/>
      <c r="L20" s="42"/>
      <c r="M20" s="42"/>
      <c r="N20" s="41">
        <f>Calculations!$N$861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"&amp;INDEX(Calculations!$C$854:$C$865,CurMonthNo)&amp;"   vs   "&amp;INDEX(L_Month,CurMonthNo-1)&amp;": "&amp;INDEX(Calculations!$C$854:$C$865,CurMonthNo-1)&amp;"   "&amp;IF(INDEX(Calculations!$C$854:$C$865,CurMonthNo)&gt;=INDEX(Calculations!$C$854:$C$865,CurMonthNo-1),"▲ ","▼ ")&amp;TEXT(IFERROR((INDEX(Calculations!$C$854:$C$865,CurMonthNo)-INDEX(Calculations!$C$854:$C$865,CurMonthNo-1))/INDEX(Calculations!$C$854:$C$865,CurMonthNo-1),0),"+0.0%;-0.0%")))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IF(Calculations!$U$854="","",Calculations!$U$854)</f>
        <v>0</v>
      </c>
      <c r="C62" s="75">
        <f>IFERROR(Calculations!$V$854,"")</f>
        <v>0</v>
      </c>
      <c r="D62" s="75">
        <f>IFERROR(Calculations!$W$854,"")</f>
        <v>0</v>
      </c>
      <c r="E62" s="75">
        <f>IFERROR(Calculations!$X$854,"")</f>
        <v>0</v>
      </c>
      <c r="F62" s="75">
        <f>IFERROR(Calculations!$Y$854,"")</f>
        <v>0</v>
      </c>
      <c r="G62" s="75">
        <f>IFERROR(Calculations!$Z$854,"")</f>
        <v>0</v>
      </c>
      <c r="H62" s="75">
        <f>IFERROR(Calculations!$AA$854,"")</f>
        <v>0</v>
      </c>
      <c r="I62" s="75">
        <f>IFERROR(Calculations!$AB$854,"")</f>
        <v>0</v>
      </c>
      <c r="J62" s="75">
        <f>IFERROR(Calculations!$AC$854,"")</f>
        <v>0</v>
      </c>
      <c r="K62" s="75">
        <f>IFERROR(Calculations!$AD$854,"")</f>
        <v>0</v>
      </c>
      <c r="L62" s="75">
        <f>IFERROR(Calculations!$AE$854,"")</f>
        <v>0</v>
      </c>
      <c r="M62" s="75">
        <f>IFERROR(Calculations!$AF$854,"")</f>
        <v>0</v>
      </c>
      <c r="N62" s="75">
        <f>IFERROR(Calculations!$AG$854,"")</f>
        <v>0</v>
      </c>
      <c r="O62" s="75">
        <f>IFERROR(Calculations!$AH$854,"")</f>
        <v>0</v>
      </c>
    </row>
    <row r="63" spans="2:19">
      <c r="B63" s="70">
        <f>IF(Calculations!$U$855="","",Calculations!$U$855)</f>
        <v>0</v>
      </c>
      <c r="C63" s="75">
        <f>IFERROR(Calculations!$V$855,"")</f>
        <v>0</v>
      </c>
      <c r="D63" s="75">
        <f>IFERROR(Calculations!$W$855,"")</f>
        <v>0</v>
      </c>
      <c r="E63" s="75">
        <f>IFERROR(Calculations!$X$855,"")</f>
        <v>0</v>
      </c>
      <c r="F63" s="75">
        <f>IFERROR(Calculations!$Y$855,"")</f>
        <v>0</v>
      </c>
      <c r="G63" s="75">
        <f>IFERROR(Calculations!$Z$855,"")</f>
        <v>0</v>
      </c>
      <c r="H63" s="75">
        <f>IFERROR(Calculations!$AA$855,"")</f>
        <v>0</v>
      </c>
      <c r="I63" s="75">
        <f>IFERROR(Calculations!$AB$855,"")</f>
        <v>0</v>
      </c>
      <c r="J63" s="75">
        <f>IFERROR(Calculations!$AC$855,"")</f>
        <v>0</v>
      </c>
      <c r="K63" s="75">
        <f>IFERROR(Calculations!$AD$855,"")</f>
        <v>0</v>
      </c>
      <c r="L63" s="75">
        <f>IFERROR(Calculations!$AE$855,"")</f>
        <v>0</v>
      </c>
      <c r="M63" s="75">
        <f>IFERROR(Calculations!$AF$855,"")</f>
        <v>0</v>
      </c>
      <c r="N63" s="75">
        <f>IFERROR(Calculations!$AG$855,"")</f>
        <v>0</v>
      </c>
      <c r="O63" s="75">
        <f>IFERROR(Calculations!$AH$855,"")</f>
        <v>0</v>
      </c>
    </row>
    <row r="64" spans="2:19">
      <c r="B64" s="70">
        <f>IF(Calculations!$U$856="","",Calculations!$U$856)</f>
        <v>0</v>
      </c>
      <c r="C64" s="75">
        <f>IFERROR(Calculations!$V$856,"")</f>
        <v>0</v>
      </c>
      <c r="D64" s="75">
        <f>IFERROR(Calculations!$W$856,"")</f>
        <v>0</v>
      </c>
      <c r="E64" s="75">
        <f>IFERROR(Calculations!$X$856,"")</f>
        <v>0</v>
      </c>
      <c r="F64" s="75">
        <f>IFERROR(Calculations!$Y$856,"")</f>
        <v>0</v>
      </c>
      <c r="G64" s="75">
        <f>IFERROR(Calculations!$Z$856,"")</f>
        <v>0</v>
      </c>
      <c r="H64" s="75">
        <f>IFERROR(Calculations!$AA$856,"")</f>
        <v>0</v>
      </c>
      <c r="I64" s="75">
        <f>IFERROR(Calculations!$AB$856,"")</f>
        <v>0</v>
      </c>
      <c r="J64" s="75">
        <f>IFERROR(Calculations!$AC$856,"")</f>
        <v>0</v>
      </c>
      <c r="K64" s="75">
        <f>IFERROR(Calculations!$AD$856,"")</f>
        <v>0</v>
      </c>
      <c r="L64" s="75">
        <f>IFERROR(Calculations!$AE$856,"")</f>
        <v>0</v>
      </c>
      <c r="M64" s="75">
        <f>IFERROR(Calculations!$AF$856,"")</f>
        <v>0</v>
      </c>
      <c r="N64" s="75">
        <f>IFERROR(Calculations!$AG$856,"")</f>
        <v>0</v>
      </c>
      <c r="O64" s="75">
        <f>IFERROR(Calculations!$AH$856,"")</f>
        <v>0</v>
      </c>
    </row>
    <row r="65" spans="2:19">
      <c r="B65" s="70">
        <f>IF(Calculations!$U$857="","",Calculations!$U$857)</f>
        <v>0</v>
      </c>
      <c r="C65" s="75">
        <f>IFERROR(Calculations!$V$857,"")</f>
        <v>0</v>
      </c>
      <c r="D65" s="75">
        <f>IFERROR(Calculations!$W$857,"")</f>
        <v>0</v>
      </c>
      <c r="E65" s="75">
        <f>IFERROR(Calculations!$X$857,"")</f>
        <v>0</v>
      </c>
      <c r="F65" s="75">
        <f>IFERROR(Calculations!$Y$857,"")</f>
        <v>0</v>
      </c>
      <c r="G65" s="75">
        <f>IFERROR(Calculations!$Z$857,"")</f>
        <v>0</v>
      </c>
      <c r="H65" s="75">
        <f>IFERROR(Calculations!$AA$857,"")</f>
        <v>0</v>
      </c>
      <c r="I65" s="75">
        <f>IFERROR(Calculations!$AB$857,"")</f>
        <v>0</v>
      </c>
      <c r="J65" s="75">
        <f>IFERROR(Calculations!$AC$857,"")</f>
        <v>0</v>
      </c>
      <c r="K65" s="75">
        <f>IFERROR(Calculations!$AD$857,"")</f>
        <v>0</v>
      </c>
      <c r="L65" s="75">
        <f>IFERROR(Calculations!$AE$857,"")</f>
        <v>0</v>
      </c>
      <c r="M65" s="75">
        <f>IFERROR(Calculations!$AF$857,"")</f>
        <v>0</v>
      </c>
      <c r="N65" s="75">
        <f>IFERROR(Calculations!$AG$857,"")</f>
        <v>0</v>
      </c>
      <c r="O65" s="75">
        <f>IFERROR(Calculations!$AH$857,"")</f>
        <v>0</v>
      </c>
    </row>
    <row r="66" spans="2:19">
      <c r="B66" s="70">
        <f>IF(Calculations!$U$858="","",Calculations!$U$858)</f>
        <v>0</v>
      </c>
      <c r="C66" s="75">
        <f>IFERROR(Calculations!$V$858,"")</f>
        <v>0</v>
      </c>
      <c r="D66" s="75">
        <f>IFERROR(Calculations!$W$858,"")</f>
        <v>0</v>
      </c>
      <c r="E66" s="75">
        <f>IFERROR(Calculations!$X$858,"")</f>
        <v>0</v>
      </c>
      <c r="F66" s="75">
        <f>IFERROR(Calculations!$Y$858,"")</f>
        <v>0</v>
      </c>
      <c r="G66" s="75">
        <f>IFERROR(Calculations!$Z$858,"")</f>
        <v>0</v>
      </c>
      <c r="H66" s="75">
        <f>IFERROR(Calculations!$AA$858,"")</f>
        <v>0</v>
      </c>
      <c r="I66" s="75">
        <f>IFERROR(Calculations!$AB$858,"")</f>
        <v>0</v>
      </c>
      <c r="J66" s="75">
        <f>IFERROR(Calculations!$AC$858,"")</f>
        <v>0</v>
      </c>
      <c r="K66" s="75">
        <f>IFERROR(Calculations!$AD$858,"")</f>
        <v>0</v>
      </c>
      <c r="L66" s="75">
        <f>IFERROR(Calculations!$AE$858,"")</f>
        <v>0</v>
      </c>
      <c r="M66" s="75">
        <f>IFERROR(Calculations!$AF$858,"")</f>
        <v>0</v>
      </c>
      <c r="N66" s="75">
        <f>IFERROR(Calculations!$AG$858,"")</f>
        <v>0</v>
      </c>
      <c r="O66" s="75">
        <f>IFERROR(Calculations!$AH$858,"")</f>
        <v>0</v>
      </c>
    </row>
    <row r="67" spans="2:19">
      <c r="B67" s="70">
        <f>IF(Calculations!$U$859="","",Calculations!$U$859)</f>
        <v>0</v>
      </c>
      <c r="C67" s="75">
        <f>IFERROR(Calculations!$V$859,"")</f>
        <v>0</v>
      </c>
      <c r="D67" s="75">
        <f>IFERROR(Calculations!$W$859,"")</f>
        <v>0</v>
      </c>
      <c r="E67" s="75">
        <f>IFERROR(Calculations!$X$859,"")</f>
        <v>0</v>
      </c>
      <c r="F67" s="75">
        <f>IFERROR(Calculations!$Y$859,"")</f>
        <v>0</v>
      </c>
      <c r="G67" s="75">
        <f>IFERROR(Calculations!$Z$859,"")</f>
        <v>0</v>
      </c>
      <c r="H67" s="75">
        <f>IFERROR(Calculations!$AA$859,"")</f>
        <v>0</v>
      </c>
      <c r="I67" s="75">
        <f>IFERROR(Calculations!$AB$859,"")</f>
        <v>0</v>
      </c>
      <c r="J67" s="75">
        <f>IFERROR(Calculations!$AC$859,"")</f>
        <v>0</v>
      </c>
      <c r="K67" s="75">
        <f>IFERROR(Calculations!$AD$859,"")</f>
        <v>0</v>
      </c>
      <c r="L67" s="75">
        <f>IFERROR(Calculations!$AE$859,"")</f>
        <v>0</v>
      </c>
      <c r="M67" s="75">
        <f>IFERROR(Calculations!$AF$859,"")</f>
        <v>0</v>
      </c>
      <c r="N67" s="75">
        <f>IFERROR(Calculations!$AG$859,"")</f>
        <v>0</v>
      </c>
      <c r="O67" s="75">
        <f>IFERROR(Calculations!$AH$859,"")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63:N63">
    <cfRule type="colorScale" priority="1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C64:N64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Management Reviews'!A1" display="◀ Register"/>
  </hyperlinks>
  <pageMargins left="0.3" right="0.3" top="0.4" bottom="0.4" header="0.3" footer="0.3"/>
  <pageSetup fitToHeight="0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52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2435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2436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2437</v>
      </c>
      <c r="C13" s="39"/>
      <c r="D13" s="39"/>
      <c r="E13" s="39"/>
      <c r="F13" s="39" t="s">
        <v>2367</v>
      </c>
      <c r="G13" s="39"/>
      <c r="H13" s="39"/>
      <c r="I13" s="39"/>
      <c r="J13" s="39" t="s">
        <v>2438</v>
      </c>
      <c r="K13" s="39"/>
      <c r="L13" s="39"/>
      <c r="M13" s="39"/>
      <c r="N13" s="39" t="s">
        <v>2439</v>
      </c>
      <c r="O13" s="39"/>
      <c r="P13" s="39"/>
      <c r="Q13" s="39"/>
    </row>
    <row r="14" spans="2:19">
      <c r="B14" s="41">
        <f>Calculations!$N$880</f>
        <v>0</v>
      </c>
      <c r="C14" s="41"/>
      <c r="D14" s="41"/>
      <c r="E14" s="41"/>
      <c r="F14" s="41">
        <f>Calculations!$N$881</f>
        <v>0</v>
      </c>
      <c r="G14" s="41"/>
      <c r="H14" s="41"/>
      <c r="I14" s="41"/>
      <c r="J14" s="41">
        <f>Calculations!$N$882</f>
        <v>0</v>
      </c>
      <c r="K14" s="41"/>
      <c r="L14" s="41"/>
      <c r="M14" s="41"/>
      <c r="N14" s="41">
        <f>Calculations!$N$883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2440</v>
      </c>
      <c r="C19" s="39"/>
      <c r="D19" s="39"/>
      <c r="E19" s="39"/>
      <c r="F19" s="39" t="s">
        <v>2441</v>
      </c>
      <c r="G19" s="39"/>
      <c r="H19" s="39"/>
      <c r="I19" s="39"/>
      <c r="J19" s="39" t="s">
        <v>2442</v>
      </c>
      <c r="K19" s="39"/>
      <c r="L19" s="39"/>
      <c r="M19" s="39"/>
      <c r="N19" s="39" t="s">
        <v>2443</v>
      </c>
      <c r="O19" s="39"/>
      <c r="P19" s="39"/>
      <c r="Q19" s="39"/>
    </row>
    <row r="20" spans="2:19">
      <c r="B20" s="41">
        <f>Calculations!$N$884</f>
        <v>0</v>
      </c>
      <c r="C20" s="41"/>
      <c r="D20" s="41"/>
      <c r="E20" s="41"/>
      <c r="F20" s="41">
        <f>Calculations!$N$885</f>
        <v>0</v>
      </c>
      <c r="G20" s="41"/>
      <c r="H20" s="41"/>
      <c r="I20" s="41"/>
      <c r="J20" s="41">
        <f>Calculations!$N$886</f>
        <v>0</v>
      </c>
      <c r="K20" s="41"/>
      <c r="L20" s="41"/>
      <c r="M20" s="41"/>
      <c r="N20" s="41">
        <f>Calculations!$N$887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"&amp;INDEX(Calculations!$C$880:$C$891,CurMonthNo)&amp;"   vs   "&amp;INDEX(L_Month,CurMonthNo-1)&amp;": "&amp;INDEX(Calculations!$C$880:$C$891,CurMonthNo-1)&amp;"   "&amp;IF(INDEX(Calculations!$C$880:$C$891,CurMonthNo)&gt;=INDEX(Calculations!$C$880:$C$891,CurMonthNo-1),"▲ ","▼ ")&amp;TEXT(IFERROR((INDEX(Calculations!$C$880:$C$891,CurMonthNo)-INDEX(Calculations!$C$880:$C$891,CurMonthNo-1))/INDEX(Calculations!$C$880:$C$891,CurMonthNo-1),0),"+0.0%;-0.0%")))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IFERROR(Calculations!$P$880,"")</f>
        <v>0</v>
      </c>
      <c r="C45" s="75">
        <f>IFERROR(Calculations!$Q$880,"")</f>
        <v>0</v>
      </c>
      <c r="D45" s="76">
        <f>IFERROR(Calculations!$R$880,"")</f>
        <v>0</v>
      </c>
      <c r="E45" s="75">
        <f>IFERROR(Calculations!$S$880,"")</f>
        <v>0</v>
      </c>
    </row>
    <row r="46" spans="2:19">
      <c r="B46" s="70">
        <f>IFERROR(Calculations!$P$881,"")</f>
        <v>0</v>
      </c>
      <c r="C46" s="75">
        <f>IFERROR(Calculations!$Q$881,"")</f>
        <v>0</v>
      </c>
      <c r="D46" s="76">
        <f>IFERROR(Calculations!$R$881,"")</f>
        <v>0</v>
      </c>
      <c r="E46" s="75">
        <f>IFERROR(Calculations!$S$881,"")</f>
        <v>0</v>
      </c>
    </row>
    <row r="47" spans="2:19">
      <c r="B47" s="70">
        <f>IFERROR(Calculations!$P$882,"")</f>
        <v>0</v>
      </c>
      <c r="C47" s="75">
        <f>IFERROR(Calculations!$Q$882,"")</f>
        <v>0</v>
      </c>
      <c r="D47" s="76">
        <f>IFERROR(Calculations!$R$882,"")</f>
        <v>0</v>
      </c>
      <c r="E47" s="75">
        <f>IFERROR(Calculations!$S$882,"")</f>
        <v>0</v>
      </c>
    </row>
    <row r="48" spans="2:19">
      <c r="B48" s="70">
        <f>IFERROR(Calculations!$P$883,"")</f>
        <v>0</v>
      </c>
      <c r="C48" s="75">
        <f>IFERROR(Calculations!$Q$883,"")</f>
        <v>0</v>
      </c>
      <c r="D48" s="76">
        <f>IFERROR(Calculations!$R$883,"")</f>
        <v>0</v>
      </c>
      <c r="E48" s="75">
        <f>IFERROR(Calculations!$S$883,"")</f>
        <v>0</v>
      </c>
    </row>
    <row r="49" spans="2:19">
      <c r="B49" s="70">
        <f>IFERROR(Calculations!$P$884,"")</f>
        <v>0</v>
      </c>
      <c r="C49" s="75">
        <f>IFERROR(Calculations!$Q$884,"")</f>
        <v>0</v>
      </c>
      <c r="D49" s="76">
        <f>IFERROR(Calculations!$R$884,"")</f>
        <v>0</v>
      </c>
      <c r="E49" s="75">
        <f>IFERROR(Calculations!$S$884,"")</f>
        <v>0</v>
      </c>
    </row>
    <row r="50" spans="2:19">
      <c r="B50" s="70">
        <f>IFERROR(Calculations!$P$885,"")</f>
        <v>0</v>
      </c>
      <c r="C50" s="75">
        <f>IFERROR(Calculations!$Q$885,"")</f>
        <v>0</v>
      </c>
      <c r="D50" s="76">
        <f>IFERROR(Calculations!$R$885,"")</f>
        <v>0</v>
      </c>
      <c r="E50" s="75">
        <f>IFERROR(Calculations!$S$885,"")</f>
        <v>0</v>
      </c>
    </row>
    <row r="51" spans="2:19">
      <c r="B51" s="70">
        <f>IFERROR(Calculations!$P$886,"")</f>
        <v>0</v>
      </c>
      <c r="C51" s="75">
        <f>IFERROR(Calculations!$Q$886,"")</f>
        <v>0</v>
      </c>
      <c r="D51" s="76">
        <f>IFERROR(Calculations!$R$886,"")</f>
        <v>0</v>
      </c>
      <c r="E51" s="75">
        <f>IFERROR(Calculations!$S$886,"")</f>
        <v>0</v>
      </c>
    </row>
    <row r="52" spans="2:19">
      <c r="B52" s="70">
        <f>IFERROR(Calculations!$P$887,"")</f>
        <v>0</v>
      </c>
      <c r="C52" s="75">
        <f>IFERROR(Calculations!$Q$887,"")</f>
        <v>0</v>
      </c>
      <c r="D52" s="76">
        <f>IFERROR(Calculations!$R$887,"")</f>
        <v>0</v>
      </c>
      <c r="E52" s="75">
        <f>IFERROR(Calculations!$S$887,"")</f>
        <v>0</v>
      </c>
    </row>
    <row r="53" spans="2:19">
      <c r="B53" s="70">
        <f>IFERROR(Calculations!$P$888,"")</f>
        <v>0</v>
      </c>
      <c r="C53" s="75">
        <f>IFERROR(Calculations!$Q$888,"")</f>
        <v>0</v>
      </c>
      <c r="D53" s="76">
        <f>IFERROR(Calculations!$R$888,"")</f>
        <v>0</v>
      </c>
      <c r="E53" s="75">
        <f>IFERROR(Calculations!$S$888,"")</f>
        <v>0</v>
      </c>
    </row>
    <row r="54" spans="2:19">
      <c r="B54" s="70">
        <f>IFERROR(Calculations!$P$889,"")</f>
        <v>0</v>
      </c>
      <c r="C54" s="75">
        <f>IFERROR(Calculations!$Q$889,"")</f>
        <v>0</v>
      </c>
      <c r="D54" s="76">
        <f>IFERROR(Calculations!$R$889,"")</f>
        <v>0</v>
      </c>
      <c r="E54" s="75">
        <f>IFERROR(Calculations!$S$889,"")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IF(Calculations!$U$880="","",Calculations!$U$880)</f>
        <v>0</v>
      </c>
      <c r="C62" s="75">
        <f>IFERROR(Calculations!$V$880,"")</f>
        <v>0</v>
      </c>
      <c r="D62" s="75">
        <f>IFERROR(Calculations!$W$880,"")</f>
        <v>0</v>
      </c>
      <c r="E62" s="75">
        <f>IFERROR(Calculations!$X$880,"")</f>
        <v>0</v>
      </c>
      <c r="F62" s="75">
        <f>IFERROR(Calculations!$Y$880,"")</f>
        <v>0</v>
      </c>
      <c r="G62" s="75">
        <f>IFERROR(Calculations!$Z$880,"")</f>
        <v>0</v>
      </c>
      <c r="H62" s="75">
        <f>IFERROR(Calculations!$AA$880,"")</f>
        <v>0</v>
      </c>
      <c r="I62" s="75">
        <f>IFERROR(Calculations!$AB$880,"")</f>
        <v>0</v>
      </c>
      <c r="J62" s="75">
        <f>IFERROR(Calculations!$AC$880,"")</f>
        <v>0</v>
      </c>
      <c r="K62" s="75">
        <f>IFERROR(Calculations!$AD$880,"")</f>
        <v>0</v>
      </c>
      <c r="L62" s="75">
        <f>IFERROR(Calculations!$AE$880,"")</f>
        <v>0</v>
      </c>
      <c r="M62" s="75">
        <f>IFERROR(Calculations!$AF$880,"")</f>
        <v>0</v>
      </c>
      <c r="N62" s="75">
        <f>IFERROR(Calculations!$AG$880,"")</f>
        <v>0</v>
      </c>
      <c r="O62" s="75">
        <f>IFERROR(Calculations!$AH$880,"")</f>
        <v>0</v>
      </c>
    </row>
    <row r="63" spans="2:19">
      <c r="B63" s="70">
        <f>IF(Calculations!$U$881="","",Calculations!$U$881)</f>
        <v>0</v>
      </c>
      <c r="C63" s="75">
        <f>IFERROR(Calculations!$V$881,"")</f>
        <v>0</v>
      </c>
      <c r="D63" s="75">
        <f>IFERROR(Calculations!$W$881,"")</f>
        <v>0</v>
      </c>
      <c r="E63" s="75">
        <f>IFERROR(Calculations!$X$881,"")</f>
        <v>0</v>
      </c>
      <c r="F63" s="75">
        <f>IFERROR(Calculations!$Y$881,"")</f>
        <v>0</v>
      </c>
      <c r="G63" s="75">
        <f>IFERROR(Calculations!$Z$881,"")</f>
        <v>0</v>
      </c>
      <c r="H63" s="75">
        <f>IFERROR(Calculations!$AA$881,"")</f>
        <v>0</v>
      </c>
      <c r="I63" s="75">
        <f>IFERROR(Calculations!$AB$881,"")</f>
        <v>0</v>
      </c>
      <c r="J63" s="75">
        <f>IFERROR(Calculations!$AC$881,"")</f>
        <v>0</v>
      </c>
      <c r="K63" s="75">
        <f>IFERROR(Calculations!$AD$881,"")</f>
        <v>0</v>
      </c>
      <c r="L63" s="75">
        <f>IFERROR(Calculations!$AE$881,"")</f>
        <v>0</v>
      </c>
      <c r="M63" s="75">
        <f>IFERROR(Calculations!$AF$881,"")</f>
        <v>0</v>
      </c>
      <c r="N63" s="75">
        <f>IFERROR(Calculations!$AG$881,"")</f>
        <v>0</v>
      </c>
      <c r="O63" s="75">
        <f>IFERROR(Calculations!$AH$881,"")</f>
        <v>0</v>
      </c>
    </row>
    <row r="64" spans="2:19">
      <c r="B64" s="70">
        <f>IF(Calculations!$U$882="","",Calculations!$U$882)</f>
        <v>0</v>
      </c>
      <c r="C64" s="75">
        <f>IFERROR(Calculations!$V$882,"")</f>
        <v>0</v>
      </c>
      <c r="D64" s="75">
        <f>IFERROR(Calculations!$W$882,"")</f>
        <v>0</v>
      </c>
      <c r="E64" s="75">
        <f>IFERROR(Calculations!$X$882,"")</f>
        <v>0</v>
      </c>
      <c r="F64" s="75">
        <f>IFERROR(Calculations!$Y$882,"")</f>
        <v>0</v>
      </c>
      <c r="G64" s="75">
        <f>IFERROR(Calculations!$Z$882,"")</f>
        <v>0</v>
      </c>
      <c r="H64" s="75">
        <f>IFERROR(Calculations!$AA$882,"")</f>
        <v>0</v>
      </c>
      <c r="I64" s="75">
        <f>IFERROR(Calculations!$AB$882,"")</f>
        <v>0</v>
      </c>
      <c r="J64" s="75">
        <f>IFERROR(Calculations!$AC$882,"")</f>
        <v>0</v>
      </c>
      <c r="K64" s="75">
        <f>IFERROR(Calculations!$AD$882,"")</f>
        <v>0</v>
      </c>
      <c r="L64" s="75">
        <f>IFERROR(Calculations!$AE$882,"")</f>
        <v>0</v>
      </c>
      <c r="M64" s="75">
        <f>IFERROR(Calculations!$AF$882,"")</f>
        <v>0</v>
      </c>
      <c r="N64" s="75">
        <f>IFERROR(Calculations!$AG$882,"")</f>
        <v>0</v>
      </c>
      <c r="O64" s="75">
        <f>IFERROR(Calculations!$AH$882,"")</f>
        <v>0</v>
      </c>
    </row>
    <row r="65" spans="2:15">
      <c r="B65" s="70">
        <f>IF(Calculations!$U$883="","",Calculations!$U$883)</f>
        <v>0</v>
      </c>
      <c r="C65" s="75">
        <f>IFERROR(Calculations!$V$883,"")</f>
        <v>0</v>
      </c>
      <c r="D65" s="75">
        <f>IFERROR(Calculations!$W$883,"")</f>
        <v>0</v>
      </c>
      <c r="E65" s="75">
        <f>IFERROR(Calculations!$X$883,"")</f>
        <v>0</v>
      </c>
      <c r="F65" s="75">
        <f>IFERROR(Calculations!$Y$883,"")</f>
        <v>0</v>
      </c>
      <c r="G65" s="75">
        <f>IFERROR(Calculations!$Z$883,"")</f>
        <v>0</v>
      </c>
      <c r="H65" s="75">
        <f>IFERROR(Calculations!$AA$883,"")</f>
        <v>0</v>
      </c>
      <c r="I65" s="75">
        <f>IFERROR(Calculations!$AB$883,"")</f>
        <v>0</v>
      </c>
      <c r="J65" s="75">
        <f>IFERROR(Calculations!$AC$883,"")</f>
        <v>0</v>
      </c>
      <c r="K65" s="75">
        <f>IFERROR(Calculations!$AD$883,"")</f>
        <v>0</v>
      </c>
      <c r="L65" s="75">
        <f>IFERROR(Calculations!$AE$883,"")</f>
        <v>0</v>
      </c>
      <c r="M65" s="75">
        <f>IFERROR(Calculations!$AF$883,"")</f>
        <v>0</v>
      </c>
      <c r="N65" s="75">
        <f>IFERROR(Calculations!$AG$883,"")</f>
        <v>0</v>
      </c>
      <c r="O65" s="75">
        <f>IFERROR(Calculations!$AH$883,"")</f>
        <v>0</v>
      </c>
    </row>
    <row r="66" spans="2:15">
      <c r="B66" s="70">
        <f>IF(Calculations!$U$884="","",Calculations!$U$884)</f>
        <v>0</v>
      </c>
      <c r="C66" s="75">
        <f>IFERROR(Calculations!$V$884,"")</f>
        <v>0</v>
      </c>
      <c r="D66" s="75">
        <f>IFERROR(Calculations!$W$884,"")</f>
        <v>0</v>
      </c>
      <c r="E66" s="75">
        <f>IFERROR(Calculations!$X$884,"")</f>
        <v>0</v>
      </c>
      <c r="F66" s="75">
        <f>IFERROR(Calculations!$Y$884,"")</f>
        <v>0</v>
      </c>
      <c r="G66" s="75">
        <f>IFERROR(Calculations!$Z$884,"")</f>
        <v>0</v>
      </c>
      <c r="H66" s="75">
        <f>IFERROR(Calculations!$AA$884,"")</f>
        <v>0</v>
      </c>
      <c r="I66" s="75">
        <f>IFERROR(Calculations!$AB$884,"")</f>
        <v>0</v>
      </c>
      <c r="J66" s="75">
        <f>IFERROR(Calculations!$AC$884,"")</f>
        <v>0</v>
      </c>
      <c r="K66" s="75">
        <f>IFERROR(Calculations!$AD$884,"")</f>
        <v>0</v>
      </c>
      <c r="L66" s="75">
        <f>IFERROR(Calculations!$AE$884,"")</f>
        <v>0</v>
      </c>
      <c r="M66" s="75">
        <f>IFERROR(Calculations!$AF$884,"")</f>
        <v>0</v>
      </c>
      <c r="N66" s="75">
        <f>IFERROR(Calculations!$AG$884,"")</f>
        <v>0</v>
      </c>
      <c r="O66" s="75">
        <f>IFERROR(Calculations!$AH$884,"")</f>
        <v>0</v>
      </c>
    </row>
    <row r="67" spans="2:15">
      <c r="B67" s="70">
        <f>IF(Calculations!$U$885="","",Calculations!$U$885)</f>
        <v>0</v>
      </c>
      <c r="C67" s="75">
        <f>IFERROR(Calculations!$V$885,"")</f>
        <v>0</v>
      </c>
      <c r="D67" s="75">
        <f>IFERROR(Calculations!$W$885,"")</f>
        <v>0</v>
      </c>
      <c r="E67" s="75">
        <f>IFERROR(Calculations!$X$885,"")</f>
        <v>0</v>
      </c>
      <c r="F67" s="75">
        <f>IFERROR(Calculations!$Y$885,"")</f>
        <v>0</v>
      </c>
      <c r="G67" s="75">
        <f>IFERROR(Calculations!$Z$885,"")</f>
        <v>0</v>
      </c>
      <c r="H67" s="75">
        <f>IFERROR(Calculations!$AA$885,"")</f>
        <v>0</v>
      </c>
      <c r="I67" s="75">
        <f>IFERROR(Calculations!$AB$885,"")</f>
        <v>0</v>
      </c>
      <c r="J67" s="75">
        <f>IFERROR(Calculations!$AC$885,"")</f>
        <v>0</v>
      </c>
      <c r="K67" s="75">
        <f>IFERROR(Calculations!$AD$885,"")</f>
        <v>0</v>
      </c>
      <c r="L67" s="75">
        <f>IFERROR(Calculations!$AE$885,"")</f>
        <v>0</v>
      </c>
      <c r="M67" s="75">
        <f>IFERROR(Calculations!$AF$885,"")</f>
        <v>0</v>
      </c>
      <c r="N67" s="75">
        <f>IFERROR(Calculations!$AG$885,"")</f>
        <v>0</v>
      </c>
      <c r="O67" s="75">
        <f>IFERROR(Calculations!$AH$885,"")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Disciplinary Actions'!A1" display="◀ Register"/>
  </hyperlinks>
  <pageMargins left="0.3" right="0.3" top="0.4" bottom="0.4" header="0.3" footer="0.3"/>
  <pageSetup fitToHeight="0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53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2444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2445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2446</v>
      </c>
      <c r="C13" s="39"/>
      <c r="D13" s="39"/>
      <c r="E13" s="39"/>
      <c r="F13" s="39" t="s">
        <v>2447</v>
      </c>
      <c r="G13" s="39"/>
      <c r="H13" s="39"/>
      <c r="I13" s="39"/>
      <c r="J13" s="39" t="s">
        <v>2369</v>
      </c>
      <c r="K13" s="39"/>
      <c r="L13" s="39"/>
      <c r="M13" s="39"/>
      <c r="N13" s="39" t="s">
        <v>2448</v>
      </c>
      <c r="O13" s="39"/>
      <c r="P13" s="39"/>
      <c r="Q13" s="39"/>
    </row>
    <row r="14" spans="2:19">
      <c r="B14" s="41">
        <f>Calculations!$N$906</f>
        <v>0</v>
      </c>
      <c r="C14" s="41"/>
      <c r="D14" s="41"/>
      <c r="E14" s="41"/>
      <c r="F14" s="41">
        <f>Calculations!$N$907</f>
        <v>0</v>
      </c>
      <c r="G14" s="41"/>
      <c r="H14" s="41"/>
      <c r="I14" s="41"/>
      <c r="J14" s="41">
        <f>Calculations!$N$908</f>
        <v>0</v>
      </c>
      <c r="K14" s="41"/>
      <c r="L14" s="41"/>
      <c r="M14" s="41"/>
      <c r="N14" s="41">
        <f>Calculations!$N$909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2373</v>
      </c>
      <c r="C19" s="39"/>
      <c r="D19" s="39"/>
      <c r="E19" s="39"/>
      <c r="F19" s="39" t="s">
        <v>2449</v>
      </c>
      <c r="G19" s="39"/>
      <c r="H19" s="39"/>
      <c r="I19" s="39"/>
      <c r="J19" s="39" t="s">
        <v>2450</v>
      </c>
      <c r="K19" s="39"/>
      <c r="L19" s="39"/>
      <c r="M19" s="39"/>
      <c r="N19" s="39" t="s">
        <v>2451</v>
      </c>
      <c r="O19" s="39"/>
      <c r="P19" s="39"/>
      <c r="Q19" s="39"/>
    </row>
    <row r="20" spans="2:19">
      <c r="B20" s="41">
        <f>Calculations!$N$910</f>
        <v>0</v>
      </c>
      <c r="C20" s="41"/>
      <c r="D20" s="41"/>
      <c r="E20" s="41"/>
      <c r="F20" s="41">
        <f>Calculations!$N$911</f>
        <v>0</v>
      </c>
      <c r="G20" s="41"/>
      <c r="H20" s="41"/>
      <c r="I20" s="41"/>
      <c r="J20" s="41">
        <f>Calculations!$N$912</f>
        <v>0</v>
      </c>
      <c r="K20" s="41"/>
      <c r="L20" s="41"/>
      <c r="M20" s="41"/>
      <c r="N20" s="41">
        <f>Calculations!$N$913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"&amp;INDEX(Calculations!$C$906:$C$917,CurMonthNo)&amp;"   vs   "&amp;INDEX(L_Month,CurMonthNo-1)&amp;": "&amp;INDEX(Calculations!$C$906:$C$917,CurMonthNo-1)&amp;"   "&amp;IF(INDEX(Calculations!$C$906:$C$917,CurMonthNo)&gt;=INDEX(Calculations!$C$906:$C$917,CurMonthNo-1),"▲ ","▼ ")&amp;TEXT(IFERROR((INDEX(Calculations!$C$906:$C$917,CurMonthNo)-INDEX(Calculations!$C$906:$C$917,CurMonthNo-1))/INDEX(Calculations!$C$906:$C$917,CurMonthNo-1),0),"+0.0%;-0.0%")))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IFERROR(Calculations!$P$906,"")</f>
        <v>0</v>
      </c>
      <c r="C45" s="75">
        <f>IFERROR(Calculations!$Q$906,"")</f>
        <v>0</v>
      </c>
      <c r="D45" s="76">
        <f>IFERROR(Calculations!$R$906,"")</f>
        <v>0</v>
      </c>
      <c r="E45" s="75">
        <f>IFERROR(Calculations!$S$906,"")</f>
        <v>0</v>
      </c>
    </row>
    <row r="46" spans="2:19">
      <c r="B46" s="70">
        <f>IFERROR(Calculations!$P$907,"")</f>
        <v>0</v>
      </c>
      <c r="C46" s="75">
        <f>IFERROR(Calculations!$Q$907,"")</f>
        <v>0</v>
      </c>
      <c r="D46" s="76">
        <f>IFERROR(Calculations!$R$907,"")</f>
        <v>0</v>
      </c>
      <c r="E46" s="75">
        <f>IFERROR(Calculations!$S$907,"")</f>
        <v>0</v>
      </c>
    </row>
    <row r="47" spans="2:19">
      <c r="B47" s="70">
        <f>IFERROR(Calculations!$P$908,"")</f>
        <v>0</v>
      </c>
      <c r="C47" s="75">
        <f>IFERROR(Calculations!$Q$908,"")</f>
        <v>0</v>
      </c>
      <c r="D47" s="76">
        <f>IFERROR(Calculations!$R$908,"")</f>
        <v>0</v>
      </c>
      <c r="E47" s="75">
        <f>IFERROR(Calculations!$S$908,"")</f>
        <v>0</v>
      </c>
    </row>
    <row r="48" spans="2:19">
      <c r="B48" s="70">
        <f>IFERROR(Calculations!$P$909,"")</f>
        <v>0</v>
      </c>
      <c r="C48" s="75">
        <f>IFERROR(Calculations!$Q$909,"")</f>
        <v>0</v>
      </c>
      <c r="D48" s="76">
        <f>IFERROR(Calculations!$R$909,"")</f>
        <v>0</v>
      </c>
      <c r="E48" s="75">
        <f>IFERROR(Calculations!$S$909,"")</f>
        <v>0</v>
      </c>
    </row>
    <row r="49" spans="2:19">
      <c r="B49" s="70">
        <f>IFERROR(Calculations!$P$910,"")</f>
        <v>0</v>
      </c>
      <c r="C49" s="75">
        <f>IFERROR(Calculations!$Q$910,"")</f>
        <v>0</v>
      </c>
      <c r="D49" s="76">
        <f>IFERROR(Calculations!$R$910,"")</f>
        <v>0</v>
      </c>
      <c r="E49" s="75">
        <f>IFERROR(Calculations!$S$910,"")</f>
        <v>0</v>
      </c>
    </row>
    <row r="50" spans="2:19">
      <c r="B50" s="70">
        <f>IFERROR(Calculations!$P$911,"")</f>
        <v>0</v>
      </c>
      <c r="C50" s="75">
        <f>IFERROR(Calculations!$Q$911,"")</f>
        <v>0</v>
      </c>
      <c r="D50" s="76">
        <f>IFERROR(Calculations!$R$911,"")</f>
        <v>0</v>
      </c>
      <c r="E50" s="75">
        <f>IFERROR(Calculations!$S$911,"")</f>
        <v>0</v>
      </c>
    </row>
    <row r="51" spans="2:19">
      <c r="B51" s="70">
        <f>IFERROR(Calculations!$P$912,"")</f>
        <v>0</v>
      </c>
      <c r="C51" s="75">
        <f>IFERROR(Calculations!$Q$912,"")</f>
        <v>0</v>
      </c>
      <c r="D51" s="76">
        <f>IFERROR(Calculations!$R$912,"")</f>
        <v>0</v>
      </c>
      <c r="E51" s="75">
        <f>IFERROR(Calculations!$S$912,"")</f>
        <v>0</v>
      </c>
    </row>
    <row r="52" spans="2:19">
      <c r="B52" s="70">
        <f>IFERROR(Calculations!$P$913,"")</f>
        <v>0</v>
      </c>
      <c r="C52" s="75">
        <f>IFERROR(Calculations!$Q$913,"")</f>
        <v>0</v>
      </c>
      <c r="D52" s="76">
        <f>IFERROR(Calculations!$R$913,"")</f>
        <v>0</v>
      </c>
      <c r="E52" s="75">
        <f>IFERROR(Calculations!$S$913,"")</f>
        <v>0</v>
      </c>
    </row>
    <row r="53" spans="2:19">
      <c r="B53" s="70">
        <f>IFERROR(Calculations!$P$914,"")</f>
        <v>0</v>
      </c>
      <c r="C53" s="75">
        <f>IFERROR(Calculations!$Q$914,"")</f>
        <v>0</v>
      </c>
      <c r="D53" s="76">
        <f>IFERROR(Calculations!$R$914,"")</f>
        <v>0</v>
      </c>
      <c r="E53" s="75">
        <f>IFERROR(Calculations!$S$914,"")</f>
        <v>0</v>
      </c>
    </row>
    <row r="54" spans="2:19">
      <c r="B54" s="70">
        <f>IFERROR(Calculations!$P$915,"")</f>
        <v>0</v>
      </c>
      <c r="C54" s="75">
        <f>IFERROR(Calculations!$Q$915,"")</f>
        <v>0</v>
      </c>
      <c r="D54" s="76">
        <f>IFERROR(Calculations!$R$915,"")</f>
        <v>0</v>
      </c>
      <c r="E54" s="75">
        <f>IFERROR(Calculations!$S$915,"")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IF(Calculations!$U$906="","",Calculations!$U$906)</f>
        <v>0</v>
      </c>
      <c r="C62" s="75">
        <f>IFERROR(Calculations!$V$906,"")</f>
        <v>0</v>
      </c>
      <c r="D62" s="75">
        <f>IFERROR(Calculations!$W$906,"")</f>
        <v>0</v>
      </c>
      <c r="E62" s="75">
        <f>IFERROR(Calculations!$X$906,"")</f>
        <v>0</v>
      </c>
      <c r="F62" s="75">
        <f>IFERROR(Calculations!$Y$906,"")</f>
        <v>0</v>
      </c>
      <c r="G62" s="75">
        <f>IFERROR(Calculations!$Z$906,"")</f>
        <v>0</v>
      </c>
      <c r="H62" s="75">
        <f>IFERROR(Calculations!$AA$906,"")</f>
        <v>0</v>
      </c>
      <c r="I62" s="75">
        <f>IFERROR(Calculations!$AB$906,"")</f>
        <v>0</v>
      </c>
      <c r="J62" s="75">
        <f>IFERROR(Calculations!$AC$906,"")</f>
        <v>0</v>
      </c>
      <c r="K62" s="75">
        <f>IFERROR(Calculations!$AD$906,"")</f>
        <v>0</v>
      </c>
      <c r="L62" s="75">
        <f>IFERROR(Calculations!$AE$906,"")</f>
        <v>0</v>
      </c>
      <c r="M62" s="75">
        <f>IFERROR(Calculations!$AF$906,"")</f>
        <v>0</v>
      </c>
      <c r="N62" s="75">
        <f>IFERROR(Calculations!$AG$906,"")</f>
        <v>0</v>
      </c>
      <c r="O62" s="75">
        <f>IFERROR(Calculations!$AH$906,"")</f>
        <v>0</v>
      </c>
    </row>
    <row r="63" spans="2:19">
      <c r="B63" s="70">
        <f>IF(Calculations!$U$907="","",Calculations!$U$907)</f>
        <v>0</v>
      </c>
      <c r="C63" s="75">
        <f>IFERROR(Calculations!$V$907,"")</f>
        <v>0</v>
      </c>
      <c r="D63" s="75">
        <f>IFERROR(Calculations!$W$907,"")</f>
        <v>0</v>
      </c>
      <c r="E63" s="75">
        <f>IFERROR(Calculations!$X$907,"")</f>
        <v>0</v>
      </c>
      <c r="F63" s="75">
        <f>IFERROR(Calculations!$Y$907,"")</f>
        <v>0</v>
      </c>
      <c r="G63" s="75">
        <f>IFERROR(Calculations!$Z$907,"")</f>
        <v>0</v>
      </c>
      <c r="H63" s="75">
        <f>IFERROR(Calculations!$AA$907,"")</f>
        <v>0</v>
      </c>
      <c r="I63" s="75">
        <f>IFERROR(Calculations!$AB$907,"")</f>
        <v>0</v>
      </c>
      <c r="J63" s="75">
        <f>IFERROR(Calculations!$AC$907,"")</f>
        <v>0</v>
      </c>
      <c r="K63" s="75">
        <f>IFERROR(Calculations!$AD$907,"")</f>
        <v>0</v>
      </c>
      <c r="L63" s="75">
        <f>IFERROR(Calculations!$AE$907,"")</f>
        <v>0</v>
      </c>
      <c r="M63" s="75">
        <f>IFERROR(Calculations!$AF$907,"")</f>
        <v>0</v>
      </c>
      <c r="N63" s="75">
        <f>IFERROR(Calculations!$AG$907,"")</f>
        <v>0</v>
      </c>
      <c r="O63" s="75">
        <f>IFERROR(Calculations!$AH$907,"")</f>
        <v>0</v>
      </c>
    </row>
    <row r="64" spans="2:19">
      <c r="B64" s="70">
        <f>IF(Calculations!$U$908="","",Calculations!$U$908)</f>
        <v>0</v>
      </c>
      <c r="C64" s="75">
        <f>IFERROR(Calculations!$V$908,"")</f>
        <v>0</v>
      </c>
      <c r="D64" s="75">
        <f>IFERROR(Calculations!$W$908,"")</f>
        <v>0</v>
      </c>
      <c r="E64" s="75">
        <f>IFERROR(Calculations!$X$908,"")</f>
        <v>0</v>
      </c>
      <c r="F64" s="75">
        <f>IFERROR(Calculations!$Y$908,"")</f>
        <v>0</v>
      </c>
      <c r="G64" s="75">
        <f>IFERROR(Calculations!$Z$908,"")</f>
        <v>0</v>
      </c>
      <c r="H64" s="75">
        <f>IFERROR(Calculations!$AA$908,"")</f>
        <v>0</v>
      </c>
      <c r="I64" s="75">
        <f>IFERROR(Calculations!$AB$908,"")</f>
        <v>0</v>
      </c>
      <c r="J64" s="75">
        <f>IFERROR(Calculations!$AC$908,"")</f>
        <v>0</v>
      </c>
      <c r="K64" s="75">
        <f>IFERROR(Calculations!$AD$908,"")</f>
        <v>0</v>
      </c>
      <c r="L64" s="75">
        <f>IFERROR(Calculations!$AE$908,"")</f>
        <v>0</v>
      </c>
      <c r="M64" s="75">
        <f>IFERROR(Calculations!$AF$908,"")</f>
        <v>0</v>
      </c>
      <c r="N64" s="75">
        <f>IFERROR(Calculations!$AG$908,"")</f>
        <v>0</v>
      </c>
      <c r="O64" s="75">
        <f>IFERROR(Calculations!$AH$908,"")</f>
        <v>0</v>
      </c>
    </row>
    <row r="65" spans="2:15">
      <c r="B65" s="70">
        <f>IF(Calculations!$U$909="","",Calculations!$U$909)</f>
        <v>0</v>
      </c>
      <c r="C65" s="75">
        <f>IFERROR(Calculations!$V$909,"")</f>
        <v>0</v>
      </c>
      <c r="D65" s="75">
        <f>IFERROR(Calculations!$W$909,"")</f>
        <v>0</v>
      </c>
      <c r="E65" s="75">
        <f>IFERROR(Calculations!$X$909,"")</f>
        <v>0</v>
      </c>
      <c r="F65" s="75">
        <f>IFERROR(Calculations!$Y$909,"")</f>
        <v>0</v>
      </c>
      <c r="G65" s="75">
        <f>IFERROR(Calculations!$Z$909,"")</f>
        <v>0</v>
      </c>
      <c r="H65" s="75">
        <f>IFERROR(Calculations!$AA$909,"")</f>
        <v>0</v>
      </c>
      <c r="I65" s="75">
        <f>IFERROR(Calculations!$AB$909,"")</f>
        <v>0</v>
      </c>
      <c r="J65" s="75">
        <f>IFERROR(Calculations!$AC$909,"")</f>
        <v>0</v>
      </c>
      <c r="K65" s="75">
        <f>IFERROR(Calculations!$AD$909,"")</f>
        <v>0</v>
      </c>
      <c r="L65" s="75">
        <f>IFERROR(Calculations!$AE$909,"")</f>
        <v>0</v>
      </c>
      <c r="M65" s="75">
        <f>IFERROR(Calculations!$AF$909,"")</f>
        <v>0</v>
      </c>
      <c r="N65" s="75">
        <f>IFERROR(Calculations!$AG$909,"")</f>
        <v>0</v>
      </c>
      <c r="O65" s="75">
        <f>IFERROR(Calculations!$AH$909,"")</f>
        <v>0</v>
      </c>
    </row>
    <row r="66" spans="2:15">
      <c r="B66" s="70">
        <f>IF(Calculations!$U$910="","",Calculations!$U$910)</f>
        <v>0</v>
      </c>
      <c r="C66" s="75">
        <f>IFERROR(Calculations!$V$910,"")</f>
        <v>0</v>
      </c>
      <c r="D66" s="75">
        <f>IFERROR(Calculations!$W$910,"")</f>
        <v>0</v>
      </c>
      <c r="E66" s="75">
        <f>IFERROR(Calculations!$X$910,"")</f>
        <v>0</v>
      </c>
      <c r="F66" s="75">
        <f>IFERROR(Calculations!$Y$910,"")</f>
        <v>0</v>
      </c>
      <c r="G66" s="75">
        <f>IFERROR(Calculations!$Z$910,"")</f>
        <v>0</v>
      </c>
      <c r="H66" s="75">
        <f>IFERROR(Calculations!$AA$910,"")</f>
        <v>0</v>
      </c>
      <c r="I66" s="75">
        <f>IFERROR(Calculations!$AB$910,"")</f>
        <v>0</v>
      </c>
      <c r="J66" s="75">
        <f>IFERROR(Calculations!$AC$910,"")</f>
        <v>0</v>
      </c>
      <c r="K66" s="75">
        <f>IFERROR(Calculations!$AD$910,"")</f>
        <v>0</v>
      </c>
      <c r="L66" s="75">
        <f>IFERROR(Calculations!$AE$910,"")</f>
        <v>0</v>
      </c>
      <c r="M66" s="75">
        <f>IFERROR(Calculations!$AF$910,"")</f>
        <v>0</v>
      </c>
      <c r="N66" s="75">
        <f>IFERROR(Calculations!$AG$910,"")</f>
        <v>0</v>
      </c>
      <c r="O66" s="75">
        <f>IFERROR(Calculations!$AH$910,"")</f>
        <v>0</v>
      </c>
    </row>
    <row r="67" spans="2:15">
      <c r="B67" s="70">
        <f>IF(Calculations!$U$911="","",Calculations!$U$911)</f>
        <v>0</v>
      </c>
      <c r="C67" s="75">
        <f>IFERROR(Calculations!$V$911,"")</f>
        <v>0</v>
      </c>
      <c r="D67" s="75">
        <f>IFERROR(Calculations!$W$911,"")</f>
        <v>0</v>
      </c>
      <c r="E67" s="75">
        <f>IFERROR(Calculations!$X$911,"")</f>
        <v>0</v>
      </c>
      <c r="F67" s="75">
        <f>IFERROR(Calculations!$Y$911,"")</f>
        <v>0</v>
      </c>
      <c r="G67" s="75">
        <f>IFERROR(Calculations!$Z$911,"")</f>
        <v>0</v>
      </c>
      <c r="H67" s="75">
        <f>IFERROR(Calculations!$AA$911,"")</f>
        <v>0</v>
      </c>
      <c r="I67" s="75">
        <f>IFERROR(Calculations!$AB$911,"")</f>
        <v>0</v>
      </c>
      <c r="J67" s="75">
        <f>IFERROR(Calculations!$AC$911,"")</f>
        <v>0</v>
      </c>
      <c r="K67" s="75">
        <f>IFERROR(Calculations!$AD$911,"")</f>
        <v>0</v>
      </c>
      <c r="L67" s="75">
        <f>IFERROR(Calculations!$AE$911,"")</f>
        <v>0</v>
      </c>
      <c r="M67" s="75">
        <f>IFERROR(Calculations!$AF$911,"")</f>
        <v>0</v>
      </c>
      <c r="N67" s="75">
        <f>IFERROR(Calculations!$AG$911,"")</f>
        <v>0</v>
      </c>
      <c r="O67" s="75">
        <f>IFERROR(Calculations!$AH$911,"")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Safety Awards'!A1" display="◀ Register"/>
  </hyperlinks>
  <pageMargins left="0.3" right="0.3" top="0.4" bottom="0.4" header="0.3" footer="0.3"/>
  <pageSetup fitToHeight="0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54">
    <tabColor rgb="FF14B8A6"/>
    <pageSetUpPr fitToPage="1"/>
  </sheetPr>
  <dimension ref="A1:S81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2452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2453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2454</v>
      </c>
      <c r="C13" s="39"/>
      <c r="D13" s="39"/>
      <c r="E13" s="39"/>
      <c r="F13" s="39" t="s">
        <v>2455</v>
      </c>
      <c r="G13" s="39"/>
      <c r="H13" s="39"/>
      <c r="I13" s="39"/>
      <c r="J13" s="39" t="s">
        <v>2456</v>
      </c>
      <c r="K13" s="39"/>
      <c r="L13" s="39"/>
      <c r="M13" s="39"/>
      <c r="N13" s="39" t="s">
        <v>2457</v>
      </c>
      <c r="O13" s="39"/>
      <c r="P13" s="39"/>
      <c r="Q13" s="39"/>
    </row>
    <row r="14" spans="2:19">
      <c r="B14" s="41">
        <f>Calculations!$N$932</f>
        <v>0</v>
      </c>
      <c r="C14" s="41"/>
      <c r="D14" s="41"/>
      <c r="E14" s="41"/>
      <c r="F14" s="41">
        <f>Calculations!$N$933</f>
        <v>0</v>
      </c>
      <c r="G14" s="41"/>
      <c r="H14" s="41"/>
      <c r="I14" s="41"/>
      <c r="J14" s="41">
        <f>Calculations!$N$934</f>
        <v>0</v>
      </c>
      <c r="K14" s="41"/>
      <c r="L14" s="41"/>
      <c r="M14" s="41"/>
      <c r="N14" s="41">
        <f>Calculations!$N$935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2383</v>
      </c>
      <c r="C19" s="39"/>
      <c r="D19" s="39"/>
      <c r="E19" s="39"/>
      <c r="F19" s="39" t="s">
        <v>2458</v>
      </c>
      <c r="G19" s="39"/>
      <c r="H19" s="39"/>
      <c r="I19" s="39"/>
      <c r="J19" s="39" t="s">
        <v>2459</v>
      </c>
      <c r="K19" s="39"/>
      <c r="L19" s="39"/>
      <c r="M19" s="39"/>
      <c r="N19" s="39" t="s">
        <v>2460</v>
      </c>
      <c r="O19" s="39"/>
      <c r="P19" s="39"/>
      <c r="Q19" s="39"/>
    </row>
    <row r="20" spans="2:19">
      <c r="B20" s="41">
        <f>Calculations!$N$936</f>
        <v>0</v>
      </c>
      <c r="C20" s="41"/>
      <c r="D20" s="41"/>
      <c r="E20" s="41"/>
      <c r="F20" s="41">
        <f>Calculations!$N$937</f>
        <v>0</v>
      </c>
      <c r="G20" s="41"/>
      <c r="H20" s="41"/>
      <c r="I20" s="41"/>
      <c r="J20" s="41">
        <f>Calculations!$N$938</f>
        <v>0</v>
      </c>
      <c r="K20" s="41"/>
      <c r="L20" s="41"/>
      <c r="M20" s="41"/>
      <c r="N20" s="41">
        <f>Calculations!$N$939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"&amp;INDEX(Calculations!$C$932:$C$943,CurMonthNo)&amp;"   vs   "&amp;INDEX(L_Month,CurMonthNo-1)&amp;": "&amp;INDEX(Calculations!$C$932:$C$943,CurMonthNo-1)&amp;"   "&amp;IF(INDEX(Calculations!$C$932:$C$943,CurMonthNo)&gt;=INDEX(Calculations!$C$932:$C$943,CurMonthNo-1),"▲ ","▼ ")&amp;TEXT(IFERROR((INDEX(Calculations!$C$932:$C$943,CurMonthNo)-INDEX(Calculations!$C$932:$C$943,CurMonthNo-1))/INDEX(Calculations!$C$932:$C$943,CurMonthNo-1),0),"+0.0%;-0.0%")))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1770</v>
      </c>
      <c r="E44" s="57" t="s">
        <v>1770</v>
      </c>
    </row>
    <row r="45" spans="2:19">
      <c r="B45" s="70">
        <f>IFERROR(Calculations!$P$932,"")</f>
        <v>0</v>
      </c>
      <c r="C45" s="75">
        <f>IFERROR(Calculations!$Q$932,"")</f>
        <v>0</v>
      </c>
      <c r="D45" s="75">
        <f>IFERROR(Calculations!$R$932,"")</f>
        <v>0</v>
      </c>
      <c r="E45" s="75">
        <f>IFERROR(Calculations!$S$932,"")</f>
        <v>0</v>
      </c>
    </row>
    <row r="46" spans="2:19">
      <c r="B46" s="70">
        <f>IFERROR(Calculations!$P$933,"")</f>
        <v>0</v>
      </c>
      <c r="C46" s="75">
        <f>IFERROR(Calculations!$Q$933,"")</f>
        <v>0</v>
      </c>
      <c r="D46" s="75">
        <f>IFERROR(Calculations!$R$933,"")</f>
        <v>0</v>
      </c>
      <c r="E46" s="75">
        <f>IFERROR(Calculations!$S$933,"")</f>
        <v>0</v>
      </c>
    </row>
    <row r="47" spans="2:19">
      <c r="B47" s="70">
        <f>IFERROR(Calculations!$P$934,"")</f>
        <v>0</v>
      </c>
      <c r="C47" s="75">
        <f>IFERROR(Calculations!$Q$934,"")</f>
        <v>0</v>
      </c>
      <c r="D47" s="75">
        <f>IFERROR(Calculations!$R$934,"")</f>
        <v>0</v>
      </c>
      <c r="E47" s="75">
        <f>IFERROR(Calculations!$S$934,"")</f>
        <v>0</v>
      </c>
    </row>
    <row r="48" spans="2:19">
      <c r="B48" s="70">
        <f>IFERROR(Calculations!$P$935,"")</f>
        <v>0</v>
      </c>
      <c r="C48" s="75">
        <f>IFERROR(Calculations!$Q$935,"")</f>
        <v>0</v>
      </c>
      <c r="D48" s="75">
        <f>IFERROR(Calculations!$R$935,"")</f>
        <v>0</v>
      </c>
      <c r="E48" s="75">
        <f>IFERROR(Calculations!$S$935,"")</f>
        <v>0</v>
      </c>
    </row>
    <row r="49" spans="2:19">
      <c r="B49" s="70">
        <f>IFERROR(Calculations!$P$936,"")</f>
        <v>0</v>
      </c>
      <c r="C49" s="75">
        <f>IFERROR(Calculations!$Q$936,"")</f>
        <v>0</v>
      </c>
      <c r="D49" s="75">
        <f>IFERROR(Calculations!$R$936,"")</f>
        <v>0</v>
      </c>
      <c r="E49" s="75">
        <f>IFERROR(Calculations!$S$936,"")</f>
        <v>0</v>
      </c>
    </row>
    <row r="50" spans="2:19">
      <c r="B50" s="70">
        <f>IFERROR(Calculations!$P$937,"")</f>
        <v>0</v>
      </c>
      <c r="C50" s="75">
        <f>IFERROR(Calculations!$Q$937,"")</f>
        <v>0</v>
      </c>
      <c r="D50" s="75">
        <f>IFERROR(Calculations!$R$937,"")</f>
        <v>0</v>
      </c>
      <c r="E50" s="75">
        <f>IFERROR(Calculations!$S$937,"")</f>
        <v>0</v>
      </c>
    </row>
    <row r="51" spans="2:19">
      <c r="B51" s="70">
        <f>IFERROR(Calculations!$P$938,"")</f>
        <v>0</v>
      </c>
      <c r="C51" s="75">
        <f>IFERROR(Calculations!$Q$938,"")</f>
        <v>0</v>
      </c>
      <c r="D51" s="75">
        <f>IFERROR(Calculations!$R$938,"")</f>
        <v>0</v>
      </c>
      <c r="E51" s="75">
        <f>IFERROR(Calculations!$S$938,"")</f>
        <v>0</v>
      </c>
    </row>
    <row r="52" spans="2:19">
      <c r="B52" s="70">
        <f>IFERROR(Calculations!$P$939,"")</f>
        <v>0</v>
      </c>
      <c r="C52" s="75">
        <f>IFERROR(Calculations!$Q$939,"")</f>
        <v>0</v>
      </c>
      <c r="D52" s="75">
        <f>IFERROR(Calculations!$R$939,"")</f>
        <v>0</v>
      </c>
      <c r="E52" s="75">
        <f>IFERROR(Calculations!$S$939,"")</f>
        <v>0</v>
      </c>
    </row>
    <row r="53" spans="2:19">
      <c r="B53" s="70">
        <f>IFERROR(Calculations!$P$940,"")</f>
        <v>0</v>
      </c>
      <c r="C53" s="75">
        <f>IFERROR(Calculations!$Q$940,"")</f>
        <v>0</v>
      </c>
      <c r="D53" s="75">
        <f>IFERROR(Calculations!$R$940,"")</f>
        <v>0</v>
      </c>
      <c r="E53" s="75">
        <f>IFERROR(Calculations!$S$940,"")</f>
        <v>0</v>
      </c>
    </row>
    <row r="54" spans="2:19">
      <c r="B54" s="70">
        <f>IFERROR(Calculations!$P$941,"")</f>
        <v>0</v>
      </c>
      <c r="C54" s="75">
        <f>IFERROR(Calculations!$Q$941,"")</f>
        <v>0</v>
      </c>
      <c r="D54" s="75">
        <f>IFERROR(Calculations!$R$941,"")</f>
        <v>0</v>
      </c>
      <c r="E54" s="75">
        <f>IFERROR(Calculations!$S$941,"")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IF(Calculations!$U$932="","",Calculations!$U$932)</f>
        <v>0</v>
      </c>
      <c r="C62" s="75">
        <f>IFERROR(Calculations!$V$932,"")</f>
        <v>0</v>
      </c>
      <c r="D62" s="75">
        <f>IFERROR(Calculations!$W$932,"")</f>
        <v>0</v>
      </c>
      <c r="E62" s="75">
        <f>IFERROR(Calculations!$X$932,"")</f>
        <v>0</v>
      </c>
      <c r="F62" s="75">
        <f>IFERROR(Calculations!$Y$932,"")</f>
        <v>0</v>
      </c>
      <c r="G62" s="75">
        <f>IFERROR(Calculations!$Z$932,"")</f>
        <v>0</v>
      </c>
      <c r="H62" s="75">
        <f>IFERROR(Calculations!$AA$932,"")</f>
        <v>0</v>
      </c>
      <c r="I62" s="75">
        <f>IFERROR(Calculations!$AB$932,"")</f>
        <v>0</v>
      </c>
      <c r="J62" s="75">
        <f>IFERROR(Calculations!$AC$932,"")</f>
        <v>0</v>
      </c>
      <c r="K62" s="75">
        <f>IFERROR(Calculations!$AD$932,"")</f>
        <v>0</v>
      </c>
      <c r="L62" s="75">
        <f>IFERROR(Calculations!$AE$932,"")</f>
        <v>0</v>
      </c>
      <c r="M62" s="75">
        <f>IFERROR(Calculations!$AF$932,"")</f>
        <v>0</v>
      </c>
      <c r="N62" s="75">
        <f>IFERROR(Calculations!$AG$932,"")</f>
        <v>0</v>
      </c>
      <c r="O62" s="75">
        <f>IFERROR(Calculations!$AH$932,"")</f>
        <v>0</v>
      </c>
    </row>
    <row r="63" spans="2:19">
      <c r="B63" s="70">
        <f>IF(Calculations!$U$933="","",Calculations!$U$933)</f>
        <v>0</v>
      </c>
      <c r="C63" s="75">
        <f>IFERROR(Calculations!$V$933,"")</f>
        <v>0</v>
      </c>
      <c r="D63" s="75">
        <f>IFERROR(Calculations!$W$933,"")</f>
        <v>0</v>
      </c>
      <c r="E63" s="75">
        <f>IFERROR(Calculations!$X$933,"")</f>
        <v>0</v>
      </c>
      <c r="F63" s="75">
        <f>IFERROR(Calculations!$Y$933,"")</f>
        <v>0</v>
      </c>
      <c r="G63" s="75">
        <f>IFERROR(Calculations!$Z$933,"")</f>
        <v>0</v>
      </c>
      <c r="H63" s="75">
        <f>IFERROR(Calculations!$AA$933,"")</f>
        <v>0</v>
      </c>
      <c r="I63" s="75">
        <f>IFERROR(Calculations!$AB$933,"")</f>
        <v>0</v>
      </c>
      <c r="J63" s="75">
        <f>IFERROR(Calculations!$AC$933,"")</f>
        <v>0</v>
      </c>
      <c r="K63" s="75">
        <f>IFERROR(Calculations!$AD$933,"")</f>
        <v>0</v>
      </c>
      <c r="L63" s="75">
        <f>IFERROR(Calculations!$AE$933,"")</f>
        <v>0</v>
      </c>
      <c r="M63" s="75">
        <f>IFERROR(Calculations!$AF$933,"")</f>
        <v>0</v>
      </c>
      <c r="N63" s="75">
        <f>IFERROR(Calculations!$AG$933,"")</f>
        <v>0</v>
      </c>
      <c r="O63" s="75">
        <f>IFERROR(Calculations!$AH$933,"")</f>
        <v>0</v>
      </c>
    </row>
    <row r="64" spans="2:19">
      <c r="B64" s="70">
        <f>IF(Calculations!$U$934="","",Calculations!$U$934)</f>
        <v>0</v>
      </c>
      <c r="C64" s="75">
        <f>IFERROR(Calculations!$V$934,"")</f>
        <v>0</v>
      </c>
      <c r="D64" s="75">
        <f>IFERROR(Calculations!$W$934,"")</f>
        <v>0</v>
      </c>
      <c r="E64" s="75">
        <f>IFERROR(Calculations!$X$934,"")</f>
        <v>0</v>
      </c>
      <c r="F64" s="75">
        <f>IFERROR(Calculations!$Y$934,"")</f>
        <v>0</v>
      </c>
      <c r="G64" s="75">
        <f>IFERROR(Calculations!$Z$934,"")</f>
        <v>0</v>
      </c>
      <c r="H64" s="75">
        <f>IFERROR(Calculations!$AA$934,"")</f>
        <v>0</v>
      </c>
      <c r="I64" s="75">
        <f>IFERROR(Calculations!$AB$934,"")</f>
        <v>0</v>
      </c>
      <c r="J64" s="75">
        <f>IFERROR(Calculations!$AC$934,"")</f>
        <v>0</v>
      </c>
      <c r="K64" s="75">
        <f>IFERROR(Calculations!$AD$934,"")</f>
        <v>0</v>
      </c>
      <c r="L64" s="75">
        <f>IFERROR(Calculations!$AE$934,"")</f>
        <v>0</v>
      </c>
      <c r="M64" s="75">
        <f>IFERROR(Calculations!$AF$934,"")</f>
        <v>0</v>
      </c>
      <c r="N64" s="75">
        <f>IFERROR(Calculations!$AG$934,"")</f>
        <v>0</v>
      </c>
      <c r="O64" s="75">
        <f>IFERROR(Calculations!$AH$934,"")</f>
        <v>0</v>
      </c>
    </row>
    <row r="65" spans="2:19">
      <c r="B65" s="70">
        <f>IF(Calculations!$U$935="","",Calculations!$U$935)</f>
        <v>0</v>
      </c>
      <c r="C65" s="75">
        <f>IFERROR(Calculations!$V$935,"")</f>
        <v>0</v>
      </c>
      <c r="D65" s="75">
        <f>IFERROR(Calculations!$W$935,"")</f>
        <v>0</v>
      </c>
      <c r="E65" s="75">
        <f>IFERROR(Calculations!$X$935,"")</f>
        <v>0</v>
      </c>
      <c r="F65" s="75">
        <f>IFERROR(Calculations!$Y$935,"")</f>
        <v>0</v>
      </c>
      <c r="G65" s="75">
        <f>IFERROR(Calculations!$Z$935,"")</f>
        <v>0</v>
      </c>
      <c r="H65" s="75">
        <f>IFERROR(Calculations!$AA$935,"")</f>
        <v>0</v>
      </c>
      <c r="I65" s="75">
        <f>IFERROR(Calculations!$AB$935,"")</f>
        <v>0</v>
      </c>
      <c r="J65" s="75">
        <f>IFERROR(Calculations!$AC$935,"")</f>
        <v>0</v>
      </c>
      <c r="K65" s="75">
        <f>IFERROR(Calculations!$AD$935,"")</f>
        <v>0</v>
      </c>
      <c r="L65" s="75">
        <f>IFERROR(Calculations!$AE$935,"")</f>
        <v>0</v>
      </c>
      <c r="M65" s="75">
        <f>IFERROR(Calculations!$AF$935,"")</f>
        <v>0</v>
      </c>
      <c r="N65" s="75">
        <f>IFERROR(Calculations!$AG$935,"")</f>
        <v>0</v>
      </c>
      <c r="O65" s="75">
        <f>IFERROR(Calculations!$AH$935,"")</f>
        <v>0</v>
      </c>
    </row>
    <row r="66" spans="2:19">
      <c r="B66" s="70">
        <f>IF(Calculations!$U$936="","",Calculations!$U$936)</f>
        <v>0</v>
      </c>
      <c r="C66" s="75">
        <f>IFERROR(Calculations!$V$936,"")</f>
        <v>0</v>
      </c>
      <c r="D66" s="75">
        <f>IFERROR(Calculations!$W$936,"")</f>
        <v>0</v>
      </c>
      <c r="E66" s="75">
        <f>IFERROR(Calculations!$X$936,"")</f>
        <v>0</v>
      </c>
      <c r="F66" s="75">
        <f>IFERROR(Calculations!$Y$936,"")</f>
        <v>0</v>
      </c>
      <c r="G66" s="75">
        <f>IFERROR(Calculations!$Z$936,"")</f>
        <v>0</v>
      </c>
      <c r="H66" s="75">
        <f>IFERROR(Calculations!$AA$936,"")</f>
        <v>0</v>
      </c>
      <c r="I66" s="75">
        <f>IFERROR(Calculations!$AB$936,"")</f>
        <v>0</v>
      </c>
      <c r="J66" s="75">
        <f>IFERROR(Calculations!$AC$936,"")</f>
        <v>0</v>
      </c>
      <c r="K66" s="75">
        <f>IFERROR(Calculations!$AD$936,"")</f>
        <v>0</v>
      </c>
      <c r="L66" s="75">
        <f>IFERROR(Calculations!$AE$936,"")</f>
        <v>0</v>
      </c>
      <c r="M66" s="75">
        <f>IFERROR(Calculations!$AF$936,"")</f>
        <v>0</v>
      </c>
      <c r="N66" s="75">
        <f>IFERROR(Calculations!$AG$936,"")</f>
        <v>0</v>
      </c>
      <c r="O66" s="75">
        <f>IFERROR(Calculations!$AH$936,"")</f>
        <v>0</v>
      </c>
    </row>
    <row r="67" spans="2:19">
      <c r="B67" s="70">
        <f>IF(Calculations!$U$937="","",Calculations!$U$937)</f>
        <v>0</v>
      </c>
      <c r="C67" s="75">
        <f>IFERROR(Calculations!$V$937,"")</f>
        <v>0</v>
      </c>
      <c r="D67" s="75">
        <f>IFERROR(Calculations!$W$937,"")</f>
        <v>0</v>
      </c>
      <c r="E67" s="75">
        <f>IFERROR(Calculations!$X$937,"")</f>
        <v>0</v>
      </c>
      <c r="F67" s="75">
        <f>IFERROR(Calculations!$Y$937,"")</f>
        <v>0</v>
      </c>
      <c r="G67" s="75">
        <f>IFERROR(Calculations!$Z$937,"")</f>
        <v>0</v>
      </c>
      <c r="H67" s="75">
        <f>IFERROR(Calculations!$AA$937,"")</f>
        <v>0</v>
      </c>
      <c r="I67" s="75">
        <f>IFERROR(Calculations!$AB$937,"")</f>
        <v>0</v>
      </c>
      <c r="J67" s="75">
        <f>IFERROR(Calculations!$AC$937,"")</f>
        <v>0</v>
      </c>
      <c r="K67" s="75">
        <f>IFERROR(Calculations!$AD$937,"")</f>
        <v>0</v>
      </c>
      <c r="L67" s="75">
        <f>IFERROR(Calculations!$AE$937,"")</f>
        <v>0</v>
      </c>
      <c r="M67" s="75">
        <f>IFERROR(Calculations!$AF$937,"")</f>
        <v>0</v>
      </c>
      <c r="N67" s="75">
        <f>IFERROR(Calculations!$AG$937,"")</f>
        <v>0</v>
      </c>
      <c r="O67" s="75">
        <f>IFERROR(Calculations!$AH$937,"")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B71" s="57" t="s">
        <v>129</v>
      </c>
      <c r="C71" s="57" t="s">
        <v>2363</v>
      </c>
    </row>
    <row r="72" spans="2:19">
      <c r="B72" s="70">
        <f>INDEX(Calculations!$F$478:$F$482,1)</f>
        <v>0</v>
      </c>
      <c r="C72" s="75">
        <f>INDEX(Calculations!$G$478:$G$482,1)</f>
        <v>0</v>
      </c>
    </row>
    <row r="73" spans="2:19">
      <c r="B73" s="70">
        <f>INDEX(Calculations!$F$478:$F$482,2)</f>
        <v>0</v>
      </c>
      <c r="C73" s="75">
        <f>INDEX(Calculations!$G$478:$G$482,2)</f>
        <v>0</v>
      </c>
    </row>
    <row r="74" spans="2:19">
      <c r="B74" s="70">
        <f>INDEX(Calculations!$F$478:$F$482,3)</f>
        <v>0</v>
      </c>
      <c r="C74" s="75">
        <f>INDEX(Calculations!$G$478:$G$482,3)</f>
        <v>0</v>
      </c>
    </row>
    <row r="75" spans="2:19">
      <c r="B75" s="70">
        <f>INDEX(Calculations!$F$478:$F$482,4)</f>
        <v>0</v>
      </c>
      <c r="C75" s="75">
        <f>INDEX(Calculations!$G$478:$G$482,4)</f>
        <v>0</v>
      </c>
    </row>
    <row r="76" spans="2:19">
      <c r="B76" s="70">
        <f>INDEX(Calculations!$F$478:$F$482,5)</f>
        <v>0</v>
      </c>
      <c r="C76" s="75">
        <f>INDEX(Calculations!$G$478:$G$482,5)</f>
        <v>0</v>
      </c>
    </row>
    <row r="79" spans="2:19">
      <c r="B79" s="88" t="s">
        <v>2461</v>
      </c>
      <c r="C79" s="88"/>
      <c r="D79" s="88"/>
      <c r="E79" s="88"/>
      <c r="F79" s="88"/>
      <c r="G79" s="88"/>
      <c r="H79" s="88"/>
      <c r="I79" s="88"/>
      <c r="J79" s="88"/>
      <c r="K79" s="88"/>
    </row>
    <row r="80" spans="2:19">
      <c r="B80" s="89">
        <f>SUMIFS('Stop Work Authority'!$J$4:$J$100003,'Stop Work Authority'!$D$4:$D$100003,mCrit,'Stop Work Authority'!$F$4:$F$100003,dCrit)*CostPerDowntimeMin</f>
        <v>0</v>
      </c>
      <c r="C80" s="89"/>
      <c r="D80" s="89"/>
      <c r="E80" s="89"/>
      <c r="F80" s="89"/>
      <c r="G80" s="89"/>
      <c r="H80" s="89"/>
      <c r="I80" s="89"/>
      <c r="J80" s="89"/>
      <c r="K80" s="89"/>
    </row>
    <row r="81" spans="2:11">
      <c r="B81" s="89"/>
      <c r="C81" s="89"/>
      <c r="D81" s="89"/>
      <c r="E81" s="89"/>
      <c r="F81" s="89"/>
      <c r="G81" s="89"/>
      <c r="H81" s="89"/>
      <c r="I81" s="89"/>
      <c r="J81" s="89"/>
      <c r="K81" s="89"/>
    </row>
  </sheetData>
  <mergeCells count="46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  <mergeCell ref="B79:K79"/>
    <mergeCell ref="B80:K81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72:C76">
    <cfRule type="dataBar" priority="2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Stop Work Authority'!A1" display="◀ Register"/>
  </hyperlinks>
  <pageMargins left="0.3" right="0.3" top="0.4" bottom="0.4" header="0.3" footer="0.3"/>
  <pageSetup fitToHeight="0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55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2462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2463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2464</v>
      </c>
      <c r="C13" s="39"/>
      <c r="D13" s="39"/>
      <c r="E13" s="39"/>
      <c r="F13" s="39" t="s">
        <v>2465</v>
      </c>
      <c r="G13" s="39"/>
      <c r="H13" s="39"/>
      <c r="I13" s="39"/>
      <c r="J13" s="39" t="s">
        <v>2466</v>
      </c>
      <c r="K13" s="39"/>
      <c r="L13" s="39"/>
      <c r="M13" s="39"/>
      <c r="N13" s="39" t="s">
        <v>2372</v>
      </c>
      <c r="O13" s="39"/>
      <c r="P13" s="39"/>
      <c r="Q13" s="39"/>
    </row>
    <row r="14" spans="2:19">
      <c r="B14" s="41">
        <f>Calculations!$N$958</f>
        <v>0</v>
      </c>
      <c r="C14" s="41"/>
      <c r="D14" s="41"/>
      <c r="E14" s="41"/>
      <c r="F14" s="41">
        <f>Calculations!$N$959</f>
        <v>0</v>
      </c>
      <c r="G14" s="41"/>
      <c r="H14" s="41"/>
      <c r="I14" s="41"/>
      <c r="J14" s="41">
        <f>Calculations!$N$960</f>
        <v>0</v>
      </c>
      <c r="K14" s="41"/>
      <c r="L14" s="41"/>
      <c r="M14" s="41"/>
      <c r="N14" s="42">
        <f>Calculations!$N$961</f>
        <v>0</v>
      </c>
      <c r="O14" s="42"/>
      <c r="P14" s="42"/>
      <c r="Q14" s="42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  <c r="O15" s="42"/>
      <c r="P15" s="42"/>
      <c r="Q15" s="42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2467</v>
      </c>
      <c r="C19" s="39"/>
      <c r="D19" s="39"/>
      <c r="E19" s="39"/>
      <c r="F19" s="39" t="s">
        <v>2468</v>
      </c>
      <c r="G19" s="39"/>
      <c r="H19" s="39"/>
      <c r="I19" s="39"/>
      <c r="J19" s="39" t="s">
        <v>2469</v>
      </c>
      <c r="K19" s="39"/>
      <c r="L19" s="39"/>
      <c r="M19" s="39"/>
      <c r="N19" s="39" t="s">
        <v>2470</v>
      </c>
      <c r="O19" s="39"/>
      <c r="P19" s="39"/>
      <c r="Q19" s="39"/>
    </row>
    <row r="20" spans="2:19">
      <c r="B20" s="41">
        <f>Calculations!$N$962</f>
        <v>0</v>
      </c>
      <c r="C20" s="41"/>
      <c r="D20" s="41"/>
      <c r="E20" s="41"/>
      <c r="F20" s="41">
        <f>Calculations!$N$963</f>
        <v>0</v>
      </c>
      <c r="G20" s="41"/>
      <c r="H20" s="41"/>
      <c r="I20" s="41"/>
      <c r="J20" s="41">
        <f>Calculations!$N$964</f>
        <v>0</v>
      </c>
      <c r="K20" s="41"/>
      <c r="L20" s="41"/>
      <c r="M20" s="41"/>
      <c r="N20" s="41">
        <f>Calculations!$N$965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"&amp;INDEX(Calculations!$C$958:$C$969,CurMonthNo)&amp;"   vs   "&amp;INDEX(L_Month,CurMonthNo-1)&amp;": "&amp;INDEX(Calculations!$C$958:$C$969,CurMonthNo-1)&amp;"   "&amp;IF(INDEX(Calculations!$C$958:$C$969,CurMonthNo)&gt;=INDEX(Calculations!$C$958:$C$969,CurMonthNo-1),"▲ ","▼ ")&amp;TEXT(IFERROR((INDEX(Calculations!$C$958:$C$969,CurMonthNo)-INDEX(Calculations!$C$958:$C$969,CurMonthNo-1))/INDEX(Calculations!$C$958:$C$969,CurMonthNo-1),0),"+0.0%;-0.0%")))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IFERROR(Calculations!$P$958,"")</f>
        <v>0</v>
      </c>
      <c r="C45" s="75">
        <f>IFERROR(Calculations!$Q$958,"")</f>
        <v>0</v>
      </c>
      <c r="D45" s="76">
        <f>IFERROR(Calculations!$R$958,"")</f>
        <v>0</v>
      </c>
      <c r="E45" s="75">
        <f>IFERROR(Calculations!$S$958,"")</f>
        <v>0</v>
      </c>
    </row>
    <row r="46" spans="2:19">
      <c r="B46" s="70">
        <f>IFERROR(Calculations!$P$959,"")</f>
        <v>0</v>
      </c>
      <c r="C46" s="75">
        <f>IFERROR(Calculations!$Q$959,"")</f>
        <v>0</v>
      </c>
      <c r="D46" s="76">
        <f>IFERROR(Calculations!$R$959,"")</f>
        <v>0</v>
      </c>
      <c r="E46" s="75">
        <f>IFERROR(Calculations!$S$959,"")</f>
        <v>0</v>
      </c>
    </row>
    <row r="47" spans="2:19">
      <c r="B47" s="70">
        <f>IFERROR(Calculations!$P$960,"")</f>
        <v>0</v>
      </c>
      <c r="C47" s="75">
        <f>IFERROR(Calculations!$Q$960,"")</f>
        <v>0</v>
      </c>
      <c r="D47" s="76">
        <f>IFERROR(Calculations!$R$960,"")</f>
        <v>0</v>
      </c>
      <c r="E47" s="75">
        <f>IFERROR(Calculations!$S$960,"")</f>
        <v>0</v>
      </c>
    </row>
    <row r="48" spans="2:19">
      <c r="B48" s="70">
        <f>IFERROR(Calculations!$P$961,"")</f>
        <v>0</v>
      </c>
      <c r="C48" s="75">
        <f>IFERROR(Calculations!$Q$961,"")</f>
        <v>0</v>
      </c>
      <c r="D48" s="76">
        <f>IFERROR(Calculations!$R$961,"")</f>
        <v>0</v>
      </c>
      <c r="E48" s="75">
        <f>IFERROR(Calculations!$S$961,"")</f>
        <v>0</v>
      </c>
    </row>
    <row r="49" spans="2:19">
      <c r="B49" s="70">
        <f>IFERROR(Calculations!$P$962,"")</f>
        <v>0</v>
      </c>
      <c r="C49" s="75">
        <f>IFERROR(Calculations!$Q$962,"")</f>
        <v>0</v>
      </c>
      <c r="D49" s="76">
        <f>IFERROR(Calculations!$R$962,"")</f>
        <v>0</v>
      </c>
      <c r="E49" s="75">
        <f>IFERROR(Calculations!$S$962,"")</f>
        <v>0</v>
      </c>
    </row>
    <row r="50" spans="2:19">
      <c r="B50" s="70">
        <f>IFERROR(Calculations!$P$963,"")</f>
        <v>0</v>
      </c>
      <c r="C50" s="75">
        <f>IFERROR(Calculations!$Q$963,"")</f>
        <v>0</v>
      </c>
      <c r="D50" s="76">
        <f>IFERROR(Calculations!$R$963,"")</f>
        <v>0</v>
      </c>
      <c r="E50" s="75">
        <f>IFERROR(Calculations!$S$963,"")</f>
        <v>0</v>
      </c>
    </row>
    <row r="51" spans="2:19">
      <c r="B51" s="70">
        <f>IFERROR(Calculations!$P$964,"")</f>
        <v>0</v>
      </c>
      <c r="C51" s="75">
        <f>IFERROR(Calculations!$Q$964,"")</f>
        <v>0</v>
      </c>
      <c r="D51" s="76">
        <f>IFERROR(Calculations!$R$964,"")</f>
        <v>0</v>
      </c>
      <c r="E51" s="75">
        <f>IFERROR(Calculations!$S$964,"")</f>
        <v>0</v>
      </c>
    </row>
    <row r="52" spans="2:19">
      <c r="B52" s="70">
        <f>IFERROR(Calculations!$P$965,"")</f>
        <v>0</v>
      </c>
      <c r="C52" s="75">
        <f>IFERROR(Calculations!$Q$965,"")</f>
        <v>0</v>
      </c>
      <c r="D52" s="76">
        <f>IFERROR(Calculations!$R$965,"")</f>
        <v>0</v>
      </c>
      <c r="E52" s="75">
        <f>IFERROR(Calculations!$S$965,"")</f>
        <v>0</v>
      </c>
    </row>
    <row r="53" spans="2:19">
      <c r="B53" s="70">
        <f>IFERROR(Calculations!$P$966,"")</f>
        <v>0</v>
      </c>
      <c r="C53" s="75">
        <f>IFERROR(Calculations!$Q$966,"")</f>
        <v>0</v>
      </c>
      <c r="D53" s="76">
        <f>IFERROR(Calculations!$R$966,"")</f>
        <v>0</v>
      </c>
      <c r="E53" s="75">
        <f>IFERROR(Calculations!$S$966,"")</f>
        <v>0</v>
      </c>
    </row>
    <row r="54" spans="2:19">
      <c r="B54" s="70">
        <f>IFERROR(Calculations!$P$967,"")</f>
        <v>0</v>
      </c>
      <c r="C54" s="75">
        <f>IFERROR(Calculations!$Q$967,"")</f>
        <v>0</v>
      </c>
      <c r="D54" s="76">
        <f>IFERROR(Calculations!$R$967,"")</f>
        <v>0</v>
      </c>
      <c r="E54" s="75">
        <f>IFERROR(Calculations!$S$967,"")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IF(Calculations!$U$958="","",Calculations!$U$958)</f>
        <v>0</v>
      </c>
      <c r="C62" s="75">
        <f>IFERROR(Calculations!$V$958,"")</f>
        <v>0</v>
      </c>
      <c r="D62" s="75">
        <f>IFERROR(Calculations!$W$958,"")</f>
        <v>0</v>
      </c>
      <c r="E62" s="75">
        <f>IFERROR(Calculations!$X$958,"")</f>
        <v>0</v>
      </c>
      <c r="F62" s="75">
        <f>IFERROR(Calculations!$Y$958,"")</f>
        <v>0</v>
      </c>
      <c r="G62" s="75">
        <f>IFERROR(Calculations!$Z$958,"")</f>
        <v>0</v>
      </c>
      <c r="H62" s="75">
        <f>IFERROR(Calculations!$AA$958,"")</f>
        <v>0</v>
      </c>
      <c r="I62" s="75">
        <f>IFERROR(Calculations!$AB$958,"")</f>
        <v>0</v>
      </c>
      <c r="J62" s="75">
        <f>IFERROR(Calculations!$AC$958,"")</f>
        <v>0</v>
      </c>
      <c r="K62" s="75">
        <f>IFERROR(Calculations!$AD$958,"")</f>
        <v>0</v>
      </c>
      <c r="L62" s="75">
        <f>IFERROR(Calculations!$AE$958,"")</f>
        <v>0</v>
      </c>
      <c r="M62" s="75">
        <f>IFERROR(Calculations!$AF$958,"")</f>
        <v>0</v>
      </c>
      <c r="N62" s="75">
        <f>IFERROR(Calculations!$AG$958,"")</f>
        <v>0</v>
      </c>
      <c r="O62" s="75">
        <f>IFERROR(Calculations!$AH$958,"")</f>
        <v>0</v>
      </c>
    </row>
    <row r="63" spans="2:19">
      <c r="B63" s="70">
        <f>IF(Calculations!$U$959="","",Calculations!$U$959)</f>
        <v>0</v>
      </c>
      <c r="C63" s="75">
        <f>IFERROR(Calculations!$V$959,"")</f>
        <v>0</v>
      </c>
      <c r="D63" s="75">
        <f>IFERROR(Calculations!$W$959,"")</f>
        <v>0</v>
      </c>
      <c r="E63" s="75">
        <f>IFERROR(Calculations!$X$959,"")</f>
        <v>0</v>
      </c>
      <c r="F63" s="75">
        <f>IFERROR(Calculations!$Y$959,"")</f>
        <v>0</v>
      </c>
      <c r="G63" s="75">
        <f>IFERROR(Calculations!$Z$959,"")</f>
        <v>0</v>
      </c>
      <c r="H63" s="75">
        <f>IFERROR(Calculations!$AA$959,"")</f>
        <v>0</v>
      </c>
      <c r="I63" s="75">
        <f>IFERROR(Calculations!$AB$959,"")</f>
        <v>0</v>
      </c>
      <c r="J63" s="75">
        <f>IFERROR(Calculations!$AC$959,"")</f>
        <v>0</v>
      </c>
      <c r="K63" s="75">
        <f>IFERROR(Calculations!$AD$959,"")</f>
        <v>0</v>
      </c>
      <c r="L63" s="75">
        <f>IFERROR(Calculations!$AE$959,"")</f>
        <v>0</v>
      </c>
      <c r="M63" s="75">
        <f>IFERROR(Calculations!$AF$959,"")</f>
        <v>0</v>
      </c>
      <c r="N63" s="75">
        <f>IFERROR(Calculations!$AG$959,"")</f>
        <v>0</v>
      </c>
      <c r="O63" s="75">
        <f>IFERROR(Calculations!$AH$959,"")</f>
        <v>0</v>
      </c>
    </row>
    <row r="64" spans="2:19">
      <c r="B64" s="70">
        <f>IF(Calculations!$U$960="","",Calculations!$U$960)</f>
        <v>0</v>
      </c>
      <c r="C64" s="75">
        <f>IFERROR(Calculations!$V$960,"")</f>
        <v>0</v>
      </c>
      <c r="D64" s="75">
        <f>IFERROR(Calculations!$W$960,"")</f>
        <v>0</v>
      </c>
      <c r="E64" s="75">
        <f>IFERROR(Calculations!$X$960,"")</f>
        <v>0</v>
      </c>
      <c r="F64" s="75">
        <f>IFERROR(Calculations!$Y$960,"")</f>
        <v>0</v>
      </c>
      <c r="G64" s="75">
        <f>IFERROR(Calculations!$Z$960,"")</f>
        <v>0</v>
      </c>
      <c r="H64" s="75">
        <f>IFERROR(Calculations!$AA$960,"")</f>
        <v>0</v>
      </c>
      <c r="I64" s="75">
        <f>IFERROR(Calculations!$AB$960,"")</f>
        <v>0</v>
      </c>
      <c r="J64" s="75">
        <f>IFERROR(Calculations!$AC$960,"")</f>
        <v>0</v>
      </c>
      <c r="K64" s="75">
        <f>IFERROR(Calculations!$AD$960,"")</f>
        <v>0</v>
      </c>
      <c r="L64" s="75">
        <f>IFERROR(Calculations!$AE$960,"")</f>
        <v>0</v>
      </c>
      <c r="M64" s="75">
        <f>IFERROR(Calculations!$AF$960,"")</f>
        <v>0</v>
      </c>
      <c r="N64" s="75">
        <f>IFERROR(Calculations!$AG$960,"")</f>
        <v>0</v>
      </c>
      <c r="O64" s="75">
        <f>IFERROR(Calculations!$AH$960,"")</f>
        <v>0</v>
      </c>
    </row>
    <row r="65" spans="2:15">
      <c r="B65" s="70">
        <f>IF(Calculations!$U$961="","",Calculations!$U$961)</f>
        <v>0</v>
      </c>
      <c r="C65" s="75">
        <f>IFERROR(Calculations!$V$961,"")</f>
        <v>0</v>
      </c>
      <c r="D65" s="75">
        <f>IFERROR(Calculations!$W$961,"")</f>
        <v>0</v>
      </c>
      <c r="E65" s="75">
        <f>IFERROR(Calculations!$X$961,"")</f>
        <v>0</v>
      </c>
      <c r="F65" s="75">
        <f>IFERROR(Calculations!$Y$961,"")</f>
        <v>0</v>
      </c>
      <c r="G65" s="75">
        <f>IFERROR(Calculations!$Z$961,"")</f>
        <v>0</v>
      </c>
      <c r="H65" s="75">
        <f>IFERROR(Calculations!$AA$961,"")</f>
        <v>0</v>
      </c>
      <c r="I65" s="75">
        <f>IFERROR(Calculations!$AB$961,"")</f>
        <v>0</v>
      </c>
      <c r="J65" s="75">
        <f>IFERROR(Calculations!$AC$961,"")</f>
        <v>0</v>
      </c>
      <c r="K65" s="75">
        <f>IFERROR(Calculations!$AD$961,"")</f>
        <v>0</v>
      </c>
      <c r="L65" s="75">
        <f>IFERROR(Calculations!$AE$961,"")</f>
        <v>0</v>
      </c>
      <c r="M65" s="75">
        <f>IFERROR(Calculations!$AF$961,"")</f>
        <v>0</v>
      </c>
      <c r="N65" s="75">
        <f>IFERROR(Calculations!$AG$961,"")</f>
        <v>0</v>
      </c>
      <c r="O65" s="75">
        <f>IFERROR(Calculations!$AH$961,"")</f>
        <v>0</v>
      </c>
    </row>
    <row r="66" spans="2:15">
      <c r="B66" s="70">
        <f>IF(Calculations!$U$962="","",Calculations!$U$962)</f>
        <v>0</v>
      </c>
      <c r="C66" s="75">
        <f>IFERROR(Calculations!$V$962,"")</f>
        <v>0</v>
      </c>
      <c r="D66" s="75">
        <f>IFERROR(Calculations!$W$962,"")</f>
        <v>0</v>
      </c>
      <c r="E66" s="75">
        <f>IFERROR(Calculations!$X$962,"")</f>
        <v>0</v>
      </c>
      <c r="F66" s="75">
        <f>IFERROR(Calculations!$Y$962,"")</f>
        <v>0</v>
      </c>
      <c r="G66" s="75">
        <f>IFERROR(Calculations!$Z$962,"")</f>
        <v>0</v>
      </c>
      <c r="H66" s="75">
        <f>IFERROR(Calculations!$AA$962,"")</f>
        <v>0</v>
      </c>
      <c r="I66" s="75">
        <f>IFERROR(Calculations!$AB$962,"")</f>
        <v>0</v>
      </c>
      <c r="J66" s="75">
        <f>IFERROR(Calculations!$AC$962,"")</f>
        <v>0</v>
      </c>
      <c r="K66" s="75">
        <f>IFERROR(Calculations!$AD$962,"")</f>
        <v>0</v>
      </c>
      <c r="L66" s="75">
        <f>IFERROR(Calculations!$AE$962,"")</f>
        <v>0</v>
      </c>
      <c r="M66" s="75">
        <f>IFERROR(Calculations!$AF$962,"")</f>
        <v>0</v>
      </c>
      <c r="N66" s="75">
        <f>IFERROR(Calculations!$AG$962,"")</f>
        <v>0</v>
      </c>
      <c r="O66" s="75">
        <f>IFERROR(Calculations!$AH$962,"")</f>
        <v>0</v>
      </c>
    </row>
    <row r="67" spans="2:15">
      <c r="B67" s="70">
        <f>IF(Calculations!$U$963="","",Calculations!$U$963)</f>
        <v>0</v>
      </c>
      <c r="C67" s="75">
        <f>IFERROR(Calculations!$V$963,"")</f>
        <v>0</v>
      </c>
      <c r="D67" s="75">
        <f>IFERROR(Calculations!$W$963,"")</f>
        <v>0</v>
      </c>
      <c r="E67" s="75">
        <f>IFERROR(Calculations!$X$963,"")</f>
        <v>0</v>
      </c>
      <c r="F67" s="75">
        <f>IFERROR(Calculations!$Y$963,"")</f>
        <v>0</v>
      </c>
      <c r="G67" s="75">
        <f>IFERROR(Calculations!$Z$963,"")</f>
        <v>0</v>
      </c>
      <c r="H67" s="75">
        <f>IFERROR(Calculations!$AA$963,"")</f>
        <v>0</v>
      </c>
      <c r="I67" s="75">
        <f>IFERROR(Calculations!$AB$963,"")</f>
        <v>0</v>
      </c>
      <c r="J67" s="75">
        <f>IFERROR(Calculations!$AC$963,"")</f>
        <v>0</v>
      </c>
      <c r="K67" s="75">
        <f>IFERROR(Calculations!$AD$963,"")</f>
        <v>0</v>
      </c>
      <c r="L67" s="75">
        <f>IFERROR(Calculations!$AE$963,"")</f>
        <v>0</v>
      </c>
      <c r="M67" s="75">
        <f>IFERROR(Calculations!$AF$963,"")</f>
        <v>0</v>
      </c>
      <c r="N67" s="75">
        <f>IFERROR(Calculations!$AG$963,"")</f>
        <v>0</v>
      </c>
      <c r="O67" s="75">
        <f>IFERROR(Calculations!$AH$963,"")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Alcohol Tests'!A1" display="◀ Register"/>
  </hyperlinks>
  <pageMargins left="0.3" right="0.3" top="0.4" bottom="0.4" header="0.3" footer="0.3"/>
  <pageSetup fitToHeight="0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56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2471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2472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2418</v>
      </c>
      <c r="C13" s="39"/>
      <c r="D13" s="39"/>
      <c r="E13" s="39"/>
      <c r="F13" s="39" t="s">
        <v>2473</v>
      </c>
      <c r="G13" s="39"/>
      <c r="H13" s="39"/>
      <c r="I13" s="39"/>
      <c r="J13" s="39" t="s">
        <v>2474</v>
      </c>
      <c r="K13" s="39"/>
      <c r="L13" s="39"/>
      <c r="M13" s="39"/>
      <c r="N13" s="39" t="s">
        <v>2475</v>
      </c>
      <c r="O13" s="39"/>
      <c r="P13" s="39"/>
      <c r="Q13" s="39"/>
    </row>
    <row r="14" spans="2:19">
      <c r="B14" s="41">
        <f>Calculations!$N$984</f>
        <v>0</v>
      </c>
      <c r="C14" s="41"/>
      <c r="D14" s="41"/>
      <c r="E14" s="41"/>
      <c r="F14" s="41">
        <f>Calculations!$N$985</f>
        <v>0</v>
      </c>
      <c r="G14" s="41"/>
      <c r="H14" s="41"/>
      <c r="I14" s="41"/>
      <c r="J14" s="41">
        <f>Calculations!$N$986</f>
        <v>0</v>
      </c>
      <c r="K14" s="41"/>
      <c r="L14" s="41"/>
      <c r="M14" s="41"/>
      <c r="N14" s="41">
        <f>Calculations!$N$987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2476</v>
      </c>
      <c r="C19" s="39"/>
      <c r="D19" s="39"/>
      <c r="E19" s="39"/>
      <c r="F19" s="39" t="s">
        <v>2477</v>
      </c>
      <c r="G19" s="39"/>
      <c r="H19" s="39"/>
      <c r="I19" s="39"/>
      <c r="J19" s="39" t="s">
        <v>2478</v>
      </c>
      <c r="K19" s="39"/>
      <c r="L19" s="39"/>
      <c r="M19" s="39"/>
      <c r="N19" s="39" t="s">
        <v>2479</v>
      </c>
      <c r="O19" s="39"/>
      <c r="P19" s="39"/>
      <c r="Q19" s="39"/>
    </row>
    <row r="20" spans="2:19">
      <c r="B20" s="41">
        <f>Calculations!$N$988</f>
        <v>0</v>
      </c>
      <c r="C20" s="41"/>
      <c r="D20" s="41"/>
      <c r="E20" s="41"/>
      <c r="F20" s="41">
        <f>Calculations!$N$989</f>
        <v>0</v>
      </c>
      <c r="G20" s="41"/>
      <c r="H20" s="41"/>
      <c r="I20" s="41"/>
      <c r="J20" s="42">
        <f>Calculations!$N$990</f>
        <v>0</v>
      </c>
      <c r="K20" s="42"/>
      <c r="L20" s="42"/>
      <c r="M20" s="42"/>
      <c r="N20" s="42">
        <f>Calculations!$N$991</f>
        <v>0</v>
      </c>
      <c r="O20" s="42"/>
      <c r="P20" s="42"/>
      <c r="Q20" s="42"/>
    </row>
    <row r="21" spans="2:19">
      <c r="B21" s="41"/>
      <c r="C21" s="41"/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2"/>
      <c r="O21" s="42"/>
      <c r="P21" s="42"/>
      <c r="Q21" s="42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"&amp;INDEX(Calculations!$C$984:$C$995,CurMonthNo)&amp;"   vs   "&amp;INDEX(L_Month,CurMonthNo-1)&amp;": "&amp;INDEX(Calculations!$C$984:$C$995,CurMonthNo-1)&amp;"   "&amp;IF(INDEX(Calculations!$C$984:$C$995,CurMonthNo)&gt;=INDEX(Calculations!$C$984:$C$995,CurMonthNo-1),"▲ ","▼ ")&amp;TEXT(IFERROR((INDEX(Calculations!$C$984:$C$995,CurMonthNo)-INDEX(Calculations!$C$984:$C$995,CurMonthNo-1))/INDEX(Calculations!$C$984:$C$995,CurMonthNo-1),0),"+0.0%;-0.0%")))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2009</v>
      </c>
    </row>
    <row r="45" spans="2:19">
      <c r="B45" s="70">
        <f>IFERROR(Calculations!$P$984,"")</f>
        <v>0</v>
      </c>
      <c r="C45" s="75">
        <f>IFERROR(Calculations!$Q$984,"")</f>
        <v>0</v>
      </c>
      <c r="D45" s="76">
        <f>IFERROR(Calculations!$R$984,"")</f>
        <v>0</v>
      </c>
      <c r="E45" s="76">
        <f>IFERROR(Calculations!$S$984,"")</f>
        <v>0</v>
      </c>
    </row>
    <row r="46" spans="2:19">
      <c r="B46" s="70">
        <f>IFERROR(Calculations!$P$985,"")</f>
        <v>0</v>
      </c>
      <c r="C46" s="75">
        <f>IFERROR(Calculations!$Q$985,"")</f>
        <v>0</v>
      </c>
      <c r="D46" s="76">
        <f>IFERROR(Calculations!$R$985,"")</f>
        <v>0</v>
      </c>
      <c r="E46" s="76">
        <f>IFERROR(Calculations!$S$985,"")</f>
        <v>0</v>
      </c>
    </row>
    <row r="47" spans="2:19">
      <c r="B47" s="70">
        <f>IFERROR(Calculations!$P$986,"")</f>
        <v>0</v>
      </c>
      <c r="C47" s="75">
        <f>IFERROR(Calculations!$Q$986,"")</f>
        <v>0</v>
      </c>
      <c r="D47" s="76">
        <f>IFERROR(Calculations!$R$986,"")</f>
        <v>0</v>
      </c>
      <c r="E47" s="76">
        <f>IFERROR(Calculations!$S$986,"")</f>
        <v>0</v>
      </c>
    </row>
    <row r="48" spans="2:19">
      <c r="B48" s="70">
        <f>IFERROR(Calculations!$P$987,"")</f>
        <v>0</v>
      </c>
      <c r="C48" s="75">
        <f>IFERROR(Calculations!$Q$987,"")</f>
        <v>0</v>
      </c>
      <c r="D48" s="76">
        <f>IFERROR(Calculations!$R$987,"")</f>
        <v>0</v>
      </c>
      <c r="E48" s="76">
        <f>IFERROR(Calculations!$S$987,"")</f>
        <v>0</v>
      </c>
    </row>
    <row r="49" spans="2:19">
      <c r="B49" s="70">
        <f>IFERROR(Calculations!$P$988,"")</f>
        <v>0</v>
      </c>
      <c r="C49" s="75">
        <f>IFERROR(Calculations!$Q$988,"")</f>
        <v>0</v>
      </c>
      <c r="D49" s="76">
        <f>IFERROR(Calculations!$R$988,"")</f>
        <v>0</v>
      </c>
      <c r="E49" s="76">
        <f>IFERROR(Calculations!$S$988,"")</f>
        <v>0</v>
      </c>
    </row>
    <row r="50" spans="2:19">
      <c r="B50" s="70">
        <f>IFERROR(Calculations!$P$989,"")</f>
        <v>0</v>
      </c>
      <c r="C50" s="75">
        <f>IFERROR(Calculations!$Q$989,"")</f>
        <v>0</v>
      </c>
      <c r="D50" s="76">
        <f>IFERROR(Calculations!$R$989,"")</f>
        <v>0</v>
      </c>
      <c r="E50" s="76">
        <f>IFERROR(Calculations!$S$989,"")</f>
        <v>0</v>
      </c>
    </row>
    <row r="51" spans="2:19">
      <c r="B51" s="70">
        <f>IFERROR(Calculations!$P$990,"")</f>
        <v>0</v>
      </c>
      <c r="C51" s="75">
        <f>IFERROR(Calculations!$Q$990,"")</f>
        <v>0</v>
      </c>
      <c r="D51" s="76">
        <f>IFERROR(Calculations!$R$990,"")</f>
        <v>0</v>
      </c>
      <c r="E51" s="76">
        <f>IFERROR(Calculations!$S$990,"")</f>
        <v>0</v>
      </c>
    </row>
    <row r="52" spans="2:19">
      <c r="B52" s="70">
        <f>IFERROR(Calculations!$P$991,"")</f>
        <v>0</v>
      </c>
      <c r="C52" s="75">
        <f>IFERROR(Calculations!$Q$991,"")</f>
        <v>0</v>
      </c>
      <c r="D52" s="76">
        <f>IFERROR(Calculations!$R$991,"")</f>
        <v>0</v>
      </c>
      <c r="E52" s="76">
        <f>IFERROR(Calculations!$S$991,"")</f>
        <v>0</v>
      </c>
    </row>
    <row r="53" spans="2:19">
      <c r="B53" s="70">
        <f>IFERROR(Calculations!$P$992,"")</f>
        <v>0</v>
      </c>
      <c r="C53" s="75">
        <f>IFERROR(Calculations!$Q$992,"")</f>
        <v>0</v>
      </c>
      <c r="D53" s="76">
        <f>IFERROR(Calculations!$R$992,"")</f>
        <v>0</v>
      </c>
      <c r="E53" s="76">
        <f>IFERROR(Calculations!$S$992,"")</f>
        <v>0</v>
      </c>
    </row>
    <row r="54" spans="2:19">
      <c r="B54" s="70">
        <f>IFERROR(Calculations!$P$993,"")</f>
        <v>0</v>
      </c>
      <c r="C54" s="75">
        <f>IFERROR(Calculations!$Q$993,"")</f>
        <v>0</v>
      </c>
      <c r="D54" s="76">
        <f>IFERROR(Calculations!$R$993,"")</f>
        <v>0</v>
      </c>
      <c r="E54" s="76">
        <f>IFERROR(Calculations!$S$993,"")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IF(Calculations!$U$984="","",Calculations!$U$984)</f>
        <v>0</v>
      </c>
      <c r="C62" s="75">
        <f>IFERROR(Calculations!$V$984,"")</f>
        <v>0</v>
      </c>
      <c r="D62" s="75">
        <f>IFERROR(Calculations!$W$984,"")</f>
        <v>0</v>
      </c>
      <c r="E62" s="75">
        <f>IFERROR(Calculations!$X$984,"")</f>
        <v>0</v>
      </c>
      <c r="F62" s="75">
        <f>IFERROR(Calculations!$Y$984,"")</f>
        <v>0</v>
      </c>
      <c r="G62" s="75">
        <f>IFERROR(Calculations!$Z$984,"")</f>
        <v>0</v>
      </c>
      <c r="H62" s="75">
        <f>IFERROR(Calculations!$AA$984,"")</f>
        <v>0</v>
      </c>
      <c r="I62" s="75">
        <f>IFERROR(Calculations!$AB$984,"")</f>
        <v>0</v>
      </c>
      <c r="J62" s="75">
        <f>IFERROR(Calculations!$AC$984,"")</f>
        <v>0</v>
      </c>
      <c r="K62" s="75">
        <f>IFERROR(Calculations!$AD$984,"")</f>
        <v>0</v>
      </c>
      <c r="L62" s="75">
        <f>IFERROR(Calculations!$AE$984,"")</f>
        <v>0</v>
      </c>
      <c r="M62" s="75">
        <f>IFERROR(Calculations!$AF$984,"")</f>
        <v>0</v>
      </c>
      <c r="N62" s="75">
        <f>IFERROR(Calculations!$AG$984,"")</f>
        <v>0</v>
      </c>
      <c r="O62" s="75">
        <f>IFERROR(Calculations!$AH$984,"")</f>
        <v>0</v>
      </c>
    </row>
    <row r="63" spans="2:19">
      <c r="B63" s="70">
        <f>IF(Calculations!$U$985="","",Calculations!$U$985)</f>
        <v>0</v>
      </c>
      <c r="C63" s="75">
        <f>IFERROR(Calculations!$V$985,"")</f>
        <v>0</v>
      </c>
      <c r="D63" s="75">
        <f>IFERROR(Calculations!$W$985,"")</f>
        <v>0</v>
      </c>
      <c r="E63" s="75">
        <f>IFERROR(Calculations!$X$985,"")</f>
        <v>0</v>
      </c>
      <c r="F63" s="75">
        <f>IFERROR(Calculations!$Y$985,"")</f>
        <v>0</v>
      </c>
      <c r="G63" s="75">
        <f>IFERROR(Calculations!$Z$985,"")</f>
        <v>0</v>
      </c>
      <c r="H63" s="75">
        <f>IFERROR(Calculations!$AA$985,"")</f>
        <v>0</v>
      </c>
      <c r="I63" s="75">
        <f>IFERROR(Calculations!$AB$985,"")</f>
        <v>0</v>
      </c>
      <c r="J63" s="75">
        <f>IFERROR(Calculations!$AC$985,"")</f>
        <v>0</v>
      </c>
      <c r="K63" s="75">
        <f>IFERROR(Calculations!$AD$985,"")</f>
        <v>0</v>
      </c>
      <c r="L63" s="75">
        <f>IFERROR(Calculations!$AE$985,"")</f>
        <v>0</v>
      </c>
      <c r="M63" s="75">
        <f>IFERROR(Calculations!$AF$985,"")</f>
        <v>0</v>
      </c>
      <c r="N63" s="75">
        <f>IFERROR(Calculations!$AG$985,"")</f>
        <v>0</v>
      </c>
      <c r="O63" s="75">
        <f>IFERROR(Calculations!$AH$985,"")</f>
        <v>0</v>
      </c>
    </row>
    <row r="64" spans="2:19">
      <c r="B64" s="70">
        <f>IF(Calculations!$U$986="","",Calculations!$U$986)</f>
        <v>0</v>
      </c>
      <c r="C64" s="75">
        <f>IFERROR(Calculations!$V$986,"")</f>
        <v>0</v>
      </c>
      <c r="D64" s="75">
        <f>IFERROR(Calculations!$W$986,"")</f>
        <v>0</v>
      </c>
      <c r="E64" s="75">
        <f>IFERROR(Calculations!$X$986,"")</f>
        <v>0</v>
      </c>
      <c r="F64" s="75">
        <f>IFERROR(Calculations!$Y$986,"")</f>
        <v>0</v>
      </c>
      <c r="G64" s="75">
        <f>IFERROR(Calculations!$Z$986,"")</f>
        <v>0</v>
      </c>
      <c r="H64" s="75">
        <f>IFERROR(Calculations!$AA$986,"")</f>
        <v>0</v>
      </c>
      <c r="I64" s="75">
        <f>IFERROR(Calculations!$AB$986,"")</f>
        <v>0</v>
      </c>
      <c r="J64" s="75">
        <f>IFERROR(Calculations!$AC$986,"")</f>
        <v>0</v>
      </c>
      <c r="K64" s="75">
        <f>IFERROR(Calculations!$AD$986,"")</f>
        <v>0</v>
      </c>
      <c r="L64" s="75">
        <f>IFERROR(Calculations!$AE$986,"")</f>
        <v>0</v>
      </c>
      <c r="M64" s="75">
        <f>IFERROR(Calculations!$AF$986,"")</f>
        <v>0</v>
      </c>
      <c r="N64" s="75">
        <f>IFERROR(Calculations!$AG$986,"")</f>
        <v>0</v>
      </c>
      <c r="O64" s="75">
        <f>IFERROR(Calculations!$AH$986,"")</f>
        <v>0</v>
      </c>
    </row>
    <row r="65" spans="2:15">
      <c r="B65" s="70">
        <f>IF(Calculations!$U$987="","",Calculations!$U$987)</f>
        <v>0</v>
      </c>
      <c r="C65" s="75">
        <f>IFERROR(Calculations!$V$987,"")</f>
        <v>0</v>
      </c>
      <c r="D65" s="75">
        <f>IFERROR(Calculations!$W$987,"")</f>
        <v>0</v>
      </c>
      <c r="E65" s="75">
        <f>IFERROR(Calculations!$X$987,"")</f>
        <v>0</v>
      </c>
      <c r="F65" s="75">
        <f>IFERROR(Calculations!$Y$987,"")</f>
        <v>0</v>
      </c>
      <c r="G65" s="75">
        <f>IFERROR(Calculations!$Z$987,"")</f>
        <v>0</v>
      </c>
      <c r="H65" s="75">
        <f>IFERROR(Calculations!$AA$987,"")</f>
        <v>0</v>
      </c>
      <c r="I65" s="75">
        <f>IFERROR(Calculations!$AB$987,"")</f>
        <v>0</v>
      </c>
      <c r="J65" s="75">
        <f>IFERROR(Calculations!$AC$987,"")</f>
        <v>0</v>
      </c>
      <c r="K65" s="75">
        <f>IFERROR(Calculations!$AD$987,"")</f>
        <v>0</v>
      </c>
      <c r="L65" s="75">
        <f>IFERROR(Calculations!$AE$987,"")</f>
        <v>0</v>
      </c>
      <c r="M65" s="75">
        <f>IFERROR(Calculations!$AF$987,"")</f>
        <v>0</v>
      </c>
      <c r="N65" s="75">
        <f>IFERROR(Calculations!$AG$987,"")</f>
        <v>0</v>
      </c>
      <c r="O65" s="75">
        <f>IFERROR(Calculations!$AH$987,"")</f>
        <v>0</v>
      </c>
    </row>
    <row r="66" spans="2:15">
      <c r="B66" s="70">
        <f>IF(Calculations!$U$988="","",Calculations!$U$988)</f>
        <v>0</v>
      </c>
      <c r="C66" s="75">
        <f>IFERROR(Calculations!$V$988,"")</f>
        <v>0</v>
      </c>
      <c r="D66" s="75">
        <f>IFERROR(Calculations!$W$988,"")</f>
        <v>0</v>
      </c>
      <c r="E66" s="75">
        <f>IFERROR(Calculations!$X$988,"")</f>
        <v>0</v>
      </c>
      <c r="F66" s="75">
        <f>IFERROR(Calculations!$Y$988,"")</f>
        <v>0</v>
      </c>
      <c r="G66" s="75">
        <f>IFERROR(Calculations!$Z$988,"")</f>
        <v>0</v>
      </c>
      <c r="H66" s="75">
        <f>IFERROR(Calculations!$AA$988,"")</f>
        <v>0</v>
      </c>
      <c r="I66" s="75">
        <f>IFERROR(Calculations!$AB$988,"")</f>
        <v>0</v>
      </c>
      <c r="J66" s="75">
        <f>IFERROR(Calculations!$AC$988,"")</f>
        <v>0</v>
      </c>
      <c r="K66" s="75">
        <f>IFERROR(Calculations!$AD$988,"")</f>
        <v>0</v>
      </c>
      <c r="L66" s="75">
        <f>IFERROR(Calculations!$AE$988,"")</f>
        <v>0</v>
      </c>
      <c r="M66" s="75">
        <f>IFERROR(Calculations!$AF$988,"")</f>
        <v>0</v>
      </c>
      <c r="N66" s="75">
        <f>IFERROR(Calculations!$AG$988,"")</f>
        <v>0</v>
      </c>
      <c r="O66" s="75">
        <f>IFERROR(Calculations!$AH$988,"")</f>
        <v>0</v>
      </c>
    </row>
    <row r="67" spans="2:15">
      <c r="B67" s="70">
        <f>IF(Calculations!$U$989="","",Calculations!$U$989)</f>
        <v>0</v>
      </c>
      <c r="C67" s="75">
        <f>IFERROR(Calculations!$V$989,"")</f>
        <v>0</v>
      </c>
      <c r="D67" s="75">
        <f>IFERROR(Calculations!$W$989,"")</f>
        <v>0</v>
      </c>
      <c r="E67" s="75">
        <f>IFERROR(Calculations!$X$989,"")</f>
        <v>0</v>
      </c>
      <c r="F67" s="75">
        <f>IFERROR(Calculations!$Y$989,"")</f>
        <v>0</v>
      </c>
      <c r="G67" s="75">
        <f>IFERROR(Calculations!$Z$989,"")</f>
        <v>0</v>
      </c>
      <c r="H67" s="75">
        <f>IFERROR(Calculations!$AA$989,"")</f>
        <v>0</v>
      </c>
      <c r="I67" s="75">
        <f>IFERROR(Calculations!$AB$989,"")</f>
        <v>0</v>
      </c>
      <c r="J67" s="75">
        <f>IFERROR(Calculations!$AC$989,"")</f>
        <v>0</v>
      </c>
      <c r="K67" s="75">
        <f>IFERROR(Calculations!$AD$989,"")</f>
        <v>0</v>
      </c>
      <c r="L67" s="75">
        <f>IFERROR(Calculations!$AE$989,"")</f>
        <v>0</v>
      </c>
      <c r="M67" s="75">
        <f>IFERROR(Calculations!$AF$989,"")</f>
        <v>0</v>
      </c>
      <c r="N67" s="75">
        <f>IFERROR(Calculations!$AG$989,"")</f>
        <v>0</v>
      </c>
      <c r="O67" s="75">
        <f>IFERROR(Calculations!$AH$989,"")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C64:N64">
    <cfRule type="colorScale" priority="3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PTW Audits'!A1" display="◀ Register"/>
  </hyperlinks>
  <pageMargins left="0.3" right="0.3" top="0.4" bottom="0.4" header="0.3" footer="0.3"/>
  <pageSetup fitToHeight="0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7">
    <tabColor rgb="FF14B8A6"/>
    <pageSetUpPr fitToPage="1"/>
  </sheetPr>
  <dimension ref="A1:S70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2480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2481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2482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2377</v>
      </c>
      <c r="O13" s="39"/>
      <c r="P13" s="39"/>
      <c r="Q13" s="39"/>
    </row>
    <row r="14" spans="2:19">
      <c r="B14" s="41">
        <f>Calculations!$N$1010</f>
        <v>0</v>
      </c>
      <c r="C14" s="41"/>
      <c r="D14" s="41"/>
      <c r="E14" s="41"/>
      <c r="F14" s="41">
        <f>Calculations!$N$1011</f>
        <v>0</v>
      </c>
      <c r="G14" s="41"/>
      <c r="H14" s="41"/>
      <c r="I14" s="41"/>
      <c r="J14" s="41">
        <f>Calculations!$N$1012</f>
        <v>0</v>
      </c>
      <c r="K14" s="41"/>
      <c r="L14" s="41"/>
      <c r="M14" s="41"/>
      <c r="N14" s="41">
        <f>Calculations!$N$1013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2380</v>
      </c>
      <c r="C19" s="39"/>
      <c r="D19" s="39"/>
      <c r="E19" s="39"/>
      <c r="F19" s="39" t="s">
        <v>2407</v>
      </c>
      <c r="G19" s="39"/>
      <c r="H19" s="39"/>
      <c r="I19" s="39"/>
      <c r="J19" s="39" t="s">
        <v>2483</v>
      </c>
      <c r="K19" s="39"/>
      <c r="L19" s="39"/>
      <c r="M19" s="39"/>
      <c r="N19" s="39" t="s">
        <v>2484</v>
      </c>
      <c r="O19" s="39"/>
      <c r="P19" s="39"/>
      <c r="Q19" s="39"/>
    </row>
    <row r="20" spans="2:19">
      <c r="B20" s="42">
        <f>Calculations!$N$1014</f>
        <v>0</v>
      </c>
      <c r="C20" s="42"/>
      <c r="D20" s="42"/>
      <c r="E20" s="42"/>
      <c r="F20" s="41">
        <f>Calculations!$N$1015</f>
        <v>0</v>
      </c>
      <c r="G20" s="41"/>
      <c r="H20" s="41"/>
      <c r="I20" s="41"/>
      <c r="J20" s="41">
        <f>Calculations!$N$1016</f>
        <v>0</v>
      </c>
      <c r="K20" s="41"/>
      <c r="L20" s="41"/>
      <c r="M20" s="41"/>
      <c r="N20" s="41">
        <f>Calculations!$N$1017</f>
        <v>0</v>
      </c>
      <c r="O20" s="41"/>
      <c r="P20" s="41"/>
      <c r="Q20" s="41"/>
    </row>
    <row r="21" spans="2:19">
      <c r="B21" s="42"/>
      <c r="C21" s="42"/>
      <c r="D21" s="42"/>
      <c r="E21" s="42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"&amp;INDEX(Calculations!$C$1010:$C$1021,CurMonthNo)&amp;"   vs   "&amp;INDEX(L_Month,CurMonthNo-1)&amp;": "&amp;INDEX(Calculations!$C$1010:$C$1021,CurMonthNo-1)&amp;"   "&amp;IF(INDEX(Calculations!$C$1010:$C$1021,CurMonthNo)&gt;=INDEX(Calculations!$C$1010:$C$1021,CurMonthNo-1),"▲ ","▼ ")&amp;TEXT(IFERROR((INDEX(Calculations!$C$1010:$C$1021,CurMonthNo)-INDEX(Calculations!$C$1010:$C$1021,CurMonthNo-1))/INDEX(Calculations!$C$1010:$C$1021,CurMonthNo-1),0),"+0.0%;-0.0%")))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IFERROR(Calculations!$P$1010,"")</f>
        <v>0</v>
      </c>
      <c r="C45" s="75">
        <f>IFERROR(Calculations!$Q$1010,"")</f>
        <v>0</v>
      </c>
      <c r="D45" s="76">
        <f>IFERROR(Calculations!$R$1010,"")</f>
        <v>0</v>
      </c>
      <c r="E45" s="75">
        <f>IFERROR(Calculations!$S$1010,"")</f>
        <v>0</v>
      </c>
    </row>
    <row r="46" spans="2:19">
      <c r="B46" s="70">
        <f>IFERROR(Calculations!$P$1011,"")</f>
        <v>0</v>
      </c>
      <c r="C46" s="75">
        <f>IFERROR(Calculations!$Q$1011,"")</f>
        <v>0</v>
      </c>
      <c r="D46" s="76">
        <f>IFERROR(Calculations!$R$1011,"")</f>
        <v>0</v>
      </c>
      <c r="E46" s="75">
        <f>IFERROR(Calculations!$S$1011,"")</f>
        <v>0</v>
      </c>
    </row>
    <row r="47" spans="2:19">
      <c r="B47" s="70">
        <f>IFERROR(Calculations!$P$1012,"")</f>
        <v>0</v>
      </c>
      <c r="C47" s="75">
        <f>IFERROR(Calculations!$Q$1012,"")</f>
        <v>0</v>
      </c>
      <c r="D47" s="76">
        <f>IFERROR(Calculations!$R$1012,"")</f>
        <v>0</v>
      </c>
      <c r="E47" s="75">
        <f>IFERROR(Calculations!$S$1012,"")</f>
        <v>0</v>
      </c>
    </row>
    <row r="48" spans="2:19">
      <c r="B48" s="70">
        <f>IFERROR(Calculations!$P$1013,"")</f>
        <v>0</v>
      </c>
      <c r="C48" s="75">
        <f>IFERROR(Calculations!$Q$1013,"")</f>
        <v>0</v>
      </c>
      <c r="D48" s="76">
        <f>IFERROR(Calculations!$R$1013,"")</f>
        <v>0</v>
      </c>
      <c r="E48" s="75">
        <f>IFERROR(Calculations!$S$1013,"")</f>
        <v>0</v>
      </c>
    </row>
    <row r="49" spans="2:19">
      <c r="B49" s="70">
        <f>IFERROR(Calculations!$P$1014,"")</f>
        <v>0</v>
      </c>
      <c r="C49" s="75">
        <f>IFERROR(Calculations!$Q$1014,"")</f>
        <v>0</v>
      </c>
      <c r="D49" s="76">
        <f>IFERROR(Calculations!$R$1014,"")</f>
        <v>0</v>
      </c>
      <c r="E49" s="75">
        <f>IFERROR(Calculations!$S$1014,"")</f>
        <v>0</v>
      </c>
    </row>
    <row r="50" spans="2:19">
      <c r="B50" s="70">
        <f>IFERROR(Calculations!$P$1015,"")</f>
        <v>0</v>
      </c>
      <c r="C50" s="75">
        <f>IFERROR(Calculations!$Q$1015,"")</f>
        <v>0</v>
      </c>
      <c r="D50" s="76">
        <f>IFERROR(Calculations!$R$1015,"")</f>
        <v>0</v>
      </c>
      <c r="E50" s="75">
        <f>IFERROR(Calculations!$S$1015,"")</f>
        <v>0</v>
      </c>
    </row>
    <row r="51" spans="2:19">
      <c r="B51" s="70">
        <f>IFERROR(Calculations!$P$1016,"")</f>
        <v>0</v>
      </c>
      <c r="C51" s="75">
        <f>IFERROR(Calculations!$Q$1016,"")</f>
        <v>0</v>
      </c>
      <c r="D51" s="76">
        <f>IFERROR(Calculations!$R$1016,"")</f>
        <v>0</v>
      </c>
      <c r="E51" s="75">
        <f>IFERROR(Calculations!$S$1016,"")</f>
        <v>0</v>
      </c>
    </row>
    <row r="52" spans="2:19">
      <c r="B52" s="70">
        <f>IFERROR(Calculations!$P$1017,"")</f>
        <v>0</v>
      </c>
      <c r="C52" s="75">
        <f>IFERROR(Calculations!$Q$1017,"")</f>
        <v>0</v>
      </c>
      <c r="D52" s="76">
        <f>IFERROR(Calculations!$R$1017,"")</f>
        <v>0</v>
      </c>
      <c r="E52" s="75">
        <f>IFERROR(Calculations!$S$1017,"")</f>
        <v>0</v>
      </c>
    </row>
    <row r="53" spans="2:19">
      <c r="B53" s="70">
        <f>IFERROR(Calculations!$P$1018,"")</f>
        <v>0</v>
      </c>
      <c r="C53" s="75">
        <f>IFERROR(Calculations!$Q$1018,"")</f>
        <v>0</v>
      </c>
      <c r="D53" s="76">
        <f>IFERROR(Calculations!$R$1018,"")</f>
        <v>0</v>
      </c>
      <c r="E53" s="75">
        <f>IFERROR(Calculations!$S$1018,"")</f>
        <v>0</v>
      </c>
    </row>
    <row r="54" spans="2:19">
      <c r="B54" s="70">
        <f>IFERROR(Calculations!$P$1019,"")</f>
        <v>0</v>
      </c>
      <c r="C54" s="75">
        <f>IFERROR(Calculations!$Q$1019,"")</f>
        <v>0</v>
      </c>
      <c r="D54" s="76">
        <f>IFERROR(Calculations!$R$1019,"")</f>
        <v>0</v>
      </c>
      <c r="E54" s="75">
        <f>IFERROR(Calculations!$S$1019,"")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IF(Calculations!$U$1010="","",Calculations!$U$1010)</f>
        <v>0</v>
      </c>
      <c r="C62" s="75">
        <f>IFERROR(Calculations!$V$1010,"")</f>
        <v>0</v>
      </c>
      <c r="D62" s="75">
        <f>IFERROR(Calculations!$W$1010,"")</f>
        <v>0</v>
      </c>
      <c r="E62" s="75">
        <f>IFERROR(Calculations!$X$1010,"")</f>
        <v>0</v>
      </c>
      <c r="F62" s="75">
        <f>IFERROR(Calculations!$Y$1010,"")</f>
        <v>0</v>
      </c>
      <c r="G62" s="75">
        <f>IFERROR(Calculations!$Z$1010,"")</f>
        <v>0</v>
      </c>
      <c r="H62" s="75">
        <f>IFERROR(Calculations!$AA$1010,"")</f>
        <v>0</v>
      </c>
      <c r="I62" s="75">
        <f>IFERROR(Calculations!$AB$1010,"")</f>
        <v>0</v>
      </c>
      <c r="J62" s="75">
        <f>IFERROR(Calculations!$AC$1010,"")</f>
        <v>0</v>
      </c>
      <c r="K62" s="75">
        <f>IFERROR(Calculations!$AD$1010,"")</f>
        <v>0</v>
      </c>
      <c r="L62" s="75">
        <f>IFERROR(Calculations!$AE$1010,"")</f>
        <v>0</v>
      </c>
      <c r="M62" s="75">
        <f>IFERROR(Calculations!$AF$1010,"")</f>
        <v>0</v>
      </c>
      <c r="N62" s="75">
        <f>IFERROR(Calculations!$AG$1010,"")</f>
        <v>0</v>
      </c>
      <c r="O62" s="75">
        <f>IFERROR(Calculations!$AH$1010,"")</f>
        <v>0</v>
      </c>
    </row>
    <row r="63" spans="2:19">
      <c r="B63" s="70">
        <f>IF(Calculations!$U$1011="","",Calculations!$U$1011)</f>
        <v>0</v>
      </c>
      <c r="C63" s="75">
        <f>IFERROR(Calculations!$V$1011,"")</f>
        <v>0</v>
      </c>
      <c r="D63" s="75">
        <f>IFERROR(Calculations!$W$1011,"")</f>
        <v>0</v>
      </c>
      <c r="E63" s="75">
        <f>IFERROR(Calculations!$X$1011,"")</f>
        <v>0</v>
      </c>
      <c r="F63" s="75">
        <f>IFERROR(Calculations!$Y$1011,"")</f>
        <v>0</v>
      </c>
      <c r="G63" s="75">
        <f>IFERROR(Calculations!$Z$1011,"")</f>
        <v>0</v>
      </c>
      <c r="H63" s="75">
        <f>IFERROR(Calculations!$AA$1011,"")</f>
        <v>0</v>
      </c>
      <c r="I63" s="75">
        <f>IFERROR(Calculations!$AB$1011,"")</f>
        <v>0</v>
      </c>
      <c r="J63" s="75">
        <f>IFERROR(Calculations!$AC$1011,"")</f>
        <v>0</v>
      </c>
      <c r="K63" s="75">
        <f>IFERROR(Calculations!$AD$1011,"")</f>
        <v>0</v>
      </c>
      <c r="L63" s="75">
        <f>IFERROR(Calculations!$AE$1011,"")</f>
        <v>0</v>
      </c>
      <c r="M63" s="75">
        <f>IFERROR(Calculations!$AF$1011,"")</f>
        <v>0</v>
      </c>
      <c r="N63" s="75">
        <f>IFERROR(Calculations!$AG$1011,"")</f>
        <v>0</v>
      </c>
      <c r="O63" s="75">
        <f>IFERROR(Calculations!$AH$1011,"")</f>
        <v>0</v>
      </c>
    </row>
    <row r="64" spans="2:19">
      <c r="B64" s="70">
        <f>IF(Calculations!$U$1012="","",Calculations!$U$1012)</f>
        <v>0</v>
      </c>
      <c r="C64" s="75">
        <f>IFERROR(Calculations!$V$1012,"")</f>
        <v>0</v>
      </c>
      <c r="D64" s="75">
        <f>IFERROR(Calculations!$W$1012,"")</f>
        <v>0</v>
      </c>
      <c r="E64" s="75">
        <f>IFERROR(Calculations!$X$1012,"")</f>
        <v>0</v>
      </c>
      <c r="F64" s="75">
        <f>IFERROR(Calculations!$Y$1012,"")</f>
        <v>0</v>
      </c>
      <c r="G64" s="75">
        <f>IFERROR(Calculations!$Z$1012,"")</f>
        <v>0</v>
      </c>
      <c r="H64" s="75">
        <f>IFERROR(Calculations!$AA$1012,"")</f>
        <v>0</v>
      </c>
      <c r="I64" s="75">
        <f>IFERROR(Calculations!$AB$1012,"")</f>
        <v>0</v>
      </c>
      <c r="J64" s="75">
        <f>IFERROR(Calculations!$AC$1012,"")</f>
        <v>0</v>
      </c>
      <c r="K64" s="75">
        <f>IFERROR(Calculations!$AD$1012,"")</f>
        <v>0</v>
      </c>
      <c r="L64" s="75">
        <f>IFERROR(Calculations!$AE$1012,"")</f>
        <v>0</v>
      </c>
      <c r="M64" s="75">
        <f>IFERROR(Calculations!$AF$1012,"")</f>
        <v>0</v>
      </c>
      <c r="N64" s="75">
        <f>IFERROR(Calculations!$AG$1012,"")</f>
        <v>0</v>
      </c>
      <c r="O64" s="75">
        <f>IFERROR(Calculations!$AH$1012,"")</f>
        <v>0</v>
      </c>
    </row>
    <row r="65" spans="2:19">
      <c r="B65" s="70">
        <f>IF(Calculations!$U$1013="","",Calculations!$U$1013)</f>
        <v>0</v>
      </c>
      <c r="C65" s="75">
        <f>IFERROR(Calculations!$V$1013,"")</f>
        <v>0</v>
      </c>
      <c r="D65" s="75">
        <f>IFERROR(Calculations!$W$1013,"")</f>
        <v>0</v>
      </c>
      <c r="E65" s="75">
        <f>IFERROR(Calculations!$X$1013,"")</f>
        <v>0</v>
      </c>
      <c r="F65" s="75">
        <f>IFERROR(Calculations!$Y$1013,"")</f>
        <v>0</v>
      </c>
      <c r="G65" s="75">
        <f>IFERROR(Calculations!$Z$1013,"")</f>
        <v>0</v>
      </c>
      <c r="H65" s="75">
        <f>IFERROR(Calculations!$AA$1013,"")</f>
        <v>0</v>
      </c>
      <c r="I65" s="75">
        <f>IFERROR(Calculations!$AB$1013,"")</f>
        <v>0</v>
      </c>
      <c r="J65" s="75">
        <f>IFERROR(Calculations!$AC$1013,"")</f>
        <v>0</v>
      </c>
      <c r="K65" s="75">
        <f>IFERROR(Calculations!$AD$1013,"")</f>
        <v>0</v>
      </c>
      <c r="L65" s="75">
        <f>IFERROR(Calculations!$AE$1013,"")</f>
        <v>0</v>
      </c>
      <c r="M65" s="75">
        <f>IFERROR(Calculations!$AF$1013,"")</f>
        <v>0</v>
      </c>
      <c r="N65" s="75">
        <f>IFERROR(Calculations!$AG$1013,"")</f>
        <v>0</v>
      </c>
      <c r="O65" s="75">
        <f>IFERROR(Calculations!$AH$1013,"")</f>
        <v>0</v>
      </c>
    </row>
    <row r="66" spans="2:19">
      <c r="B66" s="70">
        <f>IF(Calculations!$U$1014="","",Calculations!$U$1014)</f>
        <v>0</v>
      </c>
      <c r="C66" s="75">
        <f>IFERROR(Calculations!$V$1014,"")</f>
        <v>0</v>
      </c>
      <c r="D66" s="75">
        <f>IFERROR(Calculations!$W$1014,"")</f>
        <v>0</v>
      </c>
      <c r="E66" s="75">
        <f>IFERROR(Calculations!$X$1014,"")</f>
        <v>0</v>
      </c>
      <c r="F66" s="75">
        <f>IFERROR(Calculations!$Y$1014,"")</f>
        <v>0</v>
      </c>
      <c r="G66" s="75">
        <f>IFERROR(Calculations!$Z$1014,"")</f>
        <v>0</v>
      </c>
      <c r="H66" s="75">
        <f>IFERROR(Calculations!$AA$1014,"")</f>
        <v>0</v>
      </c>
      <c r="I66" s="75">
        <f>IFERROR(Calculations!$AB$1014,"")</f>
        <v>0</v>
      </c>
      <c r="J66" s="75">
        <f>IFERROR(Calculations!$AC$1014,"")</f>
        <v>0</v>
      </c>
      <c r="K66" s="75">
        <f>IFERROR(Calculations!$AD$1014,"")</f>
        <v>0</v>
      </c>
      <c r="L66" s="75">
        <f>IFERROR(Calculations!$AE$1014,"")</f>
        <v>0</v>
      </c>
      <c r="M66" s="75">
        <f>IFERROR(Calculations!$AF$1014,"")</f>
        <v>0</v>
      </c>
      <c r="N66" s="75">
        <f>IFERROR(Calculations!$AG$1014,"")</f>
        <v>0</v>
      </c>
      <c r="O66" s="75">
        <f>IFERROR(Calculations!$AH$1014,"")</f>
        <v>0</v>
      </c>
    </row>
    <row r="67" spans="2:19">
      <c r="B67" s="70">
        <f>IF(Calculations!$U$1015="","",Calculations!$U$1015)</f>
        <v>0</v>
      </c>
      <c r="C67" s="75">
        <f>IFERROR(Calculations!$V$1015,"")</f>
        <v>0</v>
      </c>
      <c r="D67" s="75">
        <f>IFERROR(Calculations!$W$1015,"")</f>
        <v>0</v>
      </c>
      <c r="E67" s="75">
        <f>IFERROR(Calculations!$X$1015,"")</f>
        <v>0</v>
      </c>
      <c r="F67" s="75">
        <f>IFERROR(Calculations!$Y$1015,"")</f>
        <v>0</v>
      </c>
      <c r="G67" s="75">
        <f>IFERROR(Calculations!$Z$1015,"")</f>
        <v>0</v>
      </c>
      <c r="H67" s="75">
        <f>IFERROR(Calculations!$AA$1015,"")</f>
        <v>0</v>
      </c>
      <c r="I67" s="75">
        <f>IFERROR(Calculations!$AB$1015,"")</f>
        <v>0</v>
      </c>
      <c r="J67" s="75">
        <f>IFERROR(Calculations!$AC$1015,"")</f>
        <v>0</v>
      </c>
      <c r="K67" s="75">
        <f>IFERROR(Calculations!$AD$1015,"")</f>
        <v>0</v>
      </c>
      <c r="L67" s="75">
        <f>IFERROR(Calculations!$AE$1015,"")</f>
        <v>0</v>
      </c>
      <c r="M67" s="75">
        <f>IFERROR(Calculations!$AF$1015,"")</f>
        <v>0</v>
      </c>
      <c r="N67" s="75">
        <f>IFERROR(Calculations!$AG$1015,"")</f>
        <v>0</v>
      </c>
      <c r="O67" s="75">
        <f>IFERROR(Calculations!$AH$1015,"")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Corrective Actions'!A1" display="◀ Register"/>
  </hyperlinks>
  <pageMargins left="0.3" right="0.3" top="0.4" bottom="0.4" header="0.3" footer="0.3"/>
  <pageSetup fitToHeight="0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8">
    <tabColor rgb="FF14B8A6"/>
    <pageSetUpPr fitToPage="1"/>
  </sheetPr>
  <dimension ref="A1:S76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2485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2486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2487</v>
      </c>
      <c r="C13" s="39"/>
      <c r="D13" s="39"/>
      <c r="E13" s="39"/>
      <c r="F13" s="39" t="s">
        <v>2403</v>
      </c>
      <c r="G13" s="39"/>
      <c r="H13" s="39"/>
      <c r="I13" s="39"/>
      <c r="J13" s="39" t="s">
        <v>2488</v>
      </c>
      <c r="K13" s="39"/>
      <c r="L13" s="39"/>
      <c r="M13" s="39"/>
      <c r="N13" s="39" t="s">
        <v>2377</v>
      </c>
      <c r="O13" s="39"/>
      <c r="P13" s="39"/>
      <c r="Q13" s="39"/>
    </row>
    <row r="14" spans="2:19">
      <c r="B14" s="41">
        <f>Calculations!$N$1036</f>
        <v>0</v>
      </c>
      <c r="C14" s="41"/>
      <c r="D14" s="41"/>
      <c r="E14" s="41"/>
      <c r="F14" s="41">
        <f>Calculations!$N$1037</f>
        <v>0</v>
      </c>
      <c r="G14" s="41"/>
      <c r="H14" s="41"/>
      <c r="I14" s="41"/>
      <c r="J14" s="41">
        <f>Calculations!$N$1038</f>
        <v>0</v>
      </c>
      <c r="K14" s="41"/>
      <c r="L14" s="41"/>
      <c r="M14" s="41"/>
      <c r="N14" s="41">
        <f>Calculations!$N$1039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2489</v>
      </c>
      <c r="C19" s="39"/>
      <c r="D19" s="39"/>
      <c r="E19" s="39"/>
      <c r="F19" s="39" t="s">
        <v>2490</v>
      </c>
      <c r="G19" s="39"/>
      <c r="H19" s="39"/>
      <c r="I19" s="39"/>
      <c r="J19" s="39" t="s">
        <v>2491</v>
      </c>
      <c r="K19" s="39"/>
      <c r="L19" s="39"/>
      <c r="M19" s="39"/>
      <c r="N19" s="39" t="s">
        <v>2422</v>
      </c>
      <c r="O19" s="39"/>
      <c r="P19" s="39"/>
      <c r="Q19" s="39"/>
    </row>
    <row r="20" spans="2:19">
      <c r="B20" s="42">
        <f>Calculations!$N$1040</f>
        <v>0</v>
      </c>
      <c r="C20" s="42"/>
      <c r="D20" s="42"/>
      <c r="E20" s="42"/>
      <c r="F20" s="41">
        <f>Calculations!$N$1041</f>
        <v>0</v>
      </c>
      <c r="G20" s="41"/>
      <c r="H20" s="41"/>
      <c r="I20" s="41"/>
      <c r="J20" s="41">
        <f>Calculations!$N$1042</f>
        <v>0</v>
      </c>
      <c r="K20" s="41"/>
      <c r="L20" s="41"/>
      <c r="M20" s="41"/>
      <c r="N20" s="41">
        <f>Calculations!$N$1043</f>
        <v>0</v>
      </c>
      <c r="O20" s="41"/>
      <c r="P20" s="41"/>
      <c r="Q20" s="41"/>
    </row>
    <row r="21" spans="2:19">
      <c r="B21" s="42"/>
      <c r="C21" s="42"/>
      <c r="D21" s="42"/>
      <c r="E21" s="42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"&amp;INDEX(Calculations!$C$1036:$C$1047,CurMonthNo)&amp;"   vs   "&amp;INDEX(L_Month,CurMonthNo-1)&amp;": "&amp;INDEX(Calculations!$C$1036:$C$1047,CurMonthNo-1)&amp;"   "&amp;IF(INDEX(Calculations!$C$1036:$C$1047,CurMonthNo)&gt;=INDEX(Calculations!$C$1036:$C$1047,CurMonthNo-1),"▲ ","▼ ")&amp;TEXT(IFERROR((INDEX(Calculations!$C$1036:$C$1047,CurMonthNo)-INDEX(Calculations!$C$1036:$C$1047,CurMonthNo-1))/INDEX(Calculations!$C$1036:$C$1047,CurMonthNo-1),0),"+0.0%;-0.0%")))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IFERROR(Calculations!$P$1036,"")</f>
        <v>0</v>
      </c>
      <c r="C45" s="75">
        <f>IFERROR(Calculations!$Q$1036,"")</f>
        <v>0</v>
      </c>
      <c r="D45" s="76">
        <f>IFERROR(Calculations!$R$1036,"")</f>
        <v>0</v>
      </c>
      <c r="E45" s="75">
        <f>IFERROR(Calculations!$S$1036,"")</f>
        <v>0</v>
      </c>
    </row>
    <row r="46" spans="2:19">
      <c r="B46" s="70">
        <f>IFERROR(Calculations!$P$1037,"")</f>
        <v>0</v>
      </c>
      <c r="C46" s="75">
        <f>IFERROR(Calculations!$Q$1037,"")</f>
        <v>0</v>
      </c>
      <c r="D46" s="76">
        <f>IFERROR(Calculations!$R$1037,"")</f>
        <v>0</v>
      </c>
      <c r="E46" s="75">
        <f>IFERROR(Calculations!$S$1037,"")</f>
        <v>0</v>
      </c>
    </row>
    <row r="47" spans="2:19">
      <c r="B47" s="70">
        <f>IFERROR(Calculations!$P$1038,"")</f>
        <v>0</v>
      </c>
      <c r="C47" s="75">
        <f>IFERROR(Calculations!$Q$1038,"")</f>
        <v>0</v>
      </c>
      <c r="D47" s="76">
        <f>IFERROR(Calculations!$R$1038,"")</f>
        <v>0</v>
      </c>
      <c r="E47" s="75">
        <f>IFERROR(Calculations!$S$1038,"")</f>
        <v>0</v>
      </c>
    </row>
    <row r="48" spans="2:19">
      <c r="B48" s="70">
        <f>IFERROR(Calculations!$P$1039,"")</f>
        <v>0</v>
      </c>
      <c r="C48" s="75">
        <f>IFERROR(Calculations!$Q$1039,"")</f>
        <v>0</v>
      </c>
      <c r="D48" s="76">
        <f>IFERROR(Calculations!$R$1039,"")</f>
        <v>0</v>
      </c>
      <c r="E48" s="75">
        <f>IFERROR(Calculations!$S$1039,"")</f>
        <v>0</v>
      </c>
    </row>
    <row r="49" spans="2:19">
      <c r="B49" s="70">
        <f>IFERROR(Calculations!$P$1040,"")</f>
        <v>0</v>
      </c>
      <c r="C49" s="75">
        <f>IFERROR(Calculations!$Q$1040,"")</f>
        <v>0</v>
      </c>
      <c r="D49" s="76">
        <f>IFERROR(Calculations!$R$1040,"")</f>
        <v>0</v>
      </c>
      <c r="E49" s="75">
        <f>IFERROR(Calculations!$S$1040,"")</f>
        <v>0</v>
      </c>
    </row>
    <row r="50" spans="2:19">
      <c r="B50" s="70">
        <f>IFERROR(Calculations!$P$1041,"")</f>
        <v>0</v>
      </c>
      <c r="C50" s="75">
        <f>IFERROR(Calculations!$Q$1041,"")</f>
        <v>0</v>
      </c>
      <c r="D50" s="76">
        <f>IFERROR(Calculations!$R$1041,"")</f>
        <v>0</v>
      </c>
      <c r="E50" s="75">
        <f>IFERROR(Calculations!$S$1041,"")</f>
        <v>0</v>
      </c>
    </row>
    <row r="51" spans="2:19">
      <c r="B51" s="70">
        <f>IFERROR(Calculations!$P$1042,"")</f>
        <v>0</v>
      </c>
      <c r="C51" s="75">
        <f>IFERROR(Calculations!$Q$1042,"")</f>
        <v>0</v>
      </c>
      <c r="D51" s="76">
        <f>IFERROR(Calculations!$R$1042,"")</f>
        <v>0</v>
      </c>
      <c r="E51" s="75">
        <f>IFERROR(Calculations!$S$1042,"")</f>
        <v>0</v>
      </c>
    </row>
    <row r="52" spans="2:19">
      <c r="B52" s="70">
        <f>IFERROR(Calculations!$P$1043,"")</f>
        <v>0</v>
      </c>
      <c r="C52" s="75">
        <f>IFERROR(Calculations!$Q$1043,"")</f>
        <v>0</v>
      </c>
      <c r="D52" s="76">
        <f>IFERROR(Calculations!$R$1043,"")</f>
        <v>0</v>
      </c>
      <c r="E52" s="75">
        <f>IFERROR(Calculations!$S$1043,"")</f>
        <v>0</v>
      </c>
    </row>
    <row r="53" spans="2:19">
      <c r="B53" s="70">
        <f>IFERROR(Calculations!$P$1044,"")</f>
        <v>0</v>
      </c>
      <c r="C53" s="75">
        <f>IFERROR(Calculations!$Q$1044,"")</f>
        <v>0</v>
      </c>
      <c r="D53" s="76">
        <f>IFERROR(Calculations!$R$1044,"")</f>
        <v>0</v>
      </c>
      <c r="E53" s="75">
        <f>IFERROR(Calculations!$S$1044,"")</f>
        <v>0</v>
      </c>
    </row>
    <row r="54" spans="2:19">
      <c r="B54" s="70">
        <f>IFERROR(Calculations!$P$1045,"")</f>
        <v>0</v>
      </c>
      <c r="C54" s="75">
        <f>IFERROR(Calculations!$Q$1045,"")</f>
        <v>0</v>
      </c>
      <c r="D54" s="76">
        <f>IFERROR(Calculations!$R$1045,"")</f>
        <v>0</v>
      </c>
      <c r="E54" s="75">
        <f>IFERROR(Calculations!$S$1045,"")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IF(Calculations!$U$1036="","",Calculations!$U$1036)</f>
        <v>0</v>
      </c>
      <c r="C62" s="75">
        <f>IFERROR(Calculations!$V$1036,"")</f>
        <v>0</v>
      </c>
      <c r="D62" s="75">
        <f>IFERROR(Calculations!$W$1036,"")</f>
        <v>0</v>
      </c>
      <c r="E62" s="75">
        <f>IFERROR(Calculations!$X$1036,"")</f>
        <v>0</v>
      </c>
      <c r="F62" s="75">
        <f>IFERROR(Calculations!$Y$1036,"")</f>
        <v>0</v>
      </c>
      <c r="G62" s="75">
        <f>IFERROR(Calculations!$Z$1036,"")</f>
        <v>0</v>
      </c>
      <c r="H62" s="75">
        <f>IFERROR(Calculations!$AA$1036,"")</f>
        <v>0</v>
      </c>
      <c r="I62" s="75">
        <f>IFERROR(Calculations!$AB$1036,"")</f>
        <v>0</v>
      </c>
      <c r="J62" s="75">
        <f>IFERROR(Calculations!$AC$1036,"")</f>
        <v>0</v>
      </c>
      <c r="K62" s="75">
        <f>IFERROR(Calculations!$AD$1036,"")</f>
        <v>0</v>
      </c>
      <c r="L62" s="75">
        <f>IFERROR(Calculations!$AE$1036,"")</f>
        <v>0</v>
      </c>
      <c r="M62" s="75">
        <f>IFERROR(Calculations!$AF$1036,"")</f>
        <v>0</v>
      </c>
      <c r="N62" s="75">
        <f>IFERROR(Calculations!$AG$1036,"")</f>
        <v>0</v>
      </c>
      <c r="O62" s="75">
        <f>IFERROR(Calculations!$AH$1036,"")</f>
        <v>0</v>
      </c>
    </row>
    <row r="63" spans="2:19">
      <c r="B63" s="70">
        <f>IF(Calculations!$U$1037="","",Calculations!$U$1037)</f>
        <v>0</v>
      </c>
      <c r="C63" s="75">
        <f>IFERROR(Calculations!$V$1037,"")</f>
        <v>0</v>
      </c>
      <c r="D63" s="75">
        <f>IFERROR(Calculations!$W$1037,"")</f>
        <v>0</v>
      </c>
      <c r="E63" s="75">
        <f>IFERROR(Calculations!$X$1037,"")</f>
        <v>0</v>
      </c>
      <c r="F63" s="75">
        <f>IFERROR(Calculations!$Y$1037,"")</f>
        <v>0</v>
      </c>
      <c r="G63" s="75">
        <f>IFERROR(Calculations!$Z$1037,"")</f>
        <v>0</v>
      </c>
      <c r="H63" s="75">
        <f>IFERROR(Calculations!$AA$1037,"")</f>
        <v>0</v>
      </c>
      <c r="I63" s="75">
        <f>IFERROR(Calculations!$AB$1037,"")</f>
        <v>0</v>
      </c>
      <c r="J63" s="75">
        <f>IFERROR(Calculations!$AC$1037,"")</f>
        <v>0</v>
      </c>
      <c r="K63" s="75">
        <f>IFERROR(Calculations!$AD$1037,"")</f>
        <v>0</v>
      </c>
      <c r="L63" s="75">
        <f>IFERROR(Calculations!$AE$1037,"")</f>
        <v>0</v>
      </c>
      <c r="M63" s="75">
        <f>IFERROR(Calculations!$AF$1037,"")</f>
        <v>0</v>
      </c>
      <c r="N63" s="75">
        <f>IFERROR(Calculations!$AG$1037,"")</f>
        <v>0</v>
      </c>
      <c r="O63" s="75">
        <f>IFERROR(Calculations!$AH$1037,"")</f>
        <v>0</v>
      </c>
    </row>
    <row r="64" spans="2:19">
      <c r="B64" s="70">
        <f>IF(Calculations!$U$1038="","",Calculations!$U$1038)</f>
        <v>0</v>
      </c>
      <c r="C64" s="75">
        <f>IFERROR(Calculations!$V$1038,"")</f>
        <v>0</v>
      </c>
      <c r="D64" s="75">
        <f>IFERROR(Calculations!$W$1038,"")</f>
        <v>0</v>
      </c>
      <c r="E64" s="75">
        <f>IFERROR(Calculations!$X$1038,"")</f>
        <v>0</v>
      </c>
      <c r="F64" s="75">
        <f>IFERROR(Calculations!$Y$1038,"")</f>
        <v>0</v>
      </c>
      <c r="G64" s="75">
        <f>IFERROR(Calculations!$Z$1038,"")</f>
        <v>0</v>
      </c>
      <c r="H64" s="75">
        <f>IFERROR(Calculations!$AA$1038,"")</f>
        <v>0</v>
      </c>
      <c r="I64" s="75">
        <f>IFERROR(Calculations!$AB$1038,"")</f>
        <v>0</v>
      </c>
      <c r="J64" s="75">
        <f>IFERROR(Calculations!$AC$1038,"")</f>
        <v>0</v>
      </c>
      <c r="K64" s="75">
        <f>IFERROR(Calculations!$AD$1038,"")</f>
        <v>0</v>
      </c>
      <c r="L64" s="75">
        <f>IFERROR(Calculations!$AE$1038,"")</f>
        <v>0</v>
      </c>
      <c r="M64" s="75">
        <f>IFERROR(Calculations!$AF$1038,"")</f>
        <v>0</v>
      </c>
      <c r="N64" s="75">
        <f>IFERROR(Calculations!$AG$1038,"")</f>
        <v>0</v>
      </c>
      <c r="O64" s="75">
        <f>IFERROR(Calculations!$AH$1038,"")</f>
        <v>0</v>
      </c>
    </row>
    <row r="65" spans="2:19">
      <c r="B65" s="70">
        <f>IF(Calculations!$U$1039="","",Calculations!$U$1039)</f>
        <v>0</v>
      </c>
      <c r="C65" s="75">
        <f>IFERROR(Calculations!$V$1039,"")</f>
        <v>0</v>
      </c>
      <c r="D65" s="75">
        <f>IFERROR(Calculations!$W$1039,"")</f>
        <v>0</v>
      </c>
      <c r="E65" s="75">
        <f>IFERROR(Calculations!$X$1039,"")</f>
        <v>0</v>
      </c>
      <c r="F65" s="75">
        <f>IFERROR(Calculations!$Y$1039,"")</f>
        <v>0</v>
      </c>
      <c r="G65" s="75">
        <f>IFERROR(Calculations!$Z$1039,"")</f>
        <v>0</v>
      </c>
      <c r="H65" s="75">
        <f>IFERROR(Calculations!$AA$1039,"")</f>
        <v>0</v>
      </c>
      <c r="I65" s="75">
        <f>IFERROR(Calculations!$AB$1039,"")</f>
        <v>0</v>
      </c>
      <c r="J65" s="75">
        <f>IFERROR(Calculations!$AC$1039,"")</f>
        <v>0</v>
      </c>
      <c r="K65" s="75">
        <f>IFERROR(Calculations!$AD$1039,"")</f>
        <v>0</v>
      </c>
      <c r="L65" s="75">
        <f>IFERROR(Calculations!$AE$1039,"")</f>
        <v>0</v>
      </c>
      <c r="M65" s="75">
        <f>IFERROR(Calculations!$AF$1039,"")</f>
        <v>0</v>
      </c>
      <c r="N65" s="75">
        <f>IFERROR(Calculations!$AG$1039,"")</f>
        <v>0</v>
      </c>
      <c r="O65" s="75">
        <f>IFERROR(Calculations!$AH$1039,"")</f>
        <v>0</v>
      </c>
    </row>
    <row r="66" spans="2:19">
      <c r="B66" s="70">
        <f>IF(Calculations!$U$1040="","",Calculations!$U$1040)</f>
        <v>0</v>
      </c>
      <c r="C66" s="75">
        <f>IFERROR(Calculations!$V$1040,"")</f>
        <v>0</v>
      </c>
      <c r="D66" s="75">
        <f>IFERROR(Calculations!$W$1040,"")</f>
        <v>0</v>
      </c>
      <c r="E66" s="75">
        <f>IFERROR(Calculations!$X$1040,"")</f>
        <v>0</v>
      </c>
      <c r="F66" s="75">
        <f>IFERROR(Calculations!$Y$1040,"")</f>
        <v>0</v>
      </c>
      <c r="G66" s="75">
        <f>IFERROR(Calculations!$Z$1040,"")</f>
        <v>0</v>
      </c>
      <c r="H66" s="75">
        <f>IFERROR(Calculations!$AA$1040,"")</f>
        <v>0</v>
      </c>
      <c r="I66" s="75">
        <f>IFERROR(Calculations!$AB$1040,"")</f>
        <v>0</v>
      </c>
      <c r="J66" s="75">
        <f>IFERROR(Calculations!$AC$1040,"")</f>
        <v>0</v>
      </c>
      <c r="K66" s="75">
        <f>IFERROR(Calculations!$AD$1040,"")</f>
        <v>0</v>
      </c>
      <c r="L66" s="75">
        <f>IFERROR(Calculations!$AE$1040,"")</f>
        <v>0</v>
      </c>
      <c r="M66" s="75">
        <f>IFERROR(Calculations!$AF$1040,"")</f>
        <v>0</v>
      </c>
      <c r="N66" s="75">
        <f>IFERROR(Calculations!$AG$1040,"")</f>
        <v>0</v>
      </c>
      <c r="O66" s="75">
        <f>IFERROR(Calculations!$AH$1040,"")</f>
        <v>0</v>
      </c>
    </row>
    <row r="67" spans="2:19">
      <c r="B67" s="70">
        <f>IF(Calculations!$U$1041="","",Calculations!$U$1041)</f>
        <v>0</v>
      </c>
      <c r="C67" s="75">
        <f>IFERROR(Calculations!$V$1041,"")</f>
        <v>0</v>
      </c>
      <c r="D67" s="75">
        <f>IFERROR(Calculations!$W$1041,"")</f>
        <v>0</v>
      </c>
      <c r="E67" s="75">
        <f>IFERROR(Calculations!$X$1041,"")</f>
        <v>0</v>
      </c>
      <c r="F67" s="75">
        <f>IFERROR(Calculations!$Y$1041,"")</f>
        <v>0</v>
      </c>
      <c r="G67" s="75">
        <f>IFERROR(Calculations!$Z$1041,"")</f>
        <v>0</v>
      </c>
      <c r="H67" s="75">
        <f>IFERROR(Calculations!$AA$1041,"")</f>
        <v>0</v>
      </c>
      <c r="I67" s="75">
        <f>IFERROR(Calculations!$AB$1041,"")</f>
        <v>0</v>
      </c>
      <c r="J67" s="75">
        <f>IFERROR(Calculations!$AC$1041,"")</f>
        <v>0</v>
      </c>
      <c r="K67" s="75">
        <f>IFERROR(Calculations!$AD$1041,"")</f>
        <v>0</v>
      </c>
      <c r="L67" s="75">
        <f>IFERROR(Calculations!$AE$1041,"")</f>
        <v>0</v>
      </c>
      <c r="M67" s="75">
        <f>IFERROR(Calculations!$AF$1041,"")</f>
        <v>0</v>
      </c>
      <c r="N67" s="75">
        <f>IFERROR(Calculations!$AG$1041,"")</f>
        <v>0</v>
      </c>
      <c r="O67" s="75">
        <f>IFERROR(Calculations!$AH$1041,"")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H71" s="57" t="s">
        <v>129</v>
      </c>
      <c r="I71" s="57" t="s">
        <v>2363</v>
      </c>
    </row>
    <row r="72" spans="2:19">
      <c r="H72" s="70">
        <f>INDEX(Calculations!$F$466:$F$470,1)</f>
        <v>0</v>
      </c>
      <c r="I72" s="75">
        <f>INDEX(Calculations!$G$466:$G$470,1)</f>
        <v>0</v>
      </c>
    </row>
    <row r="73" spans="2:19">
      <c r="H73" s="70">
        <f>INDEX(Calculations!$F$466:$F$470,2)</f>
        <v>0</v>
      </c>
      <c r="I73" s="75">
        <f>INDEX(Calculations!$G$466:$G$470,2)</f>
        <v>0</v>
      </c>
    </row>
    <row r="74" spans="2:19">
      <c r="H74" s="70">
        <f>INDEX(Calculations!$F$466:$F$470,3)</f>
        <v>0</v>
      </c>
      <c r="I74" s="75">
        <f>INDEX(Calculations!$G$466:$G$470,3)</f>
        <v>0</v>
      </c>
    </row>
    <row r="75" spans="2:19">
      <c r="H75" s="70">
        <f>INDEX(Calculations!$F$466:$F$470,4)</f>
        <v>0</v>
      </c>
      <c r="I75" s="75">
        <f>INDEX(Calculations!$G$466:$G$470,4)</f>
        <v>0</v>
      </c>
    </row>
    <row r="76" spans="2:19">
      <c r="H76" s="70">
        <f>INDEX(Calculations!$F$466:$F$470,5)</f>
        <v>0</v>
      </c>
      <c r="I76" s="75">
        <f>INDEX(Calculations!$G$466:$G$470,5)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I72:I76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NC Management'!A1" display="◀ Register"/>
  </hyperlinks>
  <pageMargins left="0.3" right="0.3" top="0.4" bottom="0.4" header="0.3" footer="0.3"/>
  <pageSetup fitToHeight="0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9">
    <tabColor rgb="FF14B8A6"/>
    <pageSetUpPr fitToPage="1"/>
  </sheetPr>
  <dimension ref="A1:S76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2492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2493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2494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2377</v>
      </c>
      <c r="O13" s="39"/>
      <c r="P13" s="39"/>
      <c r="Q13" s="39"/>
    </row>
    <row r="14" spans="2:19">
      <c r="B14" s="41">
        <f>Calculations!$N$1062</f>
        <v>0</v>
      </c>
      <c r="C14" s="41"/>
      <c r="D14" s="41"/>
      <c r="E14" s="41"/>
      <c r="F14" s="41">
        <f>Calculations!$N$1063</f>
        <v>0</v>
      </c>
      <c r="G14" s="41"/>
      <c r="H14" s="41"/>
      <c r="I14" s="41"/>
      <c r="J14" s="41">
        <f>Calculations!$N$1064</f>
        <v>0</v>
      </c>
      <c r="K14" s="41"/>
      <c r="L14" s="41"/>
      <c r="M14" s="41"/>
      <c r="N14" s="41">
        <f>Calculations!$N$1065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2358</v>
      </c>
      <c r="C19" s="39"/>
      <c r="D19" s="39"/>
      <c r="E19" s="39"/>
      <c r="F19" s="39" t="s">
        <v>2359</v>
      </c>
      <c r="G19" s="39"/>
      <c r="H19" s="39"/>
      <c r="I19" s="39"/>
      <c r="J19" s="39" t="s">
        <v>2360</v>
      </c>
      <c r="K19" s="39"/>
      <c r="L19" s="39"/>
      <c r="M19" s="39"/>
      <c r="N19" s="39" t="s">
        <v>2489</v>
      </c>
      <c r="O19" s="39"/>
      <c r="P19" s="39"/>
      <c r="Q19" s="39"/>
    </row>
    <row r="20" spans="2:19">
      <c r="B20" s="41">
        <f>Calculations!$N$1066</f>
        <v>0</v>
      </c>
      <c r="C20" s="41"/>
      <c r="D20" s="41"/>
      <c r="E20" s="41"/>
      <c r="F20" s="41">
        <f>Calculations!$N$1067</f>
        <v>0</v>
      </c>
      <c r="G20" s="41"/>
      <c r="H20" s="41"/>
      <c r="I20" s="41"/>
      <c r="J20" s="41">
        <f>Calculations!$N$1068</f>
        <v>0</v>
      </c>
      <c r="K20" s="41"/>
      <c r="L20" s="41"/>
      <c r="M20" s="41"/>
      <c r="N20" s="42">
        <f>Calculations!$N$1069</f>
        <v>0</v>
      </c>
      <c r="O20" s="42"/>
      <c r="P20" s="42"/>
      <c r="Q20" s="42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  <c r="O21" s="42"/>
      <c r="P21" s="42"/>
      <c r="Q21" s="42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"&amp;INDEX(Calculations!$C$1062:$C$1073,CurMonthNo)&amp;"   vs   "&amp;INDEX(L_Month,CurMonthNo-1)&amp;": "&amp;INDEX(Calculations!$C$1062:$C$1073,CurMonthNo-1)&amp;"   "&amp;IF(INDEX(Calculations!$C$1062:$C$1073,CurMonthNo)&gt;=INDEX(Calculations!$C$1062:$C$1073,CurMonthNo-1),"▲ ","▼ ")&amp;TEXT(IFERROR((INDEX(Calculations!$C$1062:$C$1073,CurMonthNo)-INDEX(Calculations!$C$1062:$C$1073,CurMonthNo-1))/INDEX(Calculations!$C$1062:$C$1073,CurMonthNo-1),0),"+0.0%;-0.0%")))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IFERROR(Calculations!$P$1062,"")</f>
        <v>0</v>
      </c>
      <c r="C45" s="75">
        <f>IFERROR(Calculations!$Q$1062,"")</f>
        <v>0</v>
      </c>
      <c r="D45" s="76">
        <f>IFERROR(Calculations!$R$1062,"")</f>
        <v>0</v>
      </c>
      <c r="E45" s="75">
        <f>IFERROR(Calculations!$S$1062,"")</f>
        <v>0</v>
      </c>
    </row>
    <row r="46" spans="2:19">
      <c r="B46" s="70">
        <f>IFERROR(Calculations!$P$1063,"")</f>
        <v>0</v>
      </c>
      <c r="C46" s="75">
        <f>IFERROR(Calculations!$Q$1063,"")</f>
        <v>0</v>
      </c>
      <c r="D46" s="76">
        <f>IFERROR(Calculations!$R$1063,"")</f>
        <v>0</v>
      </c>
      <c r="E46" s="75">
        <f>IFERROR(Calculations!$S$1063,"")</f>
        <v>0</v>
      </c>
    </row>
    <row r="47" spans="2:19">
      <c r="B47" s="70">
        <f>IFERROR(Calculations!$P$1064,"")</f>
        <v>0</v>
      </c>
      <c r="C47" s="75">
        <f>IFERROR(Calculations!$Q$1064,"")</f>
        <v>0</v>
      </c>
      <c r="D47" s="76">
        <f>IFERROR(Calculations!$R$1064,"")</f>
        <v>0</v>
      </c>
      <c r="E47" s="75">
        <f>IFERROR(Calculations!$S$1064,"")</f>
        <v>0</v>
      </c>
    </row>
    <row r="48" spans="2:19">
      <c r="B48" s="70">
        <f>IFERROR(Calculations!$P$1065,"")</f>
        <v>0</v>
      </c>
      <c r="C48" s="75">
        <f>IFERROR(Calculations!$Q$1065,"")</f>
        <v>0</v>
      </c>
      <c r="D48" s="76">
        <f>IFERROR(Calculations!$R$1065,"")</f>
        <v>0</v>
      </c>
      <c r="E48" s="75">
        <f>IFERROR(Calculations!$S$1065,"")</f>
        <v>0</v>
      </c>
    </row>
    <row r="49" spans="2:19">
      <c r="B49" s="70">
        <f>IFERROR(Calculations!$P$1066,"")</f>
        <v>0</v>
      </c>
      <c r="C49" s="75">
        <f>IFERROR(Calculations!$Q$1066,"")</f>
        <v>0</v>
      </c>
      <c r="D49" s="76">
        <f>IFERROR(Calculations!$R$1066,"")</f>
        <v>0</v>
      </c>
      <c r="E49" s="75">
        <f>IFERROR(Calculations!$S$1066,"")</f>
        <v>0</v>
      </c>
    </row>
    <row r="50" spans="2:19">
      <c r="B50" s="70">
        <f>IFERROR(Calculations!$P$1067,"")</f>
        <v>0</v>
      </c>
      <c r="C50" s="75">
        <f>IFERROR(Calculations!$Q$1067,"")</f>
        <v>0</v>
      </c>
      <c r="D50" s="76">
        <f>IFERROR(Calculations!$R$1067,"")</f>
        <v>0</v>
      </c>
      <c r="E50" s="75">
        <f>IFERROR(Calculations!$S$1067,"")</f>
        <v>0</v>
      </c>
    </row>
    <row r="51" spans="2:19">
      <c r="B51" s="70">
        <f>IFERROR(Calculations!$P$1068,"")</f>
        <v>0</v>
      </c>
      <c r="C51" s="75">
        <f>IFERROR(Calculations!$Q$1068,"")</f>
        <v>0</v>
      </c>
      <c r="D51" s="76">
        <f>IFERROR(Calculations!$R$1068,"")</f>
        <v>0</v>
      </c>
      <c r="E51" s="75">
        <f>IFERROR(Calculations!$S$1068,"")</f>
        <v>0</v>
      </c>
    </row>
    <row r="52" spans="2:19">
      <c r="B52" s="70">
        <f>IFERROR(Calculations!$P$1069,"")</f>
        <v>0</v>
      </c>
      <c r="C52" s="75">
        <f>IFERROR(Calculations!$Q$1069,"")</f>
        <v>0</v>
      </c>
      <c r="D52" s="76">
        <f>IFERROR(Calculations!$R$1069,"")</f>
        <v>0</v>
      </c>
      <c r="E52" s="75">
        <f>IFERROR(Calculations!$S$1069,"")</f>
        <v>0</v>
      </c>
    </row>
    <row r="53" spans="2:19">
      <c r="B53" s="70">
        <f>IFERROR(Calculations!$P$1070,"")</f>
        <v>0</v>
      </c>
      <c r="C53" s="75">
        <f>IFERROR(Calculations!$Q$1070,"")</f>
        <v>0</v>
      </c>
      <c r="D53" s="76">
        <f>IFERROR(Calculations!$R$1070,"")</f>
        <v>0</v>
      </c>
      <c r="E53" s="75">
        <f>IFERROR(Calculations!$S$1070,"")</f>
        <v>0</v>
      </c>
    </row>
    <row r="54" spans="2:19">
      <c r="B54" s="70">
        <f>IFERROR(Calculations!$P$1071,"")</f>
        <v>0</v>
      </c>
      <c r="C54" s="75">
        <f>IFERROR(Calculations!$Q$1071,"")</f>
        <v>0</v>
      </c>
      <c r="D54" s="76">
        <f>IFERROR(Calculations!$R$1071,"")</f>
        <v>0</v>
      </c>
      <c r="E54" s="75">
        <f>IFERROR(Calculations!$S$1071,"")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IF(Calculations!$U$1062="","",Calculations!$U$1062)</f>
        <v>0</v>
      </c>
      <c r="C62" s="75">
        <f>IFERROR(Calculations!$V$1062,"")</f>
        <v>0</v>
      </c>
      <c r="D62" s="75">
        <f>IFERROR(Calculations!$W$1062,"")</f>
        <v>0</v>
      </c>
      <c r="E62" s="75">
        <f>IFERROR(Calculations!$X$1062,"")</f>
        <v>0</v>
      </c>
      <c r="F62" s="75">
        <f>IFERROR(Calculations!$Y$1062,"")</f>
        <v>0</v>
      </c>
      <c r="G62" s="75">
        <f>IFERROR(Calculations!$Z$1062,"")</f>
        <v>0</v>
      </c>
      <c r="H62" s="75">
        <f>IFERROR(Calculations!$AA$1062,"")</f>
        <v>0</v>
      </c>
      <c r="I62" s="75">
        <f>IFERROR(Calculations!$AB$1062,"")</f>
        <v>0</v>
      </c>
      <c r="J62" s="75">
        <f>IFERROR(Calculations!$AC$1062,"")</f>
        <v>0</v>
      </c>
      <c r="K62" s="75">
        <f>IFERROR(Calculations!$AD$1062,"")</f>
        <v>0</v>
      </c>
      <c r="L62" s="75">
        <f>IFERROR(Calculations!$AE$1062,"")</f>
        <v>0</v>
      </c>
      <c r="M62" s="75">
        <f>IFERROR(Calculations!$AF$1062,"")</f>
        <v>0</v>
      </c>
      <c r="N62" s="75">
        <f>IFERROR(Calculations!$AG$1062,"")</f>
        <v>0</v>
      </c>
      <c r="O62" s="75">
        <f>IFERROR(Calculations!$AH$1062,"")</f>
        <v>0</v>
      </c>
    </row>
    <row r="63" spans="2:19">
      <c r="B63" s="70">
        <f>IF(Calculations!$U$1063="","",Calculations!$U$1063)</f>
        <v>0</v>
      </c>
      <c r="C63" s="75">
        <f>IFERROR(Calculations!$V$1063,"")</f>
        <v>0</v>
      </c>
      <c r="D63" s="75">
        <f>IFERROR(Calculations!$W$1063,"")</f>
        <v>0</v>
      </c>
      <c r="E63" s="75">
        <f>IFERROR(Calculations!$X$1063,"")</f>
        <v>0</v>
      </c>
      <c r="F63" s="75">
        <f>IFERROR(Calculations!$Y$1063,"")</f>
        <v>0</v>
      </c>
      <c r="G63" s="75">
        <f>IFERROR(Calculations!$Z$1063,"")</f>
        <v>0</v>
      </c>
      <c r="H63" s="75">
        <f>IFERROR(Calculations!$AA$1063,"")</f>
        <v>0</v>
      </c>
      <c r="I63" s="75">
        <f>IFERROR(Calculations!$AB$1063,"")</f>
        <v>0</v>
      </c>
      <c r="J63" s="75">
        <f>IFERROR(Calculations!$AC$1063,"")</f>
        <v>0</v>
      </c>
      <c r="K63" s="75">
        <f>IFERROR(Calculations!$AD$1063,"")</f>
        <v>0</v>
      </c>
      <c r="L63" s="75">
        <f>IFERROR(Calculations!$AE$1063,"")</f>
        <v>0</v>
      </c>
      <c r="M63" s="75">
        <f>IFERROR(Calculations!$AF$1063,"")</f>
        <v>0</v>
      </c>
      <c r="N63" s="75">
        <f>IFERROR(Calculations!$AG$1063,"")</f>
        <v>0</v>
      </c>
      <c r="O63" s="75">
        <f>IFERROR(Calculations!$AH$1063,"")</f>
        <v>0</v>
      </c>
    </row>
    <row r="64" spans="2:19">
      <c r="B64" s="70">
        <f>IF(Calculations!$U$1064="","",Calculations!$U$1064)</f>
        <v>0</v>
      </c>
      <c r="C64" s="75">
        <f>IFERROR(Calculations!$V$1064,"")</f>
        <v>0</v>
      </c>
      <c r="D64" s="75">
        <f>IFERROR(Calculations!$W$1064,"")</f>
        <v>0</v>
      </c>
      <c r="E64" s="75">
        <f>IFERROR(Calculations!$X$1064,"")</f>
        <v>0</v>
      </c>
      <c r="F64" s="75">
        <f>IFERROR(Calculations!$Y$1064,"")</f>
        <v>0</v>
      </c>
      <c r="G64" s="75">
        <f>IFERROR(Calculations!$Z$1064,"")</f>
        <v>0</v>
      </c>
      <c r="H64" s="75">
        <f>IFERROR(Calculations!$AA$1064,"")</f>
        <v>0</v>
      </c>
      <c r="I64" s="75">
        <f>IFERROR(Calculations!$AB$1064,"")</f>
        <v>0</v>
      </c>
      <c r="J64" s="75">
        <f>IFERROR(Calculations!$AC$1064,"")</f>
        <v>0</v>
      </c>
      <c r="K64" s="75">
        <f>IFERROR(Calculations!$AD$1064,"")</f>
        <v>0</v>
      </c>
      <c r="L64" s="75">
        <f>IFERROR(Calculations!$AE$1064,"")</f>
        <v>0</v>
      </c>
      <c r="M64" s="75">
        <f>IFERROR(Calculations!$AF$1064,"")</f>
        <v>0</v>
      </c>
      <c r="N64" s="75">
        <f>IFERROR(Calculations!$AG$1064,"")</f>
        <v>0</v>
      </c>
      <c r="O64" s="75">
        <f>IFERROR(Calculations!$AH$1064,"")</f>
        <v>0</v>
      </c>
    </row>
    <row r="65" spans="2:19">
      <c r="B65" s="70">
        <f>IF(Calculations!$U$1065="","",Calculations!$U$1065)</f>
        <v>0</v>
      </c>
      <c r="C65" s="75">
        <f>IFERROR(Calculations!$V$1065,"")</f>
        <v>0</v>
      </c>
      <c r="D65" s="75">
        <f>IFERROR(Calculations!$W$1065,"")</f>
        <v>0</v>
      </c>
      <c r="E65" s="75">
        <f>IFERROR(Calculations!$X$1065,"")</f>
        <v>0</v>
      </c>
      <c r="F65" s="75">
        <f>IFERROR(Calculations!$Y$1065,"")</f>
        <v>0</v>
      </c>
      <c r="G65" s="75">
        <f>IFERROR(Calculations!$Z$1065,"")</f>
        <v>0</v>
      </c>
      <c r="H65" s="75">
        <f>IFERROR(Calculations!$AA$1065,"")</f>
        <v>0</v>
      </c>
      <c r="I65" s="75">
        <f>IFERROR(Calculations!$AB$1065,"")</f>
        <v>0</v>
      </c>
      <c r="J65" s="75">
        <f>IFERROR(Calculations!$AC$1065,"")</f>
        <v>0</v>
      </c>
      <c r="K65" s="75">
        <f>IFERROR(Calculations!$AD$1065,"")</f>
        <v>0</v>
      </c>
      <c r="L65" s="75">
        <f>IFERROR(Calculations!$AE$1065,"")</f>
        <v>0</v>
      </c>
      <c r="M65" s="75">
        <f>IFERROR(Calculations!$AF$1065,"")</f>
        <v>0</v>
      </c>
      <c r="N65" s="75">
        <f>IFERROR(Calculations!$AG$1065,"")</f>
        <v>0</v>
      </c>
      <c r="O65" s="75">
        <f>IFERROR(Calculations!$AH$1065,"")</f>
        <v>0</v>
      </c>
    </row>
    <row r="66" spans="2:19">
      <c r="B66" s="70">
        <f>IF(Calculations!$U$1066="","",Calculations!$U$1066)</f>
        <v>0</v>
      </c>
      <c r="C66" s="75">
        <f>IFERROR(Calculations!$V$1066,"")</f>
        <v>0</v>
      </c>
      <c r="D66" s="75">
        <f>IFERROR(Calculations!$W$1066,"")</f>
        <v>0</v>
      </c>
      <c r="E66" s="75">
        <f>IFERROR(Calculations!$X$1066,"")</f>
        <v>0</v>
      </c>
      <c r="F66" s="75">
        <f>IFERROR(Calculations!$Y$1066,"")</f>
        <v>0</v>
      </c>
      <c r="G66" s="75">
        <f>IFERROR(Calculations!$Z$1066,"")</f>
        <v>0</v>
      </c>
      <c r="H66" s="75">
        <f>IFERROR(Calculations!$AA$1066,"")</f>
        <v>0</v>
      </c>
      <c r="I66" s="75">
        <f>IFERROR(Calculations!$AB$1066,"")</f>
        <v>0</v>
      </c>
      <c r="J66" s="75">
        <f>IFERROR(Calculations!$AC$1066,"")</f>
        <v>0</v>
      </c>
      <c r="K66" s="75">
        <f>IFERROR(Calculations!$AD$1066,"")</f>
        <v>0</v>
      </c>
      <c r="L66" s="75">
        <f>IFERROR(Calculations!$AE$1066,"")</f>
        <v>0</v>
      </c>
      <c r="M66" s="75">
        <f>IFERROR(Calculations!$AF$1066,"")</f>
        <v>0</v>
      </c>
      <c r="N66" s="75">
        <f>IFERROR(Calculations!$AG$1066,"")</f>
        <v>0</v>
      </c>
      <c r="O66" s="75">
        <f>IFERROR(Calculations!$AH$1066,"")</f>
        <v>0</v>
      </c>
    </row>
    <row r="67" spans="2:19">
      <c r="B67" s="70">
        <f>IF(Calculations!$U$1067="","",Calculations!$U$1067)</f>
        <v>0</v>
      </c>
      <c r="C67" s="75">
        <f>IFERROR(Calculations!$V$1067,"")</f>
        <v>0</v>
      </c>
      <c r="D67" s="75">
        <f>IFERROR(Calculations!$W$1067,"")</f>
        <v>0</v>
      </c>
      <c r="E67" s="75">
        <f>IFERROR(Calculations!$X$1067,"")</f>
        <v>0</v>
      </c>
      <c r="F67" s="75">
        <f>IFERROR(Calculations!$Y$1067,"")</f>
        <v>0</v>
      </c>
      <c r="G67" s="75">
        <f>IFERROR(Calculations!$Z$1067,"")</f>
        <v>0</v>
      </c>
      <c r="H67" s="75">
        <f>IFERROR(Calculations!$AA$1067,"")</f>
        <v>0</v>
      </c>
      <c r="I67" s="75">
        <f>IFERROR(Calculations!$AB$1067,"")</f>
        <v>0</v>
      </c>
      <c r="J67" s="75">
        <f>IFERROR(Calculations!$AC$1067,"")</f>
        <v>0</v>
      </c>
      <c r="K67" s="75">
        <f>IFERROR(Calculations!$AD$1067,"")</f>
        <v>0</v>
      </c>
      <c r="L67" s="75">
        <f>IFERROR(Calculations!$AE$1067,"")</f>
        <v>0</v>
      </c>
      <c r="M67" s="75">
        <f>IFERROR(Calculations!$AF$1067,"")</f>
        <v>0</v>
      </c>
      <c r="N67" s="75">
        <f>IFERROR(Calculations!$AG$1067,"")</f>
        <v>0</v>
      </c>
      <c r="O67" s="75">
        <f>IFERROR(Calculations!$AH$1067,"")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H71" s="57" t="s">
        <v>129</v>
      </c>
      <c r="I71" s="57" t="s">
        <v>2363</v>
      </c>
    </row>
    <row r="72" spans="2:19">
      <c r="H72" s="70">
        <f>INDEX(Calculations!$F$442:$F$446,1)</f>
        <v>0</v>
      </c>
      <c r="I72" s="75">
        <f>INDEX(Calculations!$G$442:$G$446,1)</f>
        <v>0</v>
      </c>
    </row>
    <row r="73" spans="2:19">
      <c r="H73" s="70">
        <f>INDEX(Calculations!$F$442:$F$446,2)</f>
        <v>0</v>
      </c>
      <c r="I73" s="75">
        <f>INDEX(Calculations!$G$442:$G$446,2)</f>
        <v>0</v>
      </c>
    </row>
    <row r="74" spans="2:19">
      <c r="H74" s="70">
        <f>INDEX(Calculations!$F$442:$F$446,3)</f>
        <v>0</v>
      </c>
      <c r="I74" s="75">
        <f>INDEX(Calculations!$G$442:$G$446,3)</f>
        <v>0</v>
      </c>
    </row>
    <row r="75" spans="2:19">
      <c r="H75" s="70">
        <f>INDEX(Calculations!$F$442:$F$446,4)</f>
        <v>0</v>
      </c>
      <c r="I75" s="75">
        <f>INDEX(Calculations!$G$442:$G$446,4)</f>
        <v>0</v>
      </c>
    </row>
    <row r="76" spans="2:19">
      <c r="H76" s="70">
        <f>INDEX(Calculations!$F$442:$F$446,5)</f>
        <v>0</v>
      </c>
      <c r="I76" s="75">
        <f>INDEX(Calculations!$G$442:$G$446,5)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I72:I76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Unsafe Acts'!A1" display="◀ Register"/>
  </hyperlinks>
  <pageMargins left="0.3" right="0.3" top="0.4" bottom="0.4" header="0.3" footer="0.3"/>
  <pageSetup fitToHeight="0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60">
    <tabColor rgb="FF14B8A6"/>
    <pageSetUpPr fitToPage="1"/>
  </sheetPr>
  <dimension ref="A1:S76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2495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2496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2494</v>
      </c>
      <c r="C13" s="39"/>
      <c r="D13" s="39"/>
      <c r="E13" s="39"/>
      <c r="F13" s="39" t="s">
        <v>2367</v>
      </c>
      <c r="G13" s="39"/>
      <c r="H13" s="39"/>
      <c r="I13" s="39"/>
      <c r="J13" s="39" t="s">
        <v>2368</v>
      </c>
      <c r="K13" s="39"/>
      <c r="L13" s="39"/>
      <c r="M13" s="39"/>
      <c r="N13" s="39" t="s">
        <v>2377</v>
      </c>
      <c r="O13" s="39"/>
      <c r="P13" s="39"/>
      <c r="Q13" s="39"/>
    </row>
    <row r="14" spans="2:19">
      <c r="B14" s="41">
        <f>Calculations!$N$1088</f>
        <v>0</v>
      </c>
      <c r="C14" s="41"/>
      <c r="D14" s="41"/>
      <c r="E14" s="41"/>
      <c r="F14" s="41">
        <f>Calculations!$N$1089</f>
        <v>0</v>
      </c>
      <c r="G14" s="41"/>
      <c r="H14" s="41"/>
      <c r="I14" s="41"/>
      <c r="J14" s="41">
        <f>Calculations!$N$1090</f>
        <v>0</v>
      </c>
      <c r="K14" s="41"/>
      <c r="L14" s="41"/>
      <c r="M14" s="41"/>
      <c r="N14" s="41">
        <f>Calculations!$N$1091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2358</v>
      </c>
      <c r="C19" s="39"/>
      <c r="D19" s="39"/>
      <c r="E19" s="39"/>
      <c r="F19" s="39" t="s">
        <v>2359</v>
      </c>
      <c r="G19" s="39"/>
      <c r="H19" s="39"/>
      <c r="I19" s="39"/>
      <c r="J19" s="39" t="s">
        <v>2360</v>
      </c>
      <c r="K19" s="39"/>
      <c r="L19" s="39"/>
      <c r="M19" s="39"/>
      <c r="N19" s="39" t="s">
        <v>2489</v>
      </c>
      <c r="O19" s="39"/>
      <c r="P19" s="39"/>
      <c r="Q19" s="39"/>
    </row>
    <row r="20" spans="2:19">
      <c r="B20" s="41">
        <f>Calculations!$N$1092</f>
        <v>0</v>
      </c>
      <c r="C20" s="41"/>
      <c r="D20" s="41"/>
      <c r="E20" s="41"/>
      <c r="F20" s="41">
        <f>Calculations!$N$1093</f>
        <v>0</v>
      </c>
      <c r="G20" s="41"/>
      <c r="H20" s="41"/>
      <c r="I20" s="41"/>
      <c r="J20" s="41">
        <f>Calculations!$N$1094</f>
        <v>0</v>
      </c>
      <c r="K20" s="41"/>
      <c r="L20" s="41"/>
      <c r="M20" s="41"/>
      <c r="N20" s="42">
        <f>Calculations!$N$1095</f>
        <v>0</v>
      </c>
      <c r="O20" s="42"/>
      <c r="P20" s="42"/>
      <c r="Q20" s="42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  <c r="O21" s="42"/>
      <c r="P21" s="42"/>
      <c r="Q21" s="42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"&amp;INDEX(Calculations!$C$1088:$C$1099,CurMonthNo)&amp;"   vs   "&amp;INDEX(L_Month,CurMonthNo-1)&amp;": "&amp;INDEX(Calculations!$C$1088:$C$1099,CurMonthNo-1)&amp;"   "&amp;IF(INDEX(Calculations!$C$1088:$C$1099,CurMonthNo)&gt;=INDEX(Calculations!$C$1088:$C$1099,CurMonthNo-1),"▲ ","▼ ")&amp;TEXT(IFERROR((INDEX(Calculations!$C$1088:$C$1099,CurMonthNo)-INDEX(Calculations!$C$1088:$C$1099,CurMonthNo-1))/INDEX(Calculations!$C$1088:$C$1099,CurMonthNo-1),0),"+0.0%;-0.0%")))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IFERROR(Calculations!$P$1088,"")</f>
        <v>0</v>
      </c>
      <c r="C45" s="75">
        <f>IFERROR(Calculations!$Q$1088,"")</f>
        <v>0</v>
      </c>
      <c r="D45" s="76">
        <f>IFERROR(Calculations!$R$1088,"")</f>
        <v>0</v>
      </c>
      <c r="E45" s="75">
        <f>IFERROR(Calculations!$S$1088,"")</f>
        <v>0</v>
      </c>
    </row>
    <row r="46" spans="2:19">
      <c r="B46" s="70">
        <f>IFERROR(Calculations!$P$1089,"")</f>
        <v>0</v>
      </c>
      <c r="C46" s="75">
        <f>IFERROR(Calculations!$Q$1089,"")</f>
        <v>0</v>
      </c>
      <c r="D46" s="76">
        <f>IFERROR(Calculations!$R$1089,"")</f>
        <v>0</v>
      </c>
      <c r="E46" s="75">
        <f>IFERROR(Calculations!$S$1089,"")</f>
        <v>0</v>
      </c>
    </row>
    <row r="47" spans="2:19">
      <c r="B47" s="70">
        <f>IFERROR(Calculations!$P$1090,"")</f>
        <v>0</v>
      </c>
      <c r="C47" s="75">
        <f>IFERROR(Calculations!$Q$1090,"")</f>
        <v>0</v>
      </c>
      <c r="D47" s="76">
        <f>IFERROR(Calculations!$R$1090,"")</f>
        <v>0</v>
      </c>
      <c r="E47" s="75">
        <f>IFERROR(Calculations!$S$1090,"")</f>
        <v>0</v>
      </c>
    </row>
    <row r="48" spans="2:19">
      <c r="B48" s="70">
        <f>IFERROR(Calculations!$P$1091,"")</f>
        <v>0</v>
      </c>
      <c r="C48" s="75">
        <f>IFERROR(Calculations!$Q$1091,"")</f>
        <v>0</v>
      </c>
      <c r="D48" s="76">
        <f>IFERROR(Calculations!$R$1091,"")</f>
        <v>0</v>
      </c>
      <c r="E48" s="75">
        <f>IFERROR(Calculations!$S$1091,"")</f>
        <v>0</v>
      </c>
    </row>
    <row r="49" spans="2:19">
      <c r="B49" s="70">
        <f>IFERROR(Calculations!$P$1092,"")</f>
        <v>0</v>
      </c>
      <c r="C49" s="75">
        <f>IFERROR(Calculations!$Q$1092,"")</f>
        <v>0</v>
      </c>
      <c r="D49" s="76">
        <f>IFERROR(Calculations!$R$1092,"")</f>
        <v>0</v>
      </c>
      <c r="E49" s="75">
        <f>IFERROR(Calculations!$S$1092,"")</f>
        <v>0</v>
      </c>
    </row>
    <row r="50" spans="2:19">
      <c r="B50" s="70">
        <f>IFERROR(Calculations!$P$1093,"")</f>
        <v>0</v>
      </c>
      <c r="C50" s="75">
        <f>IFERROR(Calculations!$Q$1093,"")</f>
        <v>0</v>
      </c>
      <c r="D50" s="76">
        <f>IFERROR(Calculations!$R$1093,"")</f>
        <v>0</v>
      </c>
      <c r="E50" s="75">
        <f>IFERROR(Calculations!$S$1093,"")</f>
        <v>0</v>
      </c>
    </row>
    <row r="51" spans="2:19">
      <c r="B51" s="70">
        <f>IFERROR(Calculations!$P$1094,"")</f>
        <v>0</v>
      </c>
      <c r="C51" s="75">
        <f>IFERROR(Calculations!$Q$1094,"")</f>
        <v>0</v>
      </c>
      <c r="D51" s="76">
        <f>IFERROR(Calculations!$R$1094,"")</f>
        <v>0</v>
      </c>
      <c r="E51" s="75">
        <f>IFERROR(Calculations!$S$1094,"")</f>
        <v>0</v>
      </c>
    </row>
    <row r="52" spans="2:19">
      <c r="B52" s="70">
        <f>IFERROR(Calculations!$P$1095,"")</f>
        <v>0</v>
      </c>
      <c r="C52" s="75">
        <f>IFERROR(Calculations!$Q$1095,"")</f>
        <v>0</v>
      </c>
      <c r="D52" s="76">
        <f>IFERROR(Calculations!$R$1095,"")</f>
        <v>0</v>
      </c>
      <c r="E52" s="75">
        <f>IFERROR(Calculations!$S$1095,"")</f>
        <v>0</v>
      </c>
    </row>
    <row r="53" spans="2:19">
      <c r="B53" s="70">
        <f>IFERROR(Calculations!$P$1096,"")</f>
        <v>0</v>
      </c>
      <c r="C53" s="75">
        <f>IFERROR(Calculations!$Q$1096,"")</f>
        <v>0</v>
      </c>
      <c r="D53" s="76">
        <f>IFERROR(Calculations!$R$1096,"")</f>
        <v>0</v>
      </c>
      <c r="E53" s="75">
        <f>IFERROR(Calculations!$S$1096,"")</f>
        <v>0</v>
      </c>
    </row>
    <row r="54" spans="2:19">
      <c r="B54" s="70">
        <f>IFERROR(Calculations!$P$1097,"")</f>
        <v>0</v>
      </c>
      <c r="C54" s="75">
        <f>IFERROR(Calculations!$Q$1097,"")</f>
        <v>0</v>
      </c>
      <c r="D54" s="76">
        <f>IFERROR(Calculations!$R$1097,"")</f>
        <v>0</v>
      </c>
      <c r="E54" s="75">
        <f>IFERROR(Calculations!$S$1097,"")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IF(Calculations!$U$1088="","",Calculations!$U$1088)</f>
        <v>0</v>
      </c>
      <c r="C62" s="75">
        <f>IFERROR(Calculations!$V$1088,"")</f>
        <v>0</v>
      </c>
      <c r="D62" s="75">
        <f>IFERROR(Calculations!$W$1088,"")</f>
        <v>0</v>
      </c>
      <c r="E62" s="75">
        <f>IFERROR(Calculations!$X$1088,"")</f>
        <v>0</v>
      </c>
      <c r="F62" s="75">
        <f>IFERROR(Calculations!$Y$1088,"")</f>
        <v>0</v>
      </c>
      <c r="G62" s="75">
        <f>IFERROR(Calculations!$Z$1088,"")</f>
        <v>0</v>
      </c>
      <c r="H62" s="75">
        <f>IFERROR(Calculations!$AA$1088,"")</f>
        <v>0</v>
      </c>
      <c r="I62" s="75">
        <f>IFERROR(Calculations!$AB$1088,"")</f>
        <v>0</v>
      </c>
      <c r="J62" s="75">
        <f>IFERROR(Calculations!$AC$1088,"")</f>
        <v>0</v>
      </c>
      <c r="K62" s="75">
        <f>IFERROR(Calculations!$AD$1088,"")</f>
        <v>0</v>
      </c>
      <c r="L62" s="75">
        <f>IFERROR(Calculations!$AE$1088,"")</f>
        <v>0</v>
      </c>
      <c r="M62" s="75">
        <f>IFERROR(Calculations!$AF$1088,"")</f>
        <v>0</v>
      </c>
      <c r="N62" s="75">
        <f>IFERROR(Calculations!$AG$1088,"")</f>
        <v>0</v>
      </c>
      <c r="O62" s="75">
        <f>IFERROR(Calculations!$AH$1088,"")</f>
        <v>0</v>
      </c>
    </row>
    <row r="63" spans="2:19">
      <c r="B63" s="70">
        <f>IF(Calculations!$U$1089="","",Calculations!$U$1089)</f>
        <v>0</v>
      </c>
      <c r="C63" s="75">
        <f>IFERROR(Calculations!$V$1089,"")</f>
        <v>0</v>
      </c>
      <c r="D63" s="75">
        <f>IFERROR(Calculations!$W$1089,"")</f>
        <v>0</v>
      </c>
      <c r="E63" s="75">
        <f>IFERROR(Calculations!$X$1089,"")</f>
        <v>0</v>
      </c>
      <c r="F63" s="75">
        <f>IFERROR(Calculations!$Y$1089,"")</f>
        <v>0</v>
      </c>
      <c r="G63" s="75">
        <f>IFERROR(Calculations!$Z$1089,"")</f>
        <v>0</v>
      </c>
      <c r="H63" s="75">
        <f>IFERROR(Calculations!$AA$1089,"")</f>
        <v>0</v>
      </c>
      <c r="I63" s="75">
        <f>IFERROR(Calculations!$AB$1089,"")</f>
        <v>0</v>
      </c>
      <c r="J63" s="75">
        <f>IFERROR(Calculations!$AC$1089,"")</f>
        <v>0</v>
      </c>
      <c r="K63" s="75">
        <f>IFERROR(Calculations!$AD$1089,"")</f>
        <v>0</v>
      </c>
      <c r="L63" s="75">
        <f>IFERROR(Calculations!$AE$1089,"")</f>
        <v>0</v>
      </c>
      <c r="M63" s="75">
        <f>IFERROR(Calculations!$AF$1089,"")</f>
        <v>0</v>
      </c>
      <c r="N63" s="75">
        <f>IFERROR(Calculations!$AG$1089,"")</f>
        <v>0</v>
      </c>
      <c r="O63" s="75">
        <f>IFERROR(Calculations!$AH$1089,"")</f>
        <v>0</v>
      </c>
    </row>
    <row r="64" spans="2:19">
      <c r="B64" s="70">
        <f>IF(Calculations!$U$1090="","",Calculations!$U$1090)</f>
        <v>0</v>
      </c>
      <c r="C64" s="75">
        <f>IFERROR(Calculations!$V$1090,"")</f>
        <v>0</v>
      </c>
      <c r="D64" s="75">
        <f>IFERROR(Calculations!$W$1090,"")</f>
        <v>0</v>
      </c>
      <c r="E64" s="75">
        <f>IFERROR(Calculations!$X$1090,"")</f>
        <v>0</v>
      </c>
      <c r="F64" s="75">
        <f>IFERROR(Calculations!$Y$1090,"")</f>
        <v>0</v>
      </c>
      <c r="G64" s="75">
        <f>IFERROR(Calculations!$Z$1090,"")</f>
        <v>0</v>
      </c>
      <c r="H64" s="75">
        <f>IFERROR(Calculations!$AA$1090,"")</f>
        <v>0</v>
      </c>
      <c r="I64" s="75">
        <f>IFERROR(Calculations!$AB$1090,"")</f>
        <v>0</v>
      </c>
      <c r="J64" s="75">
        <f>IFERROR(Calculations!$AC$1090,"")</f>
        <v>0</v>
      </c>
      <c r="K64" s="75">
        <f>IFERROR(Calculations!$AD$1090,"")</f>
        <v>0</v>
      </c>
      <c r="L64" s="75">
        <f>IFERROR(Calculations!$AE$1090,"")</f>
        <v>0</v>
      </c>
      <c r="M64" s="75">
        <f>IFERROR(Calculations!$AF$1090,"")</f>
        <v>0</v>
      </c>
      <c r="N64" s="75">
        <f>IFERROR(Calculations!$AG$1090,"")</f>
        <v>0</v>
      </c>
      <c r="O64" s="75">
        <f>IFERROR(Calculations!$AH$1090,"")</f>
        <v>0</v>
      </c>
    </row>
    <row r="65" spans="2:19">
      <c r="B65" s="70">
        <f>IF(Calculations!$U$1091="","",Calculations!$U$1091)</f>
        <v>0</v>
      </c>
      <c r="C65" s="75">
        <f>IFERROR(Calculations!$V$1091,"")</f>
        <v>0</v>
      </c>
      <c r="D65" s="75">
        <f>IFERROR(Calculations!$W$1091,"")</f>
        <v>0</v>
      </c>
      <c r="E65" s="75">
        <f>IFERROR(Calculations!$X$1091,"")</f>
        <v>0</v>
      </c>
      <c r="F65" s="75">
        <f>IFERROR(Calculations!$Y$1091,"")</f>
        <v>0</v>
      </c>
      <c r="G65" s="75">
        <f>IFERROR(Calculations!$Z$1091,"")</f>
        <v>0</v>
      </c>
      <c r="H65" s="75">
        <f>IFERROR(Calculations!$AA$1091,"")</f>
        <v>0</v>
      </c>
      <c r="I65" s="75">
        <f>IFERROR(Calculations!$AB$1091,"")</f>
        <v>0</v>
      </c>
      <c r="J65" s="75">
        <f>IFERROR(Calculations!$AC$1091,"")</f>
        <v>0</v>
      </c>
      <c r="K65" s="75">
        <f>IFERROR(Calculations!$AD$1091,"")</f>
        <v>0</v>
      </c>
      <c r="L65" s="75">
        <f>IFERROR(Calculations!$AE$1091,"")</f>
        <v>0</v>
      </c>
      <c r="M65" s="75">
        <f>IFERROR(Calculations!$AF$1091,"")</f>
        <v>0</v>
      </c>
      <c r="N65" s="75">
        <f>IFERROR(Calculations!$AG$1091,"")</f>
        <v>0</v>
      </c>
      <c r="O65" s="75">
        <f>IFERROR(Calculations!$AH$1091,"")</f>
        <v>0</v>
      </c>
    </row>
    <row r="66" spans="2:19">
      <c r="B66" s="70">
        <f>IF(Calculations!$U$1092="","",Calculations!$U$1092)</f>
        <v>0</v>
      </c>
      <c r="C66" s="75">
        <f>IFERROR(Calculations!$V$1092,"")</f>
        <v>0</v>
      </c>
      <c r="D66" s="75">
        <f>IFERROR(Calculations!$W$1092,"")</f>
        <v>0</v>
      </c>
      <c r="E66" s="75">
        <f>IFERROR(Calculations!$X$1092,"")</f>
        <v>0</v>
      </c>
      <c r="F66" s="75">
        <f>IFERROR(Calculations!$Y$1092,"")</f>
        <v>0</v>
      </c>
      <c r="G66" s="75">
        <f>IFERROR(Calculations!$Z$1092,"")</f>
        <v>0</v>
      </c>
      <c r="H66" s="75">
        <f>IFERROR(Calculations!$AA$1092,"")</f>
        <v>0</v>
      </c>
      <c r="I66" s="75">
        <f>IFERROR(Calculations!$AB$1092,"")</f>
        <v>0</v>
      </c>
      <c r="J66" s="75">
        <f>IFERROR(Calculations!$AC$1092,"")</f>
        <v>0</v>
      </c>
      <c r="K66" s="75">
        <f>IFERROR(Calculations!$AD$1092,"")</f>
        <v>0</v>
      </c>
      <c r="L66" s="75">
        <f>IFERROR(Calculations!$AE$1092,"")</f>
        <v>0</v>
      </c>
      <c r="M66" s="75">
        <f>IFERROR(Calculations!$AF$1092,"")</f>
        <v>0</v>
      </c>
      <c r="N66" s="75">
        <f>IFERROR(Calculations!$AG$1092,"")</f>
        <v>0</v>
      </c>
      <c r="O66" s="75">
        <f>IFERROR(Calculations!$AH$1092,"")</f>
        <v>0</v>
      </c>
    </row>
    <row r="67" spans="2:19">
      <c r="B67" s="70">
        <f>IF(Calculations!$U$1093="","",Calculations!$U$1093)</f>
        <v>0</v>
      </c>
      <c r="C67" s="75">
        <f>IFERROR(Calculations!$V$1093,"")</f>
        <v>0</v>
      </c>
      <c r="D67" s="75">
        <f>IFERROR(Calculations!$W$1093,"")</f>
        <v>0</v>
      </c>
      <c r="E67" s="75">
        <f>IFERROR(Calculations!$X$1093,"")</f>
        <v>0</v>
      </c>
      <c r="F67" s="75">
        <f>IFERROR(Calculations!$Y$1093,"")</f>
        <v>0</v>
      </c>
      <c r="G67" s="75">
        <f>IFERROR(Calculations!$Z$1093,"")</f>
        <v>0</v>
      </c>
      <c r="H67" s="75">
        <f>IFERROR(Calculations!$AA$1093,"")</f>
        <v>0</v>
      </c>
      <c r="I67" s="75">
        <f>IFERROR(Calculations!$AB$1093,"")</f>
        <v>0</v>
      </c>
      <c r="J67" s="75">
        <f>IFERROR(Calculations!$AC$1093,"")</f>
        <v>0</v>
      </c>
      <c r="K67" s="75">
        <f>IFERROR(Calculations!$AD$1093,"")</f>
        <v>0</v>
      </c>
      <c r="L67" s="75">
        <f>IFERROR(Calculations!$AE$1093,"")</f>
        <v>0</v>
      </c>
      <c r="M67" s="75">
        <f>IFERROR(Calculations!$AF$1093,"")</f>
        <v>0</v>
      </c>
      <c r="N67" s="75">
        <f>IFERROR(Calculations!$AG$1093,"")</f>
        <v>0</v>
      </c>
      <c r="O67" s="75">
        <f>IFERROR(Calculations!$AH$1093,"")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H71" s="57" t="s">
        <v>129</v>
      </c>
      <c r="I71" s="57" t="s">
        <v>2363</v>
      </c>
    </row>
    <row r="72" spans="2:19">
      <c r="H72" s="70">
        <f>INDEX(Calculations!$F$454:$F$458,1)</f>
        <v>0</v>
      </c>
      <c r="I72" s="75">
        <f>INDEX(Calculations!$G$454:$G$458,1)</f>
        <v>0</v>
      </c>
    </row>
    <row r="73" spans="2:19">
      <c r="H73" s="70">
        <f>INDEX(Calculations!$F$454:$F$458,2)</f>
        <v>0</v>
      </c>
      <c r="I73" s="75">
        <f>INDEX(Calculations!$G$454:$G$458,2)</f>
        <v>0</v>
      </c>
    </row>
    <row r="74" spans="2:19">
      <c r="H74" s="70">
        <f>INDEX(Calculations!$F$454:$F$458,3)</f>
        <v>0</v>
      </c>
      <c r="I74" s="75">
        <f>INDEX(Calculations!$G$454:$G$458,3)</f>
        <v>0</v>
      </c>
    </row>
    <row r="75" spans="2:19">
      <c r="H75" s="70">
        <f>INDEX(Calculations!$F$454:$F$458,4)</f>
        <v>0</v>
      </c>
      <c r="I75" s="75">
        <f>INDEX(Calculations!$G$454:$G$458,4)</f>
        <v>0</v>
      </c>
    </row>
    <row r="76" spans="2:19">
      <c r="H76" s="70">
        <f>INDEX(Calculations!$F$454:$F$458,5)</f>
        <v>0</v>
      </c>
      <c r="I76" s="75">
        <f>INDEX(Calculations!$G$454:$G$458,5)</f>
        <v>0</v>
      </c>
    </row>
  </sheetData>
  <mergeCells count="44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conditionalFormatting sqref="I72:I76">
    <cfRule type="dataBar" priority="3">
      <dataBar>
        <cfvo type="min" val="0"/>
        <cfvo type="max" val="0"/>
        <color rgb="FFDC2626"/>
      </dataBar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Unsafe Conditions'!A1" display="◀ Register"/>
  </hyperlinks>
  <pageMargins left="0.3" right="0.3" top="0.4" bottom="0.4" header="0.3" footer="0.3"/>
  <pageSetup fitToHeight="0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61">
    <tabColor rgb="FF14B8A6"/>
    <pageSetUpPr fitToPage="1"/>
  </sheetPr>
  <dimension ref="A1:S73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2497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2498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2340</v>
      </c>
      <c r="C13" s="39"/>
      <c r="D13" s="39"/>
      <c r="E13" s="39"/>
      <c r="F13" s="39" t="s">
        <v>2488</v>
      </c>
      <c r="G13" s="39"/>
      <c r="H13" s="39"/>
      <c r="I13" s="39"/>
      <c r="J13" s="39" t="s">
        <v>2403</v>
      </c>
      <c r="K13" s="39"/>
      <c r="L13" s="39"/>
      <c r="M13" s="39"/>
      <c r="N13" s="39" t="s">
        <v>2377</v>
      </c>
      <c r="O13" s="39"/>
      <c r="P13" s="39"/>
      <c r="Q13" s="39"/>
    </row>
    <row r="14" spans="2:19">
      <c r="B14" s="41">
        <f>Calculations!$N$1114</f>
        <v>0</v>
      </c>
      <c r="C14" s="41"/>
      <c r="D14" s="41"/>
      <c r="E14" s="41"/>
      <c r="F14" s="41">
        <f>Calculations!$N$1115</f>
        <v>0</v>
      </c>
      <c r="G14" s="41"/>
      <c r="H14" s="41"/>
      <c r="I14" s="41"/>
      <c r="J14" s="41">
        <f>Calculations!$N$1116</f>
        <v>0</v>
      </c>
      <c r="K14" s="41"/>
      <c r="L14" s="41"/>
      <c r="M14" s="41"/>
      <c r="N14" s="41">
        <f>Calculations!$N$1117</f>
        <v>0</v>
      </c>
      <c r="O14" s="41"/>
      <c r="P14" s="41"/>
      <c r="Q14" s="41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2218</v>
      </c>
      <c r="C19" s="39"/>
      <c r="D19" s="39"/>
      <c r="E19" s="39"/>
      <c r="F19" s="39" t="s">
        <v>2216</v>
      </c>
      <c r="G19" s="39"/>
      <c r="H19" s="39"/>
      <c r="I19" s="39"/>
      <c r="J19" s="39" t="s">
        <v>2499</v>
      </c>
      <c r="K19" s="39"/>
      <c r="L19" s="39"/>
      <c r="M19" s="39"/>
      <c r="N19" s="39" t="s">
        <v>2500</v>
      </c>
      <c r="O19" s="39"/>
      <c r="P19" s="39"/>
      <c r="Q19" s="39"/>
    </row>
    <row r="20" spans="2:19">
      <c r="B20" s="41">
        <f>Calculations!$N$1118</f>
        <v>0</v>
      </c>
      <c r="C20" s="41"/>
      <c r="D20" s="41"/>
      <c r="E20" s="41"/>
      <c r="F20" s="41">
        <f>Calculations!$N$1119</f>
        <v>0</v>
      </c>
      <c r="G20" s="41"/>
      <c r="H20" s="41"/>
      <c r="I20" s="41"/>
      <c r="J20" s="41">
        <f>Calculations!$N$1120</f>
        <v>0</v>
      </c>
      <c r="K20" s="41"/>
      <c r="L20" s="41"/>
      <c r="M20" s="41"/>
      <c r="N20" s="41">
        <f>Calculations!$N$1121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"&amp;INDEX(Calculations!$C$1114:$C$1125,CurMonthNo)&amp;"   vs   "&amp;INDEX(L_Month,CurMonthNo-1)&amp;": "&amp;INDEX(Calculations!$C$1114:$C$1125,CurMonthNo-1)&amp;"   "&amp;IF(INDEX(Calculations!$C$1114:$C$1125,CurMonthNo)&gt;=INDEX(Calculations!$C$1114:$C$1125,CurMonthNo-1),"▲ ","▼ ")&amp;TEXT(IFERROR((INDEX(Calculations!$C$1114:$C$1125,CurMonthNo)-INDEX(Calculations!$C$1114:$C$1125,CurMonthNo-1))/INDEX(Calculations!$C$1114:$C$1125,CurMonthNo-1),0),"+0.0%;-0.0%")))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2071</v>
      </c>
      <c r="E44" s="57" t="s">
        <v>1770</v>
      </c>
    </row>
    <row r="45" spans="2:19">
      <c r="B45" s="70">
        <f>IFERROR(Calculations!$P$1114,"")</f>
        <v>0</v>
      </c>
      <c r="C45" s="75">
        <f>IFERROR(Calculations!$Q$1114,"")</f>
        <v>0</v>
      </c>
      <c r="D45" s="76">
        <f>IFERROR(Calculations!$R$1114,"")</f>
        <v>0</v>
      </c>
      <c r="E45" s="75">
        <f>IFERROR(Calculations!$S$1114,"")</f>
        <v>0</v>
      </c>
    </row>
    <row r="46" spans="2:19">
      <c r="B46" s="70">
        <f>IFERROR(Calculations!$P$1115,"")</f>
        <v>0</v>
      </c>
      <c r="C46" s="75">
        <f>IFERROR(Calculations!$Q$1115,"")</f>
        <v>0</v>
      </c>
      <c r="D46" s="76">
        <f>IFERROR(Calculations!$R$1115,"")</f>
        <v>0</v>
      </c>
      <c r="E46" s="75">
        <f>IFERROR(Calculations!$S$1115,"")</f>
        <v>0</v>
      </c>
    </row>
    <row r="47" spans="2:19">
      <c r="B47" s="70">
        <f>IFERROR(Calculations!$P$1116,"")</f>
        <v>0</v>
      </c>
      <c r="C47" s="75">
        <f>IFERROR(Calculations!$Q$1116,"")</f>
        <v>0</v>
      </c>
      <c r="D47" s="76">
        <f>IFERROR(Calculations!$R$1116,"")</f>
        <v>0</v>
      </c>
      <c r="E47" s="75">
        <f>IFERROR(Calculations!$S$1116,"")</f>
        <v>0</v>
      </c>
    </row>
    <row r="48" spans="2:19">
      <c r="B48" s="70">
        <f>IFERROR(Calculations!$P$1117,"")</f>
        <v>0</v>
      </c>
      <c r="C48" s="75">
        <f>IFERROR(Calculations!$Q$1117,"")</f>
        <v>0</v>
      </c>
      <c r="D48" s="76">
        <f>IFERROR(Calculations!$R$1117,"")</f>
        <v>0</v>
      </c>
      <c r="E48" s="75">
        <f>IFERROR(Calculations!$S$1117,"")</f>
        <v>0</v>
      </c>
    </row>
    <row r="49" spans="2:19">
      <c r="B49" s="70">
        <f>IFERROR(Calculations!$P$1118,"")</f>
        <v>0</v>
      </c>
      <c r="C49" s="75">
        <f>IFERROR(Calculations!$Q$1118,"")</f>
        <v>0</v>
      </c>
      <c r="D49" s="76">
        <f>IFERROR(Calculations!$R$1118,"")</f>
        <v>0</v>
      </c>
      <c r="E49" s="75">
        <f>IFERROR(Calculations!$S$1118,"")</f>
        <v>0</v>
      </c>
    </row>
    <row r="50" spans="2:19">
      <c r="B50" s="70">
        <f>IFERROR(Calculations!$P$1119,"")</f>
        <v>0</v>
      </c>
      <c r="C50" s="75">
        <f>IFERROR(Calculations!$Q$1119,"")</f>
        <v>0</v>
      </c>
      <c r="D50" s="76">
        <f>IFERROR(Calculations!$R$1119,"")</f>
        <v>0</v>
      </c>
      <c r="E50" s="75">
        <f>IFERROR(Calculations!$S$1119,"")</f>
        <v>0</v>
      </c>
    </row>
    <row r="51" spans="2:19">
      <c r="B51" s="70">
        <f>IFERROR(Calculations!$P$1120,"")</f>
        <v>0</v>
      </c>
      <c r="C51" s="75">
        <f>IFERROR(Calculations!$Q$1120,"")</f>
        <v>0</v>
      </c>
      <c r="D51" s="76">
        <f>IFERROR(Calculations!$R$1120,"")</f>
        <v>0</v>
      </c>
      <c r="E51" s="75">
        <f>IFERROR(Calculations!$S$1120,"")</f>
        <v>0</v>
      </c>
    </row>
    <row r="52" spans="2:19">
      <c r="B52" s="70">
        <f>IFERROR(Calculations!$P$1121,"")</f>
        <v>0</v>
      </c>
      <c r="C52" s="75">
        <f>IFERROR(Calculations!$Q$1121,"")</f>
        <v>0</v>
      </c>
      <c r="D52" s="76">
        <f>IFERROR(Calculations!$R$1121,"")</f>
        <v>0</v>
      </c>
      <c r="E52" s="75">
        <f>IFERROR(Calculations!$S$1121,"")</f>
        <v>0</v>
      </c>
    </row>
    <row r="53" spans="2:19">
      <c r="B53" s="70">
        <f>IFERROR(Calculations!$P$1122,"")</f>
        <v>0</v>
      </c>
      <c r="C53" s="75">
        <f>IFERROR(Calculations!$Q$1122,"")</f>
        <v>0</v>
      </c>
      <c r="D53" s="76">
        <f>IFERROR(Calculations!$R$1122,"")</f>
        <v>0</v>
      </c>
      <c r="E53" s="75">
        <f>IFERROR(Calculations!$S$1122,"")</f>
        <v>0</v>
      </c>
    </row>
    <row r="54" spans="2:19">
      <c r="B54" s="70">
        <f>IFERROR(Calculations!$P$1123,"")</f>
        <v>0</v>
      </c>
      <c r="C54" s="75">
        <f>IFERROR(Calculations!$Q$1123,"")</f>
        <v>0</v>
      </c>
      <c r="D54" s="76">
        <f>IFERROR(Calculations!$R$1123,"")</f>
        <v>0</v>
      </c>
      <c r="E54" s="75">
        <f>IFERROR(Calculations!$S$1123,"")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IF(Calculations!$U$1114="","",Calculations!$U$1114)</f>
        <v>0</v>
      </c>
      <c r="C62" s="75">
        <f>IFERROR(Calculations!$V$1114,"")</f>
        <v>0</v>
      </c>
      <c r="D62" s="75">
        <f>IFERROR(Calculations!$W$1114,"")</f>
        <v>0</v>
      </c>
      <c r="E62" s="75">
        <f>IFERROR(Calculations!$X$1114,"")</f>
        <v>0</v>
      </c>
      <c r="F62" s="75">
        <f>IFERROR(Calculations!$Y$1114,"")</f>
        <v>0</v>
      </c>
      <c r="G62" s="75">
        <f>IFERROR(Calculations!$Z$1114,"")</f>
        <v>0</v>
      </c>
      <c r="H62" s="75">
        <f>IFERROR(Calculations!$AA$1114,"")</f>
        <v>0</v>
      </c>
      <c r="I62" s="75">
        <f>IFERROR(Calculations!$AB$1114,"")</f>
        <v>0</v>
      </c>
      <c r="J62" s="75">
        <f>IFERROR(Calculations!$AC$1114,"")</f>
        <v>0</v>
      </c>
      <c r="K62" s="75">
        <f>IFERROR(Calculations!$AD$1114,"")</f>
        <v>0</v>
      </c>
      <c r="L62" s="75">
        <f>IFERROR(Calculations!$AE$1114,"")</f>
        <v>0</v>
      </c>
      <c r="M62" s="75">
        <f>IFERROR(Calculations!$AF$1114,"")</f>
        <v>0</v>
      </c>
      <c r="N62" s="75">
        <f>IFERROR(Calculations!$AG$1114,"")</f>
        <v>0</v>
      </c>
      <c r="O62" s="75">
        <f>IFERROR(Calculations!$AH$1114,"")</f>
        <v>0</v>
      </c>
    </row>
    <row r="63" spans="2:19">
      <c r="B63" s="70">
        <f>IF(Calculations!$U$1115="","",Calculations!$U$1115)</f>
        <v>0</v>
      </c>
      <c r="C63" s="75">
        <f>IFERROR(Calculations!$V$1115,"")</f>
        <v>0</v>
      </c>
      <c r="D63" s="75">
        <f>IFERROR(Calculations!$W$1115,"")</f>
        <v>0</v>
      </c>
      <c r="E63" s="75">
        <f>IFERROR(Calculations!$X$1115,"")</f>
        <v>0</v>
      </c>
      <c r="F63" s="75">
        <f>IFERROR(Calculations!$Y$1115,"")</f>
        <v>0</v>
      </c>
      <c r="G63" s="75">
        <f>IFERROR(Calculations!$Z$1115,"")</f>
        <v>0</v>
      </c>
      <c r="H63" s="75">
        <f>IFERROR(Calculations!$AA$1115,"")</f>
        <v>0</v>
      </c>
      <c r="I63" s="75">
        <f>IFERROR(Calculations!$AB$1115,"")</f>
        <v>0</v>
      </c>
      <c r="J63" s="75">
        <f>IFERROR(Calculations!$AC$1115,"")</f>
        <v>0</v>
      </c>
      <c r="K63" s="75">
        <f>IFERROR(Calculations!$AD$1115,"")</f>
        <v>0</v>
      </c>
      <c r="L63" s="75">
        <f>IFERROR(Calculations!$AE$1115,"")</f>
        <v>0</v>
      </c>
      <c r="M63" s="75">
        <f>IFERROR(Calculations!$AF$1115,"")</f>
        <v>0</v>
      </c>
      <c r="N63" s="75">
        <f>IFERROR(Calculations!$AG$1115,"")</f>
        <v>0</v>
      </c>
      <c r="O63" s="75">
        <f>IFERROR(Calculations!$AH$1115,"")</f>
        <v>0</v>
      </c>
    </row>
    <row r="64" spans="2:19">
      <c r="B64" s="70">
        <f>IF(Calculations!$U$1116="","",Calculations!$U$1116)</f>
        <v>0</v>
      </c>
      <c r="C64" s="75">
        <f>IFERROR(Calculations!$V$1116,"")</f>
        <v>0</v>
      </c>
      <c r="D64" s="75">
        <f>IFERROR(Calculations!$W$1116,"")</f>
        <v>0</v>
      </c>
      <c r="E64" s="75">
        <f>IFERROR(Calculations!$X$1116,"")</f>
        <v>0</v>
      </c>
      <c r="F64" s="75">
        <f>IFERROR(Calculations!$Y$1116,"")</f>
        <v>0</v>
      </c>
      <c r="G64" s="75">
        <f>IFERROR(Calculations!$Z$1116,"")</f>
        <v>0</v>
      </c>
      <c r="H64" s="75">
        <f>IFERROR(Calculations!$AA$1116,"")</f>
        <v>0</v>
      </c>
      <c r="I64" s="75">
        <f>IFERROR(Calculations!$AB$1116,"")</f>
        <v>0</v>
      </c>
      <c r="J64" s="75">
        <f>IFERROR(Calculations!$AC$1116,"")</f>
        <v>0</v>
      </c>
      <c r="K64" s="75">
        <f>IFERROR(Calculations!$AD$1116,"")</f>
        <v>0</v>
      </c>
      <c r="L64" s="75">
        <f>IFERROR(Calculations!$AE$1116,"")</f>
        <v>0</v>
      </c>
      <c r="M64" s="75">
        <f>IFERROR(Calculations!$AF$1116,"")</f>
        <v>0</v>
      </c>
      <c r="N64" s="75">
        <f>IFERROR(Calculations!$AG$1116,"")</f>
        <v>0</v>
      </c>
      <c r="O64" s="75">
        <f>IFERROR(Calculations!$AH$1116,"")</f>
        <v>0</v>
      </c>
    </row>
    <row r="65" spans="2:19">
      <c r="B65" s="70">
        <f>IF(Calculations!$U$1117="","",Calculations!$U$1117)</f>
        <v>0</v>
      </c>
      <c r="C65" s="75">
        <f>IFERROR(Calculations!$V$1117,"")</f>
        <v>0</v>
      </c>
      <c r="D65" s="75">
        <f>IFERROR(Calculations!$W$1117,"")</f>
        <v>0</v>
      </c>
      <c r="E65" s="75">
        <f>IFERROR(Calculations!$X$1117,"")</f>
        <v>0</v>
      </c>
      <c r="F65" s="75">
        <f>IFERROR(Calculations!$Y$1117,"")</f>
        <v>0</v>
      </c>
      <c r="G65" s="75">
        <f>IFERROR(Calculations!$Z$1117,"")</f>
        <v>0</v>
      </c>
      <c r="H65" s="75">
        <f>IFERROR(Calculations!$AA$1117,"")</f>
        <v>0</v>
      </c>
      <c r="I65" s="75">
        <f>IFERROR(Calculations!$AB$1117,"")</f>
        <v>0</v>
      </c>
      <c r="J65" s="75">
        <f>IFERROR(Calculations!$AC$1117,"")</f>
        <v>0</v>
      </c>
      <c r="K65" s="75">
        <f>IFERROR(Calculations!$AD$1117,"")</f>
        <v>0</v>
      </c>
      <c r="L65" s="75">
        <f>IFERROR(Calculations!$AE$1117,"")</f>
        <v>0</v>
      </c>
      <c r="M65" s="75">
        <f>IFERROR(Calculations!$AF$1117,"")</f>
        <v>0</v>
      </c>
      <c r="N65" s="75">
        <f>IFERROR(Calculations!$AG$1117,"")</f>
        <v>0</v>
      </c>
      <c r="O65" s="75">
        <f>IFERROR(Calculations!$AH$1117,"")</f>
        <v>0</v>
      </c>
    </row>
    <row r="66" spans="2:19">
      <c r="B66" s="70">
        <f>IF(Calculations!$U$1118="","",Calculations!$U$1118)</f>
        <v>0</v>
      </c>
      <c r="C66" s="75">
        <f>IFERROR(Calculations!$V$1118,"")</f>
        <v>0</v>
      </c>
      <c r="D66" s="75">
        <f>IFERROR(Calculations!$W$1118,"")</f>
        <v>0</v>
      </c>
      <c r="E66" s="75">
        <f>IFERROR(Calculations!$X$1118,"")</f>
        <v>0</v>
      </c>
      <c r="F66" s="75">
        <f>IFERROR(Calculations!$Y$1118,"")</f>
        <v>0</v>
      </c>
      <c r="G66" s="75">
        <f>IFERROR(Calculations!$Z$1118,"")</f>
        <v>0</v>
      </c>
      <c r="H66" s="75">
        <f>IFERROR(Calculations!$AA$1118,"")</f>
        <v>0</v>
      </c>
      <c r="I66" s="75">
        <f>IFERROR(Calculations!$AB$1118,"")</f>
        <v>0</v>
      </c>
      <c r="J66" s="75">
        <f>IFERROR(Calculations!$AC$1118,"")</f>
        <v>0</v>
      </c>
      <c r="K66" s="75">
        <f>IFERROR(Calculations!$AD$1118,"")</f>
        <v>0</v>
      </c>
      <c r="L66" s="75">
        <f>IFERROR(Calculations!$AE$1118,"")</f>
        <v>0</v>
      </c>
      <c r="M66" s="75">
        <f>IFERROR(Calculations!$AF$1118,"")</f>
        <v>0</v>
      </c>
      <c r="N66" s="75">
        <f>IFERROR(Calculations!$AG$1118,"")</f>
        <v>0</v>
      </c>
      <c r="O66" s="75">
        <f>IFERROR(Calculations!$AH$1118,"")</f>
        <v>0</v>
      </c>
    </row>
    <row r="67" spans="2:19">
      <c r="B67" s="70">
        <f>IF(Calculations!$U$1119="","",Calculations!$U$1119)</f>
        <v>0</v>
      </c>
      <c r="C67" s="75">
        <f>IFERROR(Calculations!$V$1119,"")</f>
        <v>0</v>
      </c>
      <c r="D67" s="75">
        <f>IFERROR(Calculations!$W$1119,"")</f>
        <v>0</v>
      </c>
      <c r="E67" s="75">
        <f>IFERROR(Calculations!$X$1119,"")</f>
        <v>0</v>
      </c>
      <c r="F67" s="75">
        <f>IFERROR(Calculations!$Y$1119,"")</f>
        <v>0</v>
      </c>
      <c r="G67" s="75">
        <f>IFERROR(Calculations!$Z$1119,"")</f>
        <v>0</v>
      </c>
      <c r="H67" s="75">
        <f>IFERROR(Calculations!$AA$1119,"")</f>
        <v>0</v>
      </c>
      <c r="I67" s="75">
        <f>IFERROR(Calculations!$AB$1119,"")</f>
        <v>0</v>
      </c>
      <c r="J67" s="75">
        <f>IFERROR(Calculations!$AC$1119,"")</f>
        <v>0</v>
      </c>
      <c r="K67" s="75">
        <f>IFERROR(Calculations!$AD$1119,"")</f>
        <v>0</v>
      </c>
      <c r="L67" s="75">
        <f>IFERROR(Calculations!$AE$1119,"")</f>
        <v>0</v>
      </c>
      <c r="M67" s="75">
        <f>IFERROR(Calculations!$AF$1119,"")</f>
        <v>0</v>
      </c>
      <c r="N67" s="75">
        <f>IFERROR(Calculations!$AG$1119,"")</f>
        <v>0</v>
      </c>
      <c r="O67" s="75">
        <f>IFERROR(Calculations!$AH$1119,"")</f>
        <v>0</v>
      </c>
    </row>
    <row r="70" spans="2:19">
      <c r="B70" s="36" t="s">
        <v>2352</v>
      </c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2:19">
      <c r="B71" s="88" t="s">
        <v>2501</v>
      </c>
      <c r="C71" s="88"/>
      <c r="D71" s="88"/>
      <c r="E71" s="88"/>
      <c r="F71" s="88"/>
      <c r="G71" s="88"/>
      <c r="H71" s="88"/>
      <c r="I71" s="88"/>
      <c r="J71" s="88"/>
      <c r="K71" s="88"/>
    </row>
    <row r="72" spans="2:19">
      <c r="B72" s="89">
        <f>SUMIFS('Incident'!$V$4:$V$100003,'Incident'!$D$4:$D$100003,mCrit,'Incident'!$H$4:$H$100003,dCrit)*CostPerLostDay</f>
        <v>0</v>
      </c>
      <c r="C72" s="89"/>
      <c r="D72" s="89"/>
      <c r="E72" s="89"/>
      <c r="F72" s="89"/>
      <c r="G72" s="89"/>
      <c r="H72" s="89"/>
      <c r="I72" s="89"/>
      <c r="J72" s="89"/>
      <c r="K72" s="89"/>
    </row>
    <row r="73" spans="2:19">
      <c r="B73" s="89"/>
      <c r="C73" s="89"/>
      <c r="D73" s="89"/>
      <c r="E73" s="89"/>
      <c r="F73" s="89"/>
      <c r="G73" s="89"/>
      <c r="H73" s="89"/>
      <c r="I73" s="89"/>
      <c r="J73" s="89"/>
      <c r="K73" s="89"/>
    </row>
  </sheetData>
  <mergeCells count="46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  <mergeCell ref="B70:S70"/>
    <mergeCell ref="B71:K71"/>
    <mergeCell ref="B72:K73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Incident'!A1" display="◀ Register"/>
  </hyperlinks>
  <pageMargins left="0.3" right="0.3" top="0.4" bottom="0.4" header="0.3" footer="0.3"/>
  <pageSetup fitToHeight="0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62">
    <tabColor rgb="FF14B8A6"/>
    <pageSetUpPr fitToPage="1"/>
  </sheetPr>
  <dimension ref="A1:S67"/>
  <sheetViews>
    <sheetView showGridLines="0" zoomScale="82" zoomScaleNormal="82" workbookViewId="0">
      <pane ySplit="10" topLeftCell="A11" activePane="bottomLeft" state="frozen"/>
      <selection pane="bottomLeft"/>
    </sheetView>
  </sheetViews>
  <sheetFormatPr defaultRowHeight="15"/>
  <cols>
    <col min="1" max="1" width="2.7109375" style="29" customWidth="1"/>
    <col min="2" max="19" width="9.5703125" style="29" customWidth="1"/>
  </cols>
  <sheetData>
    <row r="1" spans="2:19" ht="6" customHeight="1"/>
    <row r="2" spans="2:19">
      <c r="B2" s="53" t="s">
        <v>2502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2208</v>
      </c>
      <c r="O2" s="54"/>
      <c r="P2" s="54"/>
      <c r="Q2" s="54"/>
      <c r="R2" s="54"/>
      <c r="S2" s="54"/>
    </row>
    <row r="3" spans="2:19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4"/>
      <c r="O3" s="54"/>
      <c r="P3" s="54"/>
      <c r="Q3" s="54"/>
      <c r="R3" s="54"/>
      <c r="S3" s="54"/>
    </row>
    <row r="4" spans="2:19"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54"/>
      <c r="P4" s="54"/>
      <c r="Q4" s="54"/>
      <c r="R4" s="54"/>
      <c r="S4" s="54"/>
    </row>
    <row r="5" spans="2:19">
      <c r="B5" s="55" t="s">
        <v>2503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4"/>
      <c r="O5" s="54"/>
      <c r="P5" s="54"/>
      <c r="Q5" s="54"/>
      <c r="R5" s="54"/>
      <c r="S5" s="54"/>
    </row>
    <row r="6" spans="2:19" ht="3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2:19">
      <c r="O7" s="33" t="s">
        <v>2165</v>
      </c>
      <c r="Q7" s="35">
        <f>LastRefresh</f>
        <v>0</v>
      </c>
    </row>
    <row r="9" spans="2:19">
      <c r="B9" s="56" t="s">
        <v>2209</v>
      </c>
      <c r="C9" s="56" t="s">
        <v>2210</v>
      </c>
      <c r="D9" s="56" t="s">
        <v>2211</v>
      </c>
      <c r="E9" s="56"/>
      <c r="F9" s="56" t="s">
        <v>2338</v>
      </c>
      <c r="G9" s="56"/>
      <c r="H9" s="56"/>
    </row>
    <row r="11" spans="2:19">
      <c r="B11" s="36" t="s">
        <v>2339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  <row r="12" spans="2:19" ht="4" customHeight="1">
      <c r="B12" s="32"/>
      <c r="C12" s="32"/>
      <c r="D12" s="32"/>
      <c r="E12" s="32"/>
      <c r="F12" s="32"/>
      <c r="G12" s="32"/>
      <c r="H12" s="32"/>
      <c r="I12" s="32"/>
      <c r="J12" s="38"/>
      <c r="K12" s="38"/>
      <c r="L12" s="38"/>
      <c r="M12" s="38"/>
      <c r="N12" s="37"/>
      <c r="O12" s="37"/>
      <c r="P12" s="37"/>
      <c r="Q12" s="37"/>
    </row>
    <row r="13" spans="2:19">
      <c r="B13" s="39" t="s">
        <v>2504</v>
      </c>
      <c r="C13" s="39"/>
      <c r="D13" s="39"/>
      <c r="E13" s="39"/>
      <c r="F13" s="39" t="s">
        <v>2505</v>
      </c>
      <c r="G13" s="39"/>
      <c r="H13" s="39"/>
      <c r="I13" s="39"/>
      <c r="J13" s="39" t="s">
        <v>2506</v>
      </c>
      <c r="K13" s="39"/>
      <c r="L13" s="39"/>
      <c r="M13" s="39"/>
      <c r="N13" s="39" t="s">
        <v>2507</v>
      </c>
      <c r="O13" s="39"/>
      <c r="P13" s="39"/>
      <c r="Q13" s="39"/>
    </row>
    <row r="14" spans="2:19">
      <c r="B14" s="41">
        <f>Calculations!$N$1140</f>
        <v>0</v>
      </c>
      <c r="C14" s="41"/>
      <c r="D14" s="41"/>
      <c r="E14" s="41"/>
      <c r="F14" s="41">
        <f>Calculations!$N$1141</f>
        <v>0</v>
      </c>
      <c r="G14" s="41"/>
      <c r="H14" s="41"/>
      <c r="I14" s="41"/>
      <c r="J14" s="41">
        <f>Calculations!$N$1142</f>
        <v>0</v>
      </c>
      <c r="K14" s="41"/>
      <c r="L14" s="41"/>
      <c r="M14" s="41"/>
      <c r="N14" s="42">
        <f>Calculations!$N$1143</f>
        <v>0</v>
      </c>
      <c r="O14" s="42"/>
      <c r="P14" s="42"/>
      <c r="Q14" s="42"/>
    </row>
    <row r="15" spans="2:19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2"/>
      <c r="O15" s="42"/>
      <c r="P15" s="42"/>
      <c r="Q15" s="42"/>
    </row>
    <row r="16" spans="2:19">
      <c r="B16" s="43" t="s">
        <v>2308</v>
      </c>
      <c r="C16" s="43"/>
      <c r="D16" s="43"/>
      <c r="E16" s="43"/>
      <c r="F16" s="43" t="s">
        <v>2308</v>
      </c>
      <c r="G16" s="43"/>
      <c r="H16" s="43"/>
      <c r="I16" s="43"/>
      <c r="J16" s="43" t="s">
        <v>2308</v>
      </c>
      <c r="K16" s="43"/>
      <c r="L16" s="43"/>
      <c r="M16" s="43"/>
      <c r="N16" s="43" t="s">
        <v>2308</v>
      </c>
      <c r="O16" s="43"/>
      <c r="P16" s="43"/>
      <c r="Q16" s="43"/>
    </row>
    <row r="18" spans="2:19" ht="4" customHeight="1">
      <c r="B18" s="32"/>
      <c r="C18" s="32"/>
      <c r="D18" s="32"/>
      <c r="E18" s="32"/>
      <c r="F18" s="32"/>
      <c r="G18" s="32"/>
      <c r="H18" s="32"/>
      <c r="I18" s="32"/>
      <c r="J18" s="38"/>
      <c r="K18" s="38"/>
      <c r="L18" s="38"/>
      <c r="M18" s="38"/>
      <c r="N18" s="37"/>
      <c r="O18" s="37"/>
      <c r="P18" s="37"/>
      <c r="Q18" s="37"/>
    </row>
    <row r="19" spans="2:19">
      <c r="B19" s="39" t="s">
        <v>2508</v>
      </c>
      <c r="C19" s="39"/>
      <c r="D19" s="39"/>
      <c r="E19" s="39"/>
      <c r="F19" s="39" t="s">
        <v>2509</v>
      </c>
      <c r="G19" s="39"/>
      <c r="H19" s="39"/>
      <c r="I19" s="39"/>
      <c r="J19" s="39" t="s">
        <v>2510</v>
      </c>
      <c r="K19" s="39"/>
      <c r="L19" s="39"/>
      <c r="M19" s="39"/>
      <c r="N19" s="39" t="s">
        <v>2511</v>
      </c>
      <c r="O19" s="39"/>
      <c r="P19" s="39"/>
      <c r="Q19" s="39"/>
    </row>
    <row r="20" spans="2:19">
      <c r="B20" s="41">
        <f>Calculations!$N$1144</f>
        <v>0</v>
      </c>
      <c r="C20" s="41"/>
      <c r="D20" s="41"/>
      <c r="E20" s="41"/>
      <c r="F20" s="41">
        <f>Calculations!$N$1145</f>
        <v>0</v>
      </c>
      <c r="G20" s="41"/>
      <c r="H20" s="41"/>
      <c r="I20" s="41"/>
      <c r="J20" s="41">
        <f>Calculations!$N$1146</f>
        <v>0</v>
      </c>
      <c r="K20" s="41"/>
      <c r="L20" s="41"/>
      <c r="M20" s="41"/>
      <c r="N20" s="41">
        <f>Calculations!$N$1147</f>
        <v>0</v>
      </c>
      <c r="O20" s="41"/>
      <c r="P20" s="41"/>
      <c r="Q20" s="41"/>
    </row>
    <row r="21" spans="2:19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2:19">
      <c r="B22" s="43" t="s">
        <v>2308</v>
      </c>
      <c r="C22" s="43"/>
      <c r="D22" s="43"/>
      <c r="E22" s="43"/>
      <c r="F22" s="43" t="s">
        <v>2308</v>
      </c>
      <c r="G22" s="43"/>
      <c r="H22" s="43"/>
      <c r="I22" s="43"/>
      <c r="J22" s="43" t="s">
        <v>2308</v>
      </c>
      <c r="K22" s="43"/>
      <c r="L22" s="43"/>
      <c r="M22" s="43"/>
      <c r="N22" s="43" t="s">
        <v>2308</v>
      </c>
      <c r="O22" s="43"/>
      <c r="P22" s="43"/>
      <c r="Q22" s="43"/>
    </row>
    <row r="24" spans="2:19">
      <c r="B24" s="84">
        <f>IF(CurMonthNo=0,"Select a specific Register Month (Executive Dashboard) to see month-over-month change",IF(CurMonthNo=1,"Jan is the first month of the year — no in-year prior month to compare","This month ("&amp;INDEX(L_Month,CurMonthNo)&amp;"): "&amp;INDEX(Calculations!$C$1140:$C$1151,CurMonthNo)&amp;"   vs   "&amp;INDEX(L_Month,CurMonthNo-1)&amp;": "&amp;INDEX(Calculations!$C$1140:$C$1151,CurMonthNo-1)&amp;"   "&amp;IF(INDEX(Calculations!$C$1140:$C$1151,CurMonthNo)&gt;=INDEX(Calculations!$C$1140:$C$1151,CurMonthNo-1),"▲ ","▼ ")&amp;TEXT(IFERROR((INDEX(Calculations!$C$1140:$C$1151,CurMonthNo)-INDEX(Calculations!$C$1140:$C$1151,CurMonthNo-1))/INDEX(Calculations!$C$1140:$C$1151,CurMonthNo-1),0),"+0.0%;-0.0%")))</f>
        <v>0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6" spans="2:19">
      <c r="B26" s="36" t="s">
        <v>2348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</row>
    <row r="43" spans="2:19">
      <c r="B43" s="36" t="s">
        <v>2350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</row>
    <row r="44" spans="2:19">
      <c r="B44" s="57" t="s">
        <v>129</v>
      </c>
      <c r="C44" s="57" t="s">
        <v>1965</v>
      </c>
      <c r="D44" s="57" t="s">
        <v>1770</v>
      </c>
      <c r="E44" s="57" t="s">
        <v>2153</v>
      </c>
    </row>
    <row r="45" spans="2:19">
      <c r="B45" s="70">
        <f>IFERROR(Calculations!$P$1140,"")</f>
        <v>0</v>
      </c>
      <c r="C45" s="75">
        <f>IFERROR(Calculations!$Q$1140,"")</f>
        <v>0</v>
      </c>
      <c r="D45" s="75">
        <f>IFERROR(Calculations!$R$1140,"")</f>
        <v>0</v>
      </c>
      <c r="E45" s="76">
        <f>IFERROR(Calculations!$S$1140,"")</f>
        <v>0</v>
      </c>
    </row>
    <row r="46" spans="2:19">
      <c r="B46" s="70">
        <f>IFERROR(Calculations!$P$1141,"")</f>
        <v>0</v>
      </c>
      <c r="C46" s="75">
        <f>IFERROR(Calculations!$Q$1141,"")</f>
        <v>0</v>
      </c>
      <c r="D46" s="75">
        <f>IFERROR(Calculations!$R$1141,"")</f>
        <v>0</v>
      </c>
      <c r="E46" s="76">
        <f>IFERROR(Calculations!$S$1141,"")</f>
        <v>0</v>
      </c>
    </row>
    <row r="47" spans="2:19">
      <c r="B47" s="70">
        <f>IFERROR(Calculations!$P$1142,"")</f>
        <v>0</v>
      </c>
      <c r="C47" s="75">
        <f>IFERROR(Calculations!$Q$1142,"")</f>
        <v>0</v>
      </c>
      <c r="D47" s="75">
        <f>IFERROR(Calculations!$R$1142,"")</f>
        <v>0</v>
      </c>
      <c r="E47" s="76">
        <f>IFERROR(Calculations!$S$1142,"")</f>
        <v>0</v>
      </c>
    </row>
    <row r="48" spans="2:19">
      <c r="B48" s="70">
        <f>IFERROR(Calculations!$P$1143,"")</f>
        <v>0</v>
      </c>
      <c r="C48" s="75">
        <f>IFERROR(Calculations!$Q$1143,"")</f>
        <v>0</v>
      </c>
      <c r="D48" s="75">
        <f>IFERROR(Calculations!$R$1143,"")</f>
        <v>0</v>
      </c>
      <c r="E48" s="76">
        <f>IFERROR(Calculations!$S$1143,"")</f>
        <v>0</v>
      </c>
    </row>
    <row r="49" spans="2:19">
      <c r="B49" s="70">
        <f>IFERROR(Calculations!$P$1144,"")</f>
        <v>0</v>
      </c>
      <c r="C49" s="75">
        <f>IFERROR(Calculations!$Q$1144,"")</f>
        <v>0</v>
      </c>
      <c r="D49" s="75">
        <f>IFERROR(Calculations!$R$1144,"")</f>
        <v>0</v>
      </c>
      <c r="E49" s="76">
        <f>IFERROR(Calculations!$S$1144,"")</f>
        <v>0</v>
      </c>
    </row>
    <row r="50" spans="2:19">
      <c r="B50" s="70">
        <f>IFERROR(Calculations!$P$1145,"")</f>
        <v>0</v>
      </c>
      <c r="C50" s="75">
        <f>IFERROR(Calculations!$Q$1145,"")</f>
        <v>0</v>
      </c>
      <c r="D50" s="75">
        <f>IFERROR(Calculations!$R$1145,"")</f>
        <v>0</v>
      </c>
      <c r="E50" s="76">
        <f>IFERROR(Calculations!$S$1145,"")</f>
        <v>0</v>
      </c>
    </row>
    <row r="51" spans="2:19">
      <c r="B51" s="70">
        <f>IFERROR(Calculations!$P$1146,"")</f>
        <v>0</v>
      </c>
      <c r="C51" s="75">
        <f>IFERROR(Calculations!$Q$1146,"")</f>
        <v>0</v>
      </c>
      <c r="D51" s="75">
        <f>IFERROR(Calculations!$R$1146,"")</f>
        <v>0</v>
      </c>
      <c r="E51" s="76">
        <f>IFERROR(Calculations!$S$1146,"")</f>
        <v>0</v>
      </c>
    </row>
    <row r="52" spans="2:19">
      <c r="B52" s="70">
        <f>IFERROR(Calculations!$P$1147,"")</f>
        <v>0</v>
      </c>
      <c r="C52" s="75">
        <f>IFERROR(Calculations!$Q$1147,"")</f>
        <v>0</v>
      </c>
      <c r="D52" s="75">
        <f>IFERROR(Calculations!$R$1147,"")</f>
        <v>0</v>
      </c>
      <c r="E52" s="76">
        <f>IFERROR(Calculations!$S$1147,"")</f>
        <v>0</v>
      </c>
    </row>
    <row r="53" spans="2:19">
      <c r="B53" s="70">
        <f>IFERROR(Calculations!$P$1148,"")</f>
        <v>0</v>
      </c>
      <c r="C53" s="75">
        <f>IFERROR(Calculations!$Q$1148,"")</f>
        <v>0</v>
      </c>
      <c r="D53" s="75">
        <f>IFERROR(Calculations!$R$1148,"")</f>
        <v>0</v>
      </c>
      <c r="E53" s="76">
        <f>IFERROR(Calculations!$S$1148,"")</f>
        <v>0</v>
      </c>
    </row>
    <row r="54" spans="2:19">
      <c r="B54" s="70">
        <f>IFERROR(Calculations!$P$1149,"")</f>
        <v>0</v>
      </c>
      <c r="C54" s="75">
        <f>IFERROR(Calculations!$Q$1149,"")</f>
        <v>0</v>
      </c>
      <c r="D54" s="75">
        <f>IFERROR(Calculations!$R$1149,"")</f>
        <v>0</v>
      </c>
      <c r="E54" s="76">
        <f>IFERROR(Calculations!$S$1149,"")</f>
        <v>0</v>
      </c>
    </row>
    <row r="60" spans="2:19">
      <c r="B60" s="36" t="s">
        <v>2351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2:19">
      <c r="B61" s="57" t="s">
        <v>2038</v>
      </c>
      <c r="C61" s="57" t="s">
        <v>3</v>
      </c>
      <c r="D61" s="57" t="s">
        <v>19</v>
      </c>
      <c r="E61" s="57" t="s">
        <v>44</v>
      </c>
      <c r="F61" s="57" t="s">
        <v>53</v>
      </c>
      <c r="G61" s="57" t="s">
        <v>60</v>
      </c>
      <c r="H61" s="57" t="s">
        <v>73</v>
      </c>
      <c r="I61" s="57" t="s">
        <v>76</v>
      </c>
      <c r="J61" s="57" t="s">
        <v>86</v>
      </c>
      <c r="K61" s="57" t="s">
        <v>102</v>
      </c>
      <c r="L61" s="57" t="s">
        <v>106</v>
      </c>
      <c r="M61" s="57" t="s">
        <v>111</v>
      </c>
      <c r="N61" s="57" t="s">
        <v>122</v>
      </c>
      <c r="O61" s="57" t="s">
        <v>2063</v>
      </c>
    </row>
    <row r="62" spans="2:19">
      <c r="B62" s="70">
        <f>IF(Calculations!$U$1140="","",Calculations!$U$1140)</f>
        <v>0</v>
      </c>
      <c r="C62" s="75">
        <f>IFERROR(Calculations!$V$1140,"")</f>
        <v>0</v>
      </c>
      <c r="D62" s="75">
        <f>IFERROR(Calculations!$W$1140,"")</f>
        <v>0</v>
      </c>
      <c r="E62" s="75">
        <f>IFERROR(Calculations!$X$1140,"")</f>
        <v>0</v>
      </c>
      <c r="F62" s="75">
        <f>IFERROR(Calculations!$Y$1140,"")</f>
        <v>0</v>
      </c>
      <c r="G62" s="75">
        <f>IFERROR(Calculations!$Z$1140,"")</f>
        <v>0</v>
      </c>
      <c r="H62" s="75">
        <f>IFERROR(Calculations!$AA$1140,"")</f>
        <v>0</v>
      </c>
      <c r="I62" s="75">
        <f>IFERROR(Calculations!$AB$1140,"")</f>
        <v>0</v>
      </c>
      <c r="J62" s="75">
        <f>IFERROR(Calculations!$AC$1140,"")</f>
        <v>0</v>
      </c>
      <c r="K62" s="75">
        <f>IFERROR(Calculations!$AD$1140,"")</f>
        <v>0</v>
      </c>
      <c r="L62" s="75">
        <f>IFERROR(Calculations!$AE$1140,"")</f>
        <v>0</v>
      </c>
      <c r="M62" s="75">
        <f>IFERROR(Calculations!$AF$1140,"")</f>
        <v>0</v>
      </c>
      <c r="N62" s="75">
        <f>IFERROR(Calculations!$AG$1140,"")</f>
        <v>0</v>
      </c>
      <c r="O62" s="75">
        <f>IFERROR(Calculations!$AH$1140,"")</f>
        <v>0</v>
      </c>
    </row>
    <row r="63" spans="2:19">
      <c r="B63" s="70">
        <f>IF(Calculations!$U$1141="","",Calculations!$U$1141)</f>
        <v>0</v>
      </c>
      <c r="C63" s="75">
        <f>IFERROR(Calculations!$V$1141,"")</f>
        <v>0</v>
      </c>
      <c r="D63" s="75">
        <f>IFERROR(Calculations!$W$1141,"")</f>
        <v>0</v>
      </c>
      <c r="E63" s="75">
        <f>IFERROR(Calculations!$X$1141,"")</f>
        <v>0</v>
      </c>
      <c r="F63" s="75">
        <f>IFERROR(Calculations!$Y$1141,"")</f>
        <v>0</v>
      </c>
      <c r="G63" s="75">
        <f>IFERROR(Calculations!$Z$1141,"")</f>
        <v>0</v>
      </c>
      <c r="H63" s="75">
        <f>IFERROR(Calculations!$AA$1141,"")</f>
        <v>0</v>
      </c>
      <c r="I63" s="75">
        <f>IFERROR(Calculations!$AB$1141,"")</f>
        <v>0</v>
      </c>
      <c r="J63" s="75">
        <f>IFERROR(Calculations!$AC$1141,"")</f>
        <v>0</v>
      </c>
      <c r="K63" s="75">
        <f>IFERROR(Calculations!$AD$1141,"")</f>
        <v>0</v>
      </c>
      <c r="L63" s="75">
        <f>IFERROR(Calculations!$AE$1141,"")</f>
        <v>0</v>
      </c>
      <c r="M63" s="75">
        <f>IFERROR(Calculations!$AF$1141,"")</f>
        <v>0</v>
      </c>
      <c r="N63" s="75">
        <f>IFERROR(Calculations!$AG$1141,"")</f>
        <v>0</v>
      </c>
      <c r="O63" s="75">
        <f>IFERROR(Calculations!$AH$1141,"")</f>
        <v>0</v>
      </c>
    </row>
    <row r="64" spans="2:19">
      <c r="B64" s="70">
        <f>IF(Calculations!$U$1142="","",Calculations!$U$1142)</f>
        <v>0</v>
      </c>
      <c r="C64" s="75">
        <f>IFERROR(Calculations!$V$1142,"")</f>
        <v>0</v>
      </c>
      <c r="D64" s="75">
        <f>IFERROR(Calculations!$W$1142,"")</f>
        <v>0</v>
      </c>
      <c r="E64" s="75">
        <f>IFERROR(Calculations!$X$1142,"")</f>
        <v>0</v>
      </c>
      <c r="F64" s="75">
        <f>IFERROR(Calculations!$Y$1142,"")</f>
        <v>0</v>
      </c>
      <c r="G64" s="75">
        <f>IFERROR(Calculations!$Z$1142,"")</f>
        <v>0</v>
      </c>
      <c r="H64" s="75">
        <f>IFERROR(Calculations!$AA$1142,"")</f>
        <v>0</v>
      </c>
      <c r="I64" s="75">
        <f>IFERROR(Calculations!$AB$1142,"")</f>
        <v>0</v>
      </c>
      <c r="J64" s="75">
        <f>IFERROR(Calculations!$AC$1142,"")</f>
        <v>0</v>
      </c>
      <c r="K64" s="75">
        <f>IFERROR(Calculations!$AD$1142,"")</f>
        <v>0</v>
      </c>
      <c r="L64" s="75">
        <f>IFERROR(Calculations!$AE$1142,"")</f>
        <v>0</v>
      </c>
      <c r="M64" s="75">
        <f>IFERROR(Calculations!$AF$1142,"")</f>
        <v>0</v>
      </c>
      <c r="N64" s="75">
        <f>IFERROR(Calculations!$AG$1142,"")</f>
        <v>0</v>
      </c>
      <c r="O64" s="75">
        <f>IFERROR(Calculations!$AH$1142,"")</f>
        <v>0</v>
      </c>
    </row>
    <row r="65" spans="2:15">
      <c r="B65" s="70">
        <f>IF(Calculations!$U$1143="","",Calculations!$U$1143)</f>
        <v>0</v>
      </c>
      <c r="C65" s="75">
        <f>IFERROR(Calculations!$V$1143,"")</f>
        <v>0</v>
      </c>
      <c r="D65" s="75">
        <f>IFERROR(Calculations!$W$1143,"")</f>
        <v>0</v>
      </c>
      <c r="E65" s="75">
        <f>IFERROR(Calculations!$X$1143,"")</f>
        <v>0</v>
      </c>
      <c r="F65" s="75">
        <f>IFERROR(Calculations!$Y$1143,"")</f>
        <v>0</v>
      </c>
      <c r="G65" s="75">
        <f>IFERROR(Calculations!$Z$1143,"")</f>
        <v>0</v>
      </c>
      <c r="H65" s="75">
        <f>IFERROR(Calculations!$AA$1143,"")</f>
        <v>0</v>
      </c>
      <c r="I65" s="75">
        <f>IFERROR(Calculations!$AB$1143,"")</f>
        <v>0</v>
      </c>
      <c r="J65" s="75">
        <f>IFERROR(Calculations!$AC$1143,"")</f>
        <v>0</v>
      </c>
      <c r="K65" s="75">
        <f>IFERROR(Calculations!$AD$1143,"")</f>
        <v>0</v>
      </c>
      <c r="L65" s="75">
        <f>IFERROR(Calculations!$AE$1143,"")</f>
        <v>0</v>
      </c>
      <c r="M65" s="75">
        <f>IFERROR(Calculations!$AF$1143,"")</f>
        <v>0</v>
      </c>
      <c r="N65" s="75">
        <f>IFERROR(Calculations!$AG$1143,"")</f>
        <v>0</v>
      </c>
      <c r="O65" s="75">
        <f>IFERROR(Calculations!$AH$1143,"")</f>
        <v>0</v>
      </c>
    </row>
    <row r="66" spans="2:15">
      <c r="B66" s="70">
        <f>IF(Calculations!$U$1144="","",Calculations!$U$1144)</f>
        <v>0</v>
      </c>
      <c r="C66" s="75">
        <f>IFERROR(Calculations!$V$1144,"")</f>
        <v>0</v>
      </c>
      <c r="D66" s="75">
        <f>IFERROR(Calculations!$W$1144,"")</f>
        <v>0</v>
      </c>
      <c r="E66" s="75">
        <f>IFERROR(Calculations!$X$1144,"")</f>
        <v>0</v>
      </c>
      <c r="F66" s="75">
        <f>IFERROR(Calculations!$Y$1144,"")</f>
        <v>0</v>
      </c>
      <c r="G66" s="75">
        <f>IFERROR(Calculations!$Z$1144,"")</f>
        <v>0</v>
      </c>
      <c r="H66" s="75">
        <f>IFERROR(Calculations!$AA$1144,"")</f>
        <v>0</v>
      </c>
      <c r="I66" s="75">
        <f>IFERROR(Calculations!$AB$1144,"")</f>
        <v>0</v>
      </c>
      <c r="J66" s="75">
        <f>IFERROR(Calculations!$AC$1144,"")</f>
        <v>0</v>
      </c>
      <c r="K66" s="75">
        <f>IFERROR(Calculations!$AD$1144,"")</f>
        <v>0</v>
      </c>
      <c r="L66" s="75">
        <f>IFERROR(Calculations!$AE$1144,"")</f>
        <v>0</v>
      </c>
      <c r="M66" s="75">
        <f>IFERROR(Calculations!$AF$1144,"")</f>
        <v>0</v>
      </c>
      <c r="N66" s="75">
        <f>IFERROR(Calculations!$AG$1144,"")</f>
        <v>0</v>
      </c>
      <c r="O66" s="75">
        <f>IFERROR(Calculations!$AH$1144,"")</f>
        <v>0</v>
      </c>
    </row>
    <row r="67" spans="2:15">
      <c r="B67" s="70">
        <f>IF(Calculations!$U$1145="","",Calculations!$U$1145)</f>
        <v>0</v>
      </c>
      <c r="C67" s="75">
        <f>IFERROR(Calculations!$V$1145,"")</f>
        <v>0</v>
      </c>
      <c r="D67" s="75">
        <f>IFERROR(Calculations!$W$1145,"")</f>
        <v>0</v>
      </c>
      <c r="E67" s="75">
        <f>IFERROR(Calculations!$X$1145,"")</f>
        <v>0</v>
      </c>
      <c r="F67" s="75">
        <f>IFERROR(Calculations!$Y$1145,"")</f>
        <v>0</v>
      </c>
      <c r="G67" s="75">
        <f>IFERROR(Calculations!$Z$1145,"")</f>
        <v>0</v>
      </c>
      <c r="H67" s="75">
        <f>IFERROR(Calculations!$AA$1145,"")</f>
        <v>0</v>
      </c>
      <c r="I67" s="75">
        <f>IFERROR(Calculations!$AB$1145,"")</f>
        <v>0</v>
      </c>
      <c r="J67" s="75">
        <f>IFERROR(Calculations!$AC$1145,"")</f>
        <v>0</v>
      </c>
      <c r="K67" s="75">
        <f>IFERROR(Calculations!$AD$1145,"")</f>
        <v>0</v>
      </c>
      <c r="L67" s="75">
        <f>IFERROR(Calculations!$AE$1145,"")</f>
        <v>0</v>
      </c>
      <c r="M67" s="75">
        <f>IFERROR(Calculations!$AF$1145,"")</f>
        <v>0</v>
      </c>
      <c r="N67" s="75">
        <f>IFERROR(Calculations!$AG$1145,"")</f>
        <v>0</v>
      </c>
      <c r="O67" s="75">
        <f>IFERROR(Calculations!$AH$1145,"")</f>
        <v>0</v>
      </c>
    </row>
  </sheetData>
  <mergeCells count="43">
    <mergeCell ref="B2:M4"/>
    <mergeCell ref="B5:M5"/>
    <mergeCell ref="N2:S5"/>
    <mergeCell ref="B6:S6"/>
    <mergeCell ref="D9:E9"/>
    <mergeCell ref="F9:H9"/>
    <mergeCell ref="B11:S11"/>
    <mergeCell ref="B12:E12"/>
    <mergeCell ref="B13:E13"/>
    <mergeCell ref="B14:E15"/>
    <mergeCell ref="B16:E16"/>
    <mergeCell ref="F12:I12"/>
    <mergeCell ref="F13:I13"/>
    <mergeCell ref="F14:I15"/>
    <mergeCell ref="F16:I16"/>
    <mergeCell ref="J12:M12"/>
    <mergeCell ref="J13:M13"/>
    <mergeCell ref="J14:M15"/>
    <mergeCell ref="J16:M16"/>
    <mergeCell ref="N12:Q12"/>
    <mergeCell ref="N13:Q13"/>
    <mergeCell ref="N14:Q15"/>
    <mergeCell ref="N16:Q16"/>
    <mergeCell ref="B18:E18"/>
    <mergeCell ref="B19:E19"/>
    <mergeCell ref="B20:E21"/>
    <mergeCell ref="B22:E22"/>
    <mergeCell ref="F18:I18"/>
    <mergeCell ref="F19:I19"/>
    <mergeCell ref="F20:I21"/>
    <mergeCell ref="F22:I22"/>
    <mergeCell ref="J18:M18"/>
    <mergeCell ref="J19:M19"/>
    <mergeCell ref="J20:M21"/>
    <mergeCell ref="J22:M22"/>
    <mergeCell ref="N18:Q18"/>
    <mergeCell ref="N19:Q19"/>
    <mergeCell ref="N20:Q21"/>
    <mergeCell ref="N22:Q22"/>
    <mergeCell ref="B24:S24"/>
    <mergeCell ref="B26:S26"/>
    <mergeCell ref="B43:S43"/>
    <mergeCell ref="B60:S60"/>
  </mergeCells>
  <conditionalFormatting sqref="C45:C54">
    <cfRule type="dataBar" priority="1">
      <dataBar>
        <cfvo type="min" val="0"/>
        <cfvo type="max" val="0"/>
        <color rgb="FF0B6EA8"/>
      </dataBar>
    </cfRule>
  </conditionalFormatting>
  <conditionalFormatting sqref="C63:N63">
    <cfRule type="colorScale" priority="2">
      <colorScale>
        <cfvo type="min" val="0"/>
        <cfvo type="percentile" val="50"/>
        <cfvo type="max" val="0"/>
        <color rgb="FF5C2323"/>
        <color rgb="FF5C4419"/>
        <color rgb="FF1D7A6E"/>
      </colorScale>
    </cfRule>
  </conditionalFormatting>
  <hyperlinks>
    <hyperlink ref="B9" location="'Home'!A1" display="⌂ Home"/>
    <hyperlink ref="C9" location="'Executive Dashboard'!A1" display="Executive"/>
    <hyperlink ref="D9" location="'Leadership Review'!A1" display="Leadership"/>
    <hyperlink ref="F9" location="'Environmental Perf'!A1" display="◀ Register"/>
  </hyperlinks>
  <pageMargins left="0.3" right="0.3" top="0.4" bottom="0.4" header="0.3" footer="0.3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62</vt:i4>
      </vt:variant>
      <vt:variant>
        <vt:lpstr>Named Ranges</vt:lpstr>
      </vt:variant>
      <vt:variant>
        <vt:i4>213</vt:i4>
      </vt:variant>
    </vt:vector>
  </HeadingPairs>
  <TitlesOfParts>
    <vt:vector size="275" baseType="lpstr">
      <vt:lpstr>Toolbox Talks</vt:lpstr>
      <vt:lpstr>JSA Risk Assessment</vt:lpstr>
      <vt:lpstr>Training</vt:lpstr>
      <vt:lpstr>HSE Observations</vt:lpstr>
      <vt:lpstr>Workplace Inspections</vt:lpstr>
      <vt:lpstr>Equipment Inspections</vt:lpstr>
      <vt:lpstr>Safety Walkthroughs</vt:lpstr>
      <vt:lpstr>Safety Meetings</vt:lpstr>
      <vt:lpstr>Safety Bulletins</vt:lpstr>
      <vt:lpstr>Emergency Drills</vt:lpstr>
      <vt:lpstr>Internal Audits</vt:lpstr>
      <vt:lpstr>External Audits</vt:lpstr>
      <vt:lpstr>Management Visits</vt:lpstr>
      <vt:lpstr>Management Reviews</vt:lpstr>
      <vt:lpstr>Disciplinary Actions</vt:lpstr>
      <vt:lpstr>Safety Awards</vt:lpstr>
      <vt:lpstr>Stop Work Authority</vt:lpstr>
      <vt:lpstr>Alcohol Tests</vt:lpstr>
      <vt:lpstr>PTW Audits</vt:lpstr>
      <vt:lpstr>Corrective Actions</vt:lpstr>
      <vt:lpstr>NC Management</vt:lpstr>
      <vt:lpstr>Unsafe Acts</vt:lpstr>
      <vt:lpstr>Unsafe Conditions</vt:lpstr>
      <vt:lpstr>Incident</vt:lpstr>
      <vt:lpstr>Environmental Perf</vt:lpstr>
      <vt:lpstr>Master Data</vt:lpstr>
      <vt:lpstr>Settings</vt:lpstr>
      <vt:lpstr>Help</vt:lpstr>
      <vt:lpstr>Data Quality</vt:lpstr>
      <vt:lpstr>Investigation Log</vt:lpstr>
      <vt:lpstr>Change Log</vt:lpstr>
      <vt:lpstr>Calculations</vt:lpstr>
      <vt:lpstr>Cover Page</vt:lpstr>
      <vt:lpstr>Home</vt:lpstr>
      <vt:lpstr>Executive Dashboard</vt:lpstr>
      <vt:lpstr>Leadership Review</vt:lpstr>
      <vt:lpstr>Executive Snapshot</vt:lpstr>
      <vt:lpstr>Dash · Toolbox Talks</vt:lpstr>
      <vt:lpstr>Dash · JSA Risk Assessment</vt:lpstr>
      <vt:lpstr>Dash · Training</vt:lpstr>
      <vt:lpstr>Dash · HSE Observations</vt:lpstr>
      <vt:lpstr>Dash · Workplace Inspections</vt:lpstr>
      <vt:lpstr>Dash · Equipment Inspections</vt:lpstr>
      <vt:lpstr>Dash · Safety Walkthroughs</vt:lpstr>
      <vt:lpstr>Dash · Safety Meetings</vt:lpstr>
      <vt:lpstr>Dash · Safety Bulletins</vt:lpstr>
      <vt:lpstr>Dash · Emergency Drills</vt:lpstr>
      <vt:lpstr>Dash · Internal Audits</vt:lpstr>
      <vt:lpstr>Dash · External Audits</vt:lpstr>
      <vt:lpstr>Dash · Management Visits</vt:lpstr>
      <vt:lpstr>Dash · Management Reviews</vt:lpstr>
      <vt:lpstr>Dash · Disciplinary Actions</vt:lpstr>
      <vt:lpstr>Dash · Safety Awards</vt:lpstr>
      <vt:lpstr>Dash · Stop Work Authority</vt:lpstr>
      <vt:lpstr>Dash · Alcohol Tests</vt:lpstr>
      <vt:lpstr>Dash · PTW Audits</vt:lpstr>
      <vt:lpstr>Dash · Corrective Actions</vt:lpstr>
      <vt:lpstr>Dash · NC Management</vt:lpstr>
      <vt:lpstr>Dash · Unsafe Acts</vt:lpstr>
      <vt:lpstr>Dash · Unsafe Conditions</vt:lpstr>
      <vt:lpstr>Dash · Incident</vt:lpstr>
      <vt:lpstr>Dash · Environmental Perf</vt:lpstr>
      <vt:lpstr>AmberBand</vt:lpstr>
      <vt:lpstr>BenchLTIFR</vt:lpstr>
      <vt:lpstr>BenchTRIR</vt:lpstr>
      <vt:lpstr>CAClosure</vt:lpstr>
      <vt:lpstr>CertValidityDays</vt:lpstr>
      <vt:lpstr>CostPerDowntimeMin</vt:lpstr>
      <vt:lpstr>CostPerLostDay</vt:lpstr>
      <vt:lpstr>CurMonthNo</vt:lpstr>
      <vt:lpstr>dCrit</vt:lpstr>
      <vt:lpstr>F_Dept</vt:lpstr>
      <vt:lpstr>F_Month</vt:lpstr>
      <vt:lpstr>F_Period</vt:lpstr>
      <vt:lpstr>gdAlcoholPositive</vt:lpstr>
      <vt:lpstr>gdAlcoholTests</vt:lpstr>
      <vt:lpstr>gdBulletinReach</vt:lpstr>
      <vt:lpstr>gdCAClosure</vt:lpstr>
      <vt:lpstr>gdCorrectiveActions</vt:lpstr>
      <vt:lpstr>gdDisciplinary</vt:lpstr>
      <vt:lpstr>gdDrillParticipation</vt:lpstr>
      <vt:lpstr>gdEmergencyDrills</vt:lpstr>
      <vt:lpstr>gdEquipmentCriticalFindings</vt:lpstr>
      <vt:lpstr>gdEquipmentInspections</vt:lpstr>
      <vt:lpstr>gdExternalAuditNCs</vt:lpstr>
      <vt:lpstr>gdExternalAudits</vt:lpstr>
      <vt:lpstr>gdFirstAid</vt:lpstr>
      <vt:lpstr>gdHSEObservations</vt:lpstr>
      <vt:lpstr>gdInternalAuditNCs</vt:lpstr>
      <vt:lpstr>gdInternalAudits</vt:lpstr>
      <vt:lpstr>gdJSAApproved</vt:lpstr>
      <vt:lpstr>gdJSAAssessments</vt:lpstr>
      <vt:lpstr>gdLostDays</vt:lpstr>
      <vt:lpstr>gdLTIFatality</vt:lpstr>
      <vt:lpstr>gdLTIFR</vt:lpstr>
      <vt:lpstr>gdManagementReviews</vt:lpstr>
      <vt:lpstr>gdManagementVisits</vt:lpstr>
      <vt:lpstr>gdMeetingsCloseout</vt:lpstr>
      <vt:lpstr>gdMgmtReviewAttendance</vt:lpstr>
      <vt:lpstr>gdMgmtVisitCloseout</vt:lpstr>
      <vt:lpstr>gdNCClosure</vt:lpstr>
      <vt:lpstr>gdNearMiss</vt:lpstr>
      <vt:lpstr>gdObsClosure</vt:lpstr>
      <vt:lpstr>gdOpenNCs</vt:lpstr>
      <vt:lpstr>gdPTWAudits</vt:lpstr>
      <vt:lpstr>gdPTWCompliance</vt:lpstr>
      <vt:lpstr>gdRecordable</vt:lpstr>
      <vt:lpstr>gdSafetyAwards</vt:lpstr>
      <vt:lpstr>gdSafetyBulletins</vt:lpstr>
      <vt:lpstr>gdSafetyMeetings</vt:lpstr>
      <vt:lpstr>gdSafetyWalkthroughs</vt:lpstr>
      <vt:lpstr>gdStopWorkAuthority</vt:lpstr>
      <vt:lpstr>gdToolboxAvgAttendance</vt:lpstr>
      <vt:lpstr>gdToolboxTalks</vt:lpstr>
      <vt:lpstr>gdTotalIncidents</vt:lpstr>
      <vt:lpstr>gdTrainingCompliance</vt:lpstr>
      <vt:lpstr>gdTrainings</vt:lpstr>
      <vt:lpstr>gdTRIR</vt:lpstr>
      <vt:lpstr>gdUnsafeActClosure</vt:lpstr>
      <vt:lpstr>gdUnsafeActsReported</vt:lpstr>
      <vt:lpstr>gdUnsafeConditionClosure</vt:lpstr>
      <vt:lpstr>gdUnsafeConditionsReported</vt:lpstr>
      <vt:lpstr>gdWorkplaceInspClosure</vt:lpstr>
      <vt:lpstr>gdWorkplaceInspections</vt:lpstr>
      <vt:lpstr>L_Dept</vt:lpstr>
      <vt:lpstr>L_Loc</vt:lpstr>
      <vt:lpstr>L_Month</vt:lpstr>
      <vt:lpstr>L_Rating</vt:lpstr>
      <vt:lpstr>L_Result</vt:lpstr>
      <vt:lpstr>L_Risk</vt:lpstr>
      <vt:lpstr>L_Status</vt:lpstr>
      <vt:lpstr>LastRefresh</vt:lpstr>
      <vt:lpstr>LostDays</vt:lpstr>
      <vt:lpstr>LTIfat</vt:lpstr>
      <vt:lpstr>LTIFR</vt:lpstr>
      <vt:lpstr>LTIFRmult</vt:lpstr>
      <vt:lpstr>Manhours</vt:lpstr>
      <vt:lpstr>ManhoursM</vt:lpstr>
      <vt:lpstr>mCrit</vt:lpstr>
      <vt:lpstr>NearMiss</vt:lpstr>
      <vt:lpstr>ObsClosure</vt:lpstr>
      <vt:lpstr>PPE_Issued</vt:lpstr>
      <vt:lpstr>PPE_Loc</vt:lpstr>
      <vt:lpstr>PPE_Used</vt:lpstr>
      <vt:lpstr>'Cover Page'!Print_Area</vt:lpstr>
      <vt:lpstr>'Dash · Alcohol Tests'!Print_Area</vt:lpstr>
      <vt:lpstr>'Dash · Corrective Actions'!Print_Area</vt:lpstr>
      <vt:lpstr>'Dash · Disciplinary Actions'!Print_Area</vt:lpstr>
      <vt:lpstr>'Dash · Emergency Drills'!Print_Area</vt:lpstr>
      <vt:lpstr>'Dash · Environmental Perf'!Print_Area</vt:lpstr>
      <vt:lpstr>'Dash · Equipment Inspections'!Print_Area</vt:lpstr>
      <vt:lpstr>'Dash · External Audits'!Print_Area</vt:lpstr>
      <vt:lpstr>'Dash · HSE Observations'!Print_Area</vt:lpstr>
      <vt:lpstr>'Dash · Incident'!Print_Area</vt:lpstr>
      <vt:lpstr>'Dash · Internal Audits'!Print_Area</vt:lpstr>
      <vt:lpstr>'Dash · JSA Risk Assessment'!Print_Area</vt:lpstr>
      <vt:lpstr>'Dash · Management Reviews'!Print_Area</vt:lpstr>
      <vt:lpstr>'Dash · Management Visits'!Print_Area</vt:lpstr>
      <vt:lpstr>'Dash · NC Management'!Print_Area</vt:lpstr>
      <vt:lpstr>'Dash · PTW Audits'!Print_Area</vt:lpstr>
      <vt:lpstr>'Dash · Safety Awards'!Print_Area</vt:lpstr>
      <vt:lpstr>'Dash · Safety Bulletins'!Print_Area</vt:lpstr>
      <vt:lpstr>'Dash · Safety Meetings'!Print_Area</vt:lpstr>
      <vt:lpstr>'Dash · Safety Walkthroughs'!Print_Area</vt:lpstr>
      <vt:lpstr>'Dash · Stop Work Authority'!Print_Area</vt:lpstr>
      <vt:lpstr>'Dash · Toolbox Talks'!Print_Area</vt:lpstr>
      <vt:lpstr>'Dash · Training'!Print_Area</vt:lpstr>
      <vt:lpstr>'Dash · Unsafe Acts'!Print_Area</vt:lpstr>
      <vt:lpstr>'Dash · Unsafe Conditions'!Print_Area</vt:lpstr>
      <vt:lpstr>'Dash · Workplace Inspections'!Print_Area</vt:lpstr>
      <vt:lpstr>'Executive Dashboard'!Print_Area</vt:lpstr>
      <vt:lpstr>'Executive Snapshot'!Print_Area</vt:lpstr>
      <vt:lpstr>Home!Print_Area</vt:lpstr>
      <vt:lpstr>'Leadership Review'!Print_Area</vt:lpstr>
      <vt:lpstr>'Alcohol Tests'!Print_Titles</vt:lpstr>
      <vt:lpstr>'Corrective Actions'!Print_Titles</vt:lpstr>
      <vt:lpstr>'Disciplinary Actions'!Print_Titles</vt:lpstr>
      <vt:lpstr>'Emergency Drills'!Print_Titles</vt:lpstr>
      <vt:lpstr>'Environmental Perf'!Print_Titles</vt:lpstr>
      <vt:lpstr>'Equipment Inspections'!Print_Titles</vt:lpstr>
      <vt:lpstr>'External Audits'!Print_Titles</vt:lpstr>
      <vt:lpstr>'HSE Observations'!Print_Titles</vt:lpstr>
      <vt:lpstr>Incident!Print_Titles</vt:lpstr>
      <vt:lpstr>'Internal Audits'!Print_Titles</vt:lpstr>
      <vt:lpstr>'Investigation Log'!Print_Titles</vt:lpstr>
      <vt:lpstr>'JSA Risk Assessment'!Print_Titles</vt:lpstr>
      <vt:lpstr>'Management Reviews'!Print_Titles</vt:lpstr>
      <vt:lpstr>'Management Visits'!Print_Titles</vt:lpstr>
      <vt:lpstr>'NC Management'!Print_Titles</vt:lpstr>
      <vt:lpstr>'PTW Audits'!Print_Titles</vt:lpstr>
      <vt:lpstr>'Safety Awards'!Print_Titles</vt:lpstr>
      <vt:lpstr>'Safety Bulletins'!Print_Titles</vt:lpstr>
      <vt:lpstr>'Safety Meetings'!Print_Titles</vt:lpstr>
      <vt:lpstr>'Safety Walkthroughs'!Print_Titles</vt:lpstr>
      <vt:lpstr>'Stop Work Authority'!Print_Titles</vt:lpstr>
      <vt:lpstr>'Toolbox Talks'!Print_Titles</vt:lpstr>
      <vt:lpstr>Training!Print_Titles</vt:lpstr>
      <vt:lpstr>'Unsafe Acts'!Print_Titles</vt:lpstr>
      <vt:lpstr>'Unsafe Conditions'!Print_Titles</vt:lpstr>
      <vt:lpstr>'Workplace Inspections'!Print_Titles</vt:lpstr>
      <vt:lpstr>PTWauditComp</vt:lpstr>
      <vt:lpstr>PYCA</vt:lpstr>
      <vt:lpstr>PYLTIFR</vt:lpstr>
      <vt:lpstr>PYObs</vt:lpstr>
      <vt:lpstr>PYTotalInc</vt:lpstr>
      <vt:lpstr>PYTrain</vt:lpstr>
      <vt:lpstr>PYTRIR</vt:lpstr>
      <vt:lpstr>Recordable</vt:lpstr>
      <vt:lpstr>ReportYear</vt:lpstr>
      <vt:lpstr>rgAlcoholPositive</vt:lpstr>
      <vt:lpstr>rgAlcoholTests</vt:lpstr>
      <vt:lpstr>rgBulletinReach</vt:lpstr>
      <vt:lpstr>rgCAClosure</vt:lpstr>
      <vt:lpstr>rgCorrectiveActions</vt:lpstr>
      <vt:lpstr>rgDisciplinary</vt:lpstr>
      <vt:lpstr>rgDrillParticipation</vt:lpstr>
      <vt:lpstr>rgEmergencyDrills</vt:lpstr>
      <vt:lpstr>rgEquipmentCriticalFindings</vt:lpstr>
      <vt:lpstr>rgEquipmentInspections</vt:lpstr>
      <vt:lpstr>rgExternalAuditNCs</vt:lpstr>
      <vt:lpstr>rgExternalAudits</vt:lpstr>
      <vt:lpstr>rgFirstAid</vt:lpstr>
      <vt:lpstr>rgHSEObservations</vt:lpstr>
      <vt:lpstr>rgInternalAuditNCs</vt:lpstr>
      <vt:lpstr>rgInternalAudits</vt:lpstr>
      <vt:lpstr>rgJSAApproved</vt:lpstr>
      <vt:lpstr>rgJSAAssessments</vt:lpstr>
      <vt:lpstr>rgLostDays</vt:lpstr>
      <vt:lpstr>rgLTIFatality</vt:lpstr>
      <vt:lpstr>rgLTIFR</vt:lpstr>
      <vt:lpstr>rgManagementReviews</vt:lpstr>
      <vt:lpstr>rgManagementVisits</vt:lpstr>
      <vt:lpstr>rgMeetingsCloseout</vt:lpstr>
      <vt:lpstr>rgMgmtReviewAttendance</vt:lpstr>
      <vt:lpstr>rgMgmtVisitCloseout</vt:lpstr>
      <vt:lpstr>rgNCClosure</vt:lpstr>
      <vt:lpstr>rgNearMiss</vt:lpstr>
      <vt:lpstr>rgObsClosure</vt:lpstr>
      <vt:lpstr>rgOpenNCs</vt:lpstr>
      <vt:lpstr>rgPTWAudits</vt:lpstr>
      <vt:lpstr>rgPTWCompliance</vt:lpstr>
      <vt:lpstr>rgRecordable</vt:lpstr>
      <vt:lpstr>rgSafetyAwards</vt:lpstr>
      <vt:lpstr>rgSafetyBulletins</vt:lpstr>
      <vt:lpstr>rgSafetyMeetings</vt:lpstr>
      <vt:lpstr>rgSafetyWalkthroughs</vt:lpstr>
      <vt:lpstr>rgStopWorkAuthority</vt:lpstr>
      <vt:lpstr>rgToolboxAvgAttendance</vt:lpstr>
      <vt:lpstr>rgToolboxTalks</vt:lpstr>
      <vt:lpstr>rgTotalIncidents</vt:lpstr>
      <vt:lpstr>rgTrainingCompliance</vt:lpstr>
      <vt:lpstr>rgTrainings</vt:lpstr>
      <vt:lpstr>rgTRIR</vt:lpstr>
      <vt:lpstr>rgUnsafeActClosure</vt:lpstr>
      <vt:lpstr>rgUnsafeActsReported</vt:lpstr>
      <vt:lpstr>rgUnsafeConditionClosure</vt:lpstr>
      <vt:lpstr>rgUnsafeConditionsReported</vt:lpstr>
      <vt:lpstr>rgWorkplaceInspClosure</vt:lpstr>
      <vt:lpstr>rgWorkplaceInspections</vt:lpstr>
      <vt:lpstr>SelDept</vt:lpstr>
      <vt:lpstr>SelMonth</vt:lpstr>
      <vt:lpstr>SelPeriod</vt:lpstr>
      <vt:lpstr>TgtAlcoholPositive</vt:lpstr>
      <vt:lpstr>TgtAttendance</vt:lpstr>
      <vt:lpstr>TgtCA</vt:lpstr>
      <vt:lpstr>TgtCloseout</vt:lpstr>
      <vt:lpstr>TgtLTIFR</vt:lpstr>
      <vt:lpstr>TgtObs</vt:lpstr>
      <vt:lpstr>TgtPTW</vt:lpstr>
      <vt:lpstr>TgtTrain</vt:lpstr>
      <vt:lpstr>TgtTRIR</vt:lpstr>
      <vt:lpstr>TotalInc</vt:lpstr>
      <vt:lpstr>TrainCompliance</vt:lpstr>
      <vt:lpstr>TRIR</vt:lpstr>
      <vt:lpstr>TRIRmult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2026-07-14T02:43:34Z</dcterms:created>
  <dcterms:modified xsi:type="dcterms:W3CDTF">2026-07-14T02:43:34Z</dcterms:modified>
</cp:coreProperties>
</file>